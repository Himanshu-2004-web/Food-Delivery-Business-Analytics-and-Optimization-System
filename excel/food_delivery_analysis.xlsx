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Delivery_Partners" sheetId="4" state="visible" r:id="rId4"/>
    <sheet xmlns:r="http://schemas.openxmlformats.org/officeDocument/2006/relationships" name="Cleaned_Orders" sheetId="5" state="visible" r:id="rId5"/>
    <sheet xmlns:r="http://schemas.openxmlformats.org/officeDocument/2006/relationships" name="Raw_Orders_Audit" sheetId="6" state="visible" r:id="rId6"/>
    <sheet xmlns:r="http://schemas.openxmlformats.org/officeDocument/2006/relationships" name="Statistical_Analysis" sheetId="7" state="visible" r:id="rId7"/>
    <sheet xmlns:r="http://schemas.openxmlformats.org/officeDocument/2006/relationships" name="Pivot_Summa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₹#,##0.00"/>
    <numFmt numFmtId="165" formatCode="0.0%"/>
    <numFmt numFmtId="166" formatCode="0.0"/>
    <numFmt numFmtId="167" formatCode="₹#,##0"/>
    <numFmt numFmtId="168" formatCode="0.0 min"/>
    <numFmt numFmtId="169" formatCode="0.0 mins"/>
    <numFmt numFmtId="170" formatCode="0 order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FFFFFF"/>
      <sz val="16"/>
    </font>
    <font>
      <name val="Segoe UI"/>
      <b val="1"/>
      <color rgb="001A202C"/>
      <sz val="10"/>
    </font>
    <font>
      <name val="Consolas"/>
      <color rgb="004A5568"/>
      <sz val="9"/>
    </font>
    <font>
      <name val="Segoe UI"/>
      <b val="1"/>
      <color rgb="001A202C"/>
      <sz val="12"/>
    </font>
    <font>
      <name val="Segoe UI"/>
      <b val="1"/>
      <color rgb="00FFFFFF"/>
      <sz val="18"/>
    </font>
    <font>
      <name val="Segoe UI"/>
      <i val="1"/>
      <color rgb="004A5568"/>
      <sz val="10"/>
    </font>
    <font>
      <name val="Segoe UI"/>
      <b val="1"/>
      <color rgb="00FFFFFF"/>
      <sz val="9"/>
    </font>
    <font>
      <name val="Segoe UI"/>
      <b val="1"/>
      <color rgb="001B365D"/>
      <sz val="18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718096"/>
        <bgColor rgb="00718096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3" fontId="10" fillId="7" borderId="0" applyAlignment="1" pivotButton="0" quotePrefix="0" xfId="0">
      <alignment horizontal="center" vertical="center"/>
    </xf>
    <xf numFmtId="165" fontId="10" fillId="7" borderId="0" applyAlignment="1" pivotButton="0" quotePrefix="0" xfId="0">
      <alignment horizontal="center" vertical="center"/>
    </xf>
    <xf numFmtId="167" fontId="10" fillId="7" borderId="0" applyAlignment="1" pivotButton="0" quotePrefix="0" xfId="0">
      <alignment horizontal="center" vertical="center"/>
    </xf>
    <xf numFmtId="168" fontId="10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169" fontId="4" fillId="0" borderId="1" applyAlignment="1" pivotButton="0" quotePrefix="0" xfId="0">
      <alignment horizontal="right" vertical="center"/>
    </xf>
    <xf numFmtId="170" fontId="4" fillId="0" borderId="1" applyAlignment="1" pivotButton="0" quotePrefix="0" xfId="0">
      <alignment horizontal="right" vertical="center"/>
    </xf>
    <xf numFmtId="0" fontId="4" fillId="6" borderId="1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4" fontId="2" fillId="0" borderId="1" applyAlignment="1" pivotButton="0" quotePrefix="0" xfId="0">
      <alignment horizontal="right" vertical="center"/>
    </xf>
    <xf numFmtId="2" fontId="2" fillId="0" borderId="1" pivotButton="0" quotePrefix="0" xfId="0"/>
    <xf numFmtId="164" fontId="4" fillId="6" borderId="1" pivotButton="0" quotePrefix="0" xfId="0"/>
    <xf numFmtId="166" fontId="4" fillId="6" borderId="1" pivotButton="0" quotePrefix="0" xfId="0"/>
    <xf numFmtId="2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&amp; Delivered 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'Executive_Dashboard'!D10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'Executive_Dashboard'!$B$11:$B$22</f>
            </numRef>
          </cat>
          <val>
            <numRef>
              <f>'Executive_Dashboard'!$D$11:$D$22</f>
            </numRef>
          </val>
        </ser>
        <ser>
          <idx val="1"/>
          <order val="1"/>
          <tx>
            <strRef>
              <f>'Executive_Dashboard'!E10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'Executive_Dashboard'!$B$11:$B$22</f>
            </numRef>
          </cat>
          <val>
            <numRef>
              <f>'Executive_Dashboard'!$E$11:$E$22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City Platform Revenue Comparison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'Executive_Dashboard'!L10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'Executive_Dashboard'!$J$11:$J$15</f>
            </numRef>
          </cat>
          <val>
            <numRef>
              <f>'Executive_Dashboard'!$L$11:$L$15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20" customWidth="1" min="7" max="7"/>
    <col width="16" customWidth="1" min="8" max="8"/>
    <col width="16" customWidth="1" min="9" max="9"/>
    <col width="16" customWidth="1" min="10" max="10"/>
    <col width="14" customWidth="1" min="11" max="11"/>
    <col width="18" customWidth="1" min="12" max="12"/>
    <col width="16" customWidth="1" min="13" max="13"/>
  </cols>
  <sheetData>
    <row r="1">
      <c r="A1" s="1" t="inlineStr">
        <is>
          <t>FOOD DELIVERY BUSINESS ANALYTICS &amp; PERFORMANCE OPTIMIZATION DASHBOARD</t>
        </is>
      </c>
    </row>
    <row r="2"/>
    <row r="3">
      <c r="A3" s="2" t="inlineStr">
        <is>
          <t>Comprehensive Performance Monitoring, Diagnostic Analytics &amp; Prescriptive Business Strategy | FY 2025</t>
        </is>
      </c>
    </row>
    <row r="5">
      <c r="B5" s="3" t="inlineStr">
        <is>
          <t>TOTAL ORDERS</t>
        </is>
      </c>
      <c r="D5" s="3" t="inlineStr">
        <is>
          <t>DELIVERED ORDERS</t>
        </is>
      </c>
      <c r="F5" s="3" t="inlineStr">
        <is>
          <t>CANCELLATION RATE</t>
        </is>
      </c>
      <c r="H5" s="3" t="inlineStr">
        <is>
          <t>GROSS MERCHANDISE VALUE</t>
        </is>
      </c>
      <c r="J5" s="3" t="inlineStr">
        <is>
          <t>PLATFORM REVENUE</t>
        </is>
      </c>
      <c r="L5" s="3" t="inlineStr">
        <is>
          <t>AVG DELIVERY TIME</t>
        </is>
      </c>
    </row>
    <row r="6" ht="24" customHeight="1">
      <c r="B6" s="4">
        <f>COUNT(Cleaned_Orders!A2:A2001)</f>
        <v/>
      </c>
      <c r="D6" s="4">
        <f>COUNTIF(Cleaned_Orders!P2:P2001, "Delivered")</f>
        <v/>
      </c>
      <c r="F6" s="5">
        <f>COUNTIF(Cleaned_Orders!P2:P2001, "Cancelled")/B6</f>
        <v/>
      </c>
      <c r="H6" s="6">
        <f>SUM(Cleaned_Orders!I2:I2001)</f>
        <v/>
      </c>
      <c r="J6" s="6">
        <f>SUM(Cleaned_Orders!M2:M2001)</f>
        <v/>
      </c>
      <c r="L6" s="7">
        <f>AVERAGE(Cleaned_Orders!N2:N2001)</f>
        <v/>
      </c>
    </row>
    <row r="7" ht="24" customHeight="1"/>
    <row r="9">
      <c r="B9" s="8" t="inlineStr">
        <is>
          <t>Monthly Order &amp; Revenue Trend (Descriptive Analysis)</t>
        </is>
      </c>
      <c r="J9" s="8" t="inlineStr">
        <is>
          <t>City Market Share &amp; Efficiency</t>
        </is>
      </c>
    </row>
    <row r="10">
      <c r="B10" s="9" t="inlineStr">
        <is>
          <t>Month</t>
        </is>
      </c>
      <c r="C10" s="9" t="inlineStr">
        <is>
          <t>Year-Month</t>
        </is>
      </c>
      <c r="D10" s="9" t="inlineStr">
        <is>
          <t>Total Orders</t>
        </is>
      </c>
      <c r="E10" s="9" t="inlineStr">
        <is>
          <t>Delivered Orders</t>
        </is>
      </c>
      <c r="F10" s="9" t="inlineStr">
        <is>
          <t>GMV (INR)</t>
        </is>
      </c>
      <c r="G10" s="9" t="inlineStr">
        <is>
          <t>Platform Revenue (INR)</t>
        </is>
      </c>
      <c r="H10" s="9" t="inlineStr">
        <is>
          <t>Avg Deliv Time</t>
        </is>
      </c>
      <c r="J10" s="10" t="inlineStr">
        <is>
          <t>City</t>
        </is>
      </c>
      <c r="K10" s="10" t="inlineStr">
        <is>
          <t>Orders</t>
        </is>
      </c>
      <c r="L10" s="10" t="inlineStr">
        <is>
          <t>Revenue (INR)</t>
        </is>
      </c>
      <c r="M10" s="10" t="inlineStr">
        <is>
          <t>Avg Rating</t>
        </is>
      </c>
    </row>
    <row r="11">
      <c r="B11" s="11" t="inlineStr">
        <is>
          <t>Jan 2025</t>
        </is>
      </c>
      <c r="C11" s="11" t="inlineStr">
        <is>
          <t>2025-01</t>
        </is>
      </c>
      <c r="D11" s="12">
        <f>COUNTIF(Cleaned_Orders!R2:R2001, "2025-01")</f>
        <v/>
      </c>
      <c r="E11" s="12">
        <f>COUNTIFS(Cleaned_Orders!R2:R2001, "2025-01", Cleaned_Orders!P2:P2001, "Delivered")</f>
        <v/>
      </c>
      <c r="F11" s="13">
        <f>SUMIF(Cleaned_Orders!R2:R2001, "2025-01", Cleaned_Orders!I2:I2001)</f>
        <v/>
      </c>
      <c r="G11" s="13">
        <f>SUMIF(Cleaned_Orders!R2:R2001, "2025-01", Cleaned_Orders!M2:M2001)</f>
        <v/>
      </c>
      <c r="H11" s="14">
        <f>AVERAGEIFS(Cleaned_Orders!N2:N2001, Cleaned_Orders!R2:R2001, "2025-01")</f>
        <v/>
      </c>
      <c r="J11" s="15" t="inlineStr">
        <is>
          <t>Bangalore</t>
        </is>
      </c>
      <c r="K11" s="12">
        <f>Pivot_Summaries!B5</f>
        <v/>
      </c>
      <c r="L11" s="13">
        <f>Pivot_Summaries!F5</f>
        <v/>
      </c>
      <c r="M11" s="16">
        <f>Pivot_Summaries!H5</f>
        <v/>
      </c>
    </row>
    <row r="12">
      <c r="B12" s="11" t="inlineStr">
        <is>
          <t>Feb 2025</t>
        </is>
      </c>
      <c r="C12" s="11" t="inlineStr">
        <is>
          <t>2025-02</t>
        </is>
      </c>
      <c r="D12" s="12">
        <f>COUNTIF(Cleaned_Orders!R2:R2001, "2025-02")</f>
        <v/>
      </c>
      <c r="E12" s="12">
        <f>COUNTIFS(Cleaned_Orders!R2:R2001, "2025-02", Cleaned_Orders!P2:P2001, "Delivered")</f>
        <v/>
      </c>
      <c r="F12" s="13">
        <f>SUMIF(Cleaned_Orders!R2:R2001, "2025-02", Cleaned_Orders!I2:I2001)</f>
        <v/>
      </c>
      <c r="G12" s="13">
        <f>SUMIF(Cleaned_Orders!R2:R2001, "2025-02", Cleaned_Orders!M2:M2001)</f>
        <v/>
      </c>
      <c r="H12" s="14">
        <f>AVERAGEIFS(Cleaned_Orders!N2:N2001, Cleaned_Orders!R2:R2001, "2025-02")</f>
        <v/>
      </c>
      <c r="J12" s="15" t="inlineStr">
        <is>
          <t>Mumbai</t>
        </is>
      </c>
      <c r="K12" s="12">
        <f>Pivot_Summaries!B6</f>
        <v/>
      </c>
      <c r="L12" s="13">
        <f>Pivot_Summaries!F6</f>
        <v/>
      </c>
      <c r="M12" s="16">
        <f>Pivot_Summaries!H6</f>
        <v/>
      </c>
    </row>
    <row r="13">
      <c r="B13" s="11" t="inlineStr">
        <is>
          <t>Mar 2025</t>
        </is>
      </c>
      <c r="C13" s="11" t="inlineStr">
        <is>
          <t>2025-03</t>
        </is>
      </c>
      <c r="D13" s="12">
        <f>COUNTIF(Cleaned_Orders!R2:R2001, "2025-03")</f>
        <v/>
      </c>
      <c r="E13" s="12">
        <f>COUNTIFS(Cleaned_Orders!R2:R2001, "2025-03", Cleaned_Orders!P2:P2001, "Delivered")</f>
        <v/>
      </c>
      <c r="F13" s="13">
        <f>SUMIF(Cleaned_Orders!R2:R2001, "2025-03", Cleaned_Orders!I2:I2001)</f>
        <v/>
      </c>
      <c r="G13" s="13">
        <f>SUMIF(Cleaned_Orders!R2:R2001, "2025-03", Cleaned_Orders!M2:M2001)</f>
        <v/>
      </c>
      <c r="H13" s="14">
        <f>AVERAGEIFS(Cleaned_Orders!N2:N2001, Cleaned_Orders!R2:R2001, "2025-03")</f>
        <v/>
      </c>
      <c r="J13" s="15" t="inlineStr">
        <is>
          <t>Delhi NCR</t>
        </is>
      </c>
      <c r="K13" s="12">
        <f>Pivot_Summaries!B7</f>
        <v/>
      </c>
      <c r="L13" s="13">
        <f>Pivot_Summaries!F7</f>
        <v/>
      </c>
      <c r="M13" s="16">
        <f>Pivot_Summaries!H7</f>
        <v/>
      </c>
    </row>
    <row r="14">
      <c r="B14" s="11" t="inlineStr">
        <is>
          <t>Apr 2025</t>
        </is>
      </c>
      <c r="C14" s="11" t="inlineStr">
        <is>
          <t>2025-04</t>
        </is>
      </c>
      <c r="D14" s="12">
        <f>COUNTIF(Cleaned_Orders!R2:R2001, "2025-04")</f>
        <v/>
      </c>
      <c r="E14" s="12">
        <f>COUNTIFS(Cleaned_Orders!R2:R2001, "2025-04", Cleaned_Orders!P2:P2001, "Delivered")</f>
        <v/>
      </c>
      <c r="F14" s="13">
        <f>SUMIF(Cleaned_Orders!R2:R2001, "2025-04", Cleaned_Orders!I2:I2001)</f>
        <v/>
      </c>
      <c r="G14" s="13">
        <f>SUMIF(Cleaned_Orders!R2:R2001, "2025-04", Cleaned_Orders!M2:M2001)</f>
        <v/>
      </c>
      <c r="H14" s="14">
        <f>AVERAGEIFS(Cleaned_Orders!N2:N2001, Cleaned_Orders!R2:R2001, "2025-04")</f>
        <v/>
      </c>
      <c r="J14" s="15" t="inlineStr">
        <is>
          <t>Hyderabad</t>
        </is>
      </c>
      <c r="K14" s="12">
        <f>Pivot_Summaries!B8</f>
        <v/>
      </c>
      <c r="L14" s="13">
        <f>Pivot_Summaries!F8</f>
        <v/>
      </c>
      <c r="M14" s="16">
        <f>Pivot_Summaries!H8</f>
        <v/>
      </c>
    </row>
    <row r="15">
      <c r="B15" s="11" t="inlineStr">
        <is>
          <t>May 2025</t>
        </is>
      </c>
      <c r="C15" s="11" t="inlineStr">
        <is>
          <t>2025-05</t>
        </is>
      </c>
      <c r="D15" s="12">
        <f>COUNTIF(Cleaned_Orders!R2:R2001, "2025-05")</f>
        <v/>
      </c>
      <c r="E15" s="12">
        <f>COUNTIFS(Cleaned_Orders!R2:R2001, "2025-05", Cleaned_Orders!P2:P2001, "Delivered")</f>
        <v/>
      </c>
      <c r="F15" s="13">
        <f>SUMIF(Cleaned_Orders!R2:R2001, "2025-05", Cleaned_Orders!I2:I2001)</f>
        <v/>
      </c>
      <c r="G15" s="13">
        <f>SUMIF(Cleaned_Orders!R2:R2001, "2025-05", Cleaned_Orders!M2:M2001)</f>
        <v/>
      </c>
      <c r="H15" s="14">
        <f>AVERAGEIFS(Cleaned_Orders!N2:N2001, Cleaned_Orders!R2:R2001, "2025-05")</f>
        <v/>
      </c>
      <c r="J15" s="15" t="inlineStr">
        <is>
          <t>Pune</t>
        </is>
      </c>
      <c r="K15" s="12">
        <f>Pivot_Summaries!B9</f>
        <v/>
      </c>
      <c r="L15" s="13">
        <f>Pivot_Summaries!F9</f>
        <v/>
      </c>
      <c r="M15" s="16">
        <f>Pivot_Summaries!H9</f>
        <v/>
      </c>
    </row>
    <row r="16">
      <c r="B16" s="11" t="inlineStr">
        <is>
          <t>Jun 2025</t>
        </is>
      </c>
      <c r="C16" s="11" t="inlineStr">
        <is>
          <t>2025-06</t>
        </is>
      </c>
      <c r="D16" s="12">
        <f>COUNTIF(Cleaned_Orders!R2:R2001, "2025-06")</f>
        <v/>
      </c>
      <c r="E16" s="12">
        <f>COUNTIFS(Cleaned_Orders!R2:R2001, "2025-06", Cleaned_Orders!P2:P2001, "Delivered")</f>
        <v/>
      </c>
      <c r="F16" s="13">
        <f>SUMIF(Cleaned_Orders!R2:R2001, "2025-06", Cleaned_Orders!I2:I2001)</f>
        <v/>
      </c>
      <c r="G16" s="13">
        <f>SUMIF(Cleaned_Orders!R2:R2001, "2025-06", Cleaned_Orders!M2:M2001)</f>
        <v/>
      </c>
      <c r="H16" s="14">
        <f>AVERAGEIFS(Cleaned_Orders!N2:N2001, Cleaned_Orders!R2:R2001, "2025-06")</f>
        <v/>
      </c>
    </row>
    <row r="17">
      <c r="B17" s="11" t="inlineStr">
        <is>
          <t>Jul 2025</t>
        </is>
      </c>
      <c r="C17" s="11" t="inlineStr">
        <is>
          <t>2025-07</t>
        </is>
      </c>
      <c r="D17" s="12">
        <f>COUNTIF(Cleaned_Orders!R2:R2001, "2025-07")</f>
        <v/>
      </c>
      <c r="E17" s="12">
        <f>COUNTIFS(Cleaned_Orders!R2:R2001, "2025-07", Cleaned_Orders!P2:P2001, "Delivered")</f>
        <v/>
      </c>
      <c r="F17" s="13">
        <f>SUMIF(Cleaned_Orders!R2:R2001, "2025-07", Cleaned_Orders!I2:I2001)</f>
        <v/>
      </c>
      <c r="G17" s="13">
        <f>SUMIF(Cleaned_Orders!R2:R2001, "2025-07", Cleaned_Orders!M2:M2001)</f>
        <v/>
      </c>
      <c r="H17" s="14">
        <f>AVERAGEIFS(Cleaned_Orders!N2:N2001, Cleaned_Orders!R2:R2001, "2025-07")</f>
        <v/>
      </c>
      <c r="J17" s="8" t="inlineStr">
        <is>
          <t>System Operational Health &amp; Outlier Monitor</t>
        </is>
      </c>
    </row>
    <row r="18">
      <c r="B18" s="11" t="inlineStr">
        <is>
          <t>Aug 2025</t>
        </is>
      </c>
      <c r="C18" s="11" t="inlineStr">
        <is>
          <t>2025-08</t>
        </is>
      </c>
      <c r="D18" s="12">
        <f>COUNTIF(Cleaned_Orders!R2:R2001, "2025-08")</f>
        <v/>
      </c>
      <c r="E18" s="12">
        <f>COUNTIFS(Cleaned_Orders!R2:R2001, "2025-08", Cleaned_Orders!P2:P2001, "Delivered")</f>
        <v/>
      </c>
      <c r="F18" s="13">
        <f>SUMIF(Cleaned_Orders!R2:R2001, "2025-08", Cleaned_Orders!I2:I2001)</f>
        <v/>
      </c>
      <c r="G18" s="13">
        <f>SUMIF(Cleaned_Orders!R2:R2001, "2025-08", Cleaned_Orders!M2:M2001)</f>
        <v/>
      </c>
      <c r="H18" s="14">
        <f>AVERAGEIFS(Cleaned_Orders!N2:N2001, Cleaned_Orders!R2:R2001, "2025-08")</f>
        <v/>
      </c>
      <c r="J18" s="17" t="inlineStr">
        <is>
          <t>Average Delivery Time</t>
        </is>
      </c>
      <c r="M18" s="18">
        <f>Statistical_Analysis!B5</f>
        <v/>
      </c>
    </row>
    <row r="19">
      <c r="B19" s="11" t="inlineStr">
        <is>
          <t>Sep 2025</t>
        </is>
      </c>
      <c r="C19" s="11" t="inlineStr">
        <is>
          <t>2025-09</t>
        </is>
      </c>
      <c r="D19" s="12">
        <f>COUNTIF(Cleaned_Orders!R2:R2001, "2025-09")</f>
        <v/>
      </c>
      <c r="E19" s="12">
        <f>COUNTIFS(Cleaned_Orders!R2:R2001, "2025-09", Cleaned_Orders!P2:P2001, "Delivered")</f>
        <v/>
      </c>
      <c r="F19" s="13">
        <f>SUMIF(Cleaned_Orders!R2:R2001, "2025-09", Cleaned_Orders!I2:I2001)</f>
        <v/>
      </c>
      <c r="G19" s="13">
        <f>SUMIF(Cleaned_Orders!R2:R2001, "2025-09", Cleaned_Orders!M2:M2001)</f>
        <v/>
      </c>
      <c r="H19" s="14">
        <f>AVERAGEIFS(Cleaned_Orders!N2:N2001, Cleaned_Orders!R2:R2001, "2025-09")</f>
        <v/>
      </c>
      <c r="J19" s="17" t="inlineStr">
        <is>
          <t>Median Delivery Time</t>
        </is>
      </c>
      <c r="M19" s="18">
        <f>Statistical_Analysis!B6</f>
        <v/>
      </c>
    </row>
    <row r="20">
      <c r="B20" s="11" t="inlineStr">
        <is>
          <t>Oct 2025</t>
        </is>
      </c>
      <c r="C20" s="11" t="inlineStr">
        <is>
          <t>2025-10</t>
        </is>
      </c>
      <c r="D20" s="12">
        <f>COUNTIF(Cleaned_Orders!R2:R2001, "2025-10")</f>
        <v/>
      </c>
      <c r="E20" s="12">
        <f>COUNTIFS(Cleaned_Orders!R2:R2001, "2025-10", Cleaned_Orders!P2:P2001, "Delivered")</f>
        <v/>
      </c>
      <c r="F20" s="13">
        <f>SUMIF(Cleaned_Orders!R2:R2001, "2025-10", Cleaned_Orders!I2:I2001)</f>
        <v/>
      </c>
      <c r="G20" s="13">
        <f>SUMIF(Cleaned_Orders!R2:R2001, "2025-10", Cleaned_Orders!M2:M2001)</f>
        <v/>
      </c>
      <c r="H20" s="14">
        <f>AVERAGEIFS(Cleaned_Orders!N2:N2001, Cleaned_Orders!R2:R2001, "2025-10")</f>
        <v/>
      </c>
      <c r="J20" s="17" t="inlineStr">
        <is>
          <t>IQR Delivery Spread (Q3-Q1)</t>
        </is>
      </c>
      <c r="M20" s="18">
        <f>Statistical_Analysis!B14</f>
        <v/>
      </c>
    </row>
    <row r="21">
      <c r="B21" s="11" t="inlineStr">
        <is>
          <t>Nov 2025</t>
        </is>
      </c>
      <c r="C21" s="11" t="inlineStr">
        <is>
          <t>2025-11</t>
        </is>
      </c>
      <c r="D21" s="12">
        <f>COUNTIF(Cleaned_Orders!R2:R2001, "2025-11")</f>
        <v/>
      </c>
      <c r="E21" s="12">
        <f>COUNTIFS(Cleaned_Orders!R2:R2001, "2025-11", Cleaned_Orders!P2:P2001, "Delivered")</f>
        <v/>
      </c>
      <c r="F21" s="13">
        <f>SUMIF(Cleaned_Orders!R2:R2001, "2025-11", Cleaned_Orders!I2:I2001)</f>
        <v/>
      </c>
      <c r="G21" s="13">
        <f>SUMIF(Cleaned_Orders!R2:R2001, "2025-11", Cleaned_Orders!M2:M2001)</f>
        <v/>
      </c>
      <c r="H21" s="14">
        <f>AVERAGEIFS(Cleaned_Orders!N2:N2001, Cleaned_Orders!R2:R2001, "2025-11")</f>
        <v/>
      </c>
      <c r="J21" s="17" t="inlineStr">
        <is>
          <t>Extreme Delay Outliers (&gt; Upper Bound)</t>
        </is>
      </c>
      <c r="M21" s="19">
        <f>Statistical_Analysis!B18</f>
        <v/>
      </c>
    </row>
    <row r="22">
      <c r="B22" s="11" t="inlineStr">
        <is>
          <t>Dec 2025</t>
        </is>
      </c>
      <c r="C22" s="11" t="inlineStr">
        <is>
          <t>2025-12</t>
        </is>
      </c>
      <c r="D22" s="12">
        <f>COUNTIF(Cleaned_Orders!R2:R2001, "2025-12")</f>
        <v/>
      </c>
      <c r="E22" s="12">
        <f>COUNTIFS(Cleaned_Orders!R2:R2001, "2025-12", Cleaned_Orders!P2:P2001, "Delivered")</f>
        <v/>
      </c>
      <c r="F22" s="13">
        <f>SUMIF(Cleaned_Orders!R2:R2001, "2025-12", Cleaned_Orders!I2:I2001)</f>
        <v/>
      </c>
      <c r="G22" s="13">
        <f>SUMIF(Cleaned_Orders!R2:R2001, "2025-12", Cleaned_Orders!M2:M2001)</f>
        <v/>
      </c>
      <c r="H22" s="14">
        <f>AVERAGEIFS(Cleaned_Orders!N2:N2001, Cleaned_Orders!R2:R2001, "2025-12")</f>
        <v/>
      </c>
      <c r="J22" s="17" t="inlineStr">
        <is>
          <t>High Risk / Low Rated Orders</t>
        </is>
      </c>
      <c r="M22" s="19">
        <f>COUNTIF(Cleaned_Orders!U2:U2001, "High Risk / Delayed")</f>
        <v/>
      </c>
    </row>
    <row r="24">
      <c r="B24" s="8" t="inlineStr">
        <is>
          <t>Prescriptive Analytics &amp; Business Recommendations (Action Plan)</t>
        </is>
      </c>
    </row>
    <row r="25">
      <c r="B25" s="20" t="inlineStr">
        <is>
          <t>1. Peak Hour Delivery Rebalancing:</t>
        </is>
      </c>
      <c r="C25" s="17" t="inlineStr">
        <is>
          <t>Deploy 25% surge partner incentives in Bangalore &amp; Mumbai between 19:00 - 21:30 to eliminate delivery bottlenecks and reduce outlier delays.</t>
        </is>
      </c>
    </row>
    <row r="26">
      <c r="B26" s="20" t="inlineStr">
        <is>
          <t>2. Kitchen Delay SLA Enforcement:</t>
        </is>
      </c>
      <c r="C26" s="17" t="inlineStr">
        <is>
          <t>Enforce a maximum 18-minute food preparation SLA for high-volume Biryani &amp; Italian partners where kitchen delays account for over 50% of late deliveries.</t>
        </is>
      </c>
    </row>
    <row r="27">
      <c r="B27" s="20" t="inlineStr">
        <is>
          <t>3. Long-Distance Cancellation Mitigation:</t>
        </is>
      </c>
      <c r="C27" s="17" t="inlineStr">
        <is>
          <t>Cap standard delivery radius to 10 km during rain and peak rush hours; orders over 10 km exhibit 3.4x higher cancellation and sub-3.0 customer ratings.</t>
        </is>
      </c>
    </row>
    <row r="28">
      <c r="B28" s="20" t="inlineStr">
        <is>
          <t>4. Loyalty Tier Value Optimization:</t>
        </is>
      </c>
      <c r="C28" s="17" t="inlineStr">
        <is>
          <t>Re-evaluate free delivery threshold for Gold members; currently accounts for ₹120,000+ subsidized delivery cost, offset by maintaining minimum order spend of ₹599.</t>
        </is>
      </c>
    </row>
    <row r="29">
      <c r="B29" s="20" t="inlineStr">
        <is>
          <t>5. Low-Rated Restaurant Service Intervention:</t>
        </is>
      </c>
      <c r="C29" s="17" t="inlineStr">
        <is>
          <t>Trigger mandatory quality audits and menu review for restaurants averaging &lt; 3.8 rating (e.g., Dragon Bowl, Tandoori Nights) to prevent customer churn.</t>
        </is>
      </c>
    </row>
  </sheetData>
  <mergeCells count="24">
    <mergeCell ref="A1:M2"/>
    <mergeCell ref="J5:K5"/>
    <mergeCell ref="B6:C7"/>
    <mergeCell ref="J20:L20"/>
    <mergeCell ref="C26:M26"/>
    <mergeCell ref="C29:M29"/>
    <mergeCell ref="L6:M7"/>
    <mergeCell ref="J22:L22"/>
    <mergeCell ref="F5:G5"/>
    <mergeCell ref="C25:M25"/>
    <mergeCell ref="L5:M5"/>
    <mergeCell ref="J21:L21"/>
    <mergeCell ref="J18:L18"/>
    <mergeCell ref="D6:E7"/>
    <mergeCell ref="C27:M27"/>
    <mergeCell ref="F6:G7"/>
    <mergeCell ref="H6:I7"/>
    <mergeCell ref="B5:C5"/>
    <mergeCell ref="J6:K7"/>
    <mergeCell ref="J19:L19"/>
    <mergeCell ref="D5:E5"/>
    <mergeCell ref="A3:M3"/>
    <mergeCell ref="H5:I5"/>
    <mergeCell ref="C28:M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customer_id</t>
        </is>
      </c>
      <c r="B1" s="21" t="inlineStr">
        <is>
          <t>customer_name</t>
        </is>
      </c>
      <c r="C1" s="21" t="inlineStr">
        <is>
          <t>city</t>
        </is>
      </c>
      <c r="D1" s="21" t="inlineStr">
        <is>
          <t>loyalty_tier</t>
        </is>
      </c>
      <c r="E1" s="21" t="inlineStr">
        <is>
          <t>age</t>
        </is>
      </c>
      <c r="F1" s="21" t="inlineStr">
        <is>
          <t>gender</t>
        </is>
      </c>
    </row>
    <row r="2">
      <c r="A2" t="n">
        <v>1001</v>
      </c>
      <c r="B2" t="inlineStr">
        <is>
          <t>Customer_1001</t>
        </is>
      </c>
      <c r="C2" t="inlineStr">
        <is>
          <t>Hyderabad</t>
        </is>
      </c>
      <c r="D2" t="inlineStr">
        <is>
          <t>Regular</t>
        </is>
      </c>
      <c r="E2" t="n">
        <v>47</v>
      </c>
      <c r="F2" t="inlineStr">
        <is>
          <t>Male</t>
        </is>
      </c>
    </row>
    <row r="3">
      <c r="A3" t="n">
        <v>1002</v>
      </c>
      <c r="B3" t="inlineStr">
        <is>
          <t>Customer_1002</t>
        </is>
      </c>
      <c r="C3" t="inlineStr">
        <is>
          <t>Delhi NCR</t>
        </is>
      </c>
      <c r="D3" t="inlineStr">
        <is>
          <t>Gold</t>
        </is>
      </c>
      <c r="E3" t="n">
        <v>26</v>
      </c>
      <c r="F3" t="inlineStr">
        <is>
          <t>Male</t>
        </is>
      </c>
    </row>
    <row r="4">
      <c r="A4" t="n">
        <v>1003</v>
      </c>
      <c r="B4" t="inlineStr">
        <is>
          <t>Customer_1003</t>
        </is>
      </c>
      <c r="C4" t="inlineStr">
        <is>
          <t>Pune</t>
        </is>
      </c>
      <c r="D4" t="inlineStr">
        <is>
          <t>Silver</t>
        </is>
      </c>
      <c r="E4" t="n">
        <v>52</v>
      </c>
      <c r="F4" t="inlineStr">
        <is>
          <t>Female</t>
        </is>
      </c>
    </row>
    <row r="5">
      <c r="A5" t="n">
        <v>1004</v>
      </c>
      <c r="B5" t="inlineStr">
        <is>
          <t>Customer_1004</t>
        </is>
      </c>
      <c r="C5" t="inlineStr">
        <is>
          <t>Pune</t>
        </is>
      </c>
      <c r="D5" t="inlineStr">
        <is>
          <t>Regular</t>
        </is>
      </c>
      <c r="E5" t="n">
        <v>45</v>
      </c>
      <c r="F5" t="inlineStr">
        <is>
          <t>Other</t>
        </is>
      </c>
    </row>
    <row r="6">
      <c r="A6" t="n">
        <v>1005</v>
      </c>
      <c r="B6" t="inlineStr">
        <is>
          <t>Customer_1005</t>
        </is>
      </c>
      <c r="C6" t="inlineStr">
        <is>
          <t>Hyderabad</t>
        </is>
      </c>
      <c r="D6" t="inlineStr">
        <is>
          <t>Regular</t>
        </is>
      </c>
      <c r="E6" t="n">
        <v>41</v>
      </c>
      <c r="F6" t="inlineStr">
        <is>
          <t>Male</t>
        </is>
      </c>
    </row>
    <row r="7">
      <c r="A7" t="n">
        <v>1006</v>
      </c>
      <c r="B7" t="inlineStr">
        <is>
          <t>Customer_1006</t>
        </is>
      </c>
      <c r="C7" t="inlineStr">
        <is>
          <t>Mumbai</t>
        </is>
      </c>
      <c r="D7" t="inlineStr">
        <is>
          <t>Regular</t>
        </is>
      </c>
      <c r="E7" t="n">
        <v>50</v>
      </c>
      <c r="F7" t="inlineStr">
        <is>
          <t>Female</t>
        </is>
      </c>
    </row>
    <row r="8">
      <c r="A8" t="n">
        <v>1007</v>
      </c>
      <c r="B8" t="inlineStr">
        <is>
          <t>Customer_1007</t>
        </is>
      </c>
      <c r="C8" t="inlineStr">
        <is>
          <t>Bangalore</t>
        </is>
      </c>
      <c r="D8" t="inlineStr">
        <is>
          <t>Regular</t>
        </is>
      </c>
      <c r="E8" t="n">
        <v>21</v>
      </c>
      <c r="F8" t="inlineStr">
        <is>
          <t>Male</t>
        </is>
      </c>
    </row>
    <row r="9">
      <c r="A9" t="n">
        <v>1008</v>
      </c>
      <c r="B9" t="inlineStr">
        <is>
          <t>Customer_1008</t>
        </is>
      </c>
      <c r="C9" t="inlineStr">
        <is>
          <t>Mumbai</t>
        </is>
      </c>
      <c r="D9" t="inlineStr">
        <is>
          <t>Gold</t>
        </is>
      </c>
      <c r="E9" t="n">
        <v>58</v>
      </c>
      <c r="F9" t="inlineStr">
        <is>
          <t>Male</t>
        </is>
      </c>
    </row>
    <row r="10">
      <c r="A10" t="n">
        <v>1009</v>
      </c>
      <c r="B10" t="inlineStr">
        <is>
          <t>Customer_1009</t>
        </is>
      </c>
      <c r="C10" t="inlineStr">
        <is>
          <t>Hyderabad</t>
        </is>
      </c>
      <c r="D10" t="inlineStr">
        <is>
          <t>Silver</t>
        </is>
      </c>
      <c r="E10" t="n">
        <v>56</v>
      </c>
      <c r="F10" t="inlineStr">
        <is>
          <t>Male</t>
        </is>
      </c>
    </row>
    <row r="11">
      <c r="A11" t="n">
        <v>1010</v>
      </c>
      <c r="B11" t="inlineStr">
        <is>
          <t>Customer_1010</t>
        </is>
      </c>
      <c r="C11" t="inlineStr">
        <is>
          <t>Hyderabad</t>
        </is>
      </c>
      <c r="D11" t="inlineStr">
        <is>
          <t>Silver</t>
        </is>
      </c>
      <c r="E11" t="n">
        <v>42</v>
      </c>
      <c r="F11" t="inlineStr">
        <is>
          <t>Other</t>
        </is>
      </c>
    </row>
    <row r="12">
      <c r="A12" t="n">
        <v>1011</v>
      </c>
      <c r="B12" t="inlineStr">
        <is>
          <t>Customer_1011</t>
        </is>
      </c>
      <c r="C12" t="inlineStr">
        <is>
          <t>Hyderabad</t>
        </is>
      </c>
      <c r="D12" t="inlineStr">
        <is>
          <t>Regular</t>
        </is>
      </c>
      <c r="E12" t="n">
        <v>51</v>
      </c>
      <c r="F12" t="inlineStr">
        <is>
          <t>Female</t>
        </is>
      </c>
    </row>
    <row r="13">
      <c r="A13" t="n">
        <v>1012</v>
      </c>
      <c r="B13" t="inlineStr">
        <is>
          <t>Customer_1012</t>
        </is>
      </c>
      <c r="C13" t="inlineStr">
        <is>
          <t>Pune</t>
        </is>
      </c>
      <c r="D13" t="inlineStr">
        <is>
          <t>Gold</t>
        </is>
      </c>
      <c r="E13" t="n">
        <v>18</v>
      </c>
      <c r="F13" t="inlineStr">
        <is>
          <t>Other</t>
        </is>
      </c>
    </row>
    <row r="14">
      <c r="A14" t="n">
        <v>1013</v>
      </c>
      <c r="B14" t="inlineStr">
        <is>
          <t>Customer_1013</t>
        </is>
      </c>
      <c r="C14" t="inlineStr">
        <is>
          <t>Bangalore</t>
        </is>
      </c>
      <c r="D14" t="inlineStr">
        <is>
          <t>Silver</t>
        </is>
      </c>
      <c r="E14" t="n">
        <v>52</v>
      </c>
      <c r="F14" t="inlineStr">
        <is>
          <t>Female</t>
        </is>
      </c>
    </row>
    <row r="15">
      <c r="A15" t="n">
        <v>1014</v>
      </c>
      <c r="B15" t="inlineStr">
        <is>
          <t>Customer_1014</t>
        </is>
      </c>
      <c r="C15" t="inlineStr">
        <is>
          <t>Delhi NCR</t>
        </is>
      </c>
      <c r="D15" t="inlineStr">
        <is>
          <t>Regular</t>
        </is>
      </c>
      <c r="E15" t="n">
        <v>25</v>
      </c>
      <c r="F15" t="inlineStr">
        <is>
          <t>Female</t>
        </is>
      </c>
    </row>
    <row r="16">
      <c r="A16" t="n">
        <v>1015</v>
      </c>
      <c r="B16" t="inlineStr">
        <is>
          <t>Customer_1015</t>
        </is>
      </c>
      <c r="C16" t="inlineStr">
        <is>
          <t>Hyderabad</t>
        </is>
      </c>
      <c r="D16" t="inlineStr">
        <is>
          <t>Regular</t>
        </is>
      </c>
      <c r="E16" t="n">
        <v>28</v>
      </c>
      <c r="F16" t="inlineStr">
        <is>
          <t>Female</t>
        </is>
      </c>
    </row>
    <row r="17">
      <c r="A17" t="n">
        <v>1016</v>
      </c>
      <c r="B17" t="inlineStr">
        <is>
          <t>Customer_1016</t>
        </is>
      </c>
      <c r="C17" t="inlineStr">
        <is>
          <t>Bangalore</t>
        </is>
      </c>
      <c r="D17" t="inlineStr">
        <is>
          <t>Regular</t>
        </is>
      </c>
      <c r="E17" t="n">
        <v>34</v>
      </c>
      <c r="F17" t="inlineStr">
        <is>
          <t>Other</t>
        </is>
      </c>
    </row>
    <row r="18">
      <c r="A18" t="n">
        <v>1017</v>
      </c>
      <c r="B18" t="inlineStr">
        <is>
          <t>Customer_1017</t>
        </is>
      </c>
      <c r="C18" t="inlineStr">
        <is>
          <t>Mumbai</t>
        </is>
      </c>
      <c r="D18" t="inlineStr">
        <is>
          <t>Regular</t>
        </is>
      </c>
      <c r="E18" t="n">
        <v>50</v>
      </c>
      <c r="F18" t="inlineStr">
        <is>
          <t>Male</t>
        </is>
      </c>
    </row>
    <row r="19">
      <c r="A19" t="n">
        <v>1018</v>
      </c>
      <c r="B19" t="inlineStr">
        <is>
          <t>Customer_1018</t>
        </is>
      </c>
      <c r="C19" t="inlineStr">
        <is>
          <t>Delhi NCR</t>
        </is>
      </c>
      <c r="D19" t="inlineStr">
        <is>
          <t>Regular</t>
        </is>
      </c>
      <c r="E19" t="n">
        <v>58</v>
      </c>
      <c r="F19" t="inlineStr">
        <is>
          <t>Other</t>
        </is>
      </c>
    </row>
    <row r="20">
      <c r="A20" t="n">
        <v>1019</v>
      </c>
      <c r="B20" t="inlineStr">
        <is>
          <t>Customer_1019</t>
        </is>
      </c>
      <c r="C20" t="inlineStr">
        <is>
          <t>Pune</t>
        </is>
      </c>
      <c r="D20" t="inlineStr">
        <is>
          <t>Regular</t>
        </is>
      </c>
      <c r="E20" t="n">
        <v>30</v>
      </c>
      <c r="F20" t="inlineStr">
        <is>
          <t>Male</t>
        </is>
      </c>
    </row>
    <row r="21">
      <c r="A21" t="n">
        <v>1020</v>
      </c>
      <c r="B21" t="inlineStr">
        <is>
          <t>Customer_1020</t>
        </is>
      </c>
      <c r="C21" t="inlineStr">
        <is>
          <t>Delhi NCR</t>
        </is>
      </c>
      <c r="D21" t="inlineStr">
        <is>
          <t>Regular</t>
        </is>
      </c>
      <c r="E21" t="n">
        <v>28</v>
      </c>
      <c r="F21" t="inlineStr">
        <is>
          <t>Other</t>
        </is>
      </c>
    </row>
    <row r="22">
      <c r="A22" t="n">
        <v>1021</v>
      </c>
      <c r="B22" t="inlineStr">
        <is>
          <t>Customer_1021</t>
        </is>
      </c>
      <c r="C22" t="inlineStr">
        <is>
          <t>Pune</t>
        </is>
      </c>
      <c r="D22" t="inlineStr">
        <is>
          <t>Silver</t>
        </is>
      </c>
      <c r="E22" t="n">
        <v>18</v>
      </c>
      <c r="F22" t="inlineStr">
        <is>
          <t>Other</t>
        </is>
      </c>
    </row>
    <row r="23">
      <c r="A23" t="n">
        <v>1022</v>
      </c>
      <c r="B23" t="inlineStr">
        <is>
          <t>Customer_1022</t>
        </is>
      </c>
      <c r="C23" t="inlineStr">
        <is>
          <t>Delhi NCR</t>
        </is>
      </c>
      <c r="D23" t="inlineStr">
        <is>
          <t>Regular</t>
        </is>
      </c>
      <c r="E23" t="n">
        <v>49</v>
      </c>
      <c r="F23" t="inlineStr">
        <is>
          <t>Male</t>
        </is>
      </c>
    </row>
    <row r="24">
      <c r="A24" t="n">
        <v>1023</v>
      </c>
      <c r="B24" t="inlineStr">
        <is>
          <t>Customer_1023</t>
        </is>
      </c>
      <c r="C24" t="inlineStr">
        <is>
          <t>Bangalore</t>
        </is>
      </c>
      <c r="D24" t="inlineStr">
        <is>
          <t>Regular</t>
        </is>
      </c>
      <c r="E24" t="n">
        <v>41</v>
      </c>
      <c r="F24" t="inlineStr">
        <is>
          <t>Female</t>
        </is>
      </c>
    </row>
    <row r="25">
      <c r="A25" t="n">
        <v>1024</v>
      </c>
      <c r="B25" t="inlineStr">
        <is>
          <t>Customer_1024</t>
        </is>
      </c>
      <c r="C25" t="inlineStr">
        <is>
          <t>Mumbai</t>
        </is>
      </c>
      <c r="D25" t="inlineStr">
        <is>
          <t>Regular</t>
        </is>
      </c>
      <c r="E25" t="n">
        <v>21</v>
      </c>
      <c r="F25" t="inlineStr">
        <is>
          <t>Male</t>
        </is>
      </c>
    </row>
    <row r="26">
      <c r="A26" t="n">
        <v>1025</v>
      </c>
      <c r="B26" t="inlineStr">
        <is>
          <t>Customer_1025</t>
        </is>
      </c>
      <c r="C26" t="inlineStr">
        <is>
          <t>Pune</t>
        </is>
      </c>
      <c r="D26" t="inlineStr">
        <is>
          <t>Regular</t>
        </is>
      </c>
      <c r="E26" t="n">
        <v>23</v>
      </c>
      <c r="F26" t="inlineStr">
        <is>
          <t>Male</t>
        </is>
      </c>
    </row>
    <row r="27">
      <c r="A27" t="n">
        <v>1026</v>
      </c>
      <c r="B27" t="inlineStr">
        <is>
          <t>Customer_1026</t>
        </is>
      </c>
      <c r="C27" t="inlineStr">
        <is>
          <t>Hyderabad</t>
        </is>
      </c>
      <c r="D27" t="inlineStr">
        <is>
          <t>Silver</t>
        </is>
      </c>
      <c r="E27" t="n">
        <v>22</v>
      </c>
      <c r="F27" t="inlineStr">
        <is>
          <t>Other</t>
        </is>
      </c>
    </row>
    <row r="28">
      <c r="A28" t="n">
        <v>1027</v>
      </c>
      <c r="B28" t="inlineStr">
        <is>
          <t>Customer_1027</t>
        </is>
      </c>
      <c r="C28" t="inlineStr">
        <is>
          <t>Mumbai</t>
        </is>
      </c>
      <c r="D28" t="inlineStr">
        <is>
          <t>Regular</t>
        </is>
      </c>
      <c r="E28" t="n">
        <v>26</v>
      </c>
      <c r="F28" t="inlineStr">
        <is>
          <t>Other</t>
        </is>
      </c>
    </row>
    <row r="29">
      <c r="A29" t="n">
        <v>1028</v>
      </c>
      <c r="B29" t="inlineStr">
        <is>
          <t>Customer_1028</t>
        </is>
      </c>
      <c r="C29" t="inlineStr">
        <is>
          <t>Hyderabad</t>
        </is>
      </c>
      <c r="D29" t="inlineStr">
        <is>
          <t>Regular</t>
        </is>
      </c>
      <c r="E29" t="n">
        <v>53</v>
      </c>
      <c r="F29" t="inlineStr">
        <is>
          <t>Male</t>
        </is>
      </c>
    </row>
    <row r="30">
      <c r="A30" t="n">
        <v>1029</v>
      </c>
      <c r="B30" t="inlineStr">
        <is>
          <t>Customer_1029</t>
        </is>
      </c>
      <c r="C30" t="inlineStr">
        <is>
          <t>Delhi NCR</t>
        </is>
      </c>
      <c r="D30" t="inlineStr">
        <is>
          <t>Regular</t>
        </is>
      </c>
      <c r="E30" t="n">
        <v>51</v>
      </c>
      <c r="F30" t="inlineStr">
        <is>
          <t>Other</t>
        </is>
      </c>
    </row>
    <row r="31">
      <c r="A31" t="n">
        <v>1030</v>
      </c>
      <c r="B31" t="inlineStr">
        <is>
          <t>Customer_1030</t>
        </is>
      </c>
      <c r="C31" t="inlineStr">
        <is>
          <t>Hyderabad</t>
        </is>
      </c>
      <c r="D31" t="inlineStr">
        <is>
          <t>Regular</t>
        </is>
      </c>
      <c r="E31" t="n">
        <v>31</v>
      </c>
      <c r="F31" t="inlineStr">
        <is>
          <t>Other</t>
        </is>
      </c>
    </row>
    <row r="32">
      <c r="A32" t="n">
        <v>1031</v>
      </c>
      <c r="B32" t="inlineStr">
        <is>
          <t>Customer_1031</t>
        </is>
      </c>
      <c r="C32" t="inlineStr">
        <is>
          <t>Mumbai</t>
        </is>
      </c>
      <c r="D32" t="inlineStr">
        <is>
          <t>Silver</t>
        </is>
      </c>
      <c r="E32" t="n">
        <v>37</v>
      </c>
      <c r="F32" t="inlineStr">
        <is>
          <t>Female</t>
        </is>
      </c>
    </row>
    <row r="33">
      <c r="A33" t="n">
        <v>1032</v>
      </c>
      <c r="B33" t="inlineStr">
        <is>
          <t>Customer_1032</t>
        </is>
      </c>
      <c r="C33" t="inlineStr">
        <is>
          <t>Delhi NCR</t>
        </is>
      </c>
      <c r="D33" t="inlineStr">
        <is>
          <t>Regular</t>
        </is>
      </c>
      <c r="E33" t="n">
        <v>46</v>
      </c>
      <c r="F33" t="inlineStr">
        <is>
          <t>Other</t>
        </is>
      </c>
    </row>
    <row r="34">
      <c r="A34" t="n">
        <v>1033</v>
      </c>
      <c r="B34" t="inlineStr">
        <is>
          <t>Customer_1033</t>
        </is>
      </c>
      <c r="C34" t="inlineStr">
        <is>
          <t>Hyderabad</t>
        </is>
      </c>
      <c r="D34" t="inlineStr">
        <is>
          <t>Regular</t>
        </is>
      </c>
      <c r="E34" t="n">
        <v>25</v>
      </c>
      <c r="F34" t="inlineStr">
        <is>
          <t>Male</t>
        </is>
      </c>
    </row>
    <row r="35">
      <c r="A35" t="n">
        <v>1034</v>
      </c>
      <c r="B35" t="inlineStr">
        <is>
          <t>Customer_1034</t>
        </is>
      </c>
      <c r="C35" t="inlineStr">
        <is>
          <t>Mumbai</t>
        </is>
      </c>
      <c r="D35" t="inlineStr">
        <is>
          <t>Gold</t>
        </is>
      </c>
      <c r="E35" t="n">
        <v>22</v>
      </c>
      <c r="F35" t="inlineStr">
        <is>
          <t>Female</t>
        </is>
      </c>
    </row>
    <row r="36">
      <c r="A36" t="n">
        <v>1035</v>
      </c>
      <c r="B36" t="inlineStr">
        <is>
          <t>Customer_1035</t>
        </is>
      </c>
      <c r="C36" t="inlineStr">
        <is>
          <t>Bangalore</t>
        </is>
      </c>
      <c r="D36" t="inlineStr">
        <is>
          <t>Gold</t>
        </is>
      </c>
      <c r="E36" t="n">
        <v>55</v>
      </c>
      <c r="F36" t="inlineStr">
        <is>
          <t>Other</t>
        </is>
      </c>
    </row>
    <row r="37">
      <c r="A37" t="n">
        <v>1036</v>
      </c>
      <c r="B37" t="inlineStr">
        <is>
          <t>Customer_1036</t>
        </is>
      </c>
      <c r="C37" t="inlineStr">
        <is>
          <t>Mumbai</t>
        </is>
      </c>
      <c r="D37" t="inlineStr">
        <is>
          <t>Silver</t>
        </is>
      </c>
      <c r="E37" t="n">
        <v>55</v>
      </c>
      <c r="F37" t="inlineStr">
        <is>
          <t>Male</t>
        </is>
      </c>
    </row>
    <row r="38">
      <c r="A38" t="n">
        <v>1037</v>
      </c>
      <c r="B38" t="inlineStr">
        <is>
          <t>Customer_1037</t>
        </is>
      </c>
      <c r="C38" t="inlineStr">
        <is>
          <t>Bangalore</t>
        </is>
      </c>
      <c r="D38" t="inlineStr">
        <is>
          <t>Regular</t>
        </is>
      </c>
      <c r="E38" t="n">
        <v>22</v>
      </c>
      <c r="F38" t="inlineStr">
        <is>
          <t>Other</t>
        </is>
      </c>
    </row>
    <row r="39">
      <c r="A39" t="n">
        <v>1038</v>
      </c>
      <c r="B39" t="inlineStr">
        <is>
          <t>Customer_1038</t>
        </is>
      </c>
      <c r="C39" t="inlineStr">
        <is>
          <t>Bangalore</t>
        </is>
      </c>
      <c r="D39" t="inlineStr">
        <is>
          <t>Regular</t>
        </is>
      </c>
      <c r="E39" t="n">
        <v>32</v>
      </c>
      <c r="F39" t="inlineStr">
        <is>
          <t>Male</t>
        </is>
      </c>
    </row>
    <row r="40">
      <c r="A40" t="n">
        <v>1039</v>
      </c>
      <c r="B40" t="inlineStr">
        <is>
          <t>Customer_1039</t>
        </is>
      </c>
      <c r="C40" t="inlineStr">
        <is>
          <t>Bangalore</t>
        </is>
      </c>
      <c r="D40" t="inlineStr">
        <is>
          <t>Silver</t>
        </is>
      </c>
      <c r="E40" t="n">
        <v>39</v>
      </c>
      <c r="F40" t="inlineStr">
        <is>
          <t>Male</t>
        </is>
      </c>
    </row>
    <row r="41">
      <c r="A41" t="n">
        <v>1040</v>
      </c>
      <c r="B41" t="inlineStr">
        <is>
          <t>Customer_1040</t>
        </is>
      </c>
      <c r="C41" t="inlineStr">
        <is>
          <t>Pune</t>
        </is>
      </c>
      <c r="D41" t="inlineStr">
        <is>
          <t>Regular</t>
        </is>
      </c>
      <c r="E41" t="n">
        <v>33</v>
      </c>
      <c r="F41" t="inlineStr">
        <is>
          <t>Female</t>
        </is>
      </c>
    </row>
    <row r="42">
      <c r="A42" t="n">
        <v>1041</v>
      </c>
      <c r="B42" t="inlineStr">
        <is>
          <t>Customer_1041</t>
        </is>
      </c>
      <c r="C42" t="inlineStr">
        <is>
          <t>Hyderabad</t>
        </is>
      </c>
      <c r="D42" t="inlineStr">
        <is>
          <t>Regular</t>
        </is>
      </c>
      <c r="E42" t="n">
        <v>31</v>
      </c>
      <c r="F42" t="inlineStr">
        <is>
          <t>Other</t>
        </is>
      </c>
    </row>
    <row r="43">
      <c r="A43" t="n">
        <v>1042</v>
      </c>
      <c r="B43" t="inlineStr">
        <is>
          <t>Customer_1042</t>
        </is>
      </c>
      <c r="C43" t="inlineStr">
        <is>
          <t>Mumbai</t>
        </is>
      </c>
      <c r="D43" t="inlineStr">
        <is>
          <t>Regular</t>
        </is>
      </c>
      <c r="E43" t="n">
        <v>54</v>
      </c>
      <c r="F43" t="inlineStr">
        <is>
          <t>Other</t>
        </is>
      </c>
    </row>
    <row r="44">
      <c r="A44" t="n">
        <v>1043</v>
      </c>
      <c r="B44" t="inlineStr">
        <is>
          <t>Customer_1043</t>
        </is>
      </c>
      <c r="C44" t="inlineStr">
        <is>
          <t>Hyderabad</t>
        </is>
      </c>
      <c r="D44" t="inlineStr">
        <is>
          <t>Regular</t>
        </is>
      </c>
      <c r="E44" t="n">
        <v>33</v>
      </c>
      <c r="F44" t="inlineStr">
        <is>
          <t>Female</t>
        </is>
      </c>
    </row>
    <row r="45">
      <c r="A45" t="n">
        <v>1044</v>
      </c>
      <c r="B45" t="inlineStr">
        <is>
          <t>Customer_1044</t>
        </is>
      </c>
      <c r="C45" t="inlineStr">
        <is>
          <t>Hyderabad</t>
        </is>
      </c>
      <c r="D45" t="inlineStr">
        <is>
          <t>Gold</t>
        </is>
      </c>
      <c r="E45" t="n">
        <v>30</v>
      </c>
      <c r="F45" t="inlineStr">
        <is>
          <t>Male</t>
        </is>
      </c>
    </row>
    <row r="46">
      <c r="A46" t="n">
        <v>1045</v>
      </c>
      <c r="B46" t="inlineStr">
        <is>
          <t>Customer_1045</t>
        </is>
      </c>
      <c r="C46" t="inlineStr">
        <is>
          <t>Bangalore</t>
        </is>
      </c>
      <c r="D46" t="inlineStr">
        <is>
          <t>Regular</t>
        </is>
      </c>
      <c r="E46" t="n">
        <v>45</v>
      </c>
      <c r="F46" t="inlineStr">
        <is>
          <t>Female</t>
        </is>
      </c>
    </row>
    <row r="47">
      <c r="A47" t="n">
        <v>1046</v>
      </c>
      <c r="B47" t="inlineStr">
        <is>
          <t>Customer_1046</t>
        </is>
      </c>
      <c r="C47" t="inlineStr">
        <is>
          <t>Hyderabad</t>
        </is>
      </c>
      <c r="D47" t="inlineStr">
        <is>
          <t>Silver</t>
        </is>
      </c>
      <c r="E47" t="n">
        <v>44</v>
      </c>
      <c r="F47" t="inlineStr">
        <is>
          <t>Female</t>
        </is>
      </c>
    </row>
    <row r="48">
      <c r="A48" t="n">
        <v>1047</v>
      </c>
      <c r="B48" t="inlineStr">
        <is>
          <t>Customer_1047</t>
        </is>
      </c>
      <c r="C48" t="inlineStr">
        <is>
          <t>Bangalore</t>
        </is>
      </c>
      <c r="D48" t="inlineStr">
        <is>
          <t>Regular</t>
        </is>
      </c>
      <c r="E48" t="n">
        <v>24</v>
      </c>
      <c r="F48" t="inlineStr">
        <is>
          <t>Male</t>
        </is>
      </c>
    </row>
    <row r="49">
      <c r="A49" t="n">
        <v>1048</v>
      </c>
      <c r="B49" t="inlineStr">
        <is>
          <t>Customer_1048</t>
        </is>
      </c>
      <c r="C49" t="inlineStr">
        <is>
          <t>Hyderabad</t>
        </is>
      </c>
      <c r="D49" t="inlineStr">
        <is>
          <t>Regular</t>
        </is>
      </c>
      <c r="E49" t="n">
        <v>39</v>
      </c>
      <c r="F49" t="inlineStr">
        <is>
          <t>Male</t>
        </is>
      </c>
    </row>
    <row r="50">
      <c r="A50" t="n">
        <v>1049</v>
      </c>
      <c r="B50" t="inlineStr">
        <is>
          <t>Customer_1049</t>
        </is>
      </c>
      <c r="C50" t="inlineStr">
        <is>
          <t>Mumbai</t>
        </is>
      </c>
      <c r="D50" t="inlineStr">
        <is>
          <t>Regular</t>
        </is>
      </c>
      <c r="E50" t="n">
        <v>30</v>
      </c>
      <c r="F50" t="inlineStr">
        <is>
          <t>Male</t>
        </is>
      </c>
    </row>
    <row r="51">
      <c r="A51" t="n">
        <v>1050</v>
      </c>
      <c r="B51" t="inlineStr">
        <is>
          <t>Customer_1050</t>
        </is>
      </c>
      <c r="C51" t="inlineStr">
        <is>
          <t>Pune</t>
        </is>
      </c>
      <c r="D51" t="inlineStr">
        <is>
          <t>Regular</t>
        </is>
      </c>
      <c r="E51" t="n">
        <v>46</v>
      </c>
      <c r="F51" t="inlineStr">
        <is>
          <t>Male</t>
        </is>
      </c>
    </row>
    <row r="52">
      <c r="A52" t="n">
        <v>1051</v>
      </c>
      <c r="B52" t="inlineStr">
        <is>
          <t>Customer_1051</t>
        </is>
      </c>
      <c r="C52" t="inlineStr">
        <is>
          <t>Hyderabad</t>
        </is>
      </c>
      <c r="D52" t="inlineStr">
        <is>
          <t>Gold</t>
        </is>
      </c>
      <c r="E52" t="n">
        <v>29</v>
      </c>
      <c r="F52" t="inlineStr">
        <is>
          <t>Female</t>
        </is>
      </c>
    </row>
    <row r="53">
      <c r="A53" t="n">
        <v>1052</v>
      </c>
      <c r="B53" t="inlineStr">
        <is>
          <t>Customer_1052</t>
        </is>
      </c>
      <c r="C53" t="inlineStr">
        <is>
          <t>Hyderabad</t>
        </is>
      </c>
      <c r="D53" t="inlineStr">
        <is>
          <t>Silver</t>
        </is>
      </c>
      <c r="E53" t="n">
        <v>33</v>
      </c>
      <c r="F53" t="inlineStr">
        <is>
          <t>Male</t>
        </is>
      </c>
    </row>
    <row r="54">
      <c r="A54" t="n">
        <v>1053</v>
      </c>
      <c r="B54" t="inlineStr">
        <is>
          <t>Customer_1053</t>
        </is>
      </c>
      <c r="C54" t="inlineStr">
        <is>
          <t>Hyderabad</t>
        </is>
      </c>
      <c r="D54" t="inlineStr">
        <is>
          <t>Gold</t>
        </is>
      </c>
      <c r="E54" t="n">
        <v>53</v>
      </c>
      <c r="F54" t="inlineStr">
        <is>
          <t>Male</t>
        </is>
      </c>
    </row>
    <row r="55">
      <c r="A55" t="n">
        <v>1054</v>
      </c>
      <c r="B55" t="inlineStr">
        <is>
          <t>Customer_1054</t>
        </is>
      </c>
      <c r="C55" t="inlineStr">
        <is>
          <t>Bangalore</t>
        </is>
      </c>
      <c r="D55" t="inlineStr">
        <is>
          <t>Gold</t>
        </is>
      </c>
      <c r="E55" t="n">
        <v>52</v>
      </c>
      <c r="F55" t="inlineStr">
        <is>
          <t>Male</t>
        </is>
      </c>
    </row>
    <row r="56">
      <c r="A56" t="n">
        <v>1055</v>
      </c>
      <c r="B56" t="inlineStr">
        <is>
          <t>Customer_1055</t>
        </is>
      </c>
      <c r="C56" t="inlineStr">
        <is>
          <t>Bangalore</t>
        </is>
      </c>
      <c r="D56" t="inlineStr">
        <is>
          <t>Regular</t>
        </is>
      </c>
      <c r="E56" t="n">
        <v>33</v>
      </c>
      <c r="F56" t="inlineStr">
        <is>
          <t>Male</t>
        </is>
      </c>
    </row>
    <row r="57">
      <c r="A57" t="n">
        <v>1056</v>
      </c>
      <c r="B57" t="inlineStr">
        <is>
          <t>Customer_1056</t>
        </is>
      </c>
      <c r="C57" t="inlineStr">
        <is>
          <t>Hyderabad</t>
        </is>
      </c>
      <c r="D57" t="inlineStr">
        <is>
          <t>Gold</t>
        </is>
      </c>
      <c r="E57" t="n">
        <v>49</v>
      </c>
      <c r="F57" t="inlineStr">
        <is>
          <t>Female</t>
        </is>
      </c>
    </row>
    <row r="58">
      <c r="A58" t="n">
        <v>1057</v>
      </c>
      <c r="B58" t="inlineStr">
        <is>
          <t>Customer_1057</t>
        </is>
      </c>
      <c r="C58" t="inlineStr">
        <is>
          <t>Mumbai</t>
        </is>
      </c>
      <c r="D58" t="inlineStr">
        <is>
          <t>Regular</t>
        </is>
      </c>
      <c r="E58" t="n">
        <v>43</v>
      </c>
      <c r="F58" t="inlineStr">
        <is>
          <t>Male</t>
        </is>
      </c>
    </row>
    <row r="59">
      <c r="A59" t="n">
        <v>1058</v>
      </c>
      <c r="B59" t="inlineStr">
        <is>
          <t>Customer_1058</t>
        </is>
      </c>
      <c r="C59" t="inlineStr">
        <is>
          <t>Mumbai</t>
        </is>
      </c>
      <c r="D59" t="inlineStr">
        <is>
          <t>Regular</t>
        </is>
      </c>
      <c r="E59" t="n">
        <v>42</v>
      </c>
      <c r="F59" t="inlineStr">
        <is>
          <t>Male</t>
        </is>
      </c>
    </row>
    <row r="60">
      <c r="A60" t="n">
        <v>1059</v>
      </c>
      <c r="B60" t="inlineStr">
        <is>
          <t>Customer_1059</t>
        </is>
      </c>
      <c r="C60" t="inlineStr">
        <is>
          <t>Hyderabad</t>
        </is>
      </c>
      <c r="D60" t="inlineStr">
        <is>
          <t>Regular</t>
        </is>
      </c>
      <c r="E60" t="n">
        <v>34</v>
      </c>
      <c r="F60" t="inlineStr">
        <is>
          <t>Female</t>
        </is>
      </c>
    </row>
    <row r="61">
      <c r="A61" t="n">
        <v>1060</v>
      </c>
      <c r="B61" t="inlineStr">
        <is>
          <t>Customer_1060</t>
        </is>
      </c>
      <c r="C61" t="inlineStr">
        <is>
          <t>Delhi NCR</t>
        </is>
      </c>
      <c r="D61" t="inlineStr">
        <is>
          <t>Regular</t>
        </is>
      </c>
      <c r="E61" t="n">
        <v>45</v>
      </c>
      <c r="F61" t="inlineStr">
        <is>
          <t>Other</t>
        </is>
      </c>
    </row>
    <row r="62">
      <c r="A62" t="n">
        <v>1061</v>
      </c>
      <c r="B62" t="inlineStr">
        <is>
          <t>Customer_1061</t>
        </is>
      </c>
      <c r="C62" t="inlineStr">
        <is>
          <t>Pune</t>
        </is>
      </c>
      <c r="D62" t="inlineStr">
        <is>
          <t>Regular</t>
        </is>
      </c>
      <c r="E62" t="n">
        <v>49</v>
      </c>
      <c r="F62" t="inlineStr">
        <is>
          <t>Male</t>
        </is>
      </c>
    </row>
    <row r="63">
      <c r="A63" t="n">
        <v>1062</v>
      </c>
      <c r="B63" t="inlineStr">
        <is>
          <t>Customer_1062</t>
        </is>
      </c>
      <c r="C63" t="inlineStr">
        <is>
          <t>Mumbai</t>
        </is>
      </c>
      <c r="D63" t="inlineStr">
        <is>
          <t>Regular</t>
        </is>
      </c>
      <c r="E63" t="n">
        <v>36</v>
      </c>
      <c r="F63" t="inlineStr">
        <is>
          <t>Male</t>
        </is>
      </c>
    </row>
    <row r="64">
      <c r="A64" t="n">
        <v>1063</v>
      </c>
      <c r="B64" t="inlineStr">
        <is>
          <t>Customer_1063</t>
        </is>
      </c>
      <c r="C64" t="inlineStr">
        <is>
          <t>Bangalore</t>
        </is>
      </c>
      <c r="D64" t="inlineStr">
        <is>
          <t>Silver</t>
        </is>
      </c>
      <c r="E64" t="n">
        <v>55</v>
      </c>
      <c r="F64" t="inlineStr">
        <is>
          <t>Other</t>
        </is>
      </c>
    </row>
    <row r="65">
      <c r="A65" t="n">
        <v>1064</v>
      </c>
      <c r="B65" t="inlineStr">
        <is>
          <t>Customer_1064</t>
        </is>
      </c>
      <c r="C65" t="inlineStr">
        <is>
          <t>Pune</t>
        </is>
      </c>
      <c r="D65" t="inlineStr">
        <is>
          <t>Regular</t>
        </is>
      </c>
      <c r="E65" t="n">
        <v>21</v>
      </c>
      <c r="F65" t="inlineStr">
        <is>
          <t>Other</t>
        </is>
      </c>
    </row>
    <row r="66">
      <c r="A66" t="n">
        <v>1065</v>
      </c>
      <c r="B66" t="inlineStr">
        <is>
          <t>Customer_1065</t>
        </is>
      </c>
      <c r="C66" t="inlineStr">
        <is>
          <t>Delhi NCR</t>
        </is>
      </c>
      <c r="D66" t="inlineStr">
        <is>
          <t>Regular</t>
        </is>
      </c>
      <c r="E66" t="n">
        <v>21</v>
      </c>
      <c r="F66" t="inlineStr">
        <is>
          <t>Male</t>
        </is>
      </c>
    </row>
    <row r="67">
      <c r="A67" t="n">
        <v>1066</v>
      </c>
      <c r="B67" t="inlineStr">
        <is>
          <t>Customer_1066</t>
        </is>
      </c>
      <c r="C67" t="inlineStr">
        <is>
          <t>Pune</t>
        </is>
      </c>
      <c r="D67" t="inlineStr">
        <is>
          <t>Regular</t>
        </is>
      </c>
      <c r="E67" t="n">
        <v>48</v>
      </c>
      <c r="F67" t="inlineStr">
        <is>
          <t>Other</t>
        </is>
      </c>
    </row>
    <row r="68">
      <c r="A68" t="n">
        <v>1067</v>
      </c>
      <c r="B68" t="inlineStr">
        <is>
          <t>Customer_1067</t>
        </is>
      </c>
      <c r="C68" t="inlineStr">
        <is>
          <t>Pune</t>
        </is>
      </c>
      <c r="D68" t="inlineStr">
        <is>
          <t>Regular</t>
        </is>
      </c>
      <c r="E68" t="n">
        <v>28</v>
      </c>
      <c r="F68" t="inlineStr">
        <is>
          <t>Male</t>
        </is>
      </c>
    </row>
    <row r="69">
      <c r="A69" t="n">
        <v>1068</v>
      </c>
      <c r="B69" t="inlineStr">
        <is>
          <t>Customer_1068</t>
        </is>
      </c>
      <c r="C69" t="inlineStr">
        <is>
          <t>Pune</t>
        </is>
      </c>
      <c r="D69" t="inlineStr">
        <is>
          <t>Silver</t>
        </is>
      </c>
      <c r="E69" t="n">
        <v>23</v>
      </c>
      <c r="F69" t="inlineStr">
        <is>
          <t>Male</t>
        </is>
      </c>
    </row>
    <row r="70">
      <c r="A70" t="n">
        <v>1069</v>
      </c>
      <c r="B70" t="inlineStr">
        <is>
          <t>Customer_1069</t>
        </is>
      </c>
      <c r="C70" t="inlineStr">
        <is>
          <t>Bangalore</t>
        </is>
      </c>
      <c r="D70" t="inlineStr">
        <is>
          <t>Regular</t>
        </is>
      </c>
      <c r="E70" t="n">
        <v>56</v>
      </c>
      <c r="F70" t="inlineStr">
        <is>
          <t>Male</t>
        </is>
      </c>
    </row>
    <row r="71">
      <c r="A71" t="n">
        <v>1070</v>
      </c>
      <c r="B71" t="inlineStr">
        <is>
          <t>Customer_1070</t>
        </is>
      </c>
      <c r="C71" t="inlineStr">
        <is>
          <t>Mumbai</t>
        </is>
      </c>
      <c r="D71" t="inlineStr">
        <is>
          <t>Gold</t>
        </is>
      </c>
      <c r="E71" t="n">
        <v>43</v>
      </c>
      <c r="F71" t="inlineStr">
        <is>
          <t>Male</t>
        </is>
      </c>
    </row>
    <row r="72">
      <c r="A72" t="n">
        <v>1071</v>
      </c>
      <c r="B72" t="inlineStr">
        <is>
          <t>Customer_1071</t>
        </is>
      </c>
      <c r="C72" t="inlineStr">
        <is>
          <t>Pune</t>
        </is>
      </c>
      <c r="D72" t="inlineStr">
        <is>
          <t>Silver</t>
        </is>
      </c>
      <c r="E72" t="n">
        <v>33</v>
      </c>
      <c r="F72" t="inlineStr">
        <is>
          <t>Other</t>
        </is>
      </c>
    </row>
    <row r="73">
      <c r="A73" t="n">
        <v>1072</v>
      </c>
      <c r="B73" t="inlineStr">
        <is>
          <t>Customer_1072</t>
        </is>
      </c>
      <c r="C73" t="inlineStr">
        <is>
          <t>Pune</t>
        </is>
      </c>
      <c r="D73" t="inlineStr">
        <is>
          <t>Regular</t>
        </is>
      </c>
      <c r="E73" t="n">
        <v>20</v>
      </c>
      <c r="F73" t="inlineStr">
        <is>
          <t>Other</t>
        </is>
      </c>
    </row>
    <row r="74">
      <c r="A74" t="n">
        <v>1073</v>
      </c>
      <c r="B74" t="inlineStr">
        <is>
          <t>Customer_1073</t>
        </is>
      </c>
      <c r="C74" t="inlineStr">
        <is>
          <t>Bangalore</t>
        </is>
      </c>
      <c r="D74" t="inlineStr">
        <is>
          <t>Regular</t>
        </is>
      </c>
      <c r="E74" t="n">
        <v>44</v>
      </c>
      <c r="F74" t="inlineStr">
        <is>
          <t>Other</t>
        </is>
      </c>
    </row>
    <row r="75">
      <c r="A75" t="n">
        <v>1074</v>
      </c>
      <c r="B75" t="inlineStr">
        <is>
          <t>Customer_1074</t>
        </is>
      </c>
      <c r="C75" t="inlineStr">
        <is>
          <t>Pune</t>
        </is>
      </c>
      <c r="D75" t="inlineStr">
        <is>
          <t>Silver</t>
        </is>
      </c>
      <c r="E75" t="n">
        <v>54</v>
      </c>
      <c r="F75" t="inlineStr">
        <is>
          <t>Other</t>
        </is>
      </c>
    </row>
    <row r="76">
      <c r="A76" t="n">
        <v>1075</v>
      </c>
      <c r="B76" t="inlineStr">
        <is>
          <t>Customer_1075</t>
        </is>
      </c>
      <c r="C76" t="inlineStr">
        <is>
          <t>Delhi NCR</t>
        </is>
      </c>
      <c r="D76" t="inlineStr">
        <is>
          <t>Silver</t>
        </is>
      </c>
      <c r="E76" t="n">
        <v>34</v>
      </c>
      <c r="F76" t="inlineStr">
        <is>
          <t>Male</t>
        </is>
      </c>
    </row>
    <row r="77">
      <c r="A77" t="n">
        <v>1076</v>
      </c>
      <c r="B77" t="inlineStr">
        <is>
          <t>Customer_1076</t>
        </is>
      </c>
      <c r="C77" t="inlineStr">
        <is>
          <t>Delhi NCR</t>
        </is>
      </c>
      <c r="D77" t="inlineStr">
        <is>
          <t>Silver</t>
        </is>
      </c>
      <c r="E77" t="n">
        <v>33</v>
      </c>
      <c r="F77" t="inlineStr">
        <is>
          <t>Female</t>
        </is>
      </c>
    </row>
    <row r="78">
      <c r="A78" t="n">
        <v>1077</v>
      </c>
      <c r="B78" t="inlineStr">
        <is>
          <t>Customer_1077</t>
        </is>
      </c>
      <c r="C78" t="inlineStr">
        <is>
          <t>Hyderabad</t>
        </is>
      </c>
      <c r="D78" t="inlineStr">
        <is>
          <t>Silver</t>
        </is>
      </c>
      <c r="E78" t="n">
        <v>26</v>
      </c>
      <c r="F78" t="inlineStr">
        <is>
          <t>Other</t>
        </is>
      </c>
    </row>
    <row r="79">
      <c r="A79" t="n">
        <v>1078</v>
      </c>
      <c r="B79" t="inlineStr">
        <is>
          <t>Customer_1078</t>
        </is>
      </c>
      <c r="C79" t="inlineStr">
        <is>
          <t>Delhi NCR</t>
        </is>
      </c>
      <c r="D79" t="inlineStr">
        <is>
          <t>Regular</t>
        </is>
      </c>
      <c r="E79" t="n">
        <v>47</v>
      </c>
      <c r="F79" t="inlineStr">
        <is>
          <t>Female</t>
        </is>
      </c>
    </row>
    <row r="80">
      <c r="A80" t="n">
        <v>1079</v>
      </c>
      <c r="B80" t="inlineStr">
        <is>
          <t>Customer_1079</t>
        </is>
      </c>
      <c r="C80" t="inlineStr">
        <is>
          <t>Bangalore</t>
        </is>
      </c>
      <c r="D80" t="inlineStr">
        <is>
          <t>Regular</t>
        </is>
      </c>
      <c r="E80" t="n">
        <v>18</v>
      </c>
      <c r="F80" t="inlineStr">
        <is>
          <t>Female</t>
        </is>
      </c>
    </row>
    <row r="81">
      <c r="A81" t="n">
        <v>1080</v>
      </c>
      <c r="B81" t="inlineStr">
        <is>
          <t>Customer_1080</t>
        </is>
      </c>
      <c r="C81" t="inlineStr">
        <is>
          <t>Pune</t>
        </is>
      </c>
      <c r="D81" t="inlineStr">
        <is>
          <t>Regular</t>
        </is>
      </c>
      <c r="E81" t="n">
        <v>54</v>
      </c>
      <c r="F81" t="inlineStr">
        <is>
          <t>Male</t>
        </is>
      </c>
    </row>
    <row r="82">
      <c r="A82" t="n">
        <v>1081</v>
      </c>
      <c r="B82" t="inlineStr">
        <is>
          <t>Customer_1081</t>
        </is>
      </c>
      <c r="C82" t="inlineStr">
        <is>
          <t>Bangalore</t>
        </is>
      </c>
      <c r="D82" t="inlineStr">
        <is>
          <t>Gold</t>
        </is>
      </c>
      <c r="E82" t="n">
        <v>52</v>
      </c>
      <c r="F82" t="inlineStr">
        <is>
          <t>Male</t>
        </is>
      </c>
    </row>
    <row r="83">
      <c r="A83" t="n">
        <v>1082</v>
      </c>
      <c r="B83" t="inlineStr">
        <is>
          <t>Customer_1082</t>
        </is>
      </c>
      <c r="C83" t="inlineStr">
        <is>
          <t>Pune</t>
        </is>
      </c>
      <c r="D83" t="inlineStr">
        <is>
          <t>Silver</t>
        </is>
      </c>
      <c r="E83" t="n">
        <v>34</v>
      </c>
      <c r="F83" t="inlineStr">
        <is>
          <t>Male</t>
        </is>
      </c>
    </row>
    <row r="84">
      <c r="A84" t="n">
        <v>1083</v>
      </c>
      <c r="B84" t="inlineStr">
        <is>
          <t>Customer_1083</t>
        </is>
      </c>
      <c r="C84" t="inlineStr">
        <is>
          <t>Delhi NCR</t>
        </is>
      </c>
      <c r="D84" t="inlineStr">
        <is>
          <t>Regular</t>
        </is>
      </c>
      <c r="E84" t="n">
        <v>22</v>
      </c>
      <c r="F84" t="inlineStr">
        <is>
          <t>Male</t>
        </is>
      </c>
    </row>
    <row r="85">
      <c r="A85" t="n">
        <v>1084</v>
      </c>
      <c r="B85" t="inlineStr">
        <is>
          <t>Customer_1084</t>
        </is>
      </c>
      <c r="C85" t="inlineStr">
        <is>
          <t>Delhi NCR</t>
        </is>
      </c>
      <c r="D85" t="inlineStr">
        <is>
          <t>Regular</t>
        </is>
      </c>
      <c r="E85" t="n">
        <v>36</v>
      </c>
      <c r="F85" t="inlineStr">
        <is>
          <t>Male</t>
        </is>
      </c>
    </row>
    <row r="86">
      <c r="A86" t="n">
        <v>1085</v>
      </c>
      <c r="B86" t="inlineStr">
        <is>
          <t>Customer_1085</t>
        </is>
      </c>
      <c r="C86" t="inlineStr">
        <is>
          <t>Hyderabad</t>
        </is>
      </c>
      <c r="D86" t="inlineStr">
        <is>
          <t>Regular</t>
        </is>
      </c>
      <c r="E86" t="n">
        <v>52</v>
      </c>
      <c r="F86" t="inlineStr">
        <is>
          <t>Other</t>
        </is>
      </c>
    </row>
    <row r="87">
      <c r="A87" t="n">
        <v>1086</v>
      </c>
      <c r="B87" t="inlineStr">
        <is>
          <t>Customer_1086</t>
        </is>
      </c>
      <c r="C87" t="inlineStr">
        <is>
          <t>Delhi NCR</t>
        </is>
      </c>
      <c r="D87" t="inlineStr">
        <is>
          <t>Regular</t>
        </is>
      </c>
      <c r="E87" t="n">
        <v>57</v>
      </c>
      <c r="F87" t="inlineStr">
        <is>
          <t>Other</t>
        </is>
      </c>
    </row>
    <row r="88">
      <c r="A88" t="n">
        <v>1087</v>
      </c>
      <c r="B88" t="inlineStr">
        <is>
          <t>Customer_1087</t>
        </is>
      </c>
      <c r="C88" t="inlineStr">
        <is>
          <t>Pune</t>
        </is>
      </c>
      <c r="D88" t="inlineStr">
        <is>
          <t>Silver</t>
        </is>
      </c>
      <c r="E88" t="n">
        <v>18</v>
      </c>
      <c r="F88" t="inlineStr">
        <is>
          <t>Other</t>
        </is>
      </c>
    </row>
    <row r="89">
      <c r="A89" t="n">
        <v>1088</v>
      </c>
      <c r="B89" t="inlineStr">
        <is>
          <t>Customer_1088</t>
        </is>
      </c>
      <c r="C89" t="inlineStr">
        <is>
          <t>Pune</t>
        </is>
      </c>
      <c r="D89" t="inlineStr">
        <is>
          <t>Silver</t>
        </is>
      </c>
      <c r="E89" t="n">
        <v>37</v>
      </c>
      <c r="F89" t="inlineStr">
        <is>
          <t>Other</t>
        </is>
      </c>
    </row>
    <row r="90">
      <c r="A90" t="n">
        <v>1089</v>
      </c>
      <c r="B90" t="inlineStr">
        <is>
          <t>Customer_1089</t>
        </is>
      </c>
      <c r="C90" t="inlineStr">
        <is>
          <t>Bangalore</t>
        </is>
      </c>
      <c r="D90" t="inlineStr">
        <is>
          <t>Gold</t>
        </is>
      </c>
      <c r="E90" t="n">
        <v>26</v>
      </c>
      <c r="F90" t="inlineStr">
        <is>
          <t>Female</t>
        </is>
      </c>
    </row>
    <row r="91">
      <c r="A91" t="n">
        <v>1090</v>
      </c>
      <c r="B91" t="inlineStr">
        <is>
          <t>Customer_1090</t>
        </is>
      </c>
      <c r="C91" t="inlineStr">
        <is>
          <t>Bangalore</t>
        </is>
      </c>
      <c r="D91" t="inlineStr">
        <is>
          <t>Regular</t>
        </is>
      </c>
      <c r="E91" t="n">
        <v>24</v>
      </c>
      <c r="F91" t="inlineStr">
        <is>
          <t>Other</t>
        </is>
      </c>
    </row>
    <row r="92">
      <c r="A92" t="n">
        <v>1091</v>
      </c>
      <c r="B92" t="inlineStr">
        <is>
          <t>Customer_1091</t>
        </is>
      </c>
      <c r="C92" t="inlineStr">
        <is>
          <t>Pune</t>
        </is>
      </c>
      <c r="D92" t="inlineStr">
        <is>
          <t>Regular</t>
        </is>
      </c>
      <c r="E92" t="n">
        <v>27</v>
      </c>
      <c r="F92" t="inlineStr">
        <is>
          <t>Female</t>
        </is>
      </c>
    </row>
    <row r="93">
      <c r="A93" t="n">
        <v>1092</v>
      </c>
      <c r="B93" t="inlineStr">
        <is>
          <t>Customer_1092</t>
        </is>
      </c>
      <c r="C93" t="inlineStr">
        <is>
          <t>Delhi NCR</t>
        </is>
      </c>
      <c r="D93" t="inlineStr">
        <is>
          <t>Silver</t>
        </is>
      </c>
      <c r="E93" t="n">
        <v>56</v>
      </c>
      <c r="F93" t="inlineStr">
        <is>
          <t>Male</t>
        </is>
      </c>
    </row>
    <row r="94">
      <c r="A94" t="n">
        <v>1093</v>
      </c>
      <c r="B94" t="inlineStr">
        <is>
          <t>Customer_1093</t>
        </is>
      </c>
      <c r="C94" t="inlineStr">
        <is>
          <t>Delhi NCR</t>
        </is>
      </c>
      <c r="D94" t="inlineStr">
        <is>
          <t>Silver</t>
        </is>
      </c>
      <c r="E94" t="n">
        <v>31</v>
      </c>
      <c r="F94" t="inlineStr">
        <is>
          <t>Other</t>
        </is>
      </c>
    </row>
    <row r="95">
      <c r="A95" t="n">
        <v>1094</v>
      </c>
      <c r="B95" t="inlineStr">
        <is>
          <t>Customer_1094</t>
        </is>
      </c>
      <c r="C95" t="inlineStr">
        <is>
          <t>Delhi NCR</t>
        </is>
      </c>
      <c r="D95" t="inlineStr">
        <is>
          <t>Regular</t>
        </is>
      </c>
      <c r="E95" t="n">
        <v>50</v>
      </c>
      <c r="F95" t="inlineStr">
        <is>
          <t>Female</t>
        </is>
      </c>
    </row>
    <row r="96">
      <c r="A96" t="n">
        <v>1095</v>
      </c>
      <c r="B96" t="inlineStr">
        <is>
          <t>Customer_1095</t>
        </is>
      </c>
      <c r="C96" t="inlineStr">
        <is>
          <t>Delhi NCR</t>
        </is>
      </c>
      <c r="D96" t="inlineStr">
        <is>
          <t>Silver</t>
        </is>
      </c>
      <c r="E96" t="n">
        <v>21</v>
      </c>
      <c r="F96" t="inlineStr">
        <is>
          <t>Male</t>
        </is>
      </c>
    </row>
    <row r="97">
      <c r="A97" t="n">
        <v>1096</v>
      </c>
      <c r="B97" t="inlineStr">
        <is>
          <t>Customer_1096</t>
        </is>
      </c>
      <c r="C97" t="inlineStr">
        <is>
          <t>Hyderabad</t>
        </is>
      </c>
      <c r="D97" t="inlineStr">
        <is>
          <t>Regular</t>
        </is>
      </c>
      <c r="E97" t="n">
        <v>35</v>
      </c>
      <c r="F97" t="inlineStr">
        <is>
          <t>Male</t>
        </is>
      </c>
    </row>
    <row r="98">
      <c r="A98" t="n">
        <v>1097</v>
      </c>
      <c r="B98" t="inlineStr">
        <is>
          <t>Customer_1097</t>
        </is>
      </c>
      <c r="C98" t="inlineStr">
        <is>
          <t>Bangalore</t>
        </is>
      </c>
      <c r="D98" t="inlineStr">
        <is>
          <t>Regular</t>
        </is>
      </c>
      <c r="E98" t="n">
        <v>39</v>
      </c>
      <c r="F98" t="inlineStr">
        <is>
          <t>Male</t>
        </is>
      </c>
    </row>
    <row r="99">
      <c r="A99" t="n">
        <v>1098</v>
      </c>
      <c r="B99" t="inlineStr">
        <is>
          <t>Customer_1098</t>
        </is>
      </c>
      <c r="C99" t="inlineStr">
        <is>
          <t>Delhi NCR</t>
        </is>
      </c>
      <c r="D99" t="inlineStr">
        <is>
          <t>Regular</t>
        </is>
      </c>
      <c r="E99" t="n">
        <v>28</v>
      </c>
      <c r="F99" t="inlineStr">
        <is>
          <t>Other</t>
        </is>
      </c>
    </row>
    <row r="100">
      <c r="A100" t="n">
        <v>1099</v>
      </c>
      <c r="B100" t="inlineStr">
        <is>
          <t>Customer_1099</t>
        </is>
      </c>
      <c r="C100" t="inlineStr">
        <is>
          <t>Hyderabad</t>
        </is>
      </c>
      <c r="D100" t="inlineStr">
        <is>
          <t>Regular</t>
        </is>
      </c>
      <c r="E100" t="n">
        <v>53</v>
      </c>
      <c r="F100" t="inlineStr">
        <is>
          <t>Other</t>
        </is>
      </c>
    </row>
    <row r="101">
      <c r="A101" t="n">
        <v>1100</v>
      </c>
      <c r="B101" t="inlineStr">
        <is>
          <t>Customer_1100</t>
        </is>
      </c>
      <c r="C101" t="inlineStr">
        <is>
          <t>Hyderabad</t>
        </is>
      </c>
      <c r="D101" t="inlineStr">
        <is>
          <t>Regular</t>
        </is>
      </c>
      <c r="E101" t="n">
        <v>53</v>
      </c>
      <c r="F101" t="inlineStr">
        <is>
          <t>Male</t>
        </is>
      </c>
    </row>
    <row r="102">
      <c r="A102" t="n">
        <v>1101</v>
      </c>
      <c r="B102" t="inlineStr">
        <is>
          <t>Customer_1101</t>
        </is>
      </c>
      <c r="C102" t="inlineStr">
        <is>
          <t>Bangalore</t>
        </is>
      </c>
      <c r="D102" t="inlineStr">
        <is>
          <t>Regular</t>
        </is>
      </c>
      <c r="E102" t="n">
        <v>22</v>
      </c>
      <c r="F102" t="inlineStr">
        <is>
          <t>Other</t>
        </is>
      </c>
    </row>
    <row r="103">
      <c r="A103" t="n">
        <v>1102</v>
      </c>
      <c r="B103" t="inlineStr">
        <is>
          <t>Customer_1102</t>
        </is>
      </c>
      <c r="C103" t="inlineStr">
        <is>
          <t>Mumbai</t>
        </is>
      </c>
      <c r="D103" t="inlineStr">
        <is>
          <t>Silver</t>
        </is>
      </c>
      <c r="E103" t="n">
        <v>52</v>
      </c>
      <c r="F103" t="inlineStr">
        <is>
          <t>Male</t>
        </is>
      </c>
    </row>
    <row r="104">
      <c r="A104" t="n">
        <v>1103</v>
      </c>
      <c r="B104" t="inlineStr">
        <is>
          <t>Customer_1103</t>
        </is>
      </c>
      <c r="C104" t="inlineStr">
        <is>
          <t>Delhi NCR</t>
        </is>
      </c>
      <c r="D104" t="inlineStr">
        <is>
          <t>Regular</t>
        </is>
      </c>
      <c r="E104" t="n">
        <v>55</v>
      </c>
      <c r="F104" t="inlineStr">
        <is>
          <t>Other</t>
        </is>
      </c>
    </row>
    <row r="105">
      <c r="A105" t="n">
        <v>1104</v>
      </c>
      <c r="B105" t="inlineStr">
        <is>
          <t>Customer_1104</t>
        </is>
      </c>
      <c r="C105" t="inlineStr">
        <is>
          <t>Mumbai</t>
        </is>
      </c>
      <c r="D105" t="inlineStr">
        <is>
          <t>Regular</t>
        </is>
      </c>
      <c r="E105" t="n">
        <v>45</v>
      </c>
      <c r="F105" t="inlineStr">
        <is>
          <t>Male</t>
        </is>
      </c>
    </row>
    <row r="106">
      <c r="A106" t="n">
        <v>1105</v>
      </c>
      <c r="B106" t="inlineStr">
        <is>
          <t>Customer_1105</t>
        </is>
      </c>
      <c r="C106" t="inlineStr">
        <is>
          <t>Bangalore</t>
        </is>
      </c>
      <c r="D106" t="inlineStr">
        <is>
          <t>Gold</t>
        </is>
      </c>
      <c r="E106" t="n">
        <v>37</v>
      </c>
      <c r="F106" t="inlineStr">
        <is>
          <t>Female</t>
        </is>
      </c>
    </row>
    <row r="107">
      <c r="A107" t="n">
        <v>1106</v>
      </c>
      <c r="B107" t="inlineStr">
        <is>
          <t>Customer_1106</t>
        </is>
      </c>
      <c r="C107" t="inlineStr">
        <is>
          <t>Bangalore</t>
        </is>
      </c>
      <c r="D107" t="inlineStr">
        <is>
          <t>Regular</t>
        </is>
      </c>
      <c r="E107" t="n">
        <v>40</v>
      </c>
      <c r="F107" t="inlineStr">
        <is>
          <t>Male</t>
        </is>
      </c>
    </row>
    <row r="108">
      <c r="A108" t="n">
        <v>1107</v>
      </c>
      <c r="B108" t="inlineStr">
        <is>
          <t>Customer_1107</t>
        </is>
      </c>
      <c r="C108" t="inlineStr">
        <is>
          <t>Mumbai</t>
        </is>
      </c>
      <c r="D108" t="inlineStr">
        <is>
          <t>Regular</t>
        </is>
      </c>
      <c r="E108" t="n">
        <v>24</v>
      </c>
      <c r="F108" t="inlineStr">
        <is>
          <t>Female</t>
        </is>
      </c>
    </row>
    <row r="109">
      <c r="A109" t="n">
        <v>1108</v>
      </c>
      <c r="B109" t="inlineStr">
        <is>
          <t>Customer_1108</t>
        </is>
      </c>
      <c r="C109" t="inlineStr">
        <is>
          <t>Pune</t>
        </is>
      </c>
      <c r="D109" t="inlineStr">
        <is>
          <t>Silver</t>
        </is>
      </c>
      <c r="E109" t="n">
        <v>44</v>
      </c>
      <c r="F109" t="inlineStr">
        <is>
          <t>Other</t>
        </is>
      </c>
    </row>
    <row r="110">
      <c r="A110" t="n">
        <v>1109</v>
      </c>
      <c r="B110" t="inlineStr">
        <is>
          <t>Customer_1109</t>
        </is>
      </c>
      <c r="C110" t="inlineStr">
        <is>
          <t>Mumbai</t>
        </is>
      </c>
      <c r="D110" t="inlineStr">
        <is>
          <t>Regular</t>
        </is>
      </c>
      <c r="E110" t="n">
        <v>33</v>
      </c>
      <c r="F110" t="inlineStr">
        <is>
          <t>Male</t>
        </is>
      </c>
    </row>
    <row r="111">
      <c r="A111" t="n">
        <v>1110</v>
      </c>
      <c r="B111" t="inlineStr">
        <is>
          <t>Customer_1110</t>
        </is>
      </c>
      <c r="C111" t="inlineStr">
        <is>
          <t>Mumbai</t>
        </is>
      </c>
      <c r="D111" t="inlineStr">
        <is>
          <t>Regular</t>
        </is>
      </c>
      <c r="E111" t="n">
        <v>44</v>
      </c>
      <c r="F111" t="inlineStr">
        <is>
          <t>Male</t>
        </is>
      </c>
    </row>
    <row r="112">
      <c r="A112" t="n">
        <v>1111</v>
      </c>
      <c r="B112" t="inlineStr">
        <is>
          <t>Customer_1111</t>
        </is>
      </c>
      <c r="C112" t="inlineStr">
        <is>
          <t>Mumbai</t>
        </is>
      </c>
      <c r="D112" t="inlineStr">
        <is>
          <t>Regular</t>
        </is>
      </c>
      <c r="E112" t="n">
        <v>39</v>
      </c>
      <c r="F112" t="inlineStr">
        <is>
          <t>Female</t>
        </is>
      </c>
    </row>
    <row r="113">
      <c r="A113" t="n">
        <v>1112</v>
      </c>
      <c r="B113" t="inlineStr">
        <is>
          <t>Customer_1112</t>
        </is>
      </c>
      <c r="C113" t="inlineStr">
        <is>
          <t>Mumbai</t>
        </is>
      </c>
      <c r="D113" t="inlineStr">
        <is>
          <t>Regular</t>
        </is>
      </c>
      <c r="E113" t="n">
        <v>35</v>
      </c>
      <c r="F113" t="inlineStr">
        <is>
          <t>Male</t>
        </is>
      </c>
    </row>
    <row r="114">
      <c r="A114" t="n">
        <v>1113</v>
      </c>
      <c r="B114" t="inlineStr">
        <is>
          <t>Customer_1113</t>
        </is>
      </c>
      <c r="C114" t="inlineStr">
        <is>
          <t>Bangalore</t>
        </is>
      </c>
      <c r="D114" t="inlineStr">
        <is>
          <t>Gold</t>
        </is>
      </c>
      <c r="E114" t="n">
        <v>42</v>
      </c>
      <c r="F114" t="inlineStr">
        <is>
          <t>Male</t>
        </is>
      </c>
    </row>
    <row r="115">
      <c r="A115" t="n">
        <v>1114</v>
      </c>
      <c r="B115" t="inlineStr">
        <is>
          <t>Customer_1114</t>
        </is>
      </c>
      <c r="C115" t="inlineStr">
        <is>
          <t>Hyderabad</t>
        </is>
      </c>
      <c r="D115" t="inlineStr">
        <is>
          <t>Silver</t>
        </is>
      </c>
      <c r="E115" t="n">
        <v>32</v>
      </c>
      <c r="F115" t="inlineStr">
        <is>
          <t>Male</t>
        </is>
      </c>
    </row>
    <row r="116">
      <c r="A116" t="n">
        <v>1115</v>
      </c>
      <c r="B116" t="inlineStr">
        <is>
          <t>Customer_1115</t>
        </is>
      </c>
      <c r="C116" t="inlineStr">
        <is>
          <t>Hyderabad</t>
        </is>
      </c>
      <c r="D116" t="inlineStr">
        <is>
          <t>Silver</t>
        </is>
      </c>
      <c r="E116" t="n">
        <v>40</v>
      </c>
      <c r="F116" t="inlineStr">
        <is>
          <t>Female</t>
        </is>
      </c>
    </row>
    <row r="117">
      <c r="A117" t="n">
        <v>1116</v>
      </c>
      <c r="B117" t="inlineStr">
        <is>
          <t>Customer_1116</t>
        </is>
      </c>
      <c r="C117" t="inlineStr">
        <is>
          <t>Mumbai</t>
        </is>
      </c>
      <c r="D117" t="inlineStr">
        <is>
          <t>Gold</t>
        </is>
      </c>
      <c r="E117" t="n">
        <v>32</v>
      </c>
      <c r="F117" t="inlineStr">
        <is>
          <t>Male</t>
        </is>
      </c>
    </row>
    <row r="118">
      <c r="A118" t="n">
        <v>1117</v>
      </c>
      <c r="B118" t="inlineStr">
        <is>
          <t>Customer_1117</t>
        </is>
      </c>
      <c r="C118" t="inlineStr">
        <is>
          <t>Mumbai</t>
        </is>
      </c>
      <c r="D118" t="inlineStr">
        <is>
          <t>Silver</t>
        </is>
      </c>
      <c r="E118" t="n">
        <v>43</v>
      </c>
      <c r="F118" t="inlineStr">
        <is>
          <t>Female</t>
        </is>
      </c>
    </row>
    <row r="119">
      <c r="A119" t="n">
        <v>1118</v>
      </c>
      <c r="B119" t="inlineStr">
        <is>
          <t>Customer_1118</t>
        </is>
      </c>
      <c r="C119" t="inlineStr">
        <is>
          <t>Delhi NCR</t>
        </is>
      </c>
      <c r="D119" t="inlineStr">
        <is>
          <t>Regular</t>
        </is>
      </c>
      <c r="E119" t="n">
        <v>22</v>
      </c>
      <c r="F119" t="inlineStr">
        <is>
          <t>Female</t>
        </is>
      </c>
    </row>
    <row r="120">
      <c r="A120" t="n">
        <v>1119</v>
      </c>
      <c r="B120" t="inlineStr">
        <is>
          <t>Customer_1119</t>
        </is>
      </c>
      <c r="C120" t="inlineStr">
        <is>
          <t>Delhi NCR</t>
        </is>
      </c>
      <c r="D120" t="inlineStr">
        <is>
          <t>Gold</t>
        </is>
      </c>
      <c r="E120" t="n">
        <v>50</v>
      </c>
      <c r="F120" t="inlineStr">
        <is>
          <t>Female</t>
        </is>
      </c>
    </row>
    <row r="121">
      <c r="A121" t="n">
        <v>1120</v>
      </c>
      <c r="B121" t="inlineStr">
        <is>
          <t>Customer_1120</t>
        </is>
      </c>
      <c r="C121" t="inlineStr">
        <is>
          <t>Pune</t>
        </is>
      </c>
      <c r="D121" t="inlineStr">
        <is>
          <t>Regular</t>
        </is>
      </c>
      <c r="E121" t="n">
        <v>39</v>
      </c>
      <c r="F121" t="inlineStr">
        <is>
          <t>Male</t>
        </is>
      </c>
    </row>
    <row r="122">
      <c r="A122" t="n">
        <v>1121</v>
      </c>
      <c r="B122" t="inlineStr">
        <is>
          <t>Customer_1121</t>
        </is>
      </c>
      <c r="C122" t="inlineStr">
        <is>
          <t>Bangalore</t>
        </is>
      </c>
      <c r="D122" t="inlineStr">
        <is>
          <t>Silver</t>
        </is>
      </c>
      <c r="E122" t="n">
        <v>34</v>
      </c>
      <c r="F122" t="inlineStr">
        <is>
          <t>Male</t>
        </is>
      </c>
    </row>
    <row r="123">
      <c r="A123" t="n">
        <v>1122</v>
      </c>
      <c r="B123" t="inlineStr">
        <is>
          <t>Customer_1122</t>
        </is>
      </c>
      <c r="C123" t="inlineStr">
        <is>
          <t>Pune</t>
        </is>
      </c>
      <c r="D123" t="inlineStr">
        <is>
          <t>Gold</t>
        </is>
      </c>
      <c r="E123" t="n">
        <v>34</v>
      </c>
      <c r="F123" t="inlineStr">
        <is>
          <t>Male</t>
        </is>
      </c>
    </row>
    <row r="124">
      <c r="A124" t="n">
        <v>1123</v>
      </c>
      <c r="B124" t="inlineStr">
        <is>
          <t>Customer_1123</t>
        </is>
      </c>
      <c r="C124" t="inlineStr">
        <is>
          <t>Bangalore</t>
        </is>
      </c>
      <c r="D124" t="inlineStr">
        <is>
          <t>Regular</t>
        </is>
      </c>
      <c r="E124" t="n">
        <v>56</v>
      </c>
      <c r="F124" t="inlineStr">
        <is>
          <t>Female</t>
        </is>
      </c>
    </row>
    <row r="125">
      <c r="A125" t="n">
        <v>1124</v>
      </c>
      <c r="B125" t="inlineStr">
        <is>
          <t>Customer_1124</t>
        </is>
      </c>
      <c r="C125" t="inlineStr">
        <is>
          <t>Delhi NCR</t>
        </is>
      </c>
      <c r="D125" t="inlineStr">
        <is>
          <t>Regular</t>
        </is>
      </c>
      <c r="E125" t="n">
        <v>38</v>
      </c>
      <c r="F125" t="inlineStr">
        <is>
          <t>Female</t>
        </is>
      </c>
    </row>
    <row r="126">
      <c r="A126" t="n">
        <v>1125</v>
      </c>
      <c r="B126" t="inlineStr">
        <is>
          <t>Customer_1125</t>
        </is>
      </c>
      <c r="C126" t="inlineStr">
        <is>
          <t>Pune</t>
        </is>
      </c>
      <c r="D126" t="inlineStr">
        <is>
          <t>Regular</t>
        </is>
      </c>
      <c r="E126" t="n">
        <v>50</v>
      </c>
      <c r="F126" t="inlineStr">
        <is>
          <t>Male</t>
        </is>
      </c>
    </row>
    <row r="127">
      <c r="A127" t="n">
        <v>1126</v>
      </c>
      <c r="B127" t="inlineStr">
        <is>
          <t>Customer_1126</t>
        </is>
      </c>
      <c r="C127" t="inlineStr">
        <is>
          <t>Hyderabad</t>
        </is>
      </c>
      <c r="D127" t="inlineStr">
        <is>
          <t>Regular</t>
        </is>
      </c>
      <c r="E127" t="n">
        <v>54</v>
      </c>
      <c r="F127" t="inlineStr">
        <is>
          <t>Male</t>
        </is>
      </c>
    </row>
    <row r="128">
      <c r="A128" t="n">
        <v>1127</v>
      </c>
      <c r="B128" t="inlineStr">
        <is>
          <t>Customer_1127</t>
        </is>
      </c>
      <c r="C128" t="inlineStr">
        <is>
          <t>Delhi NCR</t>
        </is>
      </c>
      <c r="D128" t="inlineStr">
        <is>
          <t>Silver</t>
        </is>
      </c>
      <c r="E128" t="n">
        <v>20</v>
      </c>
      <c r="F128" t="inlineStr">
        <is>
          <t>Other</t>
        </is>
      </c>
    </row>
    <row r="129">
      <c r="A129" t="n">
        <v>1128</v>
      </c>
      <c r="B129" t="inlineStr">
        <is>
          <t>Customer_1128</t>
        </is>
      </c>
      <c r="C129" t="inlineStr">
        <is>
          <t>Hyderabad</t>
        </is>
      </c>
      <c r="D129" t="inlineStr">
        <is>
          <t>Gold</t>
        </is>
      </c>
      <c r="E129" t="n">
        <v>18</v>
      </c>
      <c r="F129" t="inlineStr">
        <is>
          <t>Other</t>
        </is>
      </c>
    </row>
    <row r="130">
      <c r="A130" t="n">
        <v>1129</v>
      </c>
      <c r="B130" t="inlineStr">
        <is>
          <t>Customer_1129</t>
        </is>
      </c>
      <c r="C130" t="inlineStr">
        <is>
          <t>Pune</t>
        </is>
      </c>
      <c r="D130" t="inlineStr">
        <is>
          <t>Regular</t>
        </is>
      </c>
      <c r="E130" t="n">
        <v>30</v>
      </c>
      <c r="F130" t="inlineStr">
        <is>
          <t>Female</t>
        </is>
      </c>
    </row>
    <row r="131">
      <c r="A131" t="n">
        <v>1130</v>
      </c>
      <c r="B131" t="inlineStr">
        <is>
          <t>Customer_1130</t>
        </is>
      </c>
      <c r="C131" t="inlineStr">
        <is>
          <t>Hyderabad</t>
        </is>
      </c>
      <c r="D131" t="inlineStr">
        <is>
          <t>Regular</t>
        </is>
      </c>
      <c r="E131" t="n">
        <v>22</v>
      </c>
      <c r="F131" t="inlineStr">
        <is>
          <t>Other</t>
        </is>
      </c>
    </row>
    <row r="132">
      <c r="A132" t="n">
        <v>1131</v>
      </c>
      <c r="B132" t="inlineStr">
        <is>
          <t>Customer_1131</t>
        </is>
      </c>
      <c r="C132" t="inlineStr">
        <is>
          <t>Delhi NCR</t>
        </is>
      </c>
      <c r="D132" t="inlineStr">
        <is>
          <t>Regular</t>
        </is>
      </c>
      <c r="E132" t="n">
        <v>57</v>
      </c>
      <c r="F132" t="inlineStr">
        <is>
          <t>Female</t>
        </is>
      </c>
    </row>
    <row r="133">
      <c r="A133" t="n">
        <v>1132</v>
      </c>
      <c r="B133" t="inlineStr">
        <is>
          <t>Customer_1132</t>
        </is>
      </c>
      <c r="C133" t="inlineStr">
        <is>
          <t>Bangalore</t>
        </is>
      </c>
      <c r="D133" t="inlineStr">
        <is>
          <t>Regular</t>
        </is>
      </c>
      <c r="E133" t="n">
        <v>37</v>
      </c>
      <c r="F133" t="inlineStr">
        <is>
          <t>Other</t>
        </is>
      </c>
    </row>
    <row r="134">
      <c r="A134" t="n">
        <v>1133</v>
      </c>
      <c r="B134" t="inlineStr">
        <is>
          <t>Customer_1133</t>
        </is>
      </c>
      <c r="C134" t="inlineStr">
        <is>
          <t>Delhi NCR</t>
        </is>
      </c>
      <c r="D134" t="inlineStr">
        <is>
          <t>Regular</t>
        </is>
      </c>
      <c r="E134" t="n">
        <v>44</v>
      </c>
      <c r="F134" t="inlineStr">
        <is>
          <t>Female</t>
        </is>
      </c>
    </row>
    <row r="135">
      <c r="A135" t="n">
        <v>1134</v>
      </c>
      <c r="B135" t="inlineStr">
        <is>
          <t>Customer_1134</t>
        </is>
      </c>
      <c r="C135" t="inlineStr">
        <is>
          <t>Hyderabad</t>
        </is>
      </c>
      <c r="D135" t="inlineStr">
        <is>
          <t>Regular</t>
        </is>
      </c>
      <c r="E135" t="n">
        <v>36</v>
      </c>
      <c r="F135" t="inlineStr">
        <is>
          <t>Other</t>
        </is>
      </c>
    </row>
    <row r="136">
      <c r="A136" t="n">
        <v>1135</v>
      </c>
      <c r="B136" t="inlineStr">
        <is>
          <t>Customer_1135</t>
        </is>
      </c>
      <c r="C136" t="inlineStr">
        <is>
          <t>Mumbai</t>
        </is>
      </c>
      <c r="D136" t="inlineStr">
        <is>
          <t>Gold</t>
        </is>
      </c>
      <c r="E136" t="n">
        <v>30</v>
      </c>
      <c r="F136" t="inlineStr">
        <is>
          <t>Female</t>
        </is>
      </c>
    </row>
    <row r="137">
      <c r="A137" t="n">
        <v>1136</v>
      </c>
      <c r="B137" t="inlineStr">
        <is>
          <t>Customer_1136</t>
        </is>
      </c>
      <c r="C137" t="inlineStr">
        <is>
          <t>Hyderabad</t>
        </is>
      </c>
      <c r="D137" t="inlineStr">
        <is>
          <t>Regular</t>
        </is>
      </c>
      <c r="E137" t="n">
        <v>29</v>
      </c>
      <c r="F137" t="inlineStr">
        <is>
          <t>Other</t>
        </is>
      </c>
    </row>
    <row r="138">
      <c r="A138" t="n">
        <v>1137</v>
      </c>
      <c r="B138" t="inlineStr">
        <is>
          <t>Customer_1137</t>
        </is>
      </c>
      <c r="C138" t="inlineStr">
        <is>
          <t>Pune</t>
        </is>
      </c>
      <c r="D138" t="inlineStr">
        <is>
          <t>Regular</t>
        </is>
      </c>
      <c r="E138" t="n">
        <v>37</v>
      </c>
      <c r="F138" t="inlineStr">
        <is>
          <t>Female</t>
        </is>
      </c>
    </row>
    <row r="139">
      <c r="A139" t="n">
        <v>1138</v>
      </c>
      <c r="B139" t="inlineStr">
        <is>
          <t>Customer_1138</t>
        </is>
      </c>
      <c r="C139" t="inlineStr">
        <is>
          <t>Pune</t>
        </is>
      </c>
      <c r="D139" t="inlineStr">
        <is>
          <t>Silver</t>
        </is>
      </c>
      <c r="E139" t="n">
        <v>18</v>
      </c>
      <c r="F139" t="inlineStr">
        <is>
          <t>Female</t>
        </is>
      </c>
    </row>
    <row r="140">
      <c r="A140" t="n">
        <v>1139</v>
      </c>
      <c r="B140" t="inlineStr">
        <is>
          <t>Customer_1139</t>
        </is>
      </c>
      <c r="C140" t="inlineStr">
        <is>
          <t>Delhi NCR</t>
        </is>
      </c>
      <c r="D140" t="inlineStr">
        <is>
          <t>Regular</t>
        </is>
      </c>
      <c r="E140" t="n">
        <v>31</v>
      </c>
      <c r="F140" t="inlineStr">
        <is>
          <t>Female</t>
        </is>
      </c>
    </row>
    <row r="141">
      <c r="A141" t="n">
        <v>1140</v>
      </c>
      <c r="B141" t="inlineStr">
        <is>
          <t>Customer_1140</t>
        </is>
      </c>
      <c r="C141" t="inlineStr">
        <is>
          <t>Pune</t>
        </is>
      </c>
      <c r="D141" t="inlineStr">
        <is>
          <t>Gold</t>
        </is>
      </c>
      <c r="E141" t="n">
        <v>56</v>
      </c>
      <c r="F141" t="inlineStr">
        <is>
          <t>Other</t>
        </is>
      </c>
    </row>
    <row r="142">
      <c r="A142" t="n">
        <v>1141</v>
      </c>
      <c r="B142" t="inlineStr">
        <is>
          <t>Customer_1141</t>
        </is>
      </c>
      <c r="C142" t="inlineStr">
        <is>
          <t>Delhi NCR</t>
        </is>
      </c>
      <c r="D142" t="inlineStr">
        <is>
          <t>Gold</t>
        </is>
      </c>
      <c r="E142" t="n">
        <v>47</v>
      </c>
      <c r="F142" t="inlineStr">
        <is>
          <t>Female</t>
        </is>
      </c>
    </row>
    <row r="143">
      <c r="A143" t="n">
        <v>1142</v>
      </c>
      <c r="B143" t="inlineStr">
        <is>
          <t>Customer_1142</t>
        </is>
      </c>
      <c r="C143" t="inlineStr">
        <is>
          <t>Hyderabad</t>
        </is>
      </c>
      <c r="D143" t="inlineStr">
        <is>
          <t>Regular</t>
        </is>
      </c>
      <c r="E143" t="n">
        <v>31</v>
      </c>
      <c r="F143" t="inlineStr">
        <is>
          <t>Other</t>
        </is>
      </c>
    </row>
    <row r="144">
      <c r="A144" t="n">
        <v>1143</v>
      </c>
      <c r="B144" t="inlineStr">
        <is>
          <t>Customer_1143</t>
        </is>
      </c>
      <c r="C144" t="inlineStr">
        <is>
          <t>Hyderabad</t>
        </is>
      </c>
      <c r="D144" t="inlineStr">
        <is>
          <t>Regular</t>
        </is>
      </c>
      <c r="E144" t="n">
        <v>28</v>
      </c>
      <c r="F144" t="inlineStr">
        <is>
          <t>Other</t>
        </is>
      </c>
    </row>
    <row r="145">
      <c r="A145" t="n">
        <v>1144</v>
      </c>
      <c r="B145" t="inlineStr">
        <is>
          <t>Customer_1144</t>
        </is>
      </c>
      <c r="C145" t="inlineStr">
        <is>
          <t>Bangalore</t>
        </is>
      </c>
      <c r="D145" t="inlineStr">
        <is>
          <t>Regular</t>
        </is>
      </c>
      <c r="E145" t="n">
        <v>36</v>
      </c>
      <c r="F145" t="inlineStr">
        <is>
          <t>Other</t>
        </is>
      </c>
    </row>
    <row r="146">
      <c r="A146" t="n">
        <v>1145</v>
      </c>
      <c r="B146" t="inlineStr">
        <is>
          <t>Customer_1145</t>
        </is>
      </c>
      <c r="C146" t="inlineStr">
        <is>
          <t>Pune</t>
        </is>
      </c>
      <c r="D146" t="inlineStr">
        <is>
          <t>Regular</t>
        </is>
      </c>
      <c r="E146" t="n">
        <v>39</v>
      </c>
      <c r="F146" t="inlineStr">
        <is>
          <t>Male</t>
        </is>
      </c>
    </row>
    <row r="147">
      <c r="A147" t="n">
        <v>1146</v>
      </c>
      <c r="B147" t="inlineStr">
        <is>
          <t>Customer_1146</t>
        </is>
      </c>
      <c r="C147" t="inlineStr">
        <is>
          <t>Mumbai</t>
        </is>
      </c>
      <c r="D147" t="inlineStr">
        <is>
          <t>Regular</t>
        </is>
      </c>
      <c r="E147" t="n">
        <v>37</v>
      </c>
      <c r="F147" t="inlineStr">
        <is>
          <t>Male</t>
        </is>
      </c>
    </row>
    <row r="148">
      <c r="A148" t="n">
        <v>1147</v>
      </c>
      <c r="B148" t="inlineStr">
        <is>
          <t>Customer_1147</t>
        </is>
      </c>
      <c r="C148" t="inlineStr">
        <is>
          <t>Mumbai</t>
        </is>
      </c>
      <c r="D148" t="inlineStr">
        <is>
          <t>Silver</t>
        </is>
      </c>
      <c r="E148" t="n">
        <v>27</v>
      </c>
      <c r="F148" t="inlineStr">
        <is>
          <t>Male</t>
        </is>
      </c>
    </row>
    <row r="149">
      <c r="A149" t="n">
        <v>1148</v>
      </c>
      <c r="B149" t="inlineStr">
        <is>
          <t>Customer_1148</t>
        </is>
      </c>
      <c r="C149" t="inlineStr">
        <is>
          <t>Bangalore</t>
        </is>
      </c>
      <c r="D149" t="inlineStr">
        <is>
          <t>Regular</t>
        </is>
      </c>
      <c r="E149" t="n">
        <v>33</v>
      </c>
      <c r="F149" t="inlineStr">
        <is>
          <t>Female</t>
        </is>
      </c>
    </row>
    <row r="150">
      <c r="A150" t="n">
        <v>1149</v>
      </c>
      <c r="B150" t="inlineStr">
        <is>
          <t>Customer_1149</t>
        </is>
      </c>
      <c r="C150" t="inlineStr">
        <is>
          <t>Pune</t>
        </is>
      </c>
      <c r="D150" t="inlineStr">
        <is>
          <t>Regular</t>
        </is>
      </c>
      <c r="E150" t="n">
        <v>22</v>
      </c>
      <c r="F150" t="inlineStr">
        <is>
          <t>Female</t>
        </is>
      </c>
    </row>
    <row r="151">
      <c r="A151" t="n">
        <v>1150</v>
      </c>
      <c r="B151" t="inlineStr">
        <is>
          <t>Customer_1150</t>
        </is>
      </c>
      <c r="C151" t="inlineStr">
        <is>
          <t>Hyderabad</t>
        </is>
      </c>
      <c r="D151" t="inlineStr">
        <is>
          <t>Regular</t>
        </is>
      </c>
      <c r="E151" t="n">
        <v>58</v>
      </c>
      <c r="F151" t="inlineStr">
        <is>
          <t>Other</t>
        </is>
      </c>
    </row>
    <row r="152">
      <c r="A152" t="n">
        <v>1151</v>
      </c>
      <c r="B152" t="inlineStr">
        <is>
          <t>Customer_1151</t>
        </is>
      </c>
      <c r="C152" t="inlineStr">
        <is>
          <t>Mumbai</t>
        </is>
      </c>
      <c r="D152" t="inlineStr">
        <is>
          <t>Gold</t>
        </is>
      </c>
      <c r="E152" t="n">
        <v>42</v>
      </c>
      <c r="F152" t="inlineStr">
        <is>
          <t>Female</t>
        </is>
      </c>
    </row>
    <row r="153">
      <c r="A153" t="n">
        <v>1152</v>
      </c>
      <c r="B153" t="inlineStr">
        <is>
          <t>Customer_1152</t>
        </is>
      </c>
      <c r="C153" t="inlineStr">
        <is>
          <t>Hyderabad</t>
        </is>
      </c>
      <c r="D153" t="inlineStr">
        <is>
          <t>Regular</t>
        </is>
      </c>
      <c r="E153" t="n">
        <v>33</v>
      </c>
      <c r="F153" t="inlineStr">
        <is>
          <t>Male</t>
        </is>
      </c>
    </row>
    <row r="154">
      <c r="A154" t="n">
        <v>1153</v>
      </c>
      <c r="B154" t="inlineStr">
        <is>
          <t>Customer_1153</t>
        </is>
      </c>
      <c r="C154" t="inlineStr">
        <is>
          <t>Bangalore</t>
        </is>
      </c>
      <c r="D154" t="inlineStr">
        <is>
          <t>Regular</t>
        </is>
      </c>
      <c r="E154" t="n">
        <v>24</v>
      </c>
      <c r="F154" t="inlineStr">
        <is>
          <t>Female</t>
        </is>
      </c>
    </row>
    <row r="155">
      <c r="A155" t="n">
        <v>1154</v>
      </c>
      <c r="B155" t="inlineStr">
        <is>
          <t>Customer_1154</t>
        </is>
      </c>
      <c r="C155" t="inlineStr">
        <is>
          <t>Mumbai</t>
        </is>
      </c>
      <c r="D155" t="inlineStr">
        <is>
          <t>Regular</t>
        </is>
      </c>
      <c r="E155" t="n">
        <v>29</v>
      </c>
      <c r="F155" t="inlineStr">
        <is>
          <t>Other</t>
        </is>
      </c>
    </row>
    <row r="156">
      <c r="A156" t="n">
        <v>1155</v>
      </c>
      <c r="B156" t="inlineStr">
        <is>
          <t>Customer_1155</t>
        </is>
      </c>
      <c r="C156" t="inlineStr">
        <is>
          <t>Pune</t>
        </is>
      </c>
      <c r="D156" t="inlineStr">
        <is>
          <t>Gold</t>
        </is>
      </c>
      <c r="E156" t="n">
        <v>47</v>
      </c>
      <c r="F156" t="inlineStr">
        <is>
          <t>Male</t>
        </is>
      </c>
    </row>
    <row r="157">
      <c r="A157" t="n">
        <v>1156</v>
      </c>
      <c r="B157" t="inlineStr">
        <is>
          <t>Customer_1156</t>
        </is>
      </c>
      <c r="C157" t="inlineStr">
        <is>
          <t>Pune</t>
        </is>
      </c>
      <c r="D157" t="inlineStr">
        <is>
          <t>Regular</t>
        </is>
      </c>
      <c r="E157" t="n">
        <v>33</v>
      </c>
      <c r="F157" t="inlineStr">
        <is>
          <t>Male</t>
        </is>
      </c>
    </row>
    <row r="158">
      <c r="A158" t="n">
        <v>1157</v>
      </c>
      <c r="B158" t="inlineStr">
        <is>
          <t>Customer_1157</t>
        </is>
      </c>
      <c r="C158" t="inlineStr">
        <is>
          <t>Hyderabad</t>
        </is>
      </c>
      <c r="D158" t="inlineStr">
        <is>
          <t>Silver</t>
        </is>
      </c>
      <c r="E158" t="n">
        <v>26</v>
      </c>
      <c r="F158" t="inlineStr">
        <is>
          <t>Female</t>
        </is>
      </c>
    </row>
    <row r="159">
      <c r="A159" t="n">
        <v>1158</v>
      </c>
      <c r="B159" t="inlineStr">
        <is>
          <t>Customer_1158</t>
        </is>
      </c>
      <c r="C159" t="inlineStr">
        <is>
          <t>Pune</t>
        </is>
      </c>
      <c r="D159" t="inlineStr">
        <is>
          <t>Silver</t>
        </is>
      </c>
      <c r="E159" t="n">
        <v>53</v>
      </c>
      <c r="F159" t="inlineStr">
        <is>
          <t>Other</t>
        </is>
      </c>
    </row>
    <row r="160">
      <c r="A160" t="n">
        <v>1159</v>
      </c>
      <c r="B160" t="inlineStr">
        <is>
          <t>Customer_1159</t>
        </is>
      </c>
      <c r="C160" t="inlineStr">
        <is>
          <t>Delhi NCR</t>
        </is>
      </c>
      <c r="D160" t="inlineStr">
        <is>
          <t>Regular</t>
        </is>
      </c>
      <c r="E160" t="n">
        <v>46</v>
      </c>
      <c r="F160" t="inlineStr">
        <is>
          <t>Other</t>
        </is>
      </c>
    </row>
    <row r="161">
      <c r="A161" t="n">
        <v>1160</v>
      </c>
      <c r="B161" t="inlineStr">
        <is>
          <t>Customer_1160</t>
        </is>
      </c>
      <c r="C161" t="inlineStr">
        <is>
          <t>Pune</t>
        </is>
      </c>
      <c r="D161" t="inlineStr">
        <is>
          <t>Silver</t>
        </is>
      </c>
      <c r="E161" t="n">
        <v>45</v>
      </c>
      <c r="F161" t="inlineStr">
        <is>
          <t>Other</t>
        </is>
      </c>
    </row>
    <row r="162">
      <c r="A162" t="n">
        <v>1161</v>
      </c>
      <c r="B162" t="inlineStr">
        <is>
          <t>Customer_1161</t>
        </is>
      </c>
      <c r="C162" t="inlineStr">
        <is>
          <t>Hyderabad</t>
        </is>
      </c>
      <c r="D162" t="inlineStr">
        <is>
          <t>Regular</t>
        </is>
      </c>
      <c r="E162" t="n">
        <v>28</v>
      </c>
      <c r="F162" t="inlineStr">
        <is>
          <t>Other</t>
        </is>
      </c>
    </row>
    <row r="163">
      <c r="A163" t="n">
        <v>1162</v>
      </c>
      <c r="B163" t="inlineStr">
        <is>
          <t>Customer_1162</t>
        </is>
      </c>
      <c r="C163" t="inlineStr">
        <is>
          <t>Hyderabad</t>
        </is>
      </c>
      <c r="D163" t="inlineStr">
        <is>
          <t>Silver</t>
        </is>
      </c>
      <c r="E163" t="n">
        <v>46</v>
      </c>
      <c r="F163" t="inlineStr">
        <is>
          <t>Female</t>
        </is>
      </c>
    </row>
    <row r="164">
      <c r="A164" t="n">
        <v>1163</v>
      </c>
      <c r="B164" t="inlineStr">
        <is>
          <t>Customer_1163</t>
        </is>
      </c>
      <c r="C164" t="inlineStr">
        <is>
          <t>Mumbai</t>
        </is>
      </c>
      <c r="D164" t="inlineStr">
        <is>
          <t>Silver</t>
        </is>
      </c>
      <c r="E164" t="n">
        <v>58</v>
      </c>
      <c r="F164" t="inlineStr">
        <is>
          <t>Female</t>
        </is>
      </c>
    </row>
    <row r="165">
      <c r="A165" t="n">
        <v>1164</v>
      </c>
      <c r="B165" t="inlineStr">
        <is>
          <t>Customer_1164</t>
        </is>
      </c>
      <c r="C165" t="inlineStr">
        <is>
          <t>Pune</t>
        </is>
      </c>
      <c r="D165" t="inlineStr">
        <is>
          <t>Regular</t>
        </is>
      </c>
      <c r="E165" t="n">
        <v>49</v>
      </c>
      <c r="F165" t="inlineStr">
        <is>
          <t>Other</t>
        </is>
      </c>
    </row>
    <row r="166">
      <c r="A166" t="n">
        <v>1165</v>
      </c>
      <c r="B166" t="inlineStr">
        <is>
          <t>Customer_1165</t>
        </is>
      </c>
      <c r="C166" t="inlineStr">
        <is>
          <t>Mumbai</t>
        </is>
      </c>
      <c r="D166" t="inlineStr">
        <is>
          <t>Regular</t>
        </is>
      </c>
      <c r="E166" t="n">
        <v>35</v>
      </c>
      <c r="F166" t="inlineStr">
        <is>
          <t>Female</t>
        </is>
      </c>
    </row>
    <row r="167">
      <c r="A167" t="n">
        <v>1166</v>
      </c>
      <c r="B167" t="inlineStr">
        <is>
          <t>Customer_1166</t>
        </is>
      </c>
      <c r="C167" t="inlineStr">
        <is>
          <t>Bangalore</t>
        </is>
      </c>
      <c r="D167" t="inlineStr">
        <is>
          <t>Silver</t>
        </is>
      </c>
      <c r="E167" t="n">
        <v>36</v>
      </c>
      <c r="F167" t="inlineStr">
        <is>
          <t>Male</t>
        </is>
      </c>
    </row>
    <row r="168">
      <c r="A168" t="n">
        <v>1167</v>
      </c>
      <c r="B168" t="inlineStr">
        <is>
          <t>Customer_1167</t>
        </is>
      </c>
      <c r="C168" t="inlineStr">
        <is>
          <t>Delhi NCR</t>
        </is>
      </c>
      <c r="D168" t="inlineStr">
        <is>
          <t>Regular</t>
        </is>
      </c>
      <c r="E168" t="n">
        <v>39</v>
      </c>
      <c r="F168" t="inlineStr">
        <is>
          <t>Female</t>
        </is>
      </c>
    </row>
    <row r="169">
      <c r="A169" t="n">
        <v>1168</v>
      </c>
      <c r="B169" t="inlineStr">
        <is>
          <t>Customer_1168</t>
        </is>
      </c>
      <c r="C169" t="inlineStr">
        <is>
          <t>Pune</t>
        </is>
      </c>
      <c r="D169" t="inlineStr">
        <is>
          <t>Regular</t>
        </is>
      </c>
      <c r="E169" t="n">
        <v>23</v>
      </c>
      <c r="F169" t="inlineStr">
        <is>
          <t>Male</t>
        </is>
      </c>
    </row>
    <row r="170">
      <c r="A170" t="n">
        <v>1169</v>
      </c>
      <c r="B170" t="inlineStr">
        <is>
          <t>Customer_1169</t>
        </is>
      </c>
      <c r="C170" t="inlineStr">
        <is>
          <t>Mumbai</t>
        </is>
      </c>
      <c r="D170" t="inlineStr">
        <is>
          <t>Regular</t>
        </is>
      </c>
      <c r="E170" t="n">
        <v>32</v>
      </c>
      <c r="F170" t="inlineStr">
        <is>
          <t>Female</t>
        </is>
      </c>
    </row>
    <row r="171">
      <c r="A171" t="n">
        <v>1170</v>
      </c>
      <c r="B171" t="inlineStr">
        <is>
          <t>Customer_1170</t>
        </is>
      </c>
      <c r="C171" t="inlineStr">
        <is>
          <t>Mumbai</t>
        </is>
      </c>
      <c r="D171" t="inlineStr">
        <is>
          <t>Regular</t>
        </is>
      </c>
      <c r="E171" t="n">
        <v>31</v>
      </c>
      <c r="F171" t="inlineStr">
        <is>
          <t>Male</t>
        </is>
      </c>
    </row>
    <row r="172">
      <c r="A172" t="n">
        <v>1171</v>
      </c>
      <c r="B172" t="inlineStr">
        <is>
          <t>Customer_1171</t>
        </is>
      </c>
      <c r="C172" t="inlineStr">
        <is>
          <t>Hyderabad</t>
        </is>
      </c>
      <c r="D172" t="inlineStr">
        <is>
          <t>Silver</t>
        </is>
      </c>
      <c r="E172" t="n">
        <v>44</v>
      </c>
      <c r="F172" t="inlineStr">
        <is>
          <t>Female</t>
        </is>
      </c>
    </row>
    <row r="173">
      <c r="A173" t="n">
        <v>1172</v>
      </c>
      <c r="B173" t="inlineStr">
        <is>
          <t>Customer_1172</t>
        </is>
      </c>
      <c r="C173" t="inlineStr">
        <is>
          <t>Pune</t>
        </is>
      </c>
      <c r="D173" t="inlineStr">
        <is>
          <t>Regular</t>
        </is>
      </c>
      <c r="E173" t="n">
        <v>47</v>
      </c>
      <c r="F173" t="inlineStr">
        <is>
          <t>Female</t>
        </is>
      </c>
    </row>
    <row r="174">
      <c r="A174" t="n">
        <v>1173</v>
      </c>
      <c r="B174" t="inlineStr">
        <is>
          <t>Customer_1173</t>
        </is>
      </c>
      <c r="C174" t="inlineStr">
        <is>
          <t>Bangalore</t>
        </is>
      </c>
      <c r="D174" t="inlineStr">
        <is>
          <t>Regular</t>
        </is>
      </c>
      <c r="E174" t="n">
        <v>31</v>
      </c>
      <c r="F174" t="inlineStr">
        <is>
          <t>Female</t>
        </is>
      </c>
    </row>
    <row r="175">
      <c r="A175" t="n">
        <v>1174</v>
      </c>
      <c r="B175" t="inlineStr">
        <is>
          <t>Customer_1174</t>
        </is>
      </c>
      <c r="C175" t="inlineStr">
        <is>
          <t>Hyderabad</t>
        </is>
      </c>
      <c r="D175" t="inlineStr">
        <is>
          <t>Regular</t>
        </is>
      </c>
      <c r="E175" t="n">
        <v>55</v>
      </c>
      <c r="F175" t="inlineStr">
        <is>
          <t>Other</t>
        </is>
      </c>
    </row>
    <row r="176">
      <c r="A176" t="n">
        <v>1175</v>
      </c>
      <c r="B176" t="inlineStr">
        <is>
          <t>Customer_1175</t>
        </is>
      </c>
      <c r="C176" t="inlineStr">
        <is>
          <t>Bangalore</t>
        </is>
      </c>
      <c r="D176" t="inlineStr">
        <is>
          <t>Silver</t>
        </is>
      </c>
      <c r="E176" t="n">
        <v>54</v>
      </c>
      <c r="F176" t="inlineStr">
        <is>
          <t>Female</t>
        </is>
      </c>
    </row>
    <row r="177">
      <c r="A177" t="n">
        <v>1176</v>
      </c>
      <c r="B177" t="inlineStr">
        <is>
          <t>Customer_1176</t>
        </is>
      </c>
      <c r="C177" t="inlineStr">
        <is>
          <t>Hyderabad</t>
        </is>
      </c>
      <c r="D177" t="inlineStr">
        <is>
          <t>Regular</t>
        </is>
      </c>
      <c r="E177" t="n">
        <v>18</v>
      </c>
      <c r="F177" t="inlineStr">
        <is>
          <t>Female</t>
        </is>
      </c>
    </row>
    <row r="178">
      <c r="A178" t="n">
        <v>1177</v>
      </c>
      <c r="B178" t="inlineStr">
        <is>
          <t>Customer_1177</t>
        </is>
      </c>
      <c r="C178" t="inlineStr">
        <is>
          <t>Delhi NCR</t>
        </is>
      </c>
      <c r="D178" t="inlineStr">
        <is>
          <t>Silver</t>
        </is>
      </c>
      <c r="E178" t="n">
        <v>42</v>
      </c>
      <c r="F178" t="inlineStr">
        <is>
          <t>Female</t>
        </is>
      </c>
    </row>
    <row r="179">
      <c r="A179" t="n">
        <v>1178</v>
      </c>
      <c r="B179" t="inlineStr">
        <is>
          <t>Customer_1178</t>
        </is>
      </c>
      <c r="C179" t="inlineStr">
        <is>
          <t>Pune</t>
        </is>
      </c>
      <c r="D179" t="inlineStr">
        <is>
          <t>Regular</t>
        </is>
      </c>
      <c r="E179" t="n">
        <v>52</v>
      </c>
      <c r="F179" t="inlineStr">
        <is>
          <t>Other</t>
        </is>
      </c>
    </row>
    <row r="180">
      <c r="A180" t="n">
        <v>1179</v>
      </c>
      <c r="B180" t="inlineStr">
        <is>
          <t>Customer_1179</t>
        </is>
      </c>
      <c r="C180" t="inlineStr">
        <is>
          <t>Mumbai</t>
        </is>
      </c>
      <c r="D180" t="inlineStr">
        <is>
          <t>Gold</t>
        </is>
      </c>
      <c r="E180" t="n">
        <v>49</v>
      </c>
      <c r="F180" t="inlineStr">
        <is>
          <t>Male</t>
        </is>
      </c>
    </row>
    <row r="181">
      <c r="A181" t="n">
        <v>1180</v>
      </c>
      <c r="B181" t="inlineStr">
        <is>
          <t>Customer_1180</t>
        </is>
      </c>
      <c r="C181" t="inlineStr">
        <is>
          <t>Delhi NCR</t>
        </is>
      </c>
      <c r="D181" t="inlineStr">
        <is>
          <t>Regular</t>
        </is>
      </c>
      <c r="E181" t="n">
        <v>45</v>
      </c>
      <c r="F181" t="inlineStr">
        <is>
          <t>Female</t>
        </is>
      </c>
    </row>
    <row r="182">
      <c r="A182" t="n">
        <v>1181</v>
      </c>
      <c r="B182" t="inlineStr">
        <is>
          <t>Customer_1181</t>
        </is>
      </c>
      <c r="C182" t="inlineStr">
        <is>
          <t>Bangalore</t>
        </is>
      </c>
      <c r="D182" t="inlineStr">
        <is>
          <t>Regular</t>
        </is>
      </c>
      <c r="E182" t="n">
        <v>42</v>
      </c>
      <c r="F182" t="inlineStr">
        <is>
          <t>Female</t>
        </is>
      </c>
    </row>
    <row r="183">
      <c r="A183" t="n">
        <v>1182</v>
      </c>
      <c r="B183" t="inlineStr">
        <is>
          <t>Customer_1182</t>
        </is>
      </c>
      <c r="C183" t="inlineStr">
        <is>
          <t>Hyderabad</t>
        </is>
      </c>
      <c r="D183" t="inlineStr">
        <is>
          <t>Regular</t>
        </is>
      </c>
      <c r="E183" t="n">
        <v>28</v>
      </c>
      <c r="F183" t="inlineStr">
        <is>
          <t>Female</t>
        </is>
      </c>
    </row>
    <row r="184">
      <c r="A184" t="n">
        <v>1183</v>
      </c>
      <c r="B184" t="inlineStr">
        <is>
          <t>Customer_1183</t>
        </is>
      </c>
      <c r="C184" t="inlineStr">
        <is>
          <t>Mumbai</t>
        </is>
      </c>
      <c r="D184" t="inlineStr">
        <is>
          <t>Gold</t>
        </is>
      </c>
      <c r="E184" t="n">
        <v>57</v>
      </c>
      <c r="F184" t="inlineStr">
        <is>
          <t>Other</t>
        </is>
      </c>
    </row>
    <row r="185">
      <c r="A185" t="n">
        <v>1184</v>
      </c>
      <c r="B185" t="inlineStr">
        <is>
          <t>Customer_1184</t>
        </is>
      </c>
      <c r="C185" t="inlineStr">
        <is>
          <t>Bangalore</t>
        </is>
      </c>
      <c r="D185" t="inlineStr">
        <is>
          <t>Gold</t>
        </is>
      </c>
      <c r="E185" t="n">
        <v>43</v>
      </c>
      <c r="F185" t="inlineStr">
        <is>
          <t>Other</t>
        </is>
      </c>
    </row>
    <row r="186">
      <c r="A186" t="n">
        <v>1185</v>
      </c>
      <c r="B186" t="inlineStr">
        <is>
          <t>Customer_1185</t>
        </is>
      </c>
      <c r="C186" t="inlineStr">
        <is>
          <t>Pune</t>
        </is>
      </c>
      <c r="D186" t="inlineStr">
        <is>
          <t>Regular</t>
        </is>
      </c>
      <c r="E186" t="n">
        <v>19</v>
      </c>
      <c r="F186" t="inlineStr">
        <is>
          <t>Male</t>
        </is>
      </c>
    </row>
    <row r="187">
      <c r="A187" t="n">
        <v>1186</v>
      </c>
      <c r="B187" t="inlineStr">
        <is>
          <t>Customer_1186</t>
        </is>
      </c>
      <c r="C187" t="inlineStr">
        <is>
          <t>Hyderabad</t>
        </is>
      </c>
      <c r="D187" t="inlineStr">
        <is>
          <t>Silver</t>
        </is>
      </c>
      <c r="E187" t="n">
        <v>26</v>
      </c>
      <c r="F187" t="inlineStr">
        <is>
          <t>Female</t>
        </is>
      </c>
    </row>
    <row r="188">
      <c r="A188" t="n">
        <v>1187</v>
      </c>
      <c r="B188" t="inlineStr">
        <is>
          <t>Customer_1187</t>
        </is>
      </c>
      <c r="C188" t="inlineStr">
        <is>
          <t>Mumbai</t>
        </is>
      </c>
      <c r="D188" t="inlineStr">
        <is>
          <t>Silver</t>
        </is>
      </c>
      <c r="E188" t="n">
        <v>21</v>
      </c>
      <c r="F188" t="inlineStr">
        <is>
          <t>Female</t>
        </is>
      </c>
    </row>
    <row r="189">
      <c r="A189" t="n">
        <v>1188</v>
      </c>
      <c r="B189" t="inlineStr">
        <is>
          <t>Customer_1188</t>
        </is>
      </c>
      <c r="C189" t="inlineStr">
        <is>
          <t>Hyderabad</t>
        </is>
      </c>
      <c r="D189" t="inlineStr">
        <is>
          <t>Regular</t>
        </is>
      </c>
      <c r="E189" t="n">
        <v>38</v>
      </c>
      <c r="F189" t="inlineStr">
        <is>
          <t>Male</t>
        </is>
      </c>
    </row>
    <row r="190">
      <c r="A190" t="n">
        <v>1189</v>
      </c>
      <c r="B190" t="inlineStr">
        <is>
          <t>Customer_1189</t>
        </is>
      </c>
      <c r="C190" t="inlineStr">
        <is>
          <t>Hyderabad</t>
        </is>
      </c>
      <c r="D190" t="inlineStr">
        <is>
          <t>Regular</t>
        </is>
      </c>
      <c r="E190" t="n">
        <v>38</v>
      </c>
      <c r="F190" t="inlineStr">
        <is>
          <t>Female</t>
        </is>
      </c>
    </row>
    <row r="191">
      <c r="A191" t="n">
        <v>1190</v>
      </c>
      <c r="B191" t="inlineStr">
        <is>
          <t>Customer_1190</t>
        </is>
      </c>
      <c r="C191" t="inlineStr">
        <is>
          <t>Hyderabad</t>
        </is>
      </c>
      <c r="D191" t="inlineStr">
        <is>
          <t>Regular</t>
        </is>
      </c>
      <c r="E191" t="n">
        <v>35</v>
      </c>
      <c r="F191" t="inlineStr">
        <is>
          <t>Female</t>
        </is>
      </c>
    </row>
    <row r="192">
      <c r="A192" t="n">
        <v>1191</v>
      </c>
      <c r="B192" t="inlineStr">
        <is>
          <t>Customer_1191</t>
        </is>
      </c>
      <c r="C192" t="inlineStr">
        <is>
          <t>Delhi NCR</t>
        </is>
      </c>
      <c r="D192" t="inlineStr">
        <is>
          <t>Regular</t>
        </is>
      </c>
      <c r="E192" t="n">
        <v>23</v>
      </c>
      <c r="F192" t="inlineStr">
        <is>
          <t>Female</t>
        </is>
      </c>
    </row>
    <row r="193">
      <c r="A193" t="n">
        <v>1192</v>
      </c>
      <c r="B193" t="inlineStr">
        <is>
          <t>Customer_1192</t>
        </is>
      </c>
      <c r="C193" t="inlineStr">
        <is>
          <t>Bangalore</t>
        </is>
      </c>
      <c r="D193" t="inlineStr">
        <is>
          <t>Gold</t>
        </is>
      </c>
      <c r="E193" t="n">
        <v>52</v>
      </c>
      <c r="F193" t="inlineStr">
        <is>
          <t>Male</t>
        </is>
      </c>
    </row>
    <row r="194">
      <c r="A194" t="n">
        <v>1193</v>
      </c>
      <c r="B194" t="inlineStr">
        <is>
          <t>Customer_1193</t>
        </is>
      </c>
      <c r="C194" t="inlineStr">
        <is>
          <t>Delhi NCR</t>
        </is>
      </c>
      <c r="D194" t="inlineStr">
        <is>
          <t>Gold</t>
        </is>
      </c>
      <c r="E194" t="n">
        <v>32</v>
      </c>
      <c r="F194" t="inlineStr">
        <is>
          <t>Other</t>
        </is>
      </c>
    </row>
    <row r="195">
      <c r="A195" t="n">
        <v>1194</v>
      </c>
      <c r="B195" t="inlineStr">
        <is>
          <t>Customer_1194</t>
        </is>
      </c>
      <c r="C195" t="inlineStr">
        <is>
          <t>Bangalore</t>
        </is>
      </c>
      <c r="D195" t="inlineStr">
        <is>
          <t>Silver</t>
        </is>
      </c>
      <c r="E195" t="n">
        <v>20</v>
      </c>
      <c r="F195" t="inlineStr">
        <is>
          <t>Male</t>
        </is>
      </c>
    </row>
    <row r="196">
      <c r="A196" t="n">
        <v>1195</v>
      </c>
      <c r="B196" t="inlineStr">
        <is>
          <t>Customer_1195</t>
        </is>
      </c>
      <c r="C196" t="inlineStr">
        <is>
          <t>Mumbai</t>
        </is>
      </c>
      <c r="D196" t="inlineStr">
        <is>
          <t>Regular</t>
        </is>
      </c>
      <c r="E196" t="n">
        <v>30</v>
      </c>
      <c r="F196" t="inlineStr">
        <is>
          <t>Male</t>
        </is>
      </c>
    </row>
    <row r="197">
      <c r="A197" t="n">
        <v>1196</v>
      </c>
      <c r="B197" t="inlineStr">
        <is>
          <t>Customer_1196</t>
        </is>
      </c>
      <c r="C197" t="inlineStr">
        <is>
          <t>Pune</t>
        </is>
      </c>
      <c r="D197" t="inlineStr">
        <is>
          <t>Regular</t>
        </is>
      </c>
      <c r="E197" t="n">
        <v>27</v>
      </c>
      <c r="F197" t="inlineStr">
        <is>
          <t>Male</t>
        </is>
      </c>
    </row>
    <row r="198">
      <c r="A198" t="n">
        <v>1197</v>
      </c>
      <c r="B198" t="inlineStr">
        <is>
          <t>Customer_1197</t>
        </is>
      </c>
      <c r="C198" t="inlineStr">
        <is>
          <t>Mumbai</t>
        </is>
      </c>
      <c r="D198" t="inlineStr">
        <is>
          <t>Silver</t>
        </is>
      </c>
      <c r="E198" t="n">
        <v>48</v>
      </c>
      <c r="F198" t="inlineStr">
        <is>
          <t>Other</t>
        </is>
      </c>
    </row>
    <row r="199">
      <c r="A199" t="n">
        <v>1198</v>
      </c>
      <c r="B199" t="inlineStr">
        <is>
          <t>Customer_1198</t>
        </is>
      </c>
      <c r="C199" t="inlineStr">
        <is>
          <t>Bangalore</t>
        </is>
      </c>
      <c r="D199" t="inlineStr">
        <is>
          <t>Gold</t>
        </is>
      </c>
      <c r="E199" t="n">
        <v>54</v>
      </c>
      <c r="F199" t="inlineStr">
        <is>
          <t>Male</t>
        </is>
      </c>
    </row>
    <row r="200">
      <c r="A200" t="n">
        <v>1199</v>
      </c>
      <c r="B200" t="inlineStr">
        <is>
          <t>Customer_1199</t>
        </is>
      </c>
      <c r="C200" t="inlineStr">
        <is>
          <t>Hyderabad</t>
        </is>
      </c>
      <c r="D200" t="inlineStr">
        <is>
          <t>Gold</t>
        </is>
      </c>
      <c r="E200" t="n">
        <v>34</v>
      </c>
      <c r="F200" t="inlineStr">
        <is>
          <t>Female</t>
        </is>
      </c>
    </row>
    <row r="201">
      <c r="A201" t="n">
        <v>1200</v>
      </c>
      <c r="B201" t="inlineStr">
        <is>
          <t>Customer_1200</t>
        </is>
      </c>
      <c r="C201" t="inlineStr">
        <is>
          <t>Mumbai</t>
        </is>
      </c>
      <c r="D201" t="inlineStr">
        <is>
          <t>Silver</t>
        </is>
      </c>
      <c r="E201" t="n">
        <v>56</v>
      </c>
      <c r="F201" t="inlineStr">
        <is>
          <t>Other</t>
        </is>
      </c>
    </row>
    <row r="202">
      <c r="A202" t="n">
        <v>1201</v>
      </c>
      <c r="B202" t="inlineStr">
        <is>
          <t>Customer_1201</t>
        </is>
      </c>
      <c r="C202" t="inlineStr">
        <is>
          <t>Bangalore</t>
        </is>
      </c>
      <c r="D202" t="inlineStr">
        <is>
          <t>Silver</t>
        </is>
      </c>
      <c r="E202" t="n">
        <v>28</v>
      </c>
      <c r="F202" t="inlineStr">
        <is>
          <t>Female</t>
        </is>
      </c>
    </row>
    <row r="203">
      <c r="A203" t="n">
        <v>1202</v>
      </c>
      <c r="B203" t="inlineStr">
        <is>
          <t>Customer_1202</t>
        </is>
      </c>
      <c r="C203" t="inlineStr">
        <is>
          <t>Bangalore</t>
        </is>
      </c>
      <c r="D203" t="inlineStr">
        <is>
          <t>Regular</t>
        </is>
      </c>
      <c r="E203" t="n">
        <v>55</v>
      </c>
      <c r="F203" t="inlineStr">
        <is>
          <t>Male</t>
        </is>
      </c>
    </row>
    <row r="204">
      <c r="A204" t="n">
        <v>1203</v>
      </c>
      <c r="B204" t="inlineStr">
        <is>
          <t>Customer_1203</t>
        </is>
      </c>
      <c r="C204" t="inlineStr">
        <is>
          <t>Delhi NCR</t>
        </is>
      </c>
      <c r="D204" t="inlineStr">
        <is>
          <t>Regular</t>
        </is>
      </c>
      <c r="E204" t="n">
        <v>54</v>
      </c>
      <c r="F204" t="inlineStr">
        <is>
          <t>Other</t>
        </is>
      </c>
    </row>
    <row r="205">
      <c r="A205" t="n">
        <v>1204</v>
      </c>
      <c r="B205" t="inlineStr">
        <is>
          <t>Customer_1204</t>
        </is>
      </c>
      <c r="C205" t="inlineStr">
        <is>
          <t>Hyderabad</t>
        </is>
      </c>
      <c r="D205" t="inlineStr">
        <is>
          <t>Gold</t>
        </is>
      </c>
      <c r="E205" t="n">
        <v>43</v>
      </c>
      <c r="F205" t="inlineStr">
        <is>
          <t>Other</t>
        </is>
      </c>
    </row>
    <row r="206">
      <c r="A206" t="n">
        <v>1205</v>
      </c>
      <c r="B206" t="inlineStr">
        <is>
          <t>Customer_1205</t>
        </is>
      </c>
      <c r="C206" t="inlineStr">
        <is>
          <t>Mumbai</t>
        </is>
      </c>
      <c r="D206" t="inlineStr">
        <is>
          <t>Silver</t>
        </is>
      </c>
      <c r="E206" t="n">
        <v>22</v>
      </c>
      <c r="F206" t="inlineStr">
        <is>
          <t>Other</t>
        </is>
      </c>
    </row>
    <row r="207">
      <c r="A207" t="n">
        <v>1206</v>
      </c>
      <c r="B207" t="inlineStr">
        <is>
          <t>Customer_1206</t>
        </is>
      </c>
      <c r="C207" t="inlineStr">
        <is>
          <t>Mumbai</t>
        </is>
      </c>
      <c r="D207" t="inlineStr">
        <is>
          <t>Regular</t>
        </is>
      </c>
      <c r="E207" t="n">
        <v>24</v>
      </c>
      <c r="F207" t="inlineStr">
        <is>
          <t>Other</t>
        </is>
      </c>
    </row>
    <row r="208">
      <c r="A208" t="n">
        <v>1207</v>
      </c>
      <c r="B208" t="inlineStr">
        <is>
          <t>Customer_1207</t>
        </is>
      </c>
      <c r="C208" t="inlineStr">
        <is>
          <t>Delhi NCR</t>
        </is>
      </c>
      <c r="D208" t="inlineStr">
        <is>
          <t>Regular</t>
        </is>
      </c>
      <c r="E208" t="n">
        <v>56</v>
      </c>
      <c r="F208" t="inlineStr">
        <is>
          <t>Male</t>
        </is>
      </c>
    </row>
    <row r="209">
      <c r="A209" t="n">
        <v>1208</v>
      </c>
      <c r="B209" t="inlineStr">
        <is>
          <t>Customer_1208</t>
        </is>
      </c>
      <c r="C209" t="inlineStr">
        <is>
          <t>Pune</t>
        </is>
      </c>
      <c r="D209" t="inlineStr">
        <is>
          <t>Silver</t>
        </is>
      </c>
      <c r="E209" t="n">
        <v>20</v>
      </c>
      <c r="F209" t="inlineStr">
        <is>
          <t>Female</t>
        </is>
      </c>
    </row>
    <row r="210">
      <c r="A210" t="n">
        <v>1209</v>
      </c>
      <c r="B210" t="inlineStr">
        <is>
          <t>Customer_1209</t>
        </is>
      </c>
      <c r="C210" t="inlineStr">
        <is>
          <t>Pune</t>
        </is>
      </c>
      <c r="D210" t="inlineStr">
        <is>
          <t>Regular</t>
        </is>
      </c>
      <c r="E210" t="n">
        <v>45</v>
      </c>
      <c r="F210" t="inlineStr">
        <is>
          <t>Other</t>
        </is>
      </c>
    </row>
    <row r="211">
      <c r="A211" t="n">
        <v>1210</v>
      </c>
      <c r="B211" t="inlineStr">
        <is>
          <t>Customer_1210</t>
        </is>
      </c>
      <c r="C211" t="inlineStr">
        <is>
          <t>Delhi NCR</t>
        </is>
      </c>
      <c r="D211" t="inlineStr">
        <is>
          <t>Regular</t>
        </is>
      </c>
      <c r="E211" t="n">
        <v>22</v>
      </c>
      <c r="F211" t="inlineStr">
        <is>
          <t>Other</t>
        </is>
      </c>
    </row>
    <row r="212">
      <c r="A212" t="n">
        <v>1211</v>
      </c>
      <c r="B212" t="inlineStr">
        <is>
          <t>Customer_1211</t>
        </is>
      </c>
      <c r="C212" t="inlineStr">
        <is>
          <t>Delhi NCR</t>
        </is>
      </c>
      <c r="D212" t="inlineStr">
        <is>
          <t>Regular</t>
        </is>
      </c>
      <c r="E212" t="n">
        <v>18</v>
      </c>
      <c r="F212" t="inlineStr">
        <is>
          <t>Female</t>
        </is>
      </c>
    </row>
    <row r="213">
      <c r="A213" t="n">
        <v>1212</v>
      </c>
      <c r="B213" t="inlineStr">
        <is>
          <t>Customer_1212</t>
        </is>
      </c>
      <c r="C213" t="inlineStr">
        <is>
          <t>Hyderabad</t>
        </is>
      </c>
      <c r="D213" t="inlineStr">
        <is>
          <t>Silver</t>
        </is>
      </c>
      <c r="E213" t="n">
        <v>24</v>
      </c>
      <c r="F213" t="inlineStr">
        <is>
          <t>Female</t>
        </is>
      </c>
    </row>
    <row r="214">
      <c r="A214" t="n">
        <v>1213</v>
      </c>
      <c r="B214" t="inlineStr">
        <is>
          <t>Customer_1213</t>
        </is>
      </c>
      <c r="C214" t="inlineStr">
        <is>
          <t>Delhi NCR</t>
        </is>
      </c>
      <c r="D214" t="inlineStr">
        <is>
          <t>Silver</t>
        </is>
      </c>
      <c r="E214" t="n">
        <v>58</v>
      </c>
      <c r="F214" t="inlineStr">
        <is>
          <t>Female</t>
        </is>
      </c>
    </row>
    <row r="215">
      <c r="A215" t="n">
        <v>1214</v>
      </c>
      <c r="B215" t="inlineStr">
        <is>
          <t>Customer_1214</t>
        </is>
      </c>
      <c r="C215" t="inlineStr">
        <is>
          <t>Mumbai</t>
        </is>
      </c>
      <c r="D215" t="inlineStr">
        <is>
          <t>Regular</t>
        </is>
      </c>
      <c r="E215" t="n">
        <v>45</v>
      </c>
      <c r="F215" t="inlineStr">
        <is>
          <t>Male</t>
        </is>
      </c>
    </row>
    <row r="216">
      <c r="A216" t="n">
        <v>1215</v>
      </c>
      <c r="B216" t="inlineStr">
        <is>
          <t>Customer_1215</t>
        </is>
      </c>
      <c r="C216" t="inlineStr">
        <is>
          <t>Pune</t>
        </is>
      </c>
      <c r="D216" t="inlineStr">
        <is>
          <t>Silver</t>
        </is>
      </c>
      <c r="E216" t="n">
        <v>35</v>
      </c>
      <c r="F216" t="inlineStr">
        <is>
          <t>Other</t>
        </is>
      </c>
    </row>
    <row r="217">
      <c r="A217" t="n">
        <v>1216</v>
      </c>
      <c r="B217" t="inlineStr">
        <is>
          <t>Customer_1216</t>
        </is>
      </c>
      <c r="C217" t="inlineStr">
        <is>
          <t>Pune</t>
        </is>
      </c>
      <c r="D217" t="inlineStr">
        <is>
          <t>Regular</t>
        </is>
      </c>
      <c r="E217" t="n">
        <v>48</v>
      </c>
      <c r="F217" t="inlineStr">
        <is>
          <t>Female</t>
        </is>
      </c>
    </row>
    <row r="218">
      <c r="A218" t="n">
        <v>1217</v>
      </c>
      <c r="B218" t="inlineStr">
        <is>
          <t>Customer_1217</t>
        </is>
      </c>
      <c r="C218" t="inlineStr">
        <is>
          <t>Hyderabad</t>
        </is>
      </c>
      <c r="D218" t="inlineStr">
        <is>
          <t>Regular</t>
        </is>
      </c>
      <c r="E218" t="n">
        <v>55</v>
      </c>
      <c r="F218" t="inlineStr">
        <is>
          <t>Female</t>
        </is>
      </c>
    </row>
    <row r="219">
      <c r="A219" t="n">
        <v>1218</v>
      </c>
      <c r="B219" t="inlineStr">
        <is>
          <t>Customer_1218</t>
        </is>
      </c>
      <c r="C219" t="inlineStr">
        <is>
          <t>Delhi NCR</t>
        </is>
      </c>
      <c r="D219" t="inlineStr">
        <is>
          <t>Silver</t>
        </is>
      </c>
      <c r="E219" t="n">
        <v>33</v>
      </c>
      <c r="F219" t="inlineStr">
        <is>
          <t>Male</t>
        </is>
      </c>
    </row>
    <row r="220">
      <c r="A220" t="n">
        <v>1219</v>
      </c>
      <c r="B220" t="inlineStr">
        <is>
          <t>Customer_1219</t>
        </is>
      </c>
      <c r="C220" t="inlineStr">
        <is>
          <t>Delhi NCR</t>
        </is>
      </c>
      <c r="D220" t="inlineStr">
        <is>
          <t>Silver</t>
        </is>
      </c>
      <c r="E220" t="n">
        <v>46</v>
      </c>
      <c r="F220" t="inlineStr">
        <is>
          <t>Male</t>
        </is>
      </c>
    </row>
    <row r="221">
      <c r="A221" t="n">
        <v>1220</v>
      </c>
      <c r="B221" t="inlineStr">
        <is>
          <t>Customer_1220</t>
        </is>
      </c>
      <c r="C221" t="inlineStr">
        <is>
          <t>Hyderabad</t>
        </is>
      </c>
      <c r="D221" t="inlineStr">
        <is>
          <t>Silver</t>
        </is>
      </c>
      <c r="E221" t="n">
        <v>54</v>
      </c>
      <c r="F221" t="inlineStr">
        <is>
          <t>Other</t>
        </is>
      </c>
    </row>
    <row r="222">
      <c r="A222" t="n">
        <v>1221</v>
      </c>
      <c r="B222" t="inlineStr">
        <is>
          <t>Customer_1221</t>
        </is>
      </c>
      <c r="C222" t="inlineStr">
        <is>
          <t>Hyderabad</t>
        </is>
      </c>
      <c r="D222" t="inlineStr">
        <is>
          <t>Silver</t>
        </is>
      </c>
      <c r="E222" t="n">
        <v>39</v>
      </c>
      <c r="F222" t="inlineStr">
        <is>
          <t>Male</t>
        </is>
      </c>
    </row>
    <row r="223">
      <c r="A223" t="n">
        <v>1222</v>
      </c>
      <c r="B223" t="inlineStr">
        <is>
          <t>Customer_1222</t>
        </is>
      </c>
      <c r="C223" t="inlineStr">
        <is>
          <t>Hyderabad</t>
        </is>
      </c>
      <c r="D223" t="inlineStr">
        <is>
          <t>Regular</t>
        </is>
      </c>
      <c r="E223" t="n">
        <v>38</v>
      </c>
      <c r="F223" t="inlineStr">
        <is>
          <t>Male</t>
        </is>
      </c>
    </row>
    <row r="224">
      <c r="A224" t="n">
        <v>1223</v>
      </c>
      <c r="B224" t="inlineStr">
        <is>
          <t>Customer_1223</t>
        </is>
      </c>
      <c r="C224" t="inlineStr">
        <is>
          <t>Hyderabad</t>
        </is>
      </c>
      <c r="D224" t="inlineStr">
        <is>
          <t>Regular</t>
        </is>
      </c>
      <c r="E224" t="n">
        <v>31</v>
      </c>
      <c r="F224" t="inlineStr">
        <is>
          <t>Female</t>
        </is>
      </c>
    </row>
    <row r="225">
      <c r="A225" t="n">
        <v>1224</v>
      </c>
      <c r="B225" t="inlineStr">
        <is>
          <t>Customer_1224</t>
        </is>
      </c>
      <c r="C225" t="inlineStr">
        <is>
          <t>Delhi NCR</t>
        </is>
      </c>
      <c r="D225" t="inlineStr">
        <is>
          <t>Regular</t>
        </is>
      </c>
      <c r="E225" t="n">
        <v>39</v>
      </c>
      <c r="F225" t="inlineStr">
        <is>
          <t>Female</t>
        </is>
      </c>
    </row>
    <row r="226">
      <c r="A226" t="n">
        <v>1225</v>
      </c>
      <c r="B226" t="inlineStr">
        <is>
          <t>Customer_1225</t>
        </is>
      </c>
      <c r="C226" t="inlineStr">
        <is>
          <t>Pune</t>
        </is>
      </c>
      <c r="D226" t="inlineStr">
        <is>
          <t>Regular</t>
        </is>
      </c>
      <c r="E226" t="n">
        <v>35</v>
      </c>
      <c r="F226" t="inlineStr">
        <is>
          <t>Other</t>
        </is>
      </c>
    </row>
    <row r="227">
      <c r="A227" t="n">
        <v>1226</v>
      </c>
      <c r="B227" t="inlineStr">
        <is>
          <t>Customer_1226</t>
        </is>
      </c>
      <c r="C227" t="inlineStr">
        <is>
          <t>Bangalore</t>
        </is>
      </c>
      <c r="D227" t="inlineStr">
        <is>
          <t>Regular</t>
        </is>
      </c>
      <c r="E227" t="n">
        <v>51</v>
      </c>
      <c r="F227" t="inlineStr">
        <is>
          <t>Male</t>
        </is>
      </c>
    </row>
    <row r="228">
      <c r="A228" t="n">
        <v>1227</v>
      </c>
      <c r="B228" t="inlineStr">
        <is>
          <t>Customer_1227</t>
        </is>
      </c>
      <c r="C228" t="inlineStr">
        <is>
          <t>Bangalore</t>
        </is>
      </c>
      <c r="D228" t="inlineStr">
        <is>
          <t>Gold</t>
        </is>
      </c>
      <c r="E228" t="n">
        <v>33</v>
      </c>
      <c r="F228" t="inlineStr">
        <is>
          <t>Other</t>
        </is>
      </c>
    </row>
    <row r="229">
      <c r="A229" t="n">
        <v>1228</v>
      </c>
      <c r="B229" t="inlineStr">
        <is>
          <t>Customer_1228</t>
        </is>
      </c>
      <c r="C229" t="inlineStr">
        <is>
          <t>Hyderabad</t>
        </is>
      </c>
      <c r="D229" t="inlineStr">
        <is>
          <t>Regular</t>
        </is>
      </c>
      <c r="E229" t="n">
        <v>49</v>
      </c>
      <c r="F229" t="inlineStr">
        <is>
          <t>Other</t>
        </is>
      </c>
    </row>
    <row r="230">
      <c r="A230" t="n">
        <v>1229</v>
      </c>
      <c r="B230" t="inlineStr">
        <is>
          <t>Customer_1229</t>
        </is>
      </c>
      <c r="C230" t="inlineStr">
        <is>
          <t>Mumbai</t>
        </is>
      </c>
      <c r="D230" t="inlineStr">
        <is>
          <t>Gold</t>
        </is>
      </c>
      <c r="E230" t="n">
        <v>48</v>
      </c>
      <c r="F230" t="inlineStr">
        <is>
          <t>Other</t>
        </is>
      </c>
    </row>
    <row r="231">
      <c r="A231" t="n">
        <v>1230</v>
      </c>
      <c r="B231" t="inlineStr">
        <is>
          <t>Customer_1230</t>
        </is>
      </c>
      <c r="C231" t="inlineStr">
        <is>
          <t>Hyderabad</t>
        </is>
      </c>
      <c r="D231" t="inlineStr">
        <is>
          <t>Silver</t>
        </is>
      </c>
      <c r="E231" t="n">
        <v>46</v>
      </c>
      <c r="F231" t="inlineStr">
        <is>
          <t>Male</t>
        </is>
      </c>
    </row>
    <row r="232">
      <c r="A232" t="n">
        <v>1231</v>
      </c>
      <c r="B232" t="inlineStr">
        <is>
          <t>Customer_1231</t>
        </is>
      </c>
      <c r="C232" t="inlineStr">
        <is>
          <t>Bangalore</t>
        </is>
      </c>
      <c r="D232" t="inlineStr">
        <is>
          <t>Silver</t>
        </is>
      </c>
      <c r="E232" t="n">
        <v>36</v>
      </c>
      <c r="F232" t="inlineStr">
        <is>
          <t>Male</t>
        </is>
      </c>
    </row>
    <row r="233">
      <c r="A233" t="n">
        <v>1232</v>
      </c>
      <c r="B233" t="inlineStr">
        <is>
          <t>Customer_1232</t>
        </is>
      </c>
      <c r="C233" t="inlineStr">
        <is>
          <t>Hyderabad</t>
        </is>
      </c>
      <c r="D233" t="inlineStr">
        <is>
          <t>Regular</t>
        </is>
      </c>
      <c r="E233" t="n">
        <v>33</v>
      </c>
      <c r="F233" t="inlineStr">
        <is>
          <t>Female</t>
        </is>
      </c>
    </row>
    <row r="234">
      <c r="A234" t="n">
        <v>1233</v>
      </c>
      <c r="B234" t="inlineStr">
        <is>
          <t>Customer_1233</t>
        </is>
      </c>
      <c r="C234" t="inlineStr">
        <is>
          <t>Pune</t>
        </is>
      </c>
      <c r="D234" t="inlineStr">
        <is>
          <t>Regular</t>
        </is>
      </c>
      <c r="E234" t="n">
        <v>41</v>
      </c>
      <c r="F234" t="inlineStr">
        <is>
          <t>Female</t>
        </is>
      </c>
    </row>
    <row r="235">
      <c r="A235" t="n">
        <v>1234</v>
      </c>
      <c r="B235" t="inlineStr">
        <is>
          <t>Customer_1234</t>
        </is>
      </c>
      <c r="C235" t="inlineStr">
        <is>
          <t>Pune</t>
        </is>
      </c>
      <c r="D235" t="inlineStr">
        <is>
          <t>Regular</t>
        </is>
      </c>
      <c r="E235" t="n">
        <v>51</v>
      </c>
      <c r="F235" t="inlineStr">
        <is>
          <t>Female</t>
        </is>
      </c>
    </row>
    <row r="236">
      <c r="A236" t="n">
        <v>1235</v>
      </c>
      <c r="B236" t="inlineStr">
        <is>
          <t>Customer_1235</t>
        </is>
      </c>
      <c r="C236" t="inlineStr">
        <is>
          <t>Hyderabad</t>
        </is>
      </c>
      <c r="D236" t="inlineStr">
        <is>
          <t>Regular</t>
        </is>
      </c>
      <c r="E236" t="n">
        <v>53</v>
      </c>
      <c r="F236" t="inlineStr">
        <is>
          <t>Female</t>
        </is>
      </c>
    </row>
    <row r="237">
      <c r="A237" t="n">
        <v>1236</v>
      </c>
      <c r="B237" t="inlineStr">
        <is>
          <t>Customer_1236</t>
        </is>
      </c>
      <c r="C237" t="inlineStr">
        <is>
          <t>Delhi NCR</t>
        </is>
      </c>
      <c r="D237" t="inlineStr">
        <is>
          <t>Silver</t>
        </is>
      </c>
      <c r="E237" t="n">
        <v>47</v>
      </c>
      <c r="F237" t="inlineStr">
        <is>
          <t>Female</t>
        </is>
      </c>
    </row>
    <row r="238">
      <c r="A238" t="n">
        <v>1237</v>
      </c>
      <c r="B238" t="inlineStr">
        <is>
          <t>Customer_1237</t>
        </is>
      </c>
      <c r="C238" t="inlineStr">
        <is>
          <t>Delhi NCR</t>
        </is>
      </c>
      <c r="D238" t="inlineStr">
        <is>
          <t>Regular</t>
        </is>
      </c>
      <c r="E238" t="n">
        <v>34</v>
      </c>
      <c r="F238" t="inlineStr">
        <is>
          <t>Male</t>
        </is>
      </c>
    </row>
    <row r="239">
      <c r="A239" t="n">
        <v>1238</v>
      </c>
      <c r="B239" t="inlineStr">
        <is>
          <t>Customer_1238</t>
        </is>
      </c>
      <c r="C239" t="inlineStr">
        <is>
          <t>Bangalore</t>
        </is>
      </c>
      <c r="D239" t="inlineStr">
        <is>
          <t>Regular</t>
        </is>
      </c>
      <c r="E239" t="n">
        <v>30</v>
      </c>
      <c r="F239" t="inlineStr">
        <is>
          <t>Female</t>
        </is>
      </c>
    </row>
    <row r="240">
      <c r="A240" t="n">
        <v>1239</v>
      </c>
      <c r="B240" t="inlineStr">
        <is>
          <t>Customer_1239</t>
        </is>
      </c>
      <c r="C240" t="inlineStr">
        <is>
          <t>Bangalore</t>
        </is>
      </c>
      <c r="D240" t="inlineStr">
        <is>
          <t>Silver</t>
        </is>
      </c>
      <c r="E240" t="n">
        <v>52</v>
      </c>
      <c r="F240" t="inlineStr">
        <is>
          <t>Other</t>
        </is>
      </c>
    </row>
    <row r="241">
      <c r="A241" t="n">
        <v>1240</v>
      </c>
      <c r="B241" t="inlineStr">
        <is>
          <t>Customer_1240</t>
        </is>
      </c>
      <c r="C241" t="inlineStr">
        <is>
          <t>Mumbai</t>
        </is>
      </c>
      <c r="D241" t="inlineStr">
        <is>
          <t>Regular</t>
        </is>
      </c>
      <c r="E241" t="n">
        <v>30</v>
      </c>
      <c r="F241" t="inlineStr">
        <is>
          <t>Male</t>
        </is>
      </c>
    </row>
    <row r="242">
      <c r="A242" t="n">
        <v>1241</v>
      </c>
      <c r="B242" t="inlineStr">
        <is>
          <t>Customer_1241</t>
        </is>
      </c>
      <c r="C242" t="inlineStr">
        <is>
          <t>Hyderabad</t>
        </is>
      </c>
      <c r="D242" t="inlineStr">
        <is>
          <t>Gold</t>
        </is>
      </c>
      <c r="E242" t="n">
        <v>35</v>
      </c>
      <c r="F242" t="inlineStr">
        <is>
          <t>Other</t>
        </is>
      </c>
    </row>
    <row r="243">
      <c r="A243" t="n">
        <v>1242</v>
      </c>
      <c r="B243" t="inlineStr">
        <is>
          <t>Customer_1242</t>
        </is>
      </c>
      <c r="C243" t="inlineStr">
        <is>
          <t>Pune</t>
        </is>
      </c>
      <c r="D243" t="inlineStr">
        <is>
          <t>Gold</t>
        </is>
      </c>
      <c r="E243" t="n">
        <v>51</v>
      </c>
      <c r="F243" t="inlineStr">
        <is>
          <t>Other</t>
        </is>
      </c>
    </row>
    <row r="244">
      <c r="A244" t="n">
        <v>1243</v>
      </c>
      <c r="B244" t="inlineStr">
        <is>
          <t>Customer_1243</t>
        </is>
      </c>
      <c r="C244" t="inlineStr">
        <is>
          <t>Delhi NCR</t>
        </is>
      </c>
      <c r="D244" t="inlineStr">
        <is>
          <t>Gold</t>
        </is>
      </c>
      <c r="E244" t="n">
        <v>24</v>
      </c>
      <c r="F244" t="inlineStr">
        <is>
          <t>Male</t>
        </is>
      </c>
    </row>
    <row r="245">
      <c r="A245" t="n">
        <v>1244</v>
      </c>
      <c r="B245" t="inlineStr">
        <is>
          <t>Customer_1244</t>
        </is>
      </c>
      <c r="C245" t="inlineStr">
        <is>
          <t>Delhi NCR</t>
        </is>
      </c>
      <c r="D245" t="inlineStr">
        <is>
          <t>Regular</t>
        </is>
      </c>
      <c r="E245" t="n">
        <v>32</v>
      </c>
      <c r="F245" t="inlineStr">
        <is>
          <t>Female</t>
        </is>
      </c>
    </row>
    <row r="246">
      <c r="A246" t="n">
        <v>1245</v>
      </c>
      <c r="B246" t="inlineStr">
        <is>
          <t>Customer_1245</t>
        </is>
      </c>
      <c r="C246" t="inlineStr">
        <is>
          <t>Mumbai</t>
        </is>
      </c>
      <c r="D246" t="inlineStr">
        <is>
          <t>Regular</t>
        </is>
      </c>
      <c r="E246" t="n">
        <v>37</v>
      </c>
      <c r="F246" t="inlineStr">
        <is>
          <t>Male</t>
        </is>
      </c>
    </row>
    <row r="247">
      <c r="A247" t="n">
        <v>1246</v>
      </c>
      <c r="B247" t="inlineStr">
        <is>
          <t>Customer_1246</t>
        </is>
      </c>
      <c r="C247" t="inlineStr">
        <is>
          <t>Pune</t>
        </is>
      </c>
      <c r="D247" t="inlineStr">
        <is>
          <t>Gold</t>
        </is>
      </c>
      <c r="E247" t="n">
        <v>26</v>
      </c>
      <c r="F247" t="inlineStr">
        <is>
          <t>Female</t>
        </is>
      </c>
    </row>
    <row r="248">
      <c r="A248" t="n">
        <v>1247</v>
      </c>
      <c r="B248" t="inlineStr">
        <is>
          <t>Customer_1247</t>
        </is>
      </c>
      <c r="C248" t="inlineStr">
        <is>
          <t>Bangalore</t>
        </is>
      </c>
      <c r="D248" t="inlineStr">
        <is>
          <t>Regular</t>
        </is>
      </c>
      <c r="E248" t="n">
        <v>21</v>
      </c>
      <c r="F248" t="inlineStr">
        <is>
          <t>Other</t>
        </is>
      </c>
    </row>
    <row r="249">
      <c r="A249" t="n">
        <v>1248</v>
      </c>
      <c r="B249" t="inlineStr">
        <is>
          <t>Customer_1248</t>
        </is>
      </c>
      <c r="C249" t="inlineStr">
        <is>
          <t>Delhi NCR</t>
        </is>
      </c>
      <c r="D249" t="inlineStr">
        <is>
          <t>Gold</t>
        </is>
      </c>
      <c r="E249" t="n">
        <v>26</v>
      </c>
      <c r="F249" t="inlineStr">
        <is>
          <t>Other</t>
        </is>
      </c>
    </row>
    <row r="250">
      <c r="A250" t="n">
        <v>1249</v>
      </c>
      <c r="B250" t="inlineStr">
        <is>
          <t>Customer_1249</t>
        </is>
      </c>
      <c r="C250" t="inlineStr">
        <is>
          <t>Hyderabad</t>
        </is>
      </c>
      <c r="D250" t="inlineStr">
        <is>
          <t>Gold</t>
        </is>
      </c>
      <c r="E250" t="n">
        <v>24</v>
      </c>
      <c r="F250" t="inlineStr">
        <is>
          <t>Male</t>
        </is>
      </c>
    </row>
    <row r="251">
      <c r="A251" t="n">
        <v>1250</v>
      </c>
      <c r="B251" t="inlineStr">
        <is>
          <t>Customer_1250</t>
        </is>
      </c>
      <c r="C251" t="inlineStr">
        <is>
          <t>Pune</t>
        </is>
      </c>
      <c r="D251" t="inlineStr">
        <is>
          <t>Gold</t>
        </is>
      </c>
      <c r="E251" t="n">
        <v>36</v>
      </c>
      <c r="F251" t="inlineStr">
        <is>
          <t>Female</t>
        </is>
      </c>
    </row>
    <row r="252">
      <c r="A252" t="n">
        <v>1251</v>
      </c>
      <c r="B252" t="inlineStr">
        <is>
          <t>Customer_1251</t>
        </is>
      </c>
      <c r="C252" t="inlineStr">
        <is>
          <t>Hyderabad</t>
        </is>
      </c>
      <c r="D252" t="inlineStr">
        <is>
          <t>Regular</t>
        </is>
      </c>
      <c r="E252" t="n">
        <v>46</v>
      </c>
      <c r="F252" t="inlineStr">
        <is>
          <t>Female</t>
        </is>
      </c>
    </row>
    <row r="253">
      <c r="A253" t="n">
        <v>1252</v>
      </c>
      <c r="B253" t="inlineStr">
        <is>
          <t>Customer_1252</t>
        </is>
      </c>
      <c r="C253" t="inlineStr">
        <is>
          <t>Mumbai</t>
        </is>
      </c>
      <c r="D253" t="inlineStr">
        <is>
          <t>Regular</t>
        </is>
      </c>
      <c r="E253" t="n">
        <v>21</v>
      </c>
      <c r="F253" t="inlineStr">
        <is>
          <t>Female</t>
        </is>
      </c>
    </row>
    <row r="254">
      <c r="A254" t="n">
        <v>1253</v>
      </c>
      <c r="B254" t="inlineStr">
        <is>
          <t>Customer_1253</t>
        </is>
      </c>
      <c r="C254" t="inlineStr">
        <is>
          <t>Hyderabad</t>
        </is>
      </c>
      <c r="D254" t="inlineStr">
        <is>
          <t>Gold</t>
        </is>
      </c>
      <c r="E254" t="n">
        <v>25</v>
      </c>
      <c r="F254" t="inlineStr">
        <is>
          <t>Male</t>
        </is>
      </c>
    </row>
    <row r="255">
      <c r="A255" t="n">
        <v>1254</v>
      </c>
      <c r="B255" t="inlineStr">
        <is>
          <t>Customer_1254</t>
        </is>
      </c>
      <c r="C255" t="inlineStr">
        <is>
          <t>Hyderabad</t>
        </is>
      </c>
      <c r="D255" t="inlineStr">
        <is>
          <t>Regular</t>
        </is>
      </c>
      <c r="E255" t="n">
        <v>49</v>
      </c>
      <c r="F255" t="inlineStr">
        <is>
          <t>Male</t>
        </is>
      </c>
    </row>
    <row r="256">
      <c r="A256" t="n">
        <v>1255</v>
      </c>
      <c r="B256" t="inlineStr">
        <is>
          <t>Customer_1255</t>
        </is>
      </c>
      <c r="C256" t="inlineStr">
        <is>
          <t>Pune</t>
        </is>
      </c>
      <c r="D256" t="inlineStr">
        <is>
          <t>Regular</t>
        </is>
      </c>
      <c r="E256" t="n">
        <v>58</v>
      </c>
      <c r="F256" t="inlineStr">
        <is>
          <t>Other</t>
        </is>
      </c>
    </row>
    <row r="257">
      <c r="A257" t="n">
        <v>1256</v>
      </c>
      <c r="B257" t="inlineStr">
        <is>
          <t>Customer_1256</t>
        </is>
      </c>
      <c r="C257" t="inlineStr">
        <is>
          <t>Bangalore</t>
        </is>
      </c>
      <c r="D257" t="inlineStr">
        <is>
          <t>Regular</t>
        </is>
      </c>
      <c r="E257" t="n">
        <v>27</v>
      </c>
      <c r="F257" t="inlineStr">
        <is>
          <t>Male</t>
        </is>
      </c>
    </row>
    <row r="258">
      <c r="A258" t="n">
        <v>1257</v>
      </c>
      <c r="B258" t="inlineStr">
        <is>
          <t>Customer_1257</t>
        </is>
      </c>
      <c r="C258" t="inlineStr">
        <is>
          <t>Pune</t>
        </is>
      </c>
      <c r="D258" t="inlineStr">
        <is>
          <t>Gold</t>
        </is>
      </c>
      <c r="E258" t="n">
        <v>37</v>
      </c>
      <c r="F258" t="inlineStr">
        <is>
          <t>Male</t>
        </is>
      </c>
    </row>
    <row r="259">
      <c r="A259" t="n">
        <v>1258</v>
      </c>
      <c r="B259" t="inlineStr">
        <is>
          <t>Customer_1258</t>
        </is>
      </c>
      <c r="C259" t="inlineStr">
        <is>
          <t>Mumbai</t>
        </is>
      </c>
      <c r="D259" t="inlineStr">
        <is>
          <t>Silver</t>
        </is>
      </c>
      <c r="E259" t="n">
        <v>25</v>
      </c>
      <c r="F259" t="inlineStr">
        <is>
          <t>Other</t>
        </is>
      </c>
    </row>
    <row r="260">
      <c r="A260" t="n">
        <v>1259</v>
      </c>
      <c r="B260" t="inlineStr">
        <is>
          <t>Customer_1259</t>
        </is>
      </c>
      <c r="C260" t="inlineStr">
        <is>
          <t>Hyderabad</t>
        </is>
      </c>
      <c r="D260" t="inlineStr">
        <is>
          <t>Regular</t>
        </is>
      </c>
      <c r="E260" t="n">
        <v>56</v>
      </c>
      <c r="F260" t="inlineStr">
        <is>
          <t>Other</t>
        </is>
      </c>
    </row>
    <row r="261">
      <c r="A261" t="n">
        <v>1260</v>
      </c>
      <c r="B261" t="inlineStr">
        <is>
          <t>Customer_1260</t>
        </is>
      </c>
      <c r="C261" t="inlineStr">
        <is>
          <t>Pune</t>
        </is>
      </c>
      <c r="D261" t="inlineStr">
        <is>
          <t>Regular</t>
        </is>
      </c>
      <c r="E261" t="n">
        <v>32</v>
      </c>
      <c r="F261" t="inlineStr">
        <is>
          <t>Other</t>
        </is>
      </c>
    </row>
    <row r="262">
      <c r="A262" t="n">
        <v>1261</v>
      </c>
      <c r="B262" t="inlineStr">
        <is>
          <t>Customer_1261</t>
        </is>
      </c>
      <c r="C262" t="inlineStr">
        <is>
          <t>Hyderabad</t>
        </is>
      </c>
      <c r="D262" t="inlineStr">
        <is>
          <t>Silver</t>
        </is>
      </c>
      <c r="E262" t="n">
        <v>46</v>
      </c>
      <c r="F262" t="inlineStr">
        <is>
          <t>Female</t>
        </is>
      </c>
    </row>
    <row r="263">
      <c r="A263" t="n">
        <v>1262</v>
      </c>
      <c r="B263" t="inlineStr">
        <is>
          <t>Customer_1262</t>
        </is>
      </c>
      <c r="C263" t="inlineStr">
        <is>
          <t>Delhi NCR</t>
        </is>
      </c>
      <c r="D263" t="inlineStr">
        <is>
          <t>Gold</t>
        </is>
      </c>
      <c r="E263" t="n">
        <v>55</v>
      </c>
      <c r="F263" t="inlineStr">
        <is>
          <t>Female</t>
        </is>
      </c>
    </row>
    <row r="264">
      <c r="A264" t="n">
        <v>1263</v>
      </c>
      <c r="B264" t="inlineStr">
        <is>
          <t>Customer_1263</t>
        </is>
      </c>
      <c r="C264" t="inlineStr">
        <is>
          <t>Delhi NCR</t>
        </is>
      </c>
      <c r="D264" t="inlineStr">
        <is>
          <t>Regular</t>
        </is>
      </c>
      <c r="E264" t="n">
        <v>54</v>
      </c>
      <c r="F264" t="inlineStr">
        <is>
          <t>Other</t>
        </is>
      </c>
    </row>
    <row r="265">
      <c r="A265" t="n">
        <v>1264</v>
      </c>
      <c r="B265" t="inlineStr">
        <is>
          <t>Customer_1264</t>
        </is>
      </c>
      <c r="C265" t="inlineStr">
        <is>
          <t>Bangalore</t>
        </is>
      </c>
      <c r="D265" t="inlineStr">
        <is>
          <t>Regular</t>
        </is>
      </c>
      <c r="E265" t="n">
        <v>57</v>
      </c>
      <c r="F265" t="inlineStr">
        <is>
          <t>Other</t>
        </is>
      </c>
    </row>
    <row r="266">
      <c r="A266" t="n">
        <v>1265</v>
      </c>
      <c r="B266" t="inlineStr">
        <is>
          <t>Customer_1265</t>
        </is>
      </c>
      <c r="C266" t="inlineStr">
        <is>
          <t>Bangalore</t>
        </is>
      </c>
      <c r="D266" t="inlineStr">
        <is>
          <t>Gold</t>
        </is>
      </c>
      <c r="E266" t="n">
        <v>31</v>
      </c>
      <c r="F266" t="inlineStr">
        <is>
          <t>Other</t>
        </is>
      </c>
    </row>
    <row r="267">
      <c r="A267" t="n">
        <v>1266</v>
      </c>
      <c r="B267" t="inlineStr">
        <is>
          <t>Customer_1266</t>
        </is>
      </c>
      <c r="C267" t="inlineStr">
        <is>
          <t>Mumbai</t>
        </is>
      </c>
      <c r="D267" t="inlineStr">
        <is>
          <t>Silver</t>
        </is>
      </c>
      <c r="E267" t="n">
        <v>34</v>
      </c>
      <c r="F267" t="inlineStr">
        <is>
          <t>Other</t>
        </is>
      </c>
    </row>
    <row r="268">
      <c r="A268" t="n">
        <v>1267</v>
      </c>
      <c r="B268" t="inlineStr">
        <is>
          <t>Customer_1267</t>
        </is>
      </c>
      <c r="C268" t="inlineStr">
        <is>
          <t>Bangalore</t>
        </is>
      </c>
      <c r="D268" t="inlineStr">
        <is>
          <t>Silver</t>
        </is>
      </c>
      <c r="E268" t="n">
        <v>28</v>
      </c>
      <c r="F268" t="inlineStr">
        <is>
          <t>Male</t>
        </is>
      </c>
    </row>
    <row r="269">
      <c r="A269" t="n">
        <v>1268</v>
      </c>
      <c r="B269" t="inlineStr">
        <is>
          <t>Customer_1268</t>
        </is>
      </c>
      <c r="C269" t="inlineStr">
        <is>
          <t>Mumbai</t>
        </is>
      </c>
      <c r="D269" t="inlineStr">
        <is>
          <t>Silver</t>
        </is>
      </c>
      <c r="E269" t="n">
        <v>53</v>
      </c>
      <c r="F269" t="inlineStr">
        <is>
          <t>Male</t>
        </is>
      </c>
    </row>
    <row r="270">
      <c r="A270" t="n">
        <v>1269</v>
      </c>
      <c r="B270" t="inlineStr">
        <is>
          <t>Customer_1269</t>
        </is>
      </c>
      <c r="C270" t="inlineStr">
        <is>
          <t>Mumbai</t>
        </is>
      </c>
      <c r="D270" t="inlineStr">
        <is>
          <t>Regular</t>
        </is>
      </c>
      <c r="E270" t="n">
        <v>18</v>
      </c>
      <c r="F270" t="inlineStr">
        <is>
          <t>Female</t>
        </is>
      </c>
    </row>
    <row r="271">
      <c r="A271" t="n">
        <v>1270</v>
      </c>
      <c r="B271" t="inlineStr">
        <is>
          <t>Customer_1270</t>
        </is>
      </c>
      <c r="C271" t="inlineStr">
        <is>
          <t>Hyderabad</t>
        </is>
      </c>
      <c r="D271" t="inlineStr">
        <is>
          <t>Regular</t>
        </is>
      </c>
      <c r="E271" t="n">
        <v>56</v>
      </c>
      <c r="F271" t="inlineStr">
        <is>
          <t>Female</t>
        </is>
      </c>
    </row>
    <row r="272">
      <c r="A272" t="n">
        <v>1271</v>
      </c>
      <c r="B272" t="inlineStr">
        <is>
          <t>Customer_1271</t>
        </is>
      </c>
      <c r="C272" t="inlineStr">
        <is>
          <t>Delhi NCR</t>
        </is>
      </c>
      <c r="D272" t="inlineStr">
        <is>
          <t>Silver</t>
        </is>
      </c>
      <c r="E272" t="n">
        <v>20</v>
      </c>
      <c r="F272" t="inlineStr">
        <is>
          <t>Male</t>
        </is>
      </c>
    </row>
    <row r="273">
      <c r="A273" t="n">
        <v>1272</v>
      </c>
      <c r="B273" t="inlineStr">
        <is>
          <t>Customer_1272</t>
        </is>
      </c>
      <c r="C273" t="inlineStr">
        <is>
          <t>Delhi NCR</t>
        </is>
      </c>
      <c r="D273" t="inlineStr">
        <is>
          <t>Silver</t>
        </is>
      </c>
      <c r="E273" t="n">
        <v>36</v>
      </c>
      <c r="F273" t="inlineStr">
        <is>
          <t>Other</t>
        </is>
      </c>
    </row>
    <row r="274">
      <c r="A274" t="n">
        <v>1273</v>
      </c>
      <c r="B274" t="inlineStr">
        <is>
          <t>Customer_1273</t>
        </is>
      </c>
      <c r="C274" t="inlineStr">
        <is>
          <t>Hyderabad</t>
        </is>
      </c>
      <c r="D274" t="inlineStr">
        <is>
          <t>Gold</t>
        </is>
      </c>
      <c r="E274" t="n">
        <v>22</v>
      </c>
      <c r="F274" t="inlineStr">
        <is>
          <t>Other</t>
        </is>
      </c>
    </row>
    <row r="275">
      <c r="A275" t="n">
        <v>1274</v>
      </c>
      <c r="B275" t="inlineStr">
        <is>
          <t>Customer_1274</t>
        </is>
      </c>
      <c r="C275" t="inlineStr">
        <is>
          <t>Mumbai</t>
        </is>
      </c>
      <c r="D275" t="inlineStr">
        <is>
          <t>Gold</t>
        </is>
      </c>
      <c r="E275" t="n">
        <v>34</v>
      </c>
      <c r="F275" t="inlineStr">
        <is>
          <t>Other</t>
        </is>
      </c>
    </row>
    <row r="276">
      <c r="A276" t="n">
        <v>1275</v>
      </c>
      <c r="B276" t="inlineStr">
        <is>
          <t>Customer_1275</t>
        </is>
      </c>
      <c r="C276" t="inlineStr">
        <is>
          <t>Pune</t>
        </is>
      </c>
      <c r="D276" t="inlineStr">
        <is>
          <t>Regular</t>
        </is>
      </c>
      <c r="E276" t="n">
        <v>30</v>
      </c>
      <c r="F276" t="inlineStr">
        <is>
          <t>Female</t>
        </is>
      </c>
    </row>
    <row r="277">
      <c r="A277" t="n">
        <v>1276</v>
      </c>
      <c r="B277" t="inlineStr">
        <is>
          <t>Customer_1276</t>
        </is>
      </c>
      <c r="C277" t="inlineStr">
        <is>
          <t>Bangalore</t>
        </is>
      </c>
      <c r="D277" t="inlineStr">
        <is>
          <t>Regular</t>
        </is>
      </c>
      <c r="E277" t="n">
        <v>52</v>
      </c>
      <c r="F277" t="inlineStr">
        <is>
          <t>Male</t>
        </is>
      </c>
    </row>
    <row r="278">
      <c r="A278" t="n">
        <v>1277</v>
      </c>
      <c r="B278" t="inlineStr">
        <is>
          <t>Customer_1277</t>
        </is>
      </c>
      <c r="C278" t="inlineStr">
        <is>
          <t>Mumbai</t>
        </is>
      </c>
      <c r="D278" t="inlineStr">
        <is>
          <t>Silver</t>
        </is>
      </c>
      <c r="E278" t="n">
        <v>35</v>
      </c>
      <c r="F278" t="inlineStr">
        <is>
          <t>Male</t>
        </is>
      </c>
    </row>
    <row r="279">
      <c r="A279" t="n">
        <v>1278</v>
      </c>
      <c r="B279" t="inlineStr">
        <is>
          <t>Customer_1278</t>
        </is>
      </c>
      <c r="C279" t="inlineStr">
        <is>
          <t>Bangalore</t>
        </is>
      </c>
      <c r="D279" t="inlineStr">
        <is>
          <t>Silver</t>
        </is>
      </c>
      <c r="E279" t="n">
        <v>21</v>
      </c>
      <c r="F279" t="inlineStr">
        <is>
          <t>Male</t>
        </is>
      </c>
    </row>
    <row r="280">
      <c r="A280" t="n">
        <v>1279</v>
      </c>
      <c r="B280" t="inlineStr">
        <is>
          <t>Customer_1279</t>
        </is>
      </c>
      <c r="C280" t="inlineStr">
        <is>
          <t>Delhi NCR</t>
        </is>
      </c>
      <c r="D280" t="inlineStr">
        <is>
          <t>Silver</t>
        </is>
      </c>
      <c r="E280" t="n">
        <v>56</v>
      </c>
      <c r="F280" t="inlineStr">
        <is>
          <t>Other</t>
        </is>
      </c>
    </row>
    <row r="281">
      <c r="A281" t="n">
        <v>1280</v>
      </c>
      <c r="B281" t="inlineStr">
        <is>
          <t>Customer_1280</t>
        </is>
      </c>
      <c r="C281" t="inlineStr">
        <is>
          <t>Pune</t>
        </is>
      </c>
      <c r="D281" t="inlineStr">
        <is>
          <t>Silver</t>
        </is>
      </c>
      <c r="E281" t="n">
        <v>36</v>
      </c>
      <c r="F281" t="inlineStr">
        <is>
          <t>Female</t>
        </is>
      </c>
    </row>
    <row r="282">
      <c r="A282" t="n">
        <v>1281</v>
      </c>
      <c r="B282" t="inlineStr">
        <is>
          <t>Customer_1281</t>
        </is>
      </c>
      <c r="C282" t="inlineStr">
        <is>
          <t>Bangalore</t>
        </is>
      </c>
      <c r="D282" t="inlineStr">
        <is>
          <t>Gold</t>
        </is>
      </c>
      <c r="E282" t="n">
        <v>47</v>
      </c>
      <c r="F282" t="inlineStr">
        <is>
          <t>Other</t>
        </is>
      </c>
    </row>
    <row r="283">
      <c r="A283" t="n">
        <v>1282</v>
      </c>
      <c r="B283" t="inlineStr">
        <is>
          <t>Customer_1282</t>
        </is>
      </c>
      <c r="C283" t="inlineStr">
        <is>
          <t>Delhi NCR</t>
        </is>
      </c>
      <c r="D283" t="inlineStr">
        <is>
          <t>Regular</t>
        </is>
      </c>
      <c r="E283" t="n">
        <v>43</v>
      </c>
      <c r="F283" t="inlineStr">
        <is>
          <t>Female</t>
        </is>
      </c>
    </row>
    <row r="284">
      <c r="A284" t="n">
        <v>1283</v>
      </c>
      <c r="B284" t="inlineStr">
        <is>
          <t>Customer_1283</t>
        </is>
      </c>
      <c r="C284" t="inlineStr">
        <is>
          <t>Pune</t>
        </is>
      </c>
      <c r="D284" t="inlineStr">
        <is>
          <t>Regular</t>
        </is>
      </c>
      <c r="E284" t="n">
        <v>52</v>
      </c>
      <c r="F284" t="inlineStr">
        <is>
          <t>Female</t>
        </is>
      </c>
    </row>
    <row r="285">
      <c r="A285" t="n">
        <v>1284</v>
      </c>
      <c r="B285" t="inlineStr">
        <is>
          <t>Customer_1284</t>
        </is>
      </c>
      <c r="C285" t="inlineStr">
        <is>
          <t>Hyderabad</t>
        </is>
      </c>
      <c r="D285" t="inlineStr">
        <is>
          <t>Regular</t>
        </is>
      </c>
      <c r="E285" t="n">
        <v>23</v>
      </c>
      <c r="F285" t="inlineStr">
        <is>
          <t>Other</t>
        </is>
      </c>
    </row>
    <row r="286">
      <c r="A286" t="n">
        <v>1285</v>
      </c>
      <c r="B286" t="inlineStr">
        <is>
          <t>Customer_1285</t>
        </is>
      </c>
      <c r="C286" t="inlineStr">
        <is>
          <t>Bangalore</t>
        </is>
      </c>
      <c r="D286" t="inlineStr">
        <is>
          <t>Regular</t>
        </is>
      </c>
      <c r="E286" t="n">
        <v>45</v>
      </c>
      <c r="F286" t="inlineStr">
        <is>
          <t>Other</t>
        </is>
      </c>
    </row>
    <row r="287">
      <c r="A287" t="n">
        <v>1286</v>
      </c>
      <c r="B287" t="inlineStr">
        <is>
          <t>Customer_1286</t>
        </is>
      </c>
      <c r="C287" t="inlineStr">
        <is>
          <t>Delhi NCR</t>
        </is>
      </c>
      <c r="D287" t="inlineStr">
        <is>
          <t>Regular</t>
        </is>
      </c>
      <c r="E287" t="n">
        <v>56</v>
      </c>
      <c r="F287" t="inlineStr">
        <is>
          <t>Female</t>
        </is>
      </c>
    </row>
    <row r="288">
      <c r="A288" t="n">
        <v>1287</v>
      </c>
      <c r="B288" t="inlineStr">
        <is>
          <t>Customer_1287</t>
        </is>
      </c>
      <c r="C288" t="inlineStr">
        <is>
          <t>Bangalore</t>
        </is>
      </c>
      <c r="D288" t="inlineStr">
        <is>
          <t>Regular</t>
        </is>
      </c>
      <c r="E288" t="n">
        <v>23</v>
      </c>
      <c r="F288" t="inlineStr">
        <is>
          <t>Male</t>
        </is>
      </c>
    </row>
    <row r="289">
      <c r="A289" t="n">
        <v>1288</v>
      </c>
      <c r="B289" t="inlineStr">
        <is>
          <t>Customer_1288</t>
        </is>
      </c>
      <c r="C289" t="inlineStr">
        <is>
          <t>Pune</t>
        </is>
      </c>
      <c r="D289" t="inlineStr">
        <is>
          <t>Regular</t>
        </is>
      </c>
      <c r="E289" t="n">
        <v>55</v>
      </c>
      <c r="F289" t="inlineStr">
        <is>
          <t>Male</t>
        </is>
      </c>
    </row>
    <row r="290">
      <c r="A290" t="n">
        <v>1289</v>
      </c>
      <c r="B290" t="inlineStr">
        <is>
          <t>Customer_1289</t>
        </is>
      </c>
      <c r="C290" t="inlineStr">
        <is>
          <t>Delhi NCR</t>
        </is>
      </c>
      <c r="D290" t="inlineStr">
        <is>
          <t>Regular</t>
        </is>
      </c>
      <c r="E290" t="n">
        <v>54</v>
      </c>
      <c r="F290" t="inlineStr">
        <is>
          <t>Male</t>
        </is>
      </c>
    </row>
    <row r="291">
      <c r="A291" t="n">
        <v>1290</v>
      </c>
      <c r="B291" t="inlineStr">
        <is>
          <t>Customer_1290</t>
        </is>
      </c>
      <c r="C291" t="inlineStr">
        <is>
          <t>Mumbai</t>
        </is>
      </c>
      <c r="D291" t="inlineStr">
        <is>
          <t>Regular</t>
        </is>
      </c>
      <c r="E291" t="n">
        <v>48</v>
      </c>
      <c r="F291" t="inlineStr">
        <is>
          <t>Other</t>
        </is>
      </c>
    </row>
    <row r="292">
      <c r="A292" t="n">
        <v>1291</v>
      </c>
      <c r="B292" t="inlineStr">
        <is>
          <t>Customer_1291</t>
        </is>
      </c>
      <c r="C292" t="inlineStr">
        <is>
          <t>Hyderabad</t>
        </is>
      </c>
      <c r="D292" t="inlineStr">
        <is>
          <t>Regular</t>
        </is>
      </c>
      <c r="E292" t="n">
        <v>35</v>
      </c>
      <c r="F292" t="inlineStr">
        <is>
          <t>Male</t>
        </is>
      </c>
    </row>
    <row r="293">
      <c r="A293" t="n">
        <v>1292</v>
      </c>
      <c r="B293" t="inlineStr">
        <is>
          <t>Customer_1292</t>
        </is>
      </c>
      <c r="C293" t="inlineStr">
        <is>
          <t>Pune</t>
        </is>
      </c>
      <c r="D293" t="inlineStr">
        <is>
          <t>Regular</t>
        </is>
      </c>
      <c r="E293" t="n">
        <v>45</v>
      </c>
      <c r="F293" t="inlineStr">
        <is>
          <t>Other</t>
        </is>
      </c>
    </row>
    <row r="294">
      <c r="A294" t="n">
        <v>1293</v>
      </c>
      <c r="B294" t="inlineStr">
        <is>
          <t>Customer_1293</t>
        </is>
      </c>
      <c r="C294" t="inlineStr">
        <is>
          <t>Hyderabad</t>
        </is>
      </c>
      <c r="D294" t="inlineStr">
        <is>
          <t>Silver</t>
        </is>
      </c>
      <c r="E294" t="n">
        <v>23</v>
      </c>
      <c r="F294" t="inlineStr">
        <is>
          <t>Female</t>
        </is>
      </c>
    </row>
    <row r="295">
      <c r="A295" t="n">
        <v>1294</v>
      </c>
      <c r="B295" t="inlineStr">
        <is>
          <t>Customer_1294</t>
        </is>
      </c>
      <c r="C295" t="inlineStr">
        <is>
          <t>Delhi NCR</t>
        </is>
      </c>
      <c r="D295" t="inlineStr">
        <is>
          <t>Regular</t>
        </is>
      </c>
      <c r="E295" t="n">
        <v>44</v>
      </c>
      <c r="F295" t="inlineStr">
        <is>
          <t>Female</t>
        </is>
      </c>
    </row>
    <row r="296">
      <c r="A296" t="n">
        <v>1295</v>
      </c>
      <c r="B296" t="inlineStr">
        <is>
          <t>Customer_1295</t>
        </is>
      </c>
      <c r="C296" t="inlineStr">
        <is>
          <t>Delhi NCR</t>
        </is>
      </c>
      <c r="D296" t="inlineStr">
        <is>
          <t>Regular</t>
        </is>
      </c>
      <c r="E296" t="n">
        <v>24</v>
      </c>
      <c r="F296" t="inlineStr">
        <is>
          <t>Male</t>
        </is>
      </c>
    </row>
    <row r="297">
      <c r="A297" t="n">
        <v>1296</v>
      </c>
      <c r="B297" t="inlineStr">
        <is>
          <t>Customer_1296</t>
        </is>
      </c>
      <c r="C297" t="inlineStr">
        <is>
          <t>Delhi NCR</t>
        </is>
      </c>
      <c r="D297" t="inlineStr">
        <is>
          <t>Regular</t>
        </is>
      </c>
      <c r="E297" t="n">
        <v>44</v>
      </c>
      <c r="F297" t="inlineStr">
        <is>
          <t>Other</t>
        </is>
      </c>
    </row>
    <row r="298">
      <c r="A298" t="n">
        <v>1297</v>
      </c>
      <c r="B298" t="inlineStr">
        <is>
          <t>Customer_1297</t>
        </is>
      </c>
      <c r="C298" t="inlineStr">
        <is>
          <t>Hyderabad</t>
        </is>
      </c>
      <c r="D298" t="inlineStr">
        <is>
          <t>Silver</t>
        </is>
      </c>
      <c r="E298" t="n">
        <v>36</v>
      </c>
      <c r="F298" t="inlineStr">
        <is>
          <t>Other</t>
        </is>
      </c>
    </row>
    <row r="299">
      <c r="A299" t="n">
        <v>1298</v>
      </c>
      <c r="B299" t="inlineStr">
        <is>
          <t>Customer_1298</t>
        </is>
      </c>
      <c r="C299" t="inlineStr">
        <is>
          <t>Hyderabad</t>
        </is>
      </c>
      <c r="D299" t="inlineStr">
        <is>
          <t>Regular</t>
        </is>
      </c>
      <c r="E299" t="n">
        <v>53</v>
      </c>
      <c r="F299" t="inlineStr">
        <is>
          <t>Male</t>
        </is>
      </c>
    </row>
    <row r="300">
      <c r="A300" t="n">
        <v>1299</v>
      </c>
      <c r="B300" t="inlineStr">
        <is>
          <t>Customer_1299</t>
        </is>
      </c>
      <c r="C300" t="inlineStr">
        <is>
          <t>Hyderabad</t>
        </is>
      </c>
      <c r="D300" t="inlineStr">
        <is>
          <t>Silver</t>
        </is>
      </c>
      <c r="E300" t="n">
        <v>23</v>
      </c>
      <c r="F300" t="inlineStr">
        <is>
          <t>Female</t>
        </is>
      </c>
    </row>
    <row r="301">
      <c r="A301" t="n">
        <v>1300</v>
      </c>
      <c r="B301" t="inlineStr">
        <is>
          <t>Customer_1300</t>
        </is>
      </c>
      <c r="C301" t="inlineStr">
        <is>
          <t>Delhi NCR</t>
        </is>
      </c>
      <c r="D301" t="inlineStr">
        <is>
          <t>Regular</t>
        </is>
      </c>
      <c r="E301" t="n">
        <v>38</v>
      </c>
      <c r="F30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restaurant_id</t>
        </is>
      </c>
      <c r="B1" s="21" t="inlineStr">
        <is>
          <t>restaurant_name</t>
        </is>
      </c>
      <c r="C1" s="21" t="inlineStr">
        <is>
          <t>city</t>
        </is>
      </c>
      <c r="D1" s="21" t="inlineStr">
        <is>
          <t>cuisine_category</t>
        </is>
      </c>
      <c r="E1" s="21" t="inlineStr">
        <is>
          <t>avg_rating</t>
        </is>
      </c>
      <c r="F1" s="21" t="inlineStr">
        <is>
          <t>commission_rate</t>
        </is>
      </c>
    </row>
    <row r="2">
      <c r="A2" t="n">
        <v>101</v>
      </c>
      <c r="B2" t="inlineStr">
        <is>
          <t>Spice Hub</t>
        </is>
      </c>
      <c r="C2" t="inlineStr">
        <is>
          <t>Bangalore</t>
        </is>
      </c>
      <c r="D2" t="inlineStr">
        <is>
          <t>North Indian</t>
        </is>
      </c>
      <c r="E2" t="n">
        <v>4.3</v>
      </c>
      <c r="F2" t="n">
        <v>0.2</v>
      </c>
    </row>
    <row r="3">
      <c r="A3" t="n">
        <v>102</v>
      </c>
      <c r="B3" t="inlineStr">
        <is>
          <t>Royal Biryani Mahal</t>
        </is>
      </c>
      <c r="C3" t="inlineStr">
        <is>
          <t>Hyderabad</t>
        </is>
      </c>
      <c r="D3" t="inlineStr">
        <is>
          <t>Biryani</t>
        </is>
      </c>
      <c r="E3" t="n">
        <v>4.6</v>
      </c>
      <c r="F3" t="n">
        <v>0.22</v>
      </c>
    </row>
    <row r="4">
      <c r="A4" t="n">
        <v>103</v>
      </c>
      <c r="B4" t="inlineStr">
        <is>
          <t>Pizza Fiesta</t>
        </is>
      </c>
      <c r="C4" t="inlineStr">
        <is>
          <t>Mumbai</t>
        </is>
      </c>
      <c r="D4" t="inlineStr">
        <is>
          <t>Italian</t>
        </is>
      </c>
      <c r="E4" t="n">
        <v>4.1</v>
      </c>
      <c r="F4" t="n">
        <v>0.18</v>
      </c>
    </row>
    <row r="5">
      <c r="A5" t="n">
        <v>104</v>
      </c>
      <c r="B5" t="inlineStr">
        <is>
          <t>Burger Junction</t>
        </is>
      </c>
      <c r="C5" t="inlineStr">
        <is>
          <t>Delhi NCR</t>
        </is>
      </c>
      <c r="D5" t="inlineStr">
        <is>
          <t>Fast Food</t>
        </is>
      </c>
      <c r="E5" t="n">
        <v>4.2</v>
      </c>
      <c r="F5" t="n">
        <v>0.18</v>
      </c>
    </row>
    <row r="6">
      <c r="A6" t="n">
        <v>105</v>
      </c>
      <c r="B6" t="inlineStr">
        <is>
          <t>Wok Express</t>
        </is>
      </c>
      <c r="C6" t="inlineStr">
        <is>
          <t>Bangalore</t>
        </is>
      </c>
      <c r="D6" t="inlineStr">
        <is>
          <t>Chinese</t>
        </is>
      </c>
      <c r="E6" t="n">
        <v>3.9</v>
      </c>
      <c r="F6" t="n">
        <v>0.2</v>
      </c>
    </row>
    <row r="7">
      <c r="A7" t="n">
        <v>106</v>
      </c>
      <c r="B7" t="inlineStr">
        <is>
          <t>Green Leaf Veg</t>
        </is>
      </c>
      <c r="C7" t="inlineStr">
        <is>
          <t>Pune</t>
        </is>
      </c>
      <c r="D7" t="inlineStr">
        <is>
          <t>South Indian</t>
        </is>
      </c>
      <c r="E7" t="n">
        <v>4.5</v>
      </c>
      <c r="F7" t="n">
        <v>0.15</v>
      </c>
    </row>
    <row r="8">
      <c r="A8" t="n">
        <v>107</v>
      </c>
      <c r="B8" t="inlineStr">
        <is>
          <t>Sweet Tooth Bakery</t>
        </is>
      </c>
      <c r="C8" t="inlineStr">
        <is>
          <t>Mumbai</t>
        </is>
      </c>
      <c r="D8" t="inlineStr">
        <is>
          <t>Desserts</t>
        </is>
      </c>
      <c r="E8" t="n">
        <v>4.7</v>
      </c>
      <c r="F8" t="n">
        <v>0.25</v>
      </c>
    </row>
    <row r="9">
      <c r="A9" t="n">
        <v>108</v>
      </c>
      <c r="B9" t="inlineStr">
        <is>
          <t>Dilli 6 Chaat Corner</t>
        </is>
      </c>
      <c r="C9" t="inlineStr">
        <is>
          <t>Delhi NCR</t>
        </is>
      </c>
      <c r="D9" t="inlineStr">
        <is>
          <t>Fast Food</t>
        </is>
      </c>
      <c r="E9" t="n">
        <v>4.4</v>
      </c>
      <c r="F9" t="n">
        <v>0.18</v>
      </c>
    </row>
    <row r="10">
      <c r="A10" t="n">
        <v>109</v>
      </c>
      <c r="B10" t="inlineStr">
        <is>
          <t>Hyderabadi Bawarchi</t>
        </is>
      </c>
      <c r="C10" t="inlineStr">
        <is>
          <t>Hyderabad</t>
        </is>
      </c>
      <c r="D10" t="inlineStr">
        <is>
          <t>Biryani</t>
        </is>
      </c>
      <c r="E10" t="n">
        <v>4.3</v>
      </c>
      <c r="F10" t="n">
        <v>0.2</v>
      </c>
    </row>
    <row r="11">
      <c r="A11" t="n">
        <v>110</v>
      </c>
      <c r="B11" t="inlineStr">
        <is>
          <t>Puneri Thali House</t>
        </is>
      </c>
      <c r="C11" t="inlineStr">
        <is>
          <t>Pune</t>
        </is>
      </c>
      <c r="D11" t="inlineStr">
        <is>
          <t>North Indian</t>
        </is>
      </c>
      <c r="E11" t="n">
        <v>4</v>
      </c>
      <c r="F11" t="n">
        <v>0.18</v>
      </c>
    </row>
    <row r="12">
      <c r="A12" t="n">
        <v>111</v>
      </c>
      <c r="B12" t="inlineStr">
        <is>
          <t>Udupi Sagar</t>
        </is>
      </c>
      <c r="C12" t="inlineStr">
        <is>
          <t>Bangalore</t>
        </is>
      </c>
      <c r="D12" t="inlineStr">
        <is>
          <t>South Indian</t>
        </is>
      </c>
      <c r="E12" t="n">
        <v>4.4</v>
      </c>
      <c r="F12" t="n">
        <v>0.15</v>
      </c>
    </row>
    <row r="13">
      <c r="A13" t="n">
        <v>112</v>
      </c>
      <c r="B13" t="inlineStr">
        <is>
          <t>Tandoori Nights</t>
        </is>
      </c>
      <c r="C13" t="inlineStr">
        <is>
          <t>Delhi NCR</t>
        </is>
      </c>
      <c r="D13" t="inlineStr">
        <is>
          <t>North Indian</t>
        </is>
      </c>
      <c r="E13" t="n">
        <v>3.8</v>
      </c>
      <c r="F13" t="n">
        <v>0.22</v>
      </c>
    </row>
    <row r="14">
      <c r="A14" t="n">
        <v>113</v>
      </c>
      <c r="B14" t="inlineStr">
        <is>
          <t>Chowpatty Delights</t>
        </is>
      </c>
      <c r="C14" t="inlineStr">
        <is>
          <t>Mumbai</t>
        </is>
      </c>
      <c r="D14" t="inlineStr">
        <is>
          <t>Fast Food</t>
        </is>
      </c>
      <c r="E14" t="n">
        <v>4.2</v>
      </c>
      <c r="F14" t="n">
        <v>0.18</v>
      </c>
    </row>
    <row r="15">
      <c r="A15" t="n">
        <v>114</v>
      </c>
      <c r="B15" t="inlineStr">
        <is>
          <t>Nizam's Kitchen</t>
        </is>
      </c>
      <c r="C15" t="inlineStr">
        <is>
          <t>Hyderabad</t>
        </is>
      </c>
      <c r="D15" t="inlineStr">
        <is>
          <t>Biryani</t>
        </is>
      </c>
      <c r="E15" t="n">
        <v>4.5</v>
      </c>
      <c r="F15" t="n">
        <v>0.22</v>
      </c>
    </row>
    <row r="16">
      <c r="A16" t="n">
        <v>115</v>
      </c>
      <c r="B16" t="inlineStr">
        <is>
          <t>Pasta Street</t>
        </is>
      </c>
      <c r="C16" t="inlineStr">
        <is>
          <t>Bangalore</t>
        </is>
      </c>
      <c r="D16" t="inlineStr">
        <is>
          <t>Italian</t>
        </is>
      </c>
      <c r="E16" t="n">
        <v>4</v>
      </c>
      <c r="F16" t="n">
        <v>0.2</v>
      </c>
    </row>
    <row r="17">
      <c r="A17" t="n">
        <v>116</v>
      </c>
      <c r="B17" t="inlineStr">
        <is>
          <t>The Belgian Waffle Co</t>
        </is>
      </c>
      <c r="C17" t="inlineStr">
        <is>
          <t>Pune</t>
        </is>
      </c>
      <c r="D17" t="inlineStr">
        <is>
          <t>Desserts</t>
        </is>
      </c>
      <c r="E17" t="n">
        <v>4.6</v>
      </c>
      <c r="F17" t="n">
        <v>0.25</v>
      </c>
    </row>
    <row r="18">
      <c r="A18" t="n">
        <v>117</v>
      </c>
      <c r="B18" t="inlineStr">
        <is>
          <t>Dragon Bowl</t>
        </is>
      </c>
      <c r="C18" t="inlineStr">
        <is>
          <t>Mumbai</t>
        </is>
      </c>
      <c r="D18" t="inlineStr">
        <is>
          <t>Chinese</t>
        </is>
      </c>
      <c r="E18" t="n">
        <v>3.7</v>
      </c>
      <c r="F18" t="n">
        <v>0.2</v>
      </c>
    </row>
    <row r="19">
      <c r="A19" t="n">
        <v>118</v>
      </c>
      <c r="B19" t="inlineStr">
        <is>
          <t>Punjabi Angithi</t>
        </is>
      </c>
      <c r="C19" t="inlineStr">
        <is>
          <t>Delhi NCR</t>
        </is>
      </c>
      <c r="D19" t="inlineStr">
        <is>
          <t>North Indian</t>
        </is>
      </c>
      <c r="E19" t="n">
        <v>4.3</v>
      </c>
      <c r="F19" t="n">
        <v>0.2</v>
      </c>
    </row>
    <row r="20">
      <c r="A20" t="n">
        <v>119</v>
      </c>
      <c r="B20" t="inlineStr">
        <is>
          <t>Paradise Flavors</t>
        </is>
      </c>
      <c r="C20" t="inlineStr">
        <is>
          <t>Hyderabad</t>
        </is>
      </c>
      <c r="D20" t="inlineStr">
        <is>
          <t>Biryani</t>
        </is>
      </c>
      <c r="E20" t="n">
        <v>4.1</v>
      </c>
      <c r="F20" t="n">
        <v>0.2</v>
      </c>
    </row>
    <row r="21">
      <c r="A21" t="n">
        <v>120</v>
      </c>
      <c r="B21" t="inlineStr">
        <is>
          <t>Cafe Goodluck</t>
        </is>
      </c>
      <c r="C21" t="inlineStr">
        <is>
          <t>Pune</t>
        </is>
      </c>
      <c r="D21" t="inlineStr">
        <is>
          <t>Fast Food</t>
        </is>
      </c>
      <c r="E21" t="n">
        <v>4.5</v>
      </c>
      <c r="F21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partner_id</t>
        </is>
      </c>
      <c r="B1" s="21" t="inlineStr">
        <is>
          <t>partner_name</t>
        </is>
      </c>
      <c r="C1" s="21" t="inlineStr">
        <is>
          <t>base_city</t>
        </is>
      </c>
      <c r="D1" s="21" t="inlineStr">
        <is>
          <t>vehicle_type</t>
        </is>
      </c>
      <c r="E1" s="21" t="inlineStr">
        <is>
          <t>rating</t>
        </is>
      </c>
    </row>
    <row r="2">
      <c r="A2" t="n">
        <v>201</v>
      </c>
      <c r="B2" t="inlineStr">
        <is>
          <t>Partner_201</t>
        </is>
      </c>
      <c r="C2" t="inlineStr">
        <is>
          <t>Bangalore</t>
        </is>
      </c>
      <c r="D2" t="inlineStr">
        <is>
          <t>Motorcycle</t>
        </is>
      </c>
      <c r="E2" t="n">
        <v>4.7</v>
      </c>
    </row>
    <row r="3">
      <c r="A3" t="n">
        <v>202</v>
      </c>
      <c r="B3" t="inlineStr">
        <is>
          <t>Partner_202</t>
        </is>
      </c>
      <c r="C3" t="inlineStr">
        <is>
          <t>Mumbai</t>
        </is>
      </c>
      <c r="D3" t="inlineStr">
        <is>
          <t>Motorcycle</t>
        </is>
      </c>
      <c r="E3" t="n">
        <v>4.1</v>
      </c>
    </row>
    <row r="4">
      <c r="A4" t="n">
        <v>203</v>
      </c>
      <c r="B4" t="inlineStr">
        <is>
          <t>Partner_203</t>
        </is>
      </c>
      <c r="C4" t="inlineStr">
        <is>
          <t>Bangalore</t>
        </is>
      </c>
      <c r="D4" t="inlineStr">
        <is>
          <t>Electric Bike</t>
        </is>
      </c>
      <c r="E4" t="n">
        <v>4.7</v>
      </c>
    </row>
    <row r="5">
      <c r="A5" t="n">
        <v>204</v>
      </c>
      <c r="B5" t="inlineStr">
        <is>
          <t>Partner_204</t>
        </is>
      </c>
      <c r="C5" t="inlineStr">
        <is>
          <t>Pune</t>
        </is>
      </c>
      <c r="D5" t="inlineStr">
        <is>
          <t>Motorcycle</t>
        </is>
      </c>
      <c r="E5" t="n">
        <v>4.5</v>
      </c>
    </row>
    <row r="6">
      <c r="A6" t="n">
        <v>205</v>
      </c>
      <c r="B6" t="inlineStr">
        <is>
          <t>Partner_205</t>
        </is>
      </c>
      <c r="C6" t="inlineStr">
        <is>
          <t>Bangalore</t>
        </is>
      </c>
      <c r="D6" t="inlineStr">
        <is>
          <t>Motorcycle</t>
        </is>
      </c>
      <c r="E6" t="n">
        <v>4.1</v>
      </c>
    </row>
    <row r="7">
      <c r="A7" t="n">
        <v>206</v>
      </c>
      <c r="B7" t="inlineStr">
        <is>
          <t>Partner_206</t>
        </is>
      </c>
      <c r="C7" t="inlineStr">
        <is>
          <t>Mumbai</t>
        </is>
      </c>
      <c r="D7" t="inlineStr">
        <is>
          <t>Electric Bike</t>
        </is>
      </c>
      <c r="E7" t="n">
        <v>4.5</v>
      </c>
    </row>
    <row r="8">
      <c r="A8" t="n">
        <v>207</v>
      </c>
      <c r="B8" t="inlineStr">
        <is>
          <t>Partner_207</t>
        </is>
      </c>
      <c r="C8" t="inlineStr">
        <is>
          <t>Pune</t>
        </is>
      </c>
      <c r="D8" t="inlineStr">
        <is>
          <t>Motorcycle</t>
        </is>
      </c>
      <c r="E8" t="n">
        <v>4.6</v>
      </c>
    </row>
    <row r="9">
      <c r="A9" t="n">
        <v>208</v>
      </c>
      <c r="B9" t="inlineStr">
        <is>
          <t>Partner_208</t>
        </is>
      </c>
      <c r="C9" t="inlineStr">
        <is>
          <t>Pune</t>
        </is>
      </c>
      <c r="D9" t="inlineStr">
        <is>
          <t>Scooter</t>
        </is>
      </c>
      <c r="E9" t="n">
        <v>4.2</v>
      </c>
    </row>
    <row r="10">
      <c r="A10" t="n">
        <v>209</v>
      </c>
      <c r="B10" t="inlineStr">
        <is>
          <t>Partner_209</t>
        </is>
      </c>
      <c r="C10" t="inlineStr">
        <is>
          <t>Pune</t>
        </is>
      </c>
      <c r="D10" t="inlineStr">
        <is>
          <t>Scooter</t>
        </is>
      </c>
      <c r="E10" t="n">
        <v>4.7</v>
      </c>
    </row>
    <row r="11">
      <c r="A11" t="n">
        <v>210</v>
      </c>
      <c r="B11" t="inlineStr">
        <is>
          <t>Partner_210</t>
        </is>
      </c>
      <c r="C11" t="inlineStr">
        <is>
          <t>Bangalore</t>
        </is>
      </c>
      <c r="D11" t="inlineStr">
        <is>
          <t>Motorcycle</t>
        </is>
      </c>
      <c r="E11" t="n">
        <v>4.6</v>
      </c>
    </row>
    <row r="12">
      <c r="A12" t="n">
        <v>211</v>
      </c>
      <c r="B12" t="inlineStr">
        <is>
          <t>Partner_211</t>
        </is>
      </c>
      <c r="C12" t="inlineStr">
        <is>
          <t>Delhi NCR</t>
        </is>
      </c>
      <c r="D12" t="inlineStr">
        <is>
          <t>Scooter</t>
        </is>
      </c>
      <c r="E12" t="n">
        <v>4.1</v>
      </c>
    </row>
    <row r="13">
      <c r="A13" t="n">
        <v>212</v>
      </c>
      <c r="B13" t="inlineStr">
        <is>
          <t>Partner_212</t>
        </is>
      </c>
      <c r="C13" t="inlineStr">
        <is>
          <t>Delhi NCR</t>
        </is>
      </c>
      <c r="D13" t="inlineStr">
        <is>
          <t>Motorcycle</t>
        </is>
      </c>
      <c r="E13" t="n">
        <v>4.1</v>
      </c>
    </row>
    <row r="14">
      <c r="A14" t="n">
        <v>213</v>
      </c>
      <c r="B14" t="inlineStr">
        <is>
          <t>Partner_213</t>
        </is>
      </c>
      <c r="C14" t="inlineStr">
        <is>
          <t>Bangalore</t>
        </is>
      </c>
      <c r="D14" t="inlineStr">
        <is>
          <t>Scooter</t>
        </is>
      </c>
      <c r="E14" t="n">
        <v>4.8</v>
      </c>
    </row>
    <row r="15">
      <c r="A15" t="n">
        <v>214</v>
      </c>
      <c r="B15" t="inlineStr">
        <is>
          <t>Partner_214</t>
        </is>
      </c>
      <c r="C15" t="inlineStr">
        <is>
          <t>Pune</t>
        </is>
      </c>
      <c r="D15" t="inlineStr">
        <is>
          <t>Scooter</t>
        </is>
      </c>
      <c r="E15" t="n">
        <v>4.7</v>
      </c>
    </row>
    <row r="16">
      <c r="A16" t="n">
        <v>215</v>
      </c>
      <c r="B16" t="inlineStr">
        <is>
          <t>Partner_215</t>
        </is>
      </c>
      <c r="C16" t="inlineStr">
        <is>
          <t>Hyderabad</t>
        </is>
      </c>
      <c r="D16" t="inlineStr">
        <is>
          <t>Electric Bike</t>
        </is>
      </c>
      <c r="E16" t="n">
        <v>4.1</v>
      </c>
    </row>
    <row r="17">
      <c r="A17" t="n">
        <v>216</v>
      </c>
      <c r="B17" t="inlineStr">
        <is>
          <t>Partner_216</t>
        </is>
      </c>
      <c r="C17" t="inlineStr">
        <is>
          <t>Hyderabad</t>
        </is>
      </c>
      <c r="D17" t="inlineStr">
        <is>
          <t>Motorcycle</t>
        </is>
      </c>
      <c r="E17" t="n">
        <v>4.5</v>
      </c>
    </row>
    <row r="18">
      <c r="A18" t="n">
        <v>217</v>
      </c>
      <c r="B18" t="inlineStr">
        <is>
          <t>Partner_217</t>
        </is>
      </c>
      <c r="C18" t="inlineStr">
        <is>
          <t>Pune</t>
        </is>
      </c>
      <c r="D18" t="inlineStr">
        <is>
          <t>Scooter</t>
        </is>
      </c>
      <c r="E18" t="n">
        <v>4.5</v>
      </c>
    </row>
    <row r="19">
      <c r="A19" t="n">
        <v>218</v>
      </c>
      <c r="B19" t="inlineStr">
        <is>
          <t>Partner_218</t>
        </is>
      </c>
      <c r="C19" t="inlineStr">
        <is>
          <t>Bangalore</t>
        </is>
      </c>
      <c r="D19" t="inlineStr">
        <is>
          <t>Motorcycle</t>
        </is>
      </c>
      <c r="E19" t="n">
        <v>4.6</v>
      </c>
    </row>
    <row r="20">
      <c r="A20" t="n">
        <v>219</v>
      </c>
      <c r="B20" t="inlineStr">
        <is>
          <t>Partner_219</t>
        </is>
      </c>
      <c r="C20" t="inlineStr">
        <is>
          <t>Delhi NCR</t>
        </is>
      </c>
      <c r="D20" t="inlineStr">
        <is>
          <t>Motorcycle</t>
        </is>
      </c>
      <c r="E20" t="n">
        <v>4.8</v>
      </c>
    </row>
    <row r="21">
      <c r="A21" t="n">
        <v>220</v>
      </c>
      <c r="B21" t="inlineStr">
        <is>
          <t>Partner_220</t>
        </is>
      </c>
      <c r="C21" t="inlineStr">
        <is>
          <t>Bangalore</t>
        </is>
      </c>
      <c r="D21" t="inlineStr">
        <is>
          <t>Scooter</t>
        </is>
      </c>
      <c r="E21" t="n">
        <v>4.3</v>
      </c>
    </row>
    <row r="22">
      <c r="A22" t="n">
        <v>221</v>
      </c>
      <c r="B22" t="inlineStr">
        <is>
          <t>Partner_221</t>
        </is>
      </c>
      <c r="C22" t="inlineStr">
        <is>
          <t>Delhi NCR</t>
        </is>
      </c>
      <c r="D22" t="inlineStr">
        <is>
          <t>Motorcycle</t>
        </is>
      </c>
      <c r="E22" t="n">
        <v>4.3</v>
      </c>
    </row>
    <row r="23">
      <c r="A23" t="n">
        <v>222</v>
      </c>
      <c r="B23" t="inlineStr">
        <is>
          <t>Partner_222</t>
        </is>
      </c>
      <c r="C23" t="inlineStr">
        <is>
          <t>Mumbai</t>
        </is>
      </c>
      <c r="D23" t="inlineStr">
        <is>
          <t>Electric Bike</t>
        </is>
      </c>
      <c r="E23" t="n">
        <v>4.2</v>
      </c>
    </row>
    <row r="24">
      <c r="A24" t="n">
        <v>223</v>
      </c>
      <c r="B24" t="inlineStr">
        <is>
          <t>Partner_223</t>
        </is>
      </c>
      <c r="C24" t="inlineStr">
        <is>
          <t>Bangalore</t>
        </is>
      </c>
      <c r="D24" t="inlineStr">
        <is>
          <t>Electric Bike</t>
        </is>
      </c>
      <c r="E24" t="n">
        <v>4.6</v>
      </c>
    </row>
    <row r="25">
      <c r="A25" t="n">
        <v>224</v>
      </c>
      <c r="B25" t="inlineStr">
        <is>
          <t>Partner_224</t>
        </is>
      </c>
      <c r="C25" t="inlineStr">
        <is>
          <t>Pune</t>
        </is>
      </c>
      <c r="D25" t="inlineStr">
        <is>
          <t>Electric Bike</t>
        </is>
      </c>
      <c r="E25" t="n">
        <v>4.2</v>
      </c>
    </row>
    <row r="26">
      <c r="A26" t="n">
        <v>225</v>
      </c>
      <c r="B26" t="inlineStr">
        <is>
          <t>Partner_225</t>
        </is>
      </c>
      <c r="C26" t="inlineStr">
        <is>
          <t>Hyderabad</t>
        </is>
      </c>
      <c r="D26" t="inlineStr">
        <is>
          <t>Scooter</t>
        </is>
      </c>
      <c r="E26" t="n">
        <v>4.2</v>
      </c>
    </row>
    <row r="27">
      <c r="A27" t="n">
        <v>226</v>
      </c>
      <c r="B27" t="inlineStr">
        <is>
          <t>Partner_226</t>
        </is>
      </c>
      <c r="C27" t="inlineStr">
        <is>
          <t>Pune</t>
        </is>
      </c>
      <c r="D27" t="inlineStr">
        <is>
          <t>Motorcycle</t>
        </is>
      </c>
      <c r="E27" t="n">
        <v>4.6</v>
      </c>
    </row>
    <row r="28">
      <c r="A28" t="n">
        <v>227</v>
      </c>
      <c r="B28" t="inlineStr">
        <is>
          <t>Partner_227</t>
        </is>
      </c>
      <c r="C28" t="inlineStr">
        <is>
          <t>Bangalore</t>
        </is>
      </c>
      <c r="D28" t="inlineStr">
        <is>
          <t>Motorcycle</t>
        </is>
      </c>
      <c r="E28" t="n">
        <v>4.7</v>
      </c>
    </row>
    <row r="29">
      <c r="A29" t="n">
        <v>228</v>
      </c>
      <c r="B29" t="inlineStr">
        <is>
          <t>Partner_228</t>
        </is>
      </c>
      <c r="C29" t="inlineStr">
        <is>
          <t>Delhi NCR</t>
        </is>
      </c>
      <c r="D29" t="inlineStr">
        <is>
          <t>Scooter</t>
        </is>
      </c>
      <c r="E29" t="n">
        <v>4.2</v>
      </c>
    </row>
    <row r="30">
      <c r="A30" t="n">
        <v>229</v>
      </c>
      <c r="B30" t="inlineStr">
        <is>
          <t>Partner_229</t>
        </is>
      </c>
      <c r="C30" t="inlineStr">
        <is>
          <t>Mumbai</t>
        </is>
      </c>
      <c r="D30" t="inlineStr">
        <is>
          <t>Electric Bike</t>
        </is>
      </c>
      <c r="E30" t="n">
        <v>4.8</v>
      </c>
    </row>
    <row r="31">
      <c r="A31" t="n">
        <v>230</v>
      </c>
      <c r="B31" t="inlineStr">
        <is>
          <t>Partner_230</t>
        </is>
      </c>
      <c r="C31" t="inlineStr">
        <is>
          <t>Delhi NCR</t>
        </is>
      </c>
      <c r="D31" t="inlineStr">
        <is>
          <t>Motorcycle</t>
        </is>
      </c>
      <c r="E31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9" customWidth="1" min="8" max="8"/>
    <col width="15" customWidth="1" min="9" max="9"/>
    <col width="18" customWidth="1" min="10" max="10"/>
    <col width="15" customWidth="1" min="11" max="11"/>
    <col width="26" customWidth="1" min="12" max="12"/>
    <col width="19" customWidth="1" min="13" max="13"/>
    <col width="23" customWidth="1" min="14" max="14"/>
    <col width="21" customWidth="1" min="15" max="15"/>
    <col width="17" customWidth="1" min="16" max="16"/>
    <col width="15" customWidth="1" min="17" max="17"/>
    <col width="18" customWidth="1" min="18" max="18"/>
    <col width="18" customWidth="1" min="19" max="19"/>
    <col width="24" customWidth="1" min="20" max="20"/>
    <col width="18" customWidth="1" min="21" max="21"/>
    <col width="26" customWidth="1" min="22" max="22"/>
    <col width="26" customWidth="1" min="23" max="23"/>
    <col width="22" customWidth="1" min="24" max="24"/>
    <col width="26" customWidth="1" min="25" max="25"/>
    <col width="22" customWidth="1" min="26" max="26"/>
  </cols>
  <sheetData>
    <row r="1">
      <c r="A1" s="21" t="inlineStr">
        <is>
          <t>order_id</t>
        </is>
      </c>
      <c r="B1" s="21" t="inlineStr">
        <is>
          <t>order_date</t>
        </is>
      </c>
      <c r="C1" s="21" t="inlineStr">
        <is>
          <t>order_time</t>
        </is>
      </c>
      <c r="D1" s="21" t="inlineStr">
        <is>
          <t>customer_id</t>
        </is>
      </c>
      <c r="E1" s="21" t="inlineStr">
        <is>
          <t>restaurant_id</t>
        </is>
      </c>
      <c r="F1" s="21" t="inlineStr">
        <is>
          <t>partner_id</t>
        </is>
      </c>
      <c r="G1" s="21" t="inlineStr">
        <is>
          <t>city</t>
        </is>
      </c>
      <c r="H1" s="21" t="inlineStr">
        <is>
          <t>cuisine_category</t>
        </is>
      </c>
      <c r="I1" s="21" t="inlineStr">
        <is>
          <t>order_value</t>
        </is>
      </c>
      <c r="J1" s="21" t="inlineStr">
        <is>
          <t>discount_amount</t>
        </is>
      </c>
      <c r="K1" s="21" t="inlineStr">
        <is>
          <t>delivery_fee</t>
        </is>
      </c>
      <c r="L1" s="21" t="inlineStr">
        <is>
          <t>platform_commission_pct</t>
        </is>
      </c>
      <c r="M1" s="21" t="inlineStr">
        <is>
          <t>platform_revenue</t>
        </is>
      </c>
      <c r="N1" s="21" t="inlineStr">
        <is>
          <t>delivery_distance_km</t>
        </is>
      </c>
      <c r="O1" s="21" t="inlineStr">
        <is>
          <t>delivery_time_mins</t>
        </is>
      </c>
      <c r="P1" s="21" t="inlineStr">
        <is>
          <t>payment_method</t>
        </is>
      </c>
      <c r="Q1" s="21" t="inlineStr">
        <is>
          <t>order_status</t>
        </is>
      </c>
      <c r="R1" s="21" t="inlineStr">
        <is>
          <t>customer_rating</t>
        </is>
      </c>
      <c r="S1" s="21" t="inlineStr">
        <is>
          <t>Order_YearMonth</t>
        </is>
      </c>
      <c r="T1" s="21" t="inlineStr">
        <is>
          <t>Customer_Tier_VLOOKUP</t>
        </is>
      </c>
      <c r="U1" s="21" t="inlineStr">
        <is>
          <t>Full_Order_Code</t>
        </is>
      </c>
      <c r="V1" s="21" t="inlineStr">
        <is>
          <t>Delivery_Speed_Category</t>
        </is>
      </c>
      <c r="W1" s="21" t="inlineStr">
        <is>
          <t>High_Value_Delivered_Flag</t>
        </is>
      </c>
      <c r="X1" s="21" t="inlineStr">
        <is>
          <t>Customer_Risk_Alert</t>
        </is>
      </c>
      <c r="Y1" s="21" t="inlineStr">
        <is>
          <t>Order_Fulfillment_Status</t>
        </is>
      </c>
      <c r="Z1" s="21" t="inlineStr">
        <is>
          <t>Safe_Rating_IFERROR</t>
        </is>
      </c>
    </row>
    <row r="2">
      <c r="A2" s="17" t="inlineStr">
        <is>
          <t>ORD1001</t>
        </is>
      </c>
      <c r="B2" s="17" t="inlineStr">
        <is>
          <t>2025-07-26</t>
        </is>
      </c>
      <c r="C2" s="17" t="inlineStr">
        <is>
          <t>13:55:32</t>
        </is>
      </c>
      <c r="D2" s="17" t="n">
        <v>1148</v>
      </c>
      <c r="E2" s="17" t="n">
        <v>115</v>
      </c>
      <c r="F2" s="17" t="n">
        <v>213</v>
      </c>
      <c r="G2" s="17" t="inlineStr">
        <is>
          <t>Bangalore</t>
        </is>
      </c>
      <c r="H2" s="17" t="inlineStr">
        <is>
          <t>Italian</t>
        </is>
      </c>
      <c r="I2" s="22" t="n">
        <v>221</v>
      </c>
      <c r="J2" s="22" t="n">
        <v>9.59</v>
      </c>
      <c r="K2" s="22" t="n">
        <v>31.5</v>
      </c>
      <c r="L2" s="23" t="n">
        <v>0.2</v>
      </c>
      <c r="M2" s="22" t="n">
        <v>52.08</v>
      </c>
      <c r="N2" s="24" t="n">
        <v>4.3</v>
      </c>
      <c r="O2" s="24" t="n">
        <v>32.5</v>
      </c>
      <c r="P2" s="17" t="inlineStr">
        <is>
          <t>Credit Card</t>
        </is>
      </c>
      <c r="Q2" s="17" t="inlineStr">
        <is>
          <t>Delivered</t>
        </is>
      </c>
      <c r="R2" s="17" t="n">
        <v>3</v>
      </c>
      <c r="S2" s="17">
        <f>TEXT(B2,"yyyy-mm")</f>
        <v/>
      </c>
      <c r="T2" s="17">
        <f>VLOOKUP(D2,Customers!A:D,4,FALSE)</f>
        <v/>
      </c>
      <c r="U2" s="17">
        <f>CONCATENATE(A2,"-",G2)</f>
        <v/>
      </c>
      <c r="V2" s="17">
        <f>IF(N2="","",IF(N2&lt;=30,"Fast (&lt;30m)",IF(N2&lt;=45,"Moderate (30-45m)","Delayed (&gt;45m)")))</f>
        <v/>
      </c>
      <c r="W2" s="17">
        <f>IF(AND(I2&gt;600,P2="Delivered"),"High Value Delivered","Standard")</f>
        <v/>
      </c>
      <c r="X2" s="17">
        <f>IF(OR(N2&gt;50,Q2&lt;=2),"High Risk / Delayed","Normal")</f>
        <v/>
      </c>
      <c r="Y2" s="17">
        <f>IF(NOT(P2="Cancelled"),"Fulfilled","Cancelled")</f>
        <v/>
      </c>
      <c r="Z2" s="17">
        <f>IFERROR(Q2,0)</f>
        <v/>
      </c>
    </row>
    <row r="3">
      <c r="A3" s="25" t="inlineStr">
        <is>
          <t>ORD1002</t>
        </is>
      </c>
      <c r="B3" s="25" t="inlineStr">
        <is>
          <t>2025-01-27</t>
        </is>
      </c>
      <c r="C3" s="25" t="inlineStr">
        <is>
          <t>19:13:17</t>
        </is>
      </c>
      <c r="D3" s="25" t="n">
        <v>1137</v>
      </c>
      <c r="E3" s="25" t="n">
        <v>106</v>
      </c>
      <c r="F3" s="25" t="n">
        <v>208</v>
      </c>
      <c r="G3" s="25" t="inlineStr">
        <is>
          <t>Pune</t>
        </is>
      </c>
      <c r="H3" s="25" t="inlineStr">
        <is>
          <t>South Indian</t>
        </is>
      </c>
      <c r="I3" s="26" t="n">
        <v>782</v>
      </c>
      <c r="J3" s="26" t="n">
        <v>0</v>
      </c>
      <c r="K3" s="26" t="n">
        <v>43.5</v>
      </c>
      <c r="L3" s="27" t="n">
        <v>0.15</v>
      </c>
      <c r="M3" s="26" t="n">
        <v>128.18</v>
      </c>
      <c r="N3" s="28" t="n">
        <v>6.7</v>
      </c>
      <c r="O3" s="28" t="n">
        <v>44.6</v>
      </c>
      <c r="P3" s="25" t="inlineStr">
        <is>
          <t>Cash on Delivery</t>
        </is>
      </c>
      <c r="Q3" s="25" t="inlineStr">
        <is>
          <t>Delivered</t>
        </is>
      </c>
      <c r="R3" s="25" t="n">
        <v>4</v>
      </c>
      <c r="S3" s="25">
        <f>TEXT(B3,"yyyy-mm")</f>
        <v/>
      </c>
      <c r="T3" s="25">
        <f>VLOOKUP(D3,Customers!A:D,4,FALSE)</f>
        <v/>
      </c>
      <c r="U3" s="25">
        <f>CONCATENATE(A3,"-",G3)</f>
        <v/>
      </c>
      <c r="V3" s="25">
        <f>IF(N3="","",IF(N3&lt;=30,"Fast (&lt;30m)",IF(N3&lt;=45,"Moderate (30-45m)","Delayed (&gt;45m)")))</f>
        <v/>
      </c>
      <c r="W3" s="25">
        <f>IF(AND(I3&gt;600,P3="Delivered"),"High Value Delivered","Standard")</f>
        <v/>
      </c>
      <c r="X3" s="25">
        <f>IF(OR(N3&gt;50,Q3&lt;=2),"High Risk / Delayed","Normal")</f>
        <v/>
      </c>
      <c r="Y3" s="25">
        <f>IF(NOT(P3="Cancelled"),"Fulfilled","Cancelled")</f>
        <v/>
      </c>
      <c r="Z3" s="25">
        <f>IFERROR(Q3,0)</f>
        <v/>
      </c>
    </row>
    <row r="4">
      <c r="A4" s="17" t="inlineStr">
        <is>
          <t>ORD1003</t>
        </is>
      </c>
      <c r="B4" s="17" t="inlineStr">
        <is>
          <t>2025-11-19</t>
        </is>
      </c>
      <c r="C4" s="17" t="inlineStr">
        <is>
          <t>22:38:51</t>
        </is>
      </c>
      <c r="D4" s="17" t="n">
        <v>1267</v>
      </c>
      <c r="E4" s="17" t="n">
        <v>115</v>
      </c>
      <c r="F4" s="17" t="n">
        <v>227</v>
      </c>
      <c r="G4" s="17" t="inlineStr">
        <is>
          <t>Bangalore</t>
        </is>
      </c>
      <c r="H4" s="17" t="inlineStr">
        <is>
          <t>Italian</t>
        </is>
      </c>
      <c r="I4" s="22" t="n">
        <v>465</v>
      </c>
      <c r="J4" s="22" t="n">
        <v>46.35</v>
      </c>
      <c r="K4" s="22" t="n">
        <v>27.5</v>
      </c>
      <c r="L4" s="23" t="n">
        <v>0.2</v>
      </c>
      <c r="M4" s="22" t="n">
        <v>99.88</v>
      </c>
      <c r="N4" s="24" t="n">
        <v>3.5</v>
      </c>
      <c r="O4" s="24" t="n">
        <v>29.4</v>
      </c>
      <c r="P4" s="17" t="inlineStr">
        <is>
          <t>UPI</t>
        </is>
      </c>
      <c r="Q4" s="17" t="inlineStr">
        <is>
          <t>Delivered</t>
        </is>
      </c>
      <c r="R4" s="17" t="n">
        <v>4</v>
      </c>
      <c r="S4" s="17">
        <f>TEXT(B4,"yyyy-mm")</f>
        <v/>
      </c>
      <c r="T4" s="17">
        <f>VLOOKUP(D4,Customers!A:D,4,FALSE)</f>
        <v/>
      </c>
      <c r="U4" s="17">
        <f>CONCATENATE(A4,"-",G4)</f>
        <v/>
      </c>
      <c r="V4" s="17">
        <f>IF(N4="","",IF(N4&lt;=30,"Fast (&lt;30m)",IF(N4&lt;=45,"Moderate (30-45m)","Delayed (&gt;45m)")))</f>
        <v/>
      </c>
      <c r="W4" s="17">
        <f>IF(AND(I4&gt;600,P4="Delivered"),"High Value Delivered","Standard")</f>
        <v/>
      </c>
      <c r="X4" s="17">
        <f>IF(OR(N4&gt;50,Q4&lt;=2),"High Risk / Delayed","Normal")</f>
        <v/>
      </c>
      <c r="Y4" s="17">
        <f>IF(NOT(P4="Cancelled"),"Fulfilled","Cancelled")</f>
        <v/>
      </c>
      <c r="Z4" s="17">
        <f>IFERROR(Q4,0)</f>
        <v/>
      </c>
    </row>
    <row r="5">
      <c r="A5" s="25" t="inlineStr">
        <is>
          <t>ORD1004</t>
        </is>
      </c>
      <c r="B5" s="25" t="inlineStr">
        <is>
          <t>2025-02-28</t>
        </is>
      </c>
      <c r="C5" s="25" t="inlineStr">
        <is>
          <t>18:29:07</t>
        </is>
      </c>
      <c r="D5" s="25" t="n">
        <v>1001</v>
      </c>
      <c r="E5" s="25" t="n">
        <v>119</v>
      </c>
      <c r="F5" s="25" t="n">
        <v>225</v>
      </c>
      <c r="G5" s="25" t="inlineStr">
        <is>
          <t>Hyderabad</t>
        </is>
      </c>
      <c r="H5" s="25" t="inlineStr">
        <is>
          <t>Biryani</t>
        </is>
      </c>
      <c r="I5" s="26" t="n">
        <v>883</v>
      </c>
      <c r="J5" s="26" t="n">
        <v>35.21</v>
      </c>
      <c r="K5" s="26" t="n">
        <v>43</v>
      </c>
      <c r="L5" s="27" t="n">
        <v>0.2</v>
      </c>
      <c r="M5" s="26" t="n">
        <v>187.35</v>
      </c>
      <c r="N5" s="28" t="n">
        <v>6.6</v>
      </c>
      <c r="O5" s="28" t="n">
        <v>41</v>
      </c>
      <c r="P5" s="25" t="inlineStr">
        <is>
          <t>Digital Wallet</t>
        </is>
      </c>
      <c r="Q5" s="25" t="inlineStr">
        <is>
          <t>Delivered</t>
        </is>
      </c>
      <c r="R5" s="25" t="n">
        <v>1</v>
      </c>
      <c r="S5" s="25">
        <f>TEXT(B5,"yyyy-mm")</f>
        <v/>
      </c>
      <c r="T5" s="25">
        <f>VLOOKUP(D5,Customers!A:D,4,FALSE)</f>
        <v/>
      </c>
      <c r="U5" s="25">
        <f>CONCATENATE(A5,"-",G5)</f>
        <v/>
      </c>
      <c r="V5" s="25">
        <f>IF(N5="","",IF(N5&lt;=30,"Fast (&lt;30m)",IF(N5&lt;=45,"Moderate (30-45m)","Delayed (&gt;45m)")))</f>
        <v/>
      </c>
      <c r="W5" s="25">
        <f>IF(AND(I5&gt;600,P5="Delivered"),"High Value Delivered","Standard")</f>
        <v/>
      </c>
      <c r="X5" s="25">
        <f>IF(OR(N5&gt;50,Q5&lt;=2),"High Risk / Delayed","Normal")</f>
        <v/>
      </c>
      <c r="Y5" s="25">
        <f>IF(NOT(P5="Cancelled"),"Fulfilled","Cancelled")</f>
        <v/>
      </c>
      <c r="Z5" s="25">
        <f>IFERROR(Q5,0)</f>
        <v/>
      </c>
    </row>
    <row r="6">
      <c r="A6" s="17" t="inlineStr">
        <is>
          <t>ORD1005</t>
        </is>
      </c>
      <c r="B6" s="17" t="inlineStr">
        <is>
          <t>2025-08-30</t>
        </is>
      </c>
      <c r="C6" s="17" t="inlineStr">
        <is>
          <t>18:15:29</t>
        </is>
      </c>
      <c r="D6" s="17" t="n">
        <v>1120</v>
      </c>
      <c r="E6" s="17" t="n">
        <v>120</v>
      </c>
      <c r="F6" s="17" t="n">
        <v>207</v>
      </c>
      <c r="G6" s="17" t="inlineStr">
        <is>
          <t>Pune</t>
        </is>
      </c>
      <c r="H6" s="17" t="inlineStr">
        <is>
          <t>Fast Food</t>
        </is>
      </c>
      <c r="I6" s="22" t="n">
        <v>784</v>
      </c>
      <c r="J6" s="22" t="n">
        <v>0</v>
      </c>
      <c r="K6" s="22" t="n">
        <v>25.5</v>
      </c>
      <c r="L6" s="23" t="n">
        <v>0.18</v>
      </c>
      <c r="M6" s="22" t="n">
        <v>147.5</v>
      </c>
      <c r="N6" s="24" t="n">
        <v>3.1</v>
      </c>
      <c r="O6" s="24" t="n">
        <v>23</v>
      </c>
      <c r="P6" s="17" t="inlineStr">
        <is>
          <t>Digital Wallet</t>
        </is>
      </c>
      <c r="Q6" s="17" t="inlineStr">
        <is>
          <t>Returned</t>
        </is>
      </c>
      <c r="R6" s="17" t="n">
        <v>3</v>
      </c>
      <c r="S6" s="17">
        <f>TEXT(B6,"yyyy-mm")</f>
        <v/>
      </c>
      <c r="T6" s="17">
        <f>VLOOKUP(D6,Customers!A:D,4,FALSE)</f>
        <v/>
      </c>
      <c r="U6" s="17">
        <f>CONCATENATE(A6,"-",G6)</f>
        <v/>
      </c>
      <c r="V6" s="17">
        <f>IF(N6="","",IF(N6&lt;=30,"Fast (&lt;30m)",IF(N6&lt;=45,"Moderate (30-45m)","Delayed (&gt;45m)")))</f>
        <v/>
      </c>
      <c r="W6" s="17">
        <f>IF(AND(I6&gt;600,P6="Delivered"),"High Value Delivered","Standard")</f>
        <v/>
      </c>
      <c r="X6" s="17">
        <f>IF(OR(N6&gt;50,Q6&lt;=2),"High Risk / Delayed","Normal")</f>
        <v/>
      </c>
      <c r="Y6" s="17">
        <f>IF(NOT(P6="Cancelled"),"Fulfilled","Cancelled")</f>
        <v/>
      </c>
      <c r="Z6" s="17">
        <f>IFERROR(Q6,0)</f>
        <v/>
      </c>
    </row>
    <row r="7">
      <c r="A7" s="25" t="inlineStr">
        <is>
          <t>ORD1006</t>
        </is>
      </c>
      <c r="B7" s="25" t="inlineStr">
        <is>
          <t>2025-08-01</t>
        </is>
      </c>
      <c r="C7" s="25" t="inlineStr">
        <is>
          <t>19:21:59</t>
        </is>
      </c>
      <c r="D7" s="25" t="n">
        <v>1247</v>
      </c>
      <c r="E7" s="25" t="n">
        <v>105</v>
      </c>
      <c r="F7" s="25" t="n">
        <v>210</v>
      </c>
      <c r="G7" s="25" t="inlineStr">
        <is>
          <t>Bangalore</t>
        </is>
      </c>
      <c r="H7" s="25" t="inlineStr">
        <is>
          <t>Chinese</t>
        </is>
      </c>
      <c r="I7" s="26" t="n">
        <v>739</v>
      </c>
      <c r="J7" s="26" t="n">
        <v>0</v>
      </c>
      <c r="K7" s="26" t="n">
        <v>29.5</v>
      </c>
      <c r="L7" s="27" t="n">
        <v>0.2</v>
      </c>
      <c r="M7" s="26" t="n">
        <v>155.18</v>
      </c>
      <c r="N7" s="28" t="n">
        <v>3.9</v>
      </c>
      <c r="O7" s="28" t="n">
        <v>35.9</v>
      </c>
      <c r="P7" s="25" t="inlineStr">
        <is>
          <t>Debit Card</t>
        </is>
      </c>
      <c r="Q7" s="25" t="inlineStr">
        <is>
          <t>Delivered</t>
        </is>
      </c>
      <c r="R7" s="25" t="n">
        <v>3</v>
      </c>
      <c r="S7" s="25">
        <f>TEXT(B7,"yyyy-mm")</f>
        <v/>
      </c>
      <c r="T7" s="25">
        <f>VLOOKUP(D7,Customers!A:D,4,FALSE)</f>
        <v/>
      </c>
      <c r="U7" s="25">
        <f>CONCATENATE(A7,"-",G7)</f>
        <v/>
      </c>
      <c r="V7" s="25">
        <f>IF(N7="","",IF(N7&lt;=30,"Fast (&lt;30m)",IF(N7&lt;=45,"Moderate (30-45m)","Delayed (&gt;45m)")))</f>
        <v/>
      </c>
      <c r="W7" s="25">
        <f>IF(AND(I7&gt;600,P7="Delivered"),"High Value Delivered","Standard")</f>
        <v/>
      </c>
      <c r="X7" s="25">
        <f>IF(OR(N7&gt;50,Q7&lt;=2),"High Risk / Delayed","Normal")</f>
        <v/>
      </c>
      <c r="Y7" s="25">
        <f>IF(NOT(P7="Cancelled"),"Fulfilled","Cancelled")</f>
        <v/>
      </c>
      <c r="Z7" s="25">
        <f>IFERROR(Q7,0)</f>
        <v/>
      </c>
    </row>
    <row r="8">
      <c r="A8" s="17" t="inlineStr">
        <is>
          <t>ORD1007</t>
        </is>
      </c>
      <c r="B8" s="17" t="inlineStr">
        <is>
          <t>2025-10-03</t>
        </is>
      </c>
      <c r="C8" s="17" t="inlineStr">
        <is>
          <t>11:30:22</t>
        </is>
      </c>
      <c r="D8" s="17" t="n">
        <v>1186</v>
      </c>
      <c r="E8" s="17" t="n">
        <v>102</v>
      </c>
      <c r="F8" s="17" t="n">
        <v>225</v>
      </c>
      <c r="G8" s="17" t="inlineStr">
        <is>
          <t>Hyderabad</t>
        </is>
      </c>
      <c r="H8" s="17" t="inlineStr">
        <is>
          <t>Biryani</t>
        </is>
      </c>
      <c r="I8" s="22" t="n">
        <v>560</v>
      </c>
      <c r="J8" s="22" t="n">
        <v>49.64</v>
      </c>
      <c r="K8" s="22" t="n">
        <v>28</v>
      </c>
      <c r="L8" s="23" t="n">
        <v>0.22</v>
      </c>
      <c r="M8" s="22" t="n">
        <v>130.2</v>
      </c>
      <c r="N8" s="24" t="n">
        <v>3.6</v>
      </c>
      <c r="O8" s="24" t="n">
        <v>28.6</v>
      </c>
      <c r="P8" s="17" t="inlineStr">
        <is>
          <t>Cash on Delivery</t>
        </is>
      </c>
      <c r="Q8" s="17" t="inlineStr">
        <is>
          <t>Delivered</t>
        </is>
      </c>
      <c r="R8" s="17" t="n">
        <v>4</v>
      </c>
      <c r="S8" s="17">
        <f>TEXT(B8,"yyyy-mm")</f>
        <v/>
      </c>
      <c r="T8" s="17">
        <f>VLOOKUP(D8,Customers!A:D,4,FALSE)</f>
        <v/>
      </c>
      <c r="U8" s="17">
        <f>CONCATENATE(A8,"-",G8)</f>
        <v/>
      </c>
      <c r="V8" s="17">
        <f>IF(N8="","",IF(N8&lt;=30,"Fast (&lt;30m)",IF(N8&lt;=45,"Moderate (30-45m)","Delayed (&gt;45m)")))</f>
        <v/>
      </c>
      <c r="W8" s="17">
        <f>IF(AND(I8&gt;600,P8="Delivered"),"High Value Delivered","Standard")</f>
        <v/>
      </c>
      <c r="X8" s="17">
        <f>IF(OR(N8&gt;50,Q8&lt;=2),"High Risk / Delayed","Normal")</f>
        <v/>
      </c>
      <c r="Y8" s="17">
        <f>IF(NOT(P8="Cancelled"),"Fulfilled","Cancelled")</f>
        <v/>
      </c>
      <c r="Z8" s="17">
        <f>IFERROR(Q8,0)</f>
        <v/>
      </c>
    </row>
    <row r="9">
      <c r="A9" s="25" t="inlineStr">
        <is>
          <t>ORD1008</t>
        </is>
      </c>
      <c r="B9" s="25" t="inlineStr">
        <is>
          <t>2025-10-20</t>
        </is>
      </c>
      <c r="C9" s="25" t="inlineStr">
        <is>
          <t>23:24:14</t>
        </is>
      </c>
      <c r="D9" s="25" t="n">
        <v>1079</v>
      </c>
      <c r="E9" s="25" t="n">
        <v>105</v>
      </c>
      <c r="F9" s="25" t="n">
        <v>213</v>
      </c>
      <c r="G9" s="25" t="inlineStr">
        <is>
          <t>Bangalore</t>
        </is>
      </c>
      <c r="H9" s="25" t="inlineStr">
        <is>
          <t>Chinese</t>
        </is>
      </c>
      <c r="I9" s="26" t="n">
        <v>640</v>
      </c>
      <c r="J9" s="26" t="n">
        <v>0</v>
      </c>
      <c r="K9" s="26" t="n">
        <v>26.5</v>
      </c>
      <c r="L9" s="27" t="n">
        <v>0.2</v>
      </c>
      <c r="M9" s="26" t="n">
        <v>134.62</v>
      </c>
      <c r="N9" s="28" t="n">
        <v>3.3</v>
      </c>
      <c r="O9" s="28" t="n">
        <v>28.8</v>
      </c>
      <c r="P9" s="25" t="inlineStr">
        <is>
          <t>Cash on Delivery</t>
        </is>
      </c>
      <c r="Q9" s="25" t="inlineStr">
        <is>
          <t>Delivered</t>
        </is>
      </c>
      <c r="R9" s="25" t="n">
        <v>2</v>
      </c>
      <c r="S9" s="25">
        <f>TEXT(B9,"yyyy-mm")</f>
        <v/>
      </c>
      <c r="T9" s="25">
        <f>VLOOKUP(D9,Customers!A:D,4,FALSE)</f>
        <v/>
      </c>
      <c r="U9" s="25">
        <f>CONCATENATE(A9,"-",G9)</f>
        <v/>
      </c>
      <c r="V9" s="25">
        <f>IF(N9="","",IF(N9&lt;=30,"Fast (&lt;30m)",IF(N9&lt;=45,"Moderate (30-45m)","Delayed (&gt;45m)")))</f>
        <v/>
      </c>
      <c r="W9" s="25">
        <f>IF(AND(I9&gt;600,P9="Delivered"),"High Value Delivered","Standard")</f>
        <v/>
      </c>
      <c r="X9" s="25">
        <f>IF(OR(N9&gt;50,Q9&lt;=2),"High Risk / Delayed","Normal")</f>
        <v/>
      </c>
      <c r="Y9" s="25">
        <f>IF(NOT(P9="Cancelled"),"Fulfilled","Cancelled")</f>
        <v/>
      </c>
      <c r="Z9" s="25">
        <f>IFERROR(Q9,0)</f>
        <v/>
      </c>
    </row>
    <row r="10">
      <c r="A10" s="17" t="inlineStr">
        <is>
          <t>ORD1009</t>
        </is>
      </c>
      <c r="B10" s="17" t="inlineStr">
        <is>
          <t>2025-01-19</t>
        </is>
      </c>
      <c r="C10" s="17" t="inlineStr">
        <is>
          <t>17:08:32</t>
        </is>
      </c>
      <c r="D10" s="17" t="n">
        <v>1005</v>
      </c>
      <c r="E10" s="17" t="n">
        <v>109</v>
      </c>
      <c r="F10" s="17" t="n">
        <v>225</v>
      </c>
      <c r="G10" s="17" t="inlineStr">
        <is>
          <t>Hyderabad</t>
        </is>
      </c>
      <c r="H10" s="17" t="inlineStr">
        <is>
          <t>Biryani</t>
        </is>
      </c>
      <c r="I10" s="22" t="n">
        <v>824</v>
      </c>
      <c r="J10" s="22" t="n">
        <v>0</v>
      </c>
      <c r="K10" s="22" t="n">
        <v>33</v>
      </c>
      <c r="L10" s="23" t="n">
        <v>0.2</v>
      </c>
      <c r="M10" s="22" t="n">
        <v>173.05</v>
      </c>
      <c r="N10" s="24" t="n">
        <v>4.6</v>
      </c>
      <c r="O10" s="24" t="n">
        <v>26.2</v>
      </c>
      <c r="P10" s="17" t="inlineStr">
        <is>
          <t>Cash on Delivery</t>
        </is>
      </c>
      <c r="Q10" s="17" t="inlineStr">
        <is>
          <t>Delivered</t>
        </is>
      </c>
      <c r="R10" s="17" t="n">
        <v>4</v>
      </c>
      <c r="S10" s="17">
        <f>TEXT(B10,"yyyy-mm")</f>
        <v/>
      </c>
      <c r="T10" s="17">
        <f>VLOOKUP(D10,Customers!A:D,4,FALSE)</f>
        <v/>
      </c>
      <c r="U10" s="17">
        <f>CONCATENATE(A10,"-",G10)</f>
        <v/>
      </c>
      <c r="V10" s="17">
        <f>IF(N10="","",IF(N10&lt;=30,"Fast (&lt;30m)",IF(N10&lt;=45,"Moderate (30-45m)","Delayed (&gt;45m)")))</f>
        <v/>
      </c>
      <c r="W10" s="17">
        <f>IF(AND(I10&gt;600,P10="Delivered"),"High Value Delivered","Standard")</f>
        <v/>
      </c>
      <c r="X10" s="17">
        <f>IF(OR(N10&gt;50,Q10&lt;=2),"High Risk / Delayed","Normal")</f>
        <v/>
      </c>
      <c r="Y10" s="17">
        <f>IF(NOT(P10="Cancelled"),"Fulfilled","Cancelled")</f>
        <v/>
      </c>
      <c r="Z10" s="17">
        <f>IFERROR(Q10,0)</f>
        <v/>
      </c>
    </row>
    <row r="11">
      <c r="A11" s="25" t="inlineStr">
        <is>
          <t>ORD1010</t>
        </is>
      </c>
      <c r="B11" s="25" t="inlineStr">
        <is>
          <t>2025-01-08</t>
        </is>
      </c>
      <c r="C11" s="25" t="inlineStr">
        <is>
          <t>09:46:09</t>
        </is>
      </c>
      <c r="D11" s="25" t="n">
        <v>1091</v>
      </c>
      <c r="E11" s="25" t="n">
        <v>116</v>
      </c>
      <c r="F11" s="25" t="n">
        <v>217</v>
      </c>
      <c r="G11" s="25" t="inlineStr">
        <is>
          <t>Pune</t>
        </is>
      </c>
      <c r="H11" s="25" t="inlineStr">
        <is>
          <t>Desserts</t>
        </is>
      </c>
      <c r="I11" s="26" t="n">
        <v>639</v>
      </c>
      <c r="J11" s="26" t="n">
        <v>49.58</v>
      </c>
      <c r="K11" s="26" t="n">
        <v>28</v>
      </c>
      <c r="L11" s="27" t="n">
        <v>0.25</v>
      </c>
      <c r="M11" s="26" t="n">
        <v>166.75</v>
      </c>
      <c r="N11" s="28" t="n">
        <v>3.6</v>
      </c>
      <c r="O11" s="28" t="n">
        <v>23</v>
      </c>
      <c r="P11" s="25" t="inlineStr">
        <is>
          <t>Debit Card</t>
        </is>
      </c>
      <c r="Q11" s="25" t="inlineStr">
        <is>
          <t>Delivered</t>
        </is>
      </c>
      <c r="R11" s="25" t="n">
        <v>4</v>
      </c>
      <c r="S11" s="25">
        <f>TEXT(B11,"yyyy-mm")</f>
        <v/>
      </c>
      <c r="T11" s="25">
        <f>VLOOKUP(D11,Customers!A:D,4,FALSE)</f>
        <v/>
      </c>
      <c r="U11" s="25">
        <f>CONCATENATE(A11,"-",G11)</f>
        <v/>
      </c>
      <c r="V11" s="25">
        <f>IF(N11="","",IF(N11&lt;=30,"Fast (&lt;30m)",IF(N11&lt;=45,"Moderate (30-45m)","Delayed (&gt;45m)")))</f>
        <v/>
      </c>
      <c r="W11" s="25">
        <f>IF(AND(I11&gt;600,P11="Delivered"),"High Value Delivered","Standard")</f>
        <v/>
      </c>
      <c r="X11" s="25">
        <f>IF(OR(N11&gt;50,Q11&lt;=2),"High Risk / Delayed","Normal")</f>
        <v/>
      </c>
      <c r="Y11" s="25">
        <f>IF(NOT(P11="Cancelled"),"Fulfilled","Cancelled")</f>
        <v/>
      </c>
      <c r="Z11" s="25">
        <f>IFERROR(Q11,0)</f>
        <v/>
      </c>
    </row>
    <row r="12">
      <c r="A12" s="17" t="inlineStr">
        <is>
          <t>ORD1011</t>
        </is>
      </c>
      <c r="B12" s="17" t="inlineStr">
        <is>
          <t>2025-06-18</t>
        </is>
      </c>
      <c r="C12" s="17" t="inlineStr">
        <is>
          <t>11:54:43</t>
        </is>
      </c>
      <c r="D12" s="17" t="n">
        <v>1275</v>
      </c>
      <c r="E12" s="17" t="n">
        <v>106</v>
      </c>
      <c r="F12" s="17" t="n">
        <v>214</v>
      </c>
      <c r="G12" s="17" t="inlineStr">
        <is>
          <t>Pune</t>
        </is>
      </c>
      <c r="H12" s="17" t="inlineStr">
        <is>
          <t>South Indian</t>
        </is>
      </c>
      <c r="I12" s="22" t="n">
        <v>766</v>
      </c>
      <c r="J12" s="22" t="n">
        <v>0</v>
      </c>
      <c r="K12" s="22" t="n">
        <v>34</v>
      </c>
      <c r="L12" s="23" t="n">
        <v>0.15</v>
      </c>
      <c r="M12" s="22" t="n">
        <v>123.4</v>
      </c>
      <c r="N12" s="24" t="n">
        <v>4.8</v>
      </c>
      <c r="O12" s="24" t="n">
        <v>32.5</v>
      </c>
      <c r="P12" s="17" t="inlineStr">
        <is>
          <t>Cash on Delivery</t>
        </is>
      </c>
      <c r="Q12" s="17" t="inlineStr">
        <is>
          <t>Delivered</t>
        </is>
      </c>
      <c r="R12" s="17" t="n">
        <v>4</v>
      </c>
      <c r="S12" s="17">
        <f>TEXT(B12,"yyyy-mm")</f>
        <v/>
      </c>
      <c r="T12" s="17">
        <f>VLOOKUP(D12,Customers!A:D,4,FALSE)</f>
        <v/>
      </c>
      <c r="U12" s="17">
        <f>CONCATENATE(A12,"-",G12)</f>
        <v/>
      </c>
      <c r="V12" s="17">
        <f>IF(N12="","",IF(N12&lt;=30,"Fast (&lt;30m)",IF(N12&lt;=45,"Moderate (30-45m)","Delayed (&gt;45m)")))</f>
        <v/>
      </c>
      <c r="W12" s="17">
        <f>IF(AND(I12&gt;600,P12="Delivered"),"High Value Delivered","Standard")</f>
        <v/>
      </c>
      <c r="X12" s="17">
        <f>IF(OR(N12&gt;50,Q12&lt;=2),"High Risk / Delayed","Normal")</f>
        <v/>
      </c>
      <c r="Y12" s="17">
        <f>IF(NOT(P12="Cancelled"),"Fulfilled","Cancelled")</f>
        <v/>
      </c>
      <c r="Z12" s="17">
        <f>IFERROR(Q12,0)</f>
        <v/>
      </c>
    </row>
    <row r="13">
      <c r="A13" s="25" t="inlineStr">
        <is>
          <t>ORD1012</t>
        </is>
      </c>
      <c r="B13" s="25" t="inlineStr">
        <is>
          <t>2025-11-20</t>
        </is>
      </c>
      <c r="C13" s="25" t="inlineStr">
        <is>
          <t>10:43:58</t>
        </is>
      </c>
      <c r="D13" s="25" t="n">
        <v>1264</v>
      </c>
      <c r="E13" s="25" t="n">
        <v>115</v>
      </c>
      <c r="F13" s="25" t="n">
        <v>203</v>
      </c>
      <c r="G13" s="25" t="inlineStr">
        <is>
          <t>Bangalore</t>
        </is>
      </c>
      <c r="H13" s="25" t="inlineStr">
        <is>
          <t>Italian</t>
        </is>
      </c>
      <c r="I13" s="26" t="n">
        <v>514</v>
      </c>
      <c r="J13" s="26" t="n">
        <v>30.71</v>
      </c>
      <c r="K13" s="26" t="n">
        <v>42</v>
      </c>
      <c r="L13" s="27" t="n">
        <v>0.2</v>
      </c>
      <c r="M13" s="26" t="n">
        <v>113.3</v>
      </c>
      <c r="N13" s="28" t="n">
        <v>6.4</v>
      </c>
      <c r="O13" s="28" t="n">
        <v>38.2</v>
      </c>
      <c r="P13" s="25" t="inlineStr">
        <is>
          <t>UPI</t>
        </is>
      </c>
      <c r="Q13" s="25" t="inlineStr">
        <is>
          <t>Delivered</t>
        </is>
      </c>
      <c r="R13" s="25" t="n">
        <v>4</v>
      </c>
      <c r="S13" s="25">
        <f>TEXT(B13,"yyyy-mm")</f>
        <v/>
      </c>
      <c r="T13" s="25">
        <f>VLOOKUP(D13,Customers!A:D,4,FALSE)</f>
        <v/>
      </c>
      <c r="U13" s="25">
        <f>CONCATENATE(A13,"-",G13)</f>
        <v/>
      </c>
      <c r="V13" s="25">
        <f>IF(N13="","",IF(N13&lt;=30,"Fast (&lt;30m)",IF(N13&lt;=45,"Moderate (30-45m)","Delayed (&gt;45m)")))</f>
        <v/>
      </c>
      <c r="W13" s="25">
        <f>IF(AND(I13&gt;600,P13="Delivered"),"High Value Delivered","Standard")</f>
        <v/>
      </c>
      <c r="X13" s="25">
        <f>IF(OR(N13&gt;50,Q13&lt;=2),"High Risk / Delayed","Normal")</f>
        <v/>
      </c>
      <c r="Y13" s="25">
        <f>IF(NOT(P13="Cancelled"),"Fulfilled","Cancelled")</f>
        <v/>
      </c>
      <c r="Z13" s="25">
        <f>IFERROR(Q13,0)</f>
        <v/>
      </c>
    </row>
    <row r="14">
      <c r="A14" s="17" t="inlineStr">
        <is>
          <t>ORD1013</t>
        </is>
      </c>
      <c r="B14" s="17" t="inlineStr">
        <is>
          <t>2025-12-22</t>
        </is>
      </c>
      <c r="C14" s="17" t="inlineStr">
        <is>
          <t>19:19:57</t>
        </is>
      </c>
      <c r="D14" s="17" t="n">
        <v>1031</v>
      </c>
      <c r="E14" s="17" t="n">
        <v>103</v>
      </c>
      <c r="F14" s="17" t="n">
        <v>229</v>
      </c>
      <c r="G14" s="17" t="inlineStr">
        <is>
          <t>Mumbai</t>
        </is>
      </c>
      <c r="H14" s="17" t="inlineStr">
        <is>
          <t>Italian</t>
        </is>
      </c>
      <c r="I14" s="22" t="n">
        <v>249</v>
      </c>
      <c r="J14" s="22" t="n">
        <v>13.25</v>
      </c>
      <c r="K14" s="22" t="n">
        <v>25</v>
      </c>
      <c r="L14" s="23" t="n">
        <v>0.18</v>
      </c>
      <c r="M14" s="22" t="n">
        <v>51.07</v>
      </c>
      <c r="N14" s="24" t="n">
        <v>2</v>
      </c>
      <c r="O14" s="24" t="n">
        <v>28.9</v>
      </c>
      <c r="P14" s="17" t="inlineStr">
        <is>
          <t>Debit Card</t>
        </is>
      </c>
      <c r="Q14" s="17" t="inlineStr">
        <is>
          <t>Delivered</t>
        </is>
      </c>
      <c r="R14" s="17" t="n">
        <v>5</v>
      </c>
      <c r="S14" s="17">
        <f>TEXT(B14,"yyyy-mm")</f>
        <v/>
      </c>
      <c r="T14" s="17">
        <f>VLOOKUP(D14,Customers!A:D,4,FALSE)</f>
        <v/>
      </c>
      <c r="U14" s="17">
        <f>CONCATENATE(A14,"-",G14)</f>
        <v/>
      </c>
      <c r="V14" s="17">
        <f>IF(N14="","",IF(N14&lt;=30,"Fast (&lt;30m)",IF(N14&lt;=45,"Moderate (30-45m)","Delayed (&gt;45m)")))</f>
        <v/>
      </c>
      <c r="W14" s="17">
        <f>IF(AND(I14&gt;600,P14="Delivered"),"High Value Delivered","Standard")</f>
        <v/>
      </c>
      <c r="X14" s="17">
        <f>IF(OR(N14&gt;50,Q14&lt;=2),"High Risk / Delayed","Normal")</f>
        <v/>
      </c>
      <c r="Y14" s="17">
        <f>IF(NOT(P14="Cancelled"),"Fulfilled","Cancelled")</f>
        <v/>
      </c>
      <c r="Z14" s="17">
        <f>IFERROR(Q14,0)</f>
        <v/>
      </c>
    </row>
    <row r="15">
      <c r="A15" s="25" t="inlineStr">
        <is>
          <t>ORD1014</t>
        </is>
      </c>
      <c r="B15" s="25" t="inlineStr">
        <is>
          <t>2025-03-16</t>
        </is>
      </c>
      <c r="C15" s="25" t="inlineStr">
        <is>
          <t>00:15:33</t>
        </is>
      </c>
      <c r="D15" s="25" t="n">
        <v>1298</v>
      </c>
      <c r="E15" s="25" t="n">
        <v>102</v>
      </c>
      <c r="F15" s="25" t="n">
        <v>225</v>
      </c>
      <c r="G15" s="25" t="inlineStr">
        <is>
          <t>Hyderabad</t>
        </is>
      </c>
      <c r="H15" s="25" t="inlineStr">
        <is>
          <t>Biryani</t>
        </is>
      </c>
      <c r="I15" s="26" t="n">
        <v>641</v>
      </c>
      <c r="J15" s="26" t="n">
        <v>40.64</v>
      </c>
      <c r="K15" s="26" t="n">
        <v>25</v>
      </c>
      <c r="L15" s="27" t="n">
        <v>0.22</v>
      </c>
      <c r="M15" s="26" t="n">
        <v>147.27</v>
      </c>
      <c r="N15" s="28" t="n">
        <v>2.7</v>
      </c>
      <c r="O15" s="28" t="n">
        <v>24.2</v>
      </c>
      <c r="P15" s="25" t="inlineStr">
        <is>
          <t>UPI</t>
        </is>
      </c>
      <c r="Q15" s="25" t="inlineStr">
        <is>
          <t>Delivered</t>
        </is>
      </c>
      <c r="R15" s="25" t="n">
        <v>4</v>
      </c>
      <c r="S15" s="25">
        <f>TEXT(B15,"yyyy-mm")</f>
        <v/>
      </c>
      <c r="T15" s="25">
        <f>VLOOKUP(D15,Customers!A:D,4,FALSE)</f>
        <v/>
      </c>
      <c r="U15" s="25">
        <f>CONCATENATE(A15,"-",G15)</f>
        <v/>
      </c>
      <c r="V15" s="25">
        <f>IF(N15="","",IF(N15&lt;=30,"Fast (&lt;30m)",IF(N15&lt;=45,"Moderate (30-45m)","Delayed (&gt;45m)")))</f>
        <v/>
      </c>
      <c r="W15" s="25">
        <f>IF(AND(I15&gt;600,P15="Delivered"),"High Value Delivered","Standard")</f>
        <v/>
      </c>
      <c r="X15" s="25">
        <f>IF(OR(N15&gt;50,Q15&lt;=2),"High Risk / Delayed","Normal")</f>
        <v/>
      </c>
      <c r="Y15" s="25">
        <f>IF(NOT(P15="Cancelled"),"Fulfilled","Cancelled")</f>
        <v/>
      </c>
      <c r="Z15" s="25">
        <f>IFERROR(Q15,0)</f>
        <v/>
      </c>
    </row>
    <row r="16">
      <c r="A16" s="17" t="inlineStr">
        <is>
          <t>ORD1015</t>
        </is>
      </c>
      <c r="B16" s="17" t="inlineStr">
        <is>
          <t>2025-10-26</t>
        </is>
      </c>
      <c r="C16" s="17" t="inlineStr">
        <is>
          <t>09:09:14</t>
        </is>
      </c>
      <c r="D16" s="17" t="n">
        <v>1152</v>
      </c>
      <c r="E16" s="17" t="n">
        <v>119</v>
      </c>
      <c r="F16" s="17" t="n">
        <v>216</v>
      </c>
      <c r="G16" s="17" t="inlineStr">
        <is>
          <t>Hyderabad</t>
        </is>
      </c>
      <c r="H16" s="17" t="inlineStr">
        <is>
          <t>Biryani</t>
        </is>
      </c>
      <c r="I16" s="22" t="n">
        <v>692</v>
      </c>
      <c r="J16" s="22" t="n">
        <v>25.44</v>
      </c>
      <c r="K16" s="22" t="n">
        <v>38</v>
      </c>
      <c r="L16" s="23" t="n">
        <v>0.2</v>
      </c>
      <c r="M16" s="22" t="n">
        <v>147.9</v>
      </c>
      <c r="N16" s="24" t="n">
        <v>5.6</v>
      </c>
      <c r="O16" s="24" t="n">
        <v>35.6</v>
      </c>
      <c r="P16" s="17" t="inlineStr">
        <is>
          <t>Cash on Delivery</t>
        </is>
      </c>
      <c r="Q16" s="17" t="inlineStr">
        <is>
          <t>Delivered</t>
        </is>
      </c>
      <c r="R16" s="17" t="n">
        <v>3</v>
      </c>
      <c r="S16" s="17">
        <f>TEXT(B16,"yyyy-mm")</f>
        <v/>
      </c>
      <c r="T16" s="17">
        <f>VLOOKUP(D16,Customers!A:D,4,FALSE)</f>
        <v/>
      </c>
      <c r="U16" s="17">
        <f>CONCATENATE(A16,"-",G16)</f>
        <v/>
      </c>
      <c r="V16" s="17">
        <f>IF(N16="","",IF(N16&lt;=30,"Fast (&lt;30m)",IF(N16&lt;=45,"Moderate (30-45m)","Delayed (&gt;45m)")))</f>
        <v/>
      </c>
      <c r="W16" s="17">
        <f>IF(AND(I16&gt;600,P16="Delivered"),"High Value Delivered","Standard")</f>
        <v/>
      </c>
      <c r="X16" s="17">
        <f>IF(OR(N16&gt;50,Q16&lt;=2),"High Risk / Delayed","Normal")</f>
        <v/>
      </c>
      <c r="Y16" s="17">
        <f>IF(NOT(P16="Cancelled"),"Fulfilled","Cancelled")</f>
        <v/>
      </c>
      <c r="Z16" s="17">
        <f>IFERROR(Q16,0)</f>
        <v/>
      </c>
    </row>
    <row r="17">
      <c r="A17" s="25" t="inlineStr">
        <is>
          <t>ORD1016</t>
        </is>
      </c>
      <c r="B17" s="25" t="inlineStr">
        <is>
          <t>2025-08-15</t>
        </is>
      </c>
      <c r="C17" s="25" t="inlineStr">
        <is>
          <t>13:22:37</t>
        </is>
      </c>
      <c r="D17" s="25" t="n">
        <v>1197</v>
      </c>
      <c r="E17" s="25" t="n">
        <v>107</v>
      </c>
      <c r="F17" s="25" t="n">
        <v>229</v>
      </c>
      <c r="G17" s="25" t="inlineStr">
        <is>
          <t>Mumbai</t>
        </is>
      </c>
      <c r="H17" s="25" t="inlineStr">
        <is>
          <t>Desserts</t>
        </is>
      </c>
      <c r="I17" s="26" t="n">
        <v>526</v>
      </c>
      <c r="J17" s="26" t="n">
        <v>49.83</v>
      </c>
      <c r="K17" s="26" t="n">
        <v>29</v>
      </c>
      <c r="L17" s="27" t="n">
        <v>0.25</v>
      </c>
      <c r="M17" s="26" t="n">
        <v>138.75</v>
      </c>
      <c r="N17" s="28" t="n">
        <v>3.8</v>
      </c>
      <c r="O17" s="28" t="n">
        <v>34.5</v>
      </c>
      <c r="P17" s="25" t="inlineStr">
        <is>
          <t>Debit Card</t>
        </is>
      </c>
      <c r="Q17" s="25" t="inlineStr">
        <is>
          <t>Delivered</t>
        </is>
      </c>
      <c r="R17" s="25" t="n">
        <v>5</v>
      </c>
      <c r="S17" s="25">
        <f>TEXT(B17,"yyyy-mm")</f>
        <v/>
      </c>
      <c r="T17" s="25">
        <f>VLOOKUP(D17,Customers!A:D,4,FALSE)</f>
        <v/>
      </c>
      <c r="U17" s="25">
        <f>CONCATENATE(A17,"-",G17)</f>
        <v/>
      </c>
      <c r="V17" s="25">
        <f>IF(N17="","",IF(N17&lt;=30,"Fast (&lt;30m)",IF(N17&lt;=45,"Moderate (30-45m)","Delayed (&gt;45m)")))</f>
        <v/>
      </c>
      <c r="W17" s="25">
        <f>IF(AND(I17&gt;600,P17="Delivered"),"High Value Delivered","Standard")</f>
        <v/>
      </c>
      <c r="X17" s="25">
        <f>IF(OR(N17&gt;50,Q17&lt;=2),"High Risk / Delayed","Normal")</f>
        <v/>
      </c>
      <c r="Y17" s="25">
        <f>IF(NOT(P17="Cancelled"),"Fulfilled","Cancelled")</f>
        <v/>
      </c>
      <c r="Z17" s="25">
        <f>IFERROR(Q17,0)</f>
        <v/>
      </c>
    </row>
    <row r="18">
      <c r="A18" s="17" t="inlineStr">
        <is>
          <t>ORD1017</t>
        </is>
      </c>
      <c r="B18" s="17" t="inlineStr">
        <is>
          <t>2025-07-16</t>
        </is>
      </c>
      <c r="C18" s="17" t="inlineStr">
        <is>
          <t>19:54:30</t>
        </is>
      </c>
      <c r="D18" s="17" t="n">
        <v>1142</v>
      </c>
      <c r="E18" s="17" t="n">
        <v>114</v>
      </c>
      <c r="F18" s="17" t="n">
        <v>225</v>
      </c>
      <c r="G18" s="17" t="inlineStr">
        <is>
          <t>Hyderabad</t>
        </is>
      </c>
      <c r="H18" s="17" t="inlineStr">
        <is>
          <t>Biryani</t>
        </is>
      </c>
      <c r="I18" s="22" t="n">
        <v>329</v>
      </c>
      <c r="J18" s="22" t="n">
        <v>0</v>
      </c>
      <c r="K18" s="22" t="n">
        <v>33</v>
      </c>
      <c r="L18" s="23" t="n">
        <v>0.22</v>
      </c>
      <c r="M18" s="22" t="n">
        <v>80.63</v>
      </c>
      <c r="N18" s="24" t="n">
        <v>4.6</v>
      </c>
      <c r="O18" s="24" t="n">
        <v>35.6</v>
      </c>
      <c r="P18" s="17" t="inlineStr">
        <is>
          <t>Digital Wallet</t>
        </is>
      </c>
      <c r="Q18" s="17" t="inlineStr">
        <is>
          <t>Delivered</t>
        </is>
      </c>
      <c r="R18" s="17" t="n">
        <v>1</v>
      </c>
      <c r="S18" s="17">
        <f>TEXT(B18,"yyyy-mm")</f>
        <v/>
      </c>
      <c r="T18" s="17">
        <f>VLOOKUP(D18,Customers!A:D,4,FALSE)</f>
        <v/>
      </c>
      <c r="U18" s="17">
        <f>CONCATENATE(A18,"-",G18)</f>
        <v/>
      </c>
      <c r="V18" s="17">
        <f>IF(N18="","",IF(N18&lt;=30,"Fast (&lt;30m)",IF(N18&lt;=45,"Moderate (30-45m)","Delayed (&gt;45m)")))</f>
        <v/>
      </c>
      <c r="W18" s="17">
        <f>IF(AND(I18&gt;600,P18="Delivered"),"High Value Delivered","Standard")</f>
        <v/>
      </c>
      <c r="X18" s="17">
        <f>IF(OR(N18&gt;50,Q18&lt;=2),"High Risk / Delayed","Normal")</f>
        <v/>
      </c>
      <c r="Y18" s="17">
        <f>IF(NOT(P18="Cancelled"),"Fulfilled","Cancelled")</f>
        <v/>
      </c>
      <c r="Z18" s="17">
        <f>IFERROR(Q18,0)</f>
        <v/>
      </c>
    </row>
    <row r="19">
      <c r="A19" s="25" t="inlineStr">
        <is>
          <t>ORD1018</t>
        </is>
      </c>
      <c r="B19" s="25" t="inlineStr">
        <is>
          <t>2025-12-04</t>
        </is>
      </c>
      <c r="C19" s="25" t="inlineStr">
        <is>
          <t>20:25:17</t>
        </is>
      </c>
      <c r="D19" s="25" t="n">
        <v>1003</v>
      </c>
      <c r="E19" s="25" t="n">
        <v>116</v>
      </c>
      <c r="F19" s="25" t="n">
        <v>208</v>
      </c>
      <c r="G19" s="25" t="inlineStr">
        <is>
          <t>Pune</t>
        </is>
      </c>
      <c r="H19" s="25" t="inlineStr">
        <is>
          <t>Desserts</t>
        </is>
      </c>
      <c r="I19" s="26" t="n">
        <v>228</v>
      </c>
      <c r="J19" s="26" t="n">
        <v>20.43</v>
      </c>
      <c r="K19" s="26" t="n">
        <v>25</v>
      </c>
      <c r="L19" s="27" t="n">
        <v>0.25</v>
      </c>
      <c r="M19" s="26" t="n">
        <v>63.25</v>
      </c>
      <c r="N19" s="28" t="n">
        <v>2.2</v>
      </c>
      <c r="O19" s="28" t="n">
        <v/>
      </c>
      <c r="P19" s="25" t="inlineStr">
        <is>
          <t>UPI</t>
        </is>
      </c>
      <c r="Q19" s="25" t="inlineStr">
        <is>
          <t>Cancelled</t>
        </is>
      </c>
      <c r="R19" s="25" t="n">
        <v/>
      </c>
      <c r="S19" s="25">
        <f>TEXT(B19,"yyyy-mm")</f>
        <v/>
      </c>
      <c r="T19" s="25">
        <f>VLOOKUP(D19,Customers!A:D,4,FALSE)</f>
        <v/>
      </c>
      <c r="U19" s="25">
        <f>CONCATENATE(A19,"-",G19)</f>
        <v/>
      </c>
      <c r="V19" s="25">
        <f>IF(N19="","",IF(N19&lt;=30,"Fast (&lt;30m)",IF(N19&lt;=45,"Moderate (30-45m)","Delayed (&gt;45m)")))</f>
        <v/>
      </c>
      <c r="W19" s="25">
        <f>IF(AND(I19&gt;600,P19="Delivered"),"High Value Delivered","Standard")</f>
        <v/>
      </c>
      <c r="X19" s="25">
        <f>IF(OR(N19&gt;50,Q19&lt;=2),"High Risk / Delayed","Normal")</f>
        <v/>
      </c>
      <c r="Y19" s="25">
        <f>IF(NOT(P19="Cancelled"),"Fulfilled","Cancelled")</f>
        <v/>
      </c>
      <c r="Z19" s="25">
        <f>IFERROR(Q19,0)</f>
        <v/>
      </c>
    </row>
    <row r="20">
      <c r="A20" s="17" t="inlineStr">
        <is>
          <t>ORD1019</t>
        </is>
      </c>
      <c r="B20" s="17" t="inlineStr">
        <is>
          <t>2025-11-07</t>
        </is>
      </c>
      <c r="C20" s="17" t="inlineStr">
        <is>
          <t>13:51:22</t>
        </is>
      </c>
      <c r="D20" s="17" t="n">
        <v>1120</v>
      </c>
      <c r="E20" s="17" t="n">
        <v>106</v>
      </c>
      <c r="F20" s="17" t="n">
        <v>208</v>
      </c>
      <c r="G20" s="17" t="inlineStr">
        <is>
          <t>Pune</t>
        </is>
      </c>
      <c r="H20" s="17" t="inlineStr">
        <is>
          <t>South Indian</t>
        </is>
      </c>
      <c r="I20" s="22" t="n">
        <v>444</v>
      </c>
      <c r="J20" s="22" t="n">
        <v>22.05</v>
      </c>
      <c r="K20" s="22" t="n">
        <v>53</v>
      </c>
      <c r="L20" s="23" t="n">
        <v>0.15</v>
      </c>
      <c r="M20" s="22" t="n">
        <v>79.84999999999999</v>
      </c>
      <c r="N20" s="24" t="n">
        <v>8.6</v>
      </c>
      <c r="O20" s="24" t="n">
        <v>57.1</v>
      </c>
      <c r="P20" s="17" t="inlineStr">
        <is>
          <t>Credit Card</t>
        </is>
      </c>
      <c r="Q20" s="17" t="inlineStr">
        <is>
          <t>Delivered</t>
        </is>
      </c>
      <c r="R20" s="17" t="n">
        <v>3</v>
      </c>
      <c r="S20" s="17">
        <f>TEXT(B20,"yyyy-mm")</f>
        <v/>
      </c>
      <c r="T20" s="17">
        <f>VLOOKUP(D20,Customers!A:D,4,FALSE)</f>
        <v/>
      </c>
      <c r="U20" s="17">
        <f>CONCATENATE(A20,"-",G20)</f>
        <v/>
      </c>
      <c r="V20" s="17">
        <f>IF(N20="","",IF(N20&lt;=30,"Fast (&lt;30m)",IF(N20&lt;=45,"Moderate (30-45m)","Delayed (&gt;45m)")))</f>
        <v/>
      </c>
      <c r="W20" s="17">
        <f>IF(AND(I20&gt;600,P20="Delivered"),"High Value Delivered","Standard")</f>
        <v/>
      </c>
      <c r="X20" s="17">
        <f>IF(OR(N20&gt;50,Q20&lt;=2),"High Risk / Delayed","Normal")</f>
        <v/>
      </c>
      <c r="Y20" s="17">
        <f>IF(NOT(P20="Cancelled"),"Fulfilled","Cancelled")</f>
        <v/>
      </c>
      <c r="Z20" s="17">
        <f>IFERROR(Q20,0)</f>
        <v/>
      </c>
    </row>
    <row r="21">
      <c r="A21" s="25" t="inlineStr">
        <is>
          <t>ORD1020</t>
        </is>
      </c>
      <c r="B21" s="25" t="inlineStr">
        <is>
          <t>2025-08-14</t>
        </is>
      </c>
      <c r="C21" s="25" t="inlineStr">
        <is>
          <t>13:02:37</t>
        </is>
      </c>
      <c r="D21" s="25" t="n">
        <v>1245</v>
      </c>
      <c r="E21" s="25" t="n">
        <v>113</v>
      </c>
      <c r="F21" s="25" t="n">
        <v>222</v>
      </c>
      <c r="G21" s="25" t="inlineStr">
        <is>
          <t>Mumbai</t>
        </is>
      </c>
      <c r="H21" s="25" t="inlineStr">
        <is>
          <t>Fast Food</t>
        </is>
      </c>
      <c r="I21" s="26" t="n">
        <v>593</v>
      </c>
      <c r="J21" s="26" t="n">
        <v>4.28</v>
      </c>
      <c r="K21" s="26" t="n">
        <v>34</v>
      </c>
      <c r="L21" s="27" t="n">
        <v>0.18</v>
      </c>
      <c r="M21" s="26" t="n">
        <v>115.24</v>
      </c>
      <c r="N21" s="28" t="n">
        <v>4.8</v>
      </c>
      <c r="O21" s="28" t="n">
        <v>34.9</v>
      </c>
      <c r="P21" s="25" t="inlineStr">
        <is>
          <t>Cash on Delivery</t>
        </is>
      </c>
      <c r="Q21" s="25" t="inlineStr">
        <is>
          <t>Delivered</t>
        </is>
      </c>
      <c r="R21" s="25" t="n">
        <v>3</v>
      </c>
      <c r="S21" s="25">
        <f>TEXT(B21,"yyyy-mm")</f>
        <v/>
      </c>
      <c r="T21" s="25">
        <f>VLOOKUP(D21,Customers!A:D,4,FALSE)</f>
        <v/>
      </c>
      <c r="U21" s="25">
        <f>CONCATENATE(A21,"-",G21)</f>
        <v/>
      </c>
      <c r="V21" s="25">
        <f>IF(N21="","",IF(N21&lt;=30,"Fast (&lt;30m)",IF(N21&lt;=45,"Moderate (30-45m)","Delayed (&gt;45m)")))</f>
        <v/>
      </c>
      <c r="W21" s="25">
        <f>IF(AND(I21&gt;600,P21="Delivered"),"High Value Delivered","Standard")</f>
        <v/>
      </c>
      <c r="X21" s="25">
        <f>IF(OR(N21&gt;50,Q21&lt;=2),"High Risk / Delayed","Normal")</f>
        <v/>
      </c>
      <c r="Y21" s="25">
        <f>IF(NOT(P21="Cancelled"),"Fulfilled","Cancelled")</f>
        <v/>
      </c>
      <c r="Z21" s="25">
        <f>IFERROR(Q21,0)</f>
        <v/>
      </c>
    </row>
    <row r="22">
      <c r="A22" s="17" t="inlineStr">
        <is>
          <t>ORD1021</t>
        </is>
      </c>
      <c r="B22" s="17" t="inlineStr">
        <is>
          <t>2025-03-09</t>
        </is>
      </c>
      <c r="C22" s="17" t="inlineStr">
        <is>
          <t>21:50:34</t>
        </is>
      </c>
      <c r="D22" s="17" t="n">
        <v>1163</v>
      </c>
      <c r="E22" s="17" t="n">
        <v>117</v>
      </c>
      <c r="F22" s="17" t="n">
        <v>202</v>
      </c>
      <c r="G22" s="17" t="inlineStr">
        <is>
          <t>Mumbai</t>
        </is>
      </c>
      <c r="H22" s="17" t="inlineStr">
        <is>
          <t>Chinese</t>
        </is>
      </c>
      <c r="I22" s="22" t="n">
        <v>594</v>
      </c>
      <c r="J22" s="22" t="n">
        <v>51.77</v>
      </c>
      <c r="K22" s="22" t="n">
        <v>29</v>
      </c>
      <c r="L22" s="23" t="n">
        <v>0.2</v>
      </c>
      <c r="M22" s="22" t="n">
        <v>126.05</v>
      </c>
      <c r="N22" s="24" t="n">
        <v>3.8</v>
      </c>
      <c r="O22" s="24" t="n">
        <v>42.3</v>
      </c>
      <c r="P22" s="17" t="inlineStr">
        <is>
          <t>Credit Card</t>
        </is>
      </c>
      <c r="Q22" s="17" t="inlineStr">
        <is>
          <t>Delivered</t>
        </is>
      </c>
      <c r="R22" s="17" t="n">
        <v>3</v>
      </c>
      <c r="S22" s="17">
        <f>TEXT(B22,"yyyy-mm")</f>
        <v/>
      </c>
      <c r="T22" s="17">
        <f>VLOOKUP(D22,Customers!A:D,4,FALSE)</f>
        <v/>
      </c>
      <c r="U22" s="17">
        <f>CONCATENATE(A22,"-",G22)</f>
        <v/>
      </c>
      <c r="V22" s="17">
        <f>IF(N22="","",IF(N22&lt;=30,"Fast (&lt;30m)",IF(N22&lt;=45,"Moderate (30-45m)","Delayed (&gt;45m)")))</f>
        <v/>
      </c>
      <c r="W22" s="17">
        <f>IF(AND(I22&gt;600,P22="Delivered"),"High Value Delivered","Standard")</f>
        <v/>
      </c>
      <c r="X22" s="17">
        <f>IF(OR(N22&gt;50,Q22&lt;=2),"High Risk / Delayed","Normal")</f>
        <v/>
      </c>
      <c r="Y22" s="17">
        <f>IF(NOT(P22="Cancelled"),"Fulfilled","Cancelled")</f>
        <v/>
      </c>
      <c r="Z22" s="17">
        <f>IFERROR(Q22,0)</f>
        <v/>
      </c>
    </row>
    <row r="23">
      <c r="A23" s="25" t="inlineStr">
        <is>
          <t>ORD1022</t>
        </is>
      </c>
      <c r="B23" s="25" t="inlineStr">
        <is>
          <t>2025-06-23</t>
        </is>
      </c>
      <c r="C23" s="25" t="inlineStr">
        <is>
          <t>19:51:07</t>
        </is>
      </c>
      <c r="D23" s="25" t="n">
        <v>1022</v>
      </c>
      <c r="E23" s="25" t="n">
        <v>108</v>
      </c>
      <c r="F23" s="25" t="n">
        <v>228</v>
      </c>
      <c r="G23" s="25" t="inlineStr">
        <is>
          <t>Delhi NCR</t>
        </is>
      </c>
      <c r="H23" s="25" t="inlineStr">
        <is>
          <t>Fast Food</t>
        </is>
      </c>
      <c r="I23" s="26" t="n">
        <v>699</v>
      </c>
      <c r="J23" s="26" t="n">
        <v>7.87</v>
      </c>
      <c r="K23" s="26" t="n">
        <v>36.5</v>
      </c>
      <c r="L23" s="27" t="n">
        <v>0.18</v>
      </c>
      <c r="M23" s="26" t="n">
        <v>134.94</v>
      </c>
      <c r="N23" s="28" t="n">
        <v>5.3</v>
      </c>
      <c r="O23" s="28" t="n">
        <v>46.4</v>
      </c>
      <c r="P23" s="25" t="inlineStr">
        <is>
          <t>Cash on Delivery</t>
        </is>
      </c>
      <c r="Q23" s="25" t="inlineStr">
        <is>
          <t>Delivered</t>
        </is>
      </c>
      <c r="R23" s="25" t="n">
        <v>3</v>
      </c>
      <c r="S23" s="25">
        <f>TEXT(B23,"yyyy-mm")</f>
        <v/>
      </c>
      <c r="T23" s="25">
        <f>VLOOKUP(D23,Customers!A:D,4,FALSE)</f>
        <v/>
      </c>
      <c r="U23" s="25">
        <f>CONCATENATE(A23,"-",G23)</f>
        <v/>
      </c>
      <c r="V23" s="25">
        <f>IF(N23="","",IF(N23&lt;=30,"Fast (&lt;30m)",IF(N23&lt;=45,"Moderate (30-45m)","Delayed (&gt;45m)")))</f>
        <v/>
      </c>
      <c r="W23" s="25">
        <f>IF(AND(I23&gt;600,P23="Delivered"),"High Value Delivered","Standard")</f>
        <v/>
      </c>
      <c r="X23" s="25">
        <f>IF(OR(N23&gt;50,Q23&lt;=2),"High Risk / Delayed","Normal")</f>
        <v/>
      </c>
      <c r="Y23" s="25">
        <f>IF(NOT(P23="Cancelled"),"Fulfilled","Cancelled")</f>
        <v/>
      </c>
      <c r="Z23" s="25">
        <f>IFERROR(Q23,0)</f>
        <v/>
      </c>
    </row>
    <row r="24">
      <c r="A24" s="17" t="inlineStr">
        <is>
          <t>ORD1023</t>
        </is>
      </c>
      <c r="B24" s="17" t="inlineStr">
        <is>
          <t>2025-01-08</t>
        </is>
      </c>
      <c r="C24" s="17" t="inlineStr">
        <is>
          <t>00:16:34</t>
        </is>
      </c>
      <c r="D24" s="17" t="n">
        <v>1086</v>
      </c>
      <c r="E24" s="17" t="n">
        <v>104</v>
      </c>
      <c r="F24" s="17" t="n">
        <v>230</v>
      </c>
      <c r="G24" s="17" t="inlineStr">
        <is>
          <t>Delhi NCR</t>
        </is>
      </c>
      <c r="H24" s="17" t="inlineStr">
        <is>
          <t>Fast Food</t>
        </is>
      </c>
      <c r="I24" s="22" t="n">
        <v>346</v>
      </c>
      <c r="J24" s="22" t="n">
        <v>0</v>
      </c>
      <c r="K24" s="22" t="n">
        <v>26.5</v>
      </c>
      <c r="L24" s="23" t="n">
        <v>0.18</v>
      </c>
      <c r="M24" s="22" t="n">
        <v>68.90000000000001</v>
      </c>
      <c r="N24" s="24" t="n">
        <v>3.3</v>
      </c>
      <c r="O24" s="24" t="n">
        <v>28</v>
      </c>
      <c r="P24" s="17" t="inlineStr">
        <is>
          <t>Debit Card</t>
        </is>
      </c>
      <c r="Q24" s="17" t="inlineStr">
        <is>
          <t>Delivered</t>
        </is>
      </c>
      <c r="R24" s="17" t="n">
        <v>4</v>
      </c>
      <c r="S24" s="17">
        <f>TEXT(B24,"yyyy-mm")</f>
        <v/>
      </c>
      <c r="T24" s="17">
        <f>VLOOKUP(D24,Customers!A:D,4,FALSE)</f>
        <v/>
      </c>
      <c r="U24" s="17">
        <f>CONCATENATE(A24,"-",G24)</f>
        <v/>
      </c>
      <c r="V24" s="17">
        <f>IF(N24="","",IF(N24&lt;=30,"Fast (&lt;30m)",IF(N24&lt;=45,"Moderate (30-45m)","Delayed (&gt;45m)")))</f>
        <v/>
      </c>
      <c r="W24" s="17">
        <f>IF(AND(I24&gt;600,P24="Delivered"),"High Value Delivered","Standard")</f>
        <v/>
      </c>
      <c r="X24" s="17">
        <f>IF(OR(N24&gt;50,Q24&lt;=2),"High Risk / Delayed","Normal")</f>
        <v/>
      </c>
      <c r="Y24" s="17">
        <f>IF(NOT(P24="Cancelled"),"Fulfilled","Cancelled")</f>
        <v/>
      </c>
      <c r="Z24" s="17">
        <f>IFERROR(Q24,0)</f>
        <v/>
      </c>
    </row>
    <row r="25">
      <c r="A25" s="25" t="inlineStr">
        <is>
          <t>ORD1024</t>
        </is>
      </c>
      <c r="B25" s="25" t="inlineStr">
        <is>
          <t>2025-12-12</t>
        </is>
      </c>
      <c r="C25" s="25" t="inlineStr">
        <is>
          <t>11:14:30</t>
        </is>
      </c>
      <c r="D25" s="25" t="n">
        <v>1199</v>
      </c>
      <c r="E25" s="25" t="n">
        <v>109</v>
      </c>
      <c r="F25" s="25" t="n">
        <v>225</v>
      </c>
      <c r="G25" s="25" t="inlineStr">
        <is>
          <t>Hyderabad</t>
        </is>
      </c>
      <c r="H25" s="25" t="inlineStr">
        <is>
          <t>Biryani</t>
        </is>
      </c>
      <c r="I25" s="26" t="n">
        <v>503</v>
      </c>
      <c r="J25" s="26" t="n">
        <v>94.78</v>
      </c>
      <c r="K25" s="26" t="n">
        <v>0</v>
      </c>
      <c r="L25" s="27" t="n">
        <v>0.2</v>
      </c>
      <c r="M25" s="26" t="n">
        <v>100.6</v>
      </c>
      <c r="N25" s="28" t="n">
        <v>6.2</v>
      </c>
      <c r="O25" s="28" t="n">
        <v>35.4</v>
      </c>
      <c r="P25" s="25" t="inlineStr">
        <is>
          <t>Digital Wallet</t>
        </is>
      </c>
      <c r="Q25" s="25" t="inlineStr">
        <is>
          <t>Delivered</t>
        </is>
      </c>
      <c r="R25" s="25" t="n">
        <v>3</v>
      </c>
      <c r="S25" s="25">
        <f>TEXT(B25,"yyyy-mm")</f>
        <v/>
      </c>
      <c r="T25" s="25">
        <f>VLOOKUP(D25,Customers!A:D,4,FALSE)</f>
        <v/>
      </c>
      <c r="U25" s="25">
        <f>CONCATENATE(A25,"-",G25)</f>
        <v/>
      </c>
      <c r="V25" s="25">
        <f>IF(N25="","",IF(N25&lt;=30,"Fast (&lt;30m)",IF(N25&lt;=45,"Moderate (30-45m)","Delayed (&gt;45m)")))</f>
        <v/>
      </c>
      <c r="W25" s="25">
        <f>IF(AND(I25&gt;600,P25="Delivered"),"High Value Delivered","Standard")</f>
        <v/>
      </c>
      <c r="X25" s="25">
        <f>IF(OR(N25&gt;50,Q25&lt;=2),"High Risk / Delayed","Normal")</f>
        <v/>
      </c>
      <c r="Y25" s="25">
        <f>IF(NOT(P25="Cancelled"),"Fulfilled","Cancelled")</f>
        <v/>
      </c>
      <c r="Z25" s="25">
        <f>IFERROR(Q25,0)</f>
        <v/>
      </c>
    </row>
    <row r="26">
      <c r="A26" s="17" t="inlineStr">
        <is>
          <t>ORD1025</t>
        </is>
      </c>
      <c r="B26" s="17" t="inlineStr">
        <is>
          <t>2025-11-22</t>
        </is>
      </c>
      <c r="C26" s="17" t="inlineStr">
        <is>
          <t>19:52:29</t>
        </is>
      </c>
      <c r="D26" s="17" t="n">
        <v>1148</v>
      </c>
      <c r="E26" s="17" t="n">
        <v>111</v>
      </c>
      <c r="F26" s="17" t="n">
        <v>213</v>
      </c>
      <c r="G26" s="17" t="inlineStr">
        <is>
          <t>Bangalore</t>
        </is>
      </c>
      <c r="H26" s="17" t="inlineStr">
        <is>
          <t>South Indian</t>
        </is>
      </c>
      <c r="I26" s="22" t="n">
        <v>937</v>
      </c>
      <c r="J26" s="22" t="n">
        <v>0</v>
      </c>
      <c r="K26" s="22" t="n">
        <v>25</v>
      </c>
      <c r="L26" s="23" t="n">
        <v>0.15</v>
      </c>
      <c r="M26" s="22" t="n">
        <v>146.8</v>
      </c>
      <c r="N26" s="24" t="n">
        <v>1.6</v>
      </c>
      <c r="O26" s="24" t="n">
        <v>30.8</v>
      </c>
      <c r="P26" s="17" t="inlineStr">
        <is>
          <t>Credit Card</t>
        </is>
      </c>
      <c r="Q26" s="17" t="inlineStr">
        <is>
          <t>Delivered</t>
        </is>
      </c>
      <c r="R26" s="17" t="n">
        <v>5</v>
      </c>
      <c r="S26" s="17">
        <f>TEXT(B26,"yyyy-mm")</f>
        <v/>
      </c>
      <c r="T26" s="17">
        <f>VLOOKUP(D26,Customers!A:D,4,FALSE)</f>
        <v/>
      </c>
      <c r="U26" s="17">
        <f>CONCATENATE(A26,"-",G26)</f>
        <v/>
      </c>
      <c r="V26" s="17">
        <f>IF(N26="","",IF(N26&lt;=30,"Fast (&lt;30m)",IF(N26&lt;=45,"Moderate (30-45m)","Delayed (&gt;45m)")))</f>
        <v/>
      </c>
      <c r="W26" s="17">
        <f>IF(AND(I26&gt;600,P26="Delivered"),"High Value Delivered","Standard")</f>
        <v/>
      </c>
      <c r="X26" s="17">
        <f>IF(OR(N26&gt;50,Q26&lt;=2),"High Risk / Delayed","Normal")</f>
        <v/>
      </c>
      <c r="Y26" s="17">
        <f>IF(NOT(P26="Cancelled"),"Fulfilled","Cancelled")</f>
        <v/>
      </c>
      <c r="Z26" s="17">
        <f>IFERROR(Q26,0)</f>
        <v/>
      </c>
    </row>
    <row r="27">
      <c r="A27" s="25" t="inlineStr">
        <is>
          <t>ORD1026</t>
        </is>
      </c>
      <c r="B27" s="25" t="inlineStr">
        <is>
          <t>2025-06-05</t>
        </is>
      </c>
      <c r="C27" s="25" t="inlineStr">
        <is>
          <t>11:31:07</t>
        </is>
      </c>
      <c r="D27" s="25" t="n">
        <v>1062</v>
      </c>
      <c r="E27" s="25" t="n">
        <v>117</v>
      </c>
      <c r="F27" s="25" t="n">
        <v>206</v>
      </c>
      <c r="G27" s="25" t="inlineStr">
        <is>
          <t>Mumbai</t>
        </is>
      </c>
      <c r="H27" s="25" t="inlineStr">
        <is>
          <t>Chinese</t>
        </is>
      </c>
      <c r="I27" s="26" t="n">
        <v>319</v>
      </c>
      <c r="J27" s="26" t="n">
        <v>0</v>
      </c>
      <c r="K27" s="26" t="n">
        <v>25</v>
      </c>
      <c r="L27" s="27" t="n">
        <v>0.2</v>
      </c>
      <c r="M27" s="26" t="n">
        <v>70.05</v>
      </c>
      <c r="N27" s="28" t="n">
        <v>1.1</v>
      </c>
      <c r="O27" s="28" t="n">
        <v>20.6</v>
      </c>
      <c r="P27" s="25" t="inlineStr">
        <is>
          <t>Cash on Delivery</t>
        </is>
      </c>
      <c r="Q27" s="25" t="inlineStr">
        <is>
          <t>Delivered</t>
        </is>
      </c>
      <c r="R27" s="25" t="n">
        <v>5</v>
      </c>
      <c r="S27" s="25">
        <f>TEXT(B27,"yyyy-mm")</f>
        <v/>
      </c>
      <c r="T27" s="25">
        <f>VLOOKUP(D27,Customers!A:D,4,FALSE)</f>
        <v/>
      </c>
      <c r="U27" s="25">
        <f>CONCATENATE(A27,"-",G27)</f>
        <v/>
      </c>
      <c r="V27" s="25">
        <f>IF(N27="","",IF(N27&lt;=30,"Fast (&lt;30m)",IF(N27&lt;=45,"Moderate (30-45m)","Delayed (&gt;45m)")))</f>
        <v/>
      </c>
      <c r="W27" s="25">
        <f>IF(AND(I27&gt;600,P27="Delivered"),"High Value Delivered","Standard")</f>
        <v/>
      </c>
      <c r="X27" s="25">
        <f>IF(OR(N27&gt;50,Q27&lt;=2),"High Risk / Delayed","Normal")</f>
        <v/>
      </c>
      <c r="Y27" s="25">
        <f>IF(NOT(P27="Cancelled"),"Fulfilled","Cancelled")</f>
        <v/>
      </c>
      <c r="Z27" s="25">
        <f>IFERROR(Q27,0)</f>
        <v/>
      </c>
    </row>
    <row r="28">
      <c r="A28" s="17" t="inlineStr">
        <is>
          <t>ORD1027</t>
        </is>
      </c>
      <c r="B28" s="17" t="inlineStr">
        <is>
          <t>2025-10-28</t>
        </is>
      </c>
      <c r="C28" s="17" t="inlineStr">
        <is>
          <t>09:47:46</t>
        </is>
      </c>
      <c r="D28" s="17" t="n">
        <v>1246</v>
      </c>
      <c r="E28" s="17" t="n">
        <v>120</v>
      </c>
      <c r="F28" s="17" t="n">
        <v>214</v>
      </c>
      <c r="G28" s="17" t="inlineStr">
        <is>
          <t>Pune</t>
        </is>
      </c>
      <c r="H28" s="17" t="inlineStr">
        <is>
          <t>Fast Food</t>
        </is>
      </c>
      <c r="I28" s="22" t="n">
        <v>704</v>
      </c>
      <c r="J28" s="22" t="n">
        <v>99.61</v>
      </c>
      <c r="K28" s="22" t="n">
        <v>0</v>
      </c>
      <c r="L28" s="23" t="n">
        <v>0.18</v>
      </c>
      <c r="M28" s="22" t="n">
        <v>126.72</v>
      </c>
      <c r="N28" s="24" t="n">
        <v>3.5</v>
      </c>
      <c r="O28" s="24" t="n">
        <v>30.9</v>
      </c>
      <c r="P28" s="17" t="inlineStr">
        <is>
          <t>Cash on Delivery</t>
        </is>
      </c>
      <c r="Q28" s="17" t="inlineStr">
        <is>
          <t>Delivered</t>
        </is>
      </c>
      <c r="R28" s="17" t="n">
        <v>5</v>
      </c>
      <c r="S28" s="17">
        <f>TEXT(B28,"yyyy-mm")</f>
        <v/>
      </c>
      <c r="T28" s="17">
        <f>VLOOKUP(D28,Customers!A:D,4,FALSE)</f>
        <v/>
      </c>
      <c r="U28" s="17">
        <f>CONCATENATE(A28,"-",G28)</f>
        <v/>
      </c>
      <c r="V28" s="17">
        <f>IF(N28="","",IF(N28&lt;=30,"Fast (&lt;30m)",IF(N28&lt;=45,"Moderate (30-45m)","Delayed (&gt;45m)")))</f>
        <v/>
      </c>
      <c r="W28" s="17">
        <f>IF(AND(I28&gt;600,P28="Delivered"),"High Value Delivered","Standard")</f>
        <v/>
      </c>
      <c r="X28" s="17">
        <f>IF(OR(N28&gt;50,Q28&lt;=2),"High Risk / Delayed","Normal")</f>
        <v/>
      </c>
      <c r="Y28" s="17">
        <f>IF(NOT(P28="Cancelled"),"Fulfilled","Cancelled")</f>
        <v/>
      </c>
      <c r="Z28" s="17">
        <f>IFERROR(Q28,0)</f>
        <v/>
      </c>
    </row>
    <row r="29">
      <c r="A29" s="25" t="inlineStr">
        <is>
          <t>ORD1028</t>
        </is>
      </c>
      <c r="B29" s="25" t="inlineStr">
        <is>
          <t>2025-12-20</t>
        </is>
      </c>
      <c r="C29" s="25" t="inlineStr">
        <is>
          <t>22:23:13</t>
        </is>
      </c>
      <c r="D29" s="25" t="n">
        <v>1107</v>
      </c>
      <c r="E29" s="25" t="n">
        <v>107</v>
      </c>
      <c r="F29" s="25" t="n">
        <v>222</v>
      </c>
      <c r="G29" s="25" t="inlineStr">
        <is>
          <t>Mumbai</t>
        </is>
      </c>
      <c r="H29" s="25" t="inlineStr">
        <is>
          <t>Desserts</t>
        </is>
      </c>
      <c r="I29" s="26" t="n">
        <v>674</v>
      </c>
      <c r="J29" s="26" t="n">
        <v>0</v>
      </c>
      <c r="K29" s="26" t="n">
        <v>25</v>
      </c>
      <c r="L29" s="27" t="n">
        <v>0.25</v>
      </c>
      <c r="M29" s="26" t="n">
        <v>174.75</v>
      </c>
      <c r="N29" s="28" t="n">
        <v>2.5</v>
      </c>
      <c r="O29" s="28" t="n">
        <v>22.7</v>
      </c>
      <c r="P29" s="25" t="inlineStr">
        <is>
          <t>Debit Card</t>
        </is>
      </c>
      <c r="Q29" s="25" t="inlineStr">
        <is>
          <t>Delivered</t>
        </is>
      </c>
      <c r="R29" s="25" t="n">
        <v>3</v>
      </c>
      <c r="S29" s="25">
        <f>TEXT(B29,"yyyy-mm")</f>
        <v/>
      </c>
      <c r="T29" s="25">
        <f>VLOOKUP(D29,Customers!A:D,4,FALSE)</f>
        <v/>
      </c>
      <c r="U29" s="25">
        <f>CONCATENATE(A29,"-",G29)</f>
        <v/>
      </c>
      <c r="V29" s="25">
        <f>IF(N29="","",IF(N29&lt;=30,"Fast (&lt;30m)",IF(N29&lt;=45,"Moderate (30-45m)","Delayed (&gt;45m)")))</f>
        <v/>
      </c>
      <c r="W29" s="25">
        <f>IF(AND(I29&gt;600,P29="Delivered"),"High Value Delivered","Standard")</f>
        <v/>
      </c>
      <c r="X29" s="25">
        <f>IF(OR(N29&gt;50,Q29&lt;=2),"High Risk / Delayed","Normal")</f>
        <v/>
      </c>
      <c r="Y29" s="25">
        <f>IF(NOT(P29="Cancelled"),"Fulfilled","Cancelled")</f>
        <v/>
      </c>
      <c r="Z29" s="25">
        <f>IFERROR(Q29,0)</f>
        <v/>
      </c>
    </row>
    <row r="30">
      <c r="A30" s="17" t="inlineStr">
        <is>
          <t>ORD1029</t>
        </is>
      </c>
      <c r="B30" s="17" t="inlineStr">
        <is>
          <t>2025-10-06</t>
        </is>
      </c>
      <c r="C30" s="17" t="inlineStr">
        <is>
          <t>20:57:41</t>
        </is>
      </c>
      <c r="D30" s="17" t="n">
        <v>1223</v>
      </c>
      <c r="E30" s="17" t="n">
        <v>102</v>
      </c>
      <c r="F30" s="17" t="n">
        <v>225</v>
      </c>
      <c r="G30" s="17" t="inlineStr">
        <is>
          <t>Hyderabad</t>
        </is>
      </c>
      <c r="H30" s="17" t="inlineStr">
        <is>
          <t>Biryani</t>
        </is>
      </c>
      <c r="I30" s="22" t="n">
        <v>587</v>
      </c>
      <c r="J30" s="22" t="n">
        <v>0</v>
      </c>
      <c r="K30" s="22" t="n">
        <v>30.5</v>
      </c>
      <c r="L30" s="23" t="n">
        <v>0.22</v>
      </c>
      <c r="M30" s="22" t="n">
        <v>136.77</v>
      </c>
      <c r="N30" s="24" t="n">
        <v>4.1</v>
      </c>
      <c r="O30" s="24" t="n">
        <v>30.9</v>
      </c>
      <c r="P30" s="17" t="inlineStr">
        <is>
          <t>UPI</t>
        </is>
      </c>
      <c r="Q30" s="17" t="inlineStr">
        <is>
          <t>Delivered</t>
        </is>
      </c>
      <c r="R30" s="17" t="n">
        <v>1</v>
      </c>
      <c r="S30" s="17">
        <f>TEXT(B30,"yyyy-mm")</f>
        <v/>
      </c>
      <c r="T30" s="17">
        <f>VLOOKUP(D30,Customers!A:D,4,FALSE)</f>
        <v/>
      </c>
      <c r="U30" s="17">
        <f>CONCATENATE(A30,"-",G30)</f>
        <v/>
      </c>
      <c r="V30" s="17">
        <f>IF(N30="","",IF(N30&lt;=30,"Fast (&lt;30m)",IF(N30&lt;=45,"Moderate (30-45m)","Delayed (&gt;45m)")))</f>
        <v/>
      </c>
      <c r="W30" s="17">
        <f>IF(AND(I30&gt;600,P30="Delivered"),"High Value Delivered","Standard")</f>
        <v/>
      </c>
      <c r="X30" s="17">
        <f>IF(OR(N30&gt;50,Q30&lt;=2),"High Risk / Delayed","Normal")</f>
        <v/>
      </c>
      <c r="Y30" s="17">
        <f>IF(NOT(P30="Cancelled"),"Fulfilled","Cancelled")</f>
        <v/>
      </c>
      <c r="Z30" s="17">
        <f>IFERROR(Q30,0)</f>
        <v/>
      </c>
    </row>
    <row r="31">
      <c r="A31" s="25" t="inlineStr">
        <is>
          <t>ORD1030</t>
        </is>
      </c>
      <c r="B31" s="25" t="inlineStr">
        <is>
          <t>2025-11-25</t>
        </is>
      </c>
      <c r="C31" s="25" t="inlineStr">
        <is>
          <t>13:40:38</t>
        </is>
      </c>
      <c r="D31" s="25" t="n">
        <v>1236</v>
      </c>
      <c r="E31" s="25" t="n">
        <v>108</v>
      </c>
      <c r="F31" s="25" t="n">
        <v>212</v>
      </c>
      <c r="G31" s="25" t="inlineStr">
        <is>
          <t>Delhi NCR</t>
        </is>
      </c>
      <c r="H31" s="25" t="inlineStr">
        <is>
          <t>Fast Food</t>
        </is>
      </c>
      <c r="I31" s="26" t="n">
        <v>241</v>
      </c>
      <c r="J31" s="26" t="n">
        <v>12.9</v>
      </c>
      <c r="K31" s="26" t="n">
        <v>25</v>
      </c>
      <c r="L31" s="27" t="n">
        <v>0.18</v>
      </c>
      <c r="M31" s="26" t="n">
        <v>49.63</v>
      </c>
      <c r="N31" s="28" t="n">
        <v>3</v>
      </c>
      <c r="O31" s="28" t="n">
        <v>28.4</v>
      </c>
      <c r="P31" s="25" t="inlineStr">
        <is>
          <t>Credit Card</t>
        </is>
      </c>
      <c r="Q31" s="25" t="inlineStr">
        <is>
          <t>Delivered</t>
        </is>
      </c>
      <c r="R31" s="25" t="n">
        <v>4</v>
      </c>
      <c r="S31" s="25">
        <f>TEXT(B31,"yyyy-mm")</f>
        <v/>
      </c>
      <c r="T31" s="25">
        <f>VLOOKUP(D31,Customers!A:D,4,FALSE)</f>
        <v/>
      </c>
      <c r="U31" s="25">
        <f>CONCATENATE(A31,"-",G31)</f>
        <v/>
      </c>
      <c r="V31" s="25">
        <f>IF(N31="","",IF(N31&lt;=30,"Fast (&lt;30m)",IF(N31&lt;=45,"Moderate (30-45m)","Delayed (&gt;45m)")))</f>
        <v/>
      </c>
      <c r="W31" s="25">
        <f>IF(AND(I31&gt;600,P31="Delivered"),"High Value Delivered","Standard")</f>
        <v/>
      </c>
      <c r="X31" s="25">
        <f>IF(OR(N31&gt;50,Q31&lt;=2),"High Risk / Delayed","Normal")</f>
        <v/>
      </c>
      <c r="Y31" s="25">
        <f>IF(NOT(P31="Cancelled"),"Fulfilled","Cancelled")</f>
        <v/>
      </c>
      <c r="Z31" s="25">
        <f>IFERROR(Q31,0)</f>
        <v/>
      </c>
    </row>
    <row r="32">
      <c r="A32" s="17" t="inlineStr">
        <is>
          <t>ORD1031</t>
        </is>
      </c>
      <c r="B32" s="17" t="inlineStr">
        <is>
          <t>2025-10-28</t>
        </is>
      </c>
      <c r="C32" s="17" t="inlineStr">
        <is>
          <t>18:13:52</t>
        </is>
      </c>
      <c r="D32" s="17" t="n">
        <v>1165</v>
      </c>
      <c r="E32" s="17" t="n">
        <v>117</v>
      </c>
      <c r="F32" s="17" t="n">
        <v>229</v>
      </c>
      <c r="G32" s="17" t="inlineStr">
        <is>
          <t>Mumbai</t>
        </is>
      </c>
      <c r="H32" s="17" t="inlineStr">
        <is>
          <t>Chinese</t>
        </is>
      </c>
      <c r="I32" s="22" t="n">
        <v>458</v>
      </c>
      <c r="J32" s="22" t="n">
        <v>0</v>
      </c>
      <c r="K32" s="22" t="n">
        <v>25</v>
      </c>
      <c r="L32" s="23" t="n">
        <v>0.2</v>
      </c>
      <c r="M32" s="22" t="n">
        <v>97.84999999999999</v>
      </c>
      <c r="N32" s="24" t="n">
        <v>1.6</v>
      </c>
      <c r="O32" s="24" t="n">
        <v>18.2</v>
      </c>
      <c r="P32" s="17" t="inlineStr">
        <is>
          <t>Digital Wallet</t>
        </is>
      </c>
      <c r="Q32" s="17" t="inlineStr">
        <is>
          <t>Delivered</t>
        </is>
      </c>
      <c r="R32" s="17" t="n">
        <v>5</v>
      </c>
      <c r="S32" s="17">
        <f>TEXT(B32,"yyyy-mm")</f>
        <v/>
      </c>
      <c r="T32" s="17">
        <f>VLOOKUP(D32,Customers!A:D,4,FALSE)</f>
        <v/>
      </c>
      <c r="U32" s="17">
        <f>CONCATENATE(A32,"-",G32)</f>
        <v/>
      </c>
      <c r="V32" s="17">
        <f>IF(N32="","",IF(N32&lt;=30,"Fast (&lt;30m)",IF(N32&lt;=45,"Moderate (30-45m)","Delayed (&gt;45m)")))</f>
        <v/>
      </c>
      <c r="W32" s="17">
        <f>IF(AND(I32&gt;600,P32="Delivered"),"High Value Delivered","Standard")</f>
        <v/>
      </c>
      <c r="X32" s="17">
        <f>IF(OR(N32&gt;50,Q32&lt;=2),"High Risk / Delayed","Normal")</f>
        <v/>
      </c>
      <c r="Y32" s="17">
        <f>IF(NOT(P32="Cancelled"),"Fulfilled","Cancelled")</f>
        <v/>
      </c>
      <c r="Z32" s="17">
        <f>IFERROR(Q32,0)</f>
        <v/>
      </c>
    </row>
    <row r="33">
      <c r="A33" s="25" t="inlineStr">
        <is>
          <t>ORD1032</t>
        </is>
      </c>
      <c r="B33" s="25" t="inlineStr">
        <is>
          <t>2025-03-16</t>
        </is>
      </c>
      <c r="C33" s="25" t="inlineStr">
        <is>
          <t>12:08:34</t>
        </is>
      </c>
      <c r="D33" s="25" t="n">
        <v>1263</v>
      </c>
      <c r="E33" s="25" t="n">
        <v>118</v>
      </c>
      <c r="F33" s="25" t="n">
        <v>212</v>
      </c>
      <c r="G33" s="25" t="inlineStr">
        <is>
          <t>Delhi NCR</t>
        </is>
      </c>
      <c r="H33" s="25" t="inlineStr">
        <is>
          <t>North Indian</t>
        </is>
      </c>
      <c r="I33" s="26" t="n">
        <v>476</v>
      </c>
      <c r="J33" s="26" t="n">
        <v>4.19</v>
      </c>
      <c r="K33" s="26" t="n">
        <v>38</v>
      </c>
      <c r="L33" s="27" t="n">
        <v>0.2</v>
      </c>
      <c r="M33" s="26" t="n">
        <v>104.7</v>
      </c>
      <c r="N33" s="28" t="n">
        <v>5.6</v>
      </c>
      <c r="O33" s="28" t="n">
        <v>42.3</v>
      </c>
      <c r="P33" s="25" t="inlineStr">
        <is>
          <t>Credit Card</t>
        </is>
      </c>
      <c r="Q33" s="25" t="inlineStr">
        <is>
          <t>Delivered</t>
        </is>
      </c>
      <c r="R33" s="25" t="n">
        <v>3</v>
      </c>
      <c r="S33" s="25">
        <f>TEXT(B33,"yyyy-mm")</f>
        <v/>
      </c>
      <c r="T33" s="25">
        <f>VLOOKUP(D33,Customers!A:D,4,FALSE)</f>
        <v/>
      </c>
      <c r="U33" s="25">
        <f>CONCATENATE(A33,"-",G33)</f>
        <v/>
      </c>
      <c r="V33" s="25">
        <f>IF(N33="","",IF(N33&lt;=30,"Fast (&lt;30m)",IF(N33&lt;=45,"Moderate (30-45m)","Delayed (&gt;45m)")))</f>
        <v/>
      </c>
      <c r="W33" s="25">
        <f>IF(AND(I33&gt;600,P33="Delivered"),"High Value Delivered","Standard")</f>
        <v/>
      </c>
      <c r="X33" s="25">
        <f>IF(OR(N33&gt;50,Q33&lt;=2),"High Risk / Delayed","Normal")</f>
        <v/>
      </c>
      <c r="Y33" s="25">
        <f>IF(NOT(P33="Cancelled"),"Fulfilled","Cancelled")</f>
        <v/>
      </c>
      <c r="Z33" s="25">
        <f>IFERROR(Q33,0)</f>
        <v/>
      </c>
    </row>
    <row r="34">
      <c r="A34" s="17" t="inlineStr">
        <is>
          <t>ORD1033</t>
        </is>
      </c>
      <c r="B34" s="17" t="inlineStr">
        <is>
          <t>2025-05-02</t>
        </is>
      </c>
      <c r="C34" s="17" t="inlineStr">
        <is>
          <t>20:37:20</t>
        </is>
      </c>
      <c r="D34" s="17" t="n">
        <v>1157</v>
      </c>
      <c r="E34" s="17" t="n">
        <v>102</v>
      </c>
      <c r="F34" s="17" t="n">
        <v>215</v>
      </c>
      <c r="G34" s="17" t="inlineStr">
        <is>
          <t>Hyderabad</t>
        </is>
      </c>
      <c r="H34" s="17" t="inlineStr">
        <is>
          <t>Biryani</t>
        </is>
      </c>
      <c r="I34" s="22" t="n">
        <v>236</v>
      </c>
      <c r="J34" s="22" t="n">
        <v>14.68</v>
      </c>
      <c r="K34" s="22" t="n">
        <v>65</v>
      </c>
      <c r="L34" s="23" t="n">
        <v>0.22</v>
      </c>
      <c r="M34" s="22" t="n">
        <v>68.17</v>
      </c>
      <c r="N34" s="24" t="n">
        <v>11</v>
      </c>
      <c r="O34" s="24" t="n">
        <v>54.4</v>
      </c>
      <c r="P34" s="17" t="inlineStr">
        <is>
          <t>Cash on Delivery</t>
        </is>
      </c>
      <c r="Q34" s="17" t="inlineStr">
        <is>
          <t>Delivered</t>
        </is>
      </c>
      <c r="R34" s="17" t="n">
        <v>3</v>
      </c>
      <c r="S34" s="17">
        <f>TEXT(B34,"yyyy-mm")</f>
        <v/>
      </c>
      <c r="T34" s="17">
        <f>VLOOKUP(D34,Customers!A:D,4,FALSE)</f>
        <v/>
      </c>
      <c r="U34" s="17">
        <f>CONCATENATE(A34,"-",G34)</f>
        <v/>
      </c>
      <c r="V34" s="17">
        <f>IF(N34="","",IF(N34&lt;=30,"Fast (&lt;30m)",IF(N34&lt;=45,"Moderate (30-45m)","Delayed (&gt;45m)")))</f>
        <v/>
      </c>
      <c r="W34" s="17">
        <f>IF(AND(I34&gt;600,P34="Delivered"),"High Value Delivered","Standard")</f>
        <v/>
      </c>
      <c r="X34" s="17">
        <f>IF(OR(N34&gt;50,Q34&lt;=2),"High Risk / Delayed","Normal")</f>
        <v/>
      </c>
      <c r="Y34" s="17">
        <f>IF(NOT(P34="Cancelled"),"Fulfilled","Cancelled")</f>
        <v/>
      </c>
      <c r="Z34" s="17">
        <f>IFERROR(Q34,0)</f>
        <v/>
      </c>
    </row>
    <row r="35">
      <c r="A35" s="25" t="inlineStr">
        <is>
          <t>ORD1034</t>
        </is>
      </c>
      <c r="B35" s="25" t="inlineStr">
        <is>
          <t>2025-08-18</t>
        </is>
      </c>
      <c r="C35" s="25" t="inlineStr">
        <is>
          <t>13:49:23</t>
        </is>
      </c>
      <c r="D35" s="25" t="n">
        <v>1058</v>
      </c>
      <c r="E35" s="25" t="n">
        <v>107</v>
      </c>
      <c r="F35" s="25" t="n">
        <v>202</v>
      </c>
      <c r="G35" s="25" t="inlineStr">
        <is>
          <t>Mumbai</t>
        </is>
      </c>
      <c r="H35" s="25" t="inlineStr">
        <is>
          <t>Desserts</t>
        </is>
      </c>
      <c r="I35" s="26" t="n">
        <v>745</v>
      </c>
      <c r="J35" s="26" t="n">
        <v>26.94</v>
      </c>
      <c r="K35" s="26" t="n">
        <v>35.5</v>
      </c>
      <c r="L35" s="27" t="n">
        <v>0.25</v>
      </c>
      <c r="M35" s="26" t="n">
        <v>195.12</v>
      </c>
      <c r="N35" s="28" t="n">
        <v>5.1</v>
      </c>
      <c r="O35" s="28" t="n">
        <v>38.5</v>
      </c>
      <c r="P35" s="25" t="inlineStr">
        <is>
          <t>Digital Wallet</t>
        </is>
      </c>
      <c r="Q35" s="25" t="inlineStr">
        <is>
          <t>Delivered</t>
        </is>
      </c>
      <c r="R35" s="25" t="n">
        <v>4</v>
      </c>
      <c r="S35" s="25">
        <f>TEXT(B35,"yyyy-mm")</f>
        <v/>
      </c>
      <c r="T35" s="25">
        <f>VLOOKUP(D35,Customers!A:D,4,FALSE)</f>
        <v/>
      </c>
      <c r="U35" s="25">
        <f>CONCATENATE(A35,"-",G35)</f>
        <v/>
      </c>
      <c r="V35" s="25">
        <f>IF(N35="","",IF(N35&lt;=30,"Fast (&lt;30m)",IF(N35&lt;=45,"Moderate (30-45m)","Delayed (&gt;45m)")))</f>
        <v/>
      </c>
      <c r="W35" s="25">
        <f>IF(AND(I35&gt;600,P35="Delivered"),"High Value Delivered","Standard")</f>
        <v/>
      </c>
      <c r="X35" s="25">
        <f>IF(OR(N35&gt;50,Q35&lt;=2),"High Risk / Delayed","Normal")</f>
        <v/>
      </c>
      <c r="Y35" s="25">
        <f>IF(NOT(P35="Cancelled"),"Fulfilled","Cancelled")</f>
        <v/>
      </c>
      <c r="Z35" s="25">
        <f>IFERROR(Q35,0)</f>
        <v/>
      </c>
    </row>
    <row r="36">
      <c r="A36" s="17" t="inlineStr">
        <is>
          <t>ORD1035</t>
        </is>
      </c>
      <c r="B36" s="17" t="inlineStr">
        <is>
          <t>2025-08-23</t>
        </is>
      </c>
      <c r="C36" s="17" t="inlineStr">
        <is>
          <t>20:41:01</t>
        </is>
      </c>
      <c r="D36" s="17" t="n">
        <v>1159</v>
      </c>
      <c r="E36" s="17" t="n">
        <v>118</v>
      </c>
      <c r="F36" s="17" t="n">
        <v>221</v>
      </c>
      <c r="G36" s="17" t="inlineStr">
        <is>
          <t>Delhi NCR</t>
        </is>
      </c>
      <c r="H36" s="17" t="inlineStr">
        <is>
          <t>North Indian</t>
        </is>
      </c>
      <c r="I36" s="22" t="n">
        <v>282</v>
      </c>
      <c r="J36" s="22" t="n">
        <v>19.12</v>
      </c>
      <c r="K36" s="22" t="n">
        <v>32.5</v>
      </c>
      <c r="L36" s="23" t="n">
        <v>0.2</v>
      </c>
      <c r="M36" s="22" t="n">
        <v>64.53</v>
      </c>
      <c r="N36" s="24" t="n">
        <v>4.5</v>
      </c>
      <c r="O36" s="24" t="n">
        <v>37.3</v>
      </c>
      <c r="P36" s="17" t="inlineStr">
        <is>
          <t>UPI</t>
        </is>
      </c>
      <c r="Q36" s="17" t="inlineStr">
        <is>
          <t>Delivered</t>
        </is>
      </c>
      <c r="R36" s="17" t="n">
        <v>2</v>
      </c>
      <c r="S36" s="17">
        <f>TEXT(B36,"yyyy-mm")</f>
        <v/>
      </c>
      <c r="T36" s="17">
        <f>VLOOKUP(D36,Customers!A:D,4,FALSE)</f>
        <v/>
      </c>
      <c r="U36" s="17">
        <f>CONCATENATE(A36,"-",G36)</f>
        <v/>
      </c>
      <c r="V36" s="17">
        <f>IF(N36="","",IF(N36&lt;=30,"Fast (&lt;30m)",IF(N36&lt;=45,"Moderate (30-45m)","Delayed (&gt;45m)")))</f>
        <v/>
      </c>
      <c r="W36" s="17">
        <f>IF(AND(I36&gt;600,P36="Delivered"),"High Value Delivered","Standard")</f>
        <v/>
      </c>
      <c r="X36" s="17">
        <f>IF(OR(N36&gt;50,Q36&lt;=2),"High Risk / Delayed","Normal")</f>
        <v/>
      </c>
      <c r="Y36" s="17">
        <f>IF(NOT(P36="Cancelled"),"Fulfilled","Cancelled")</f>
        <v/>
      </c>
      <c r="Z36" s="17">
        <f>IFERROR(Q36,0)</f>
        <v/>
      </c>
    </row>
    <row r="37">
      <c r="A37" s="25" t="inlineStr">
        <is>
          <t>ORD1036</t>
        </is>
      </c>
      <c r="B37" s="25" t="inlineStr">
        <is>
          <t>2025-02-11</t>
        </is>
      </c>
      <c r="C37" s="25" t="inlineStr">
        <is>
          <t>20:20:38</t>
        </is>
      </c>
      <c r="D37" s="25" t="n">
        <v>1188</v>
      </c>
      <c r="E37" s="25" t="n">
        <v>114</v>
      </c>
      <c r="F37" s="25" t="n">
        <v>216</v>
      </c>
      <c r="G37" s="25" t="inlineStr">
        <is>
          <t>Hyderabad</t>
        </is>
      </c>
      <c r="H37" s="25" t="inlineStr">
        <is>
          <t>Biryani</t>
        </is>
      </c>
      <c r="I37" s="26" t="n">
        <v>371</v>
      </c>
      <c r="J37" s="26" t="n">
        <v>0</v>
      </c>
      <c r="K37" s="26" t="n">
        <v>30</v>
      </c>
      <c r="L37" s="27" t="n">
        <v>0.22</v>
      </c>
      <c r="M37" s="26" t="n">
        <v>89.12</v>
      </c>
      <c r="N37" s="28" t="n">
        <v>4</v>
      </c>
      <c r="O37" s="28" t="n">
        <v>30.8</v>
      </c>
      <c r="P37" s="25" t="inlineStr">
        <is>
          <t>Digital Wallet</t>
        </is>
      </c>
      <c r="Q37" s="25" t="inlineStr">
        <is>
          <t>Delivered</t>
        </is>
      </c>
      <c r="R37" s="25" t="n">
        <v>4</v>
      </c>
      <c r="S37" s="25">
        <f>TEXT(B37,"yyyy-mm")</f>
        <v/>
      </c>
      <c r="T37" s="25">
        <f>VLOOKUP(D37,Customers!A:D,4,FALSE)</f>
        <v/>
      </c>
      <c r="U37" s="25">
        <f>CONCATENATE(A37,"-",G37)</f>
        <v/>
      </c>
      <c r="V37" s="25">
        <f>IF(N37="","",IF(N37&lt;=30,"Fast (&lt;30m)",IF(N37&lt;=45,"Moderate (30-45m)","Delayed (&gt;45m)")))</f>
        <v/>
      </c>
      <c r="W37" s="25">
        <f>IF(AND(I37&gt;600,P37="Delivered"),"High Value Delivered","Standard")</f>
        <v/>
      </c>
      <c r="X37" s="25">
        <f>IF(OR(N37&gt;50,Q37&lt;=2),"High Risk / Delayed","Normal")</f>
        <v/>
      </c>
      <c r="Y37" s="25">
        <f>IF(NOT(P37="Cancelled"),"Fulfilled","Cancelled")</f>
        <v/>
      </c>
      <c r="Z37" s="25">
        <f>IFERROR(Q37,0)</f>
        <v/>
      </c>
    </row>
    <row r="38">
      <c r="A38" s="17" t="inlineStr">
        <is>
          <t>ORD1037</t>
        </is>
      </c>
      <c r="B38" s="17" t="inlineStr">
        <is>
          <t>2025-08-21</t>
        </is>
      </c>
      <c r="C38" s="17" t="inlineStr">
        <is>
          <t>12:32:38</t>
        </is>
      </c>
      <c r="D38" s="17" t="n">
        <v>1265</v>
      </c>
      <c r="E38" s="17" t="n">
        <v>115</v>
      </c>
      <c r="F38" s="17" t="n">
        <v>223</v>
      </c>
      <c r="G38" s="17" t="inlineStr">
        <is>
          <t>Bangalore</t>
        </is>
      </c>
      <c r="H38" s="17" t="inlineStr">
        <is>
          <t>Italian</t>
        </is>
      </c>
      <c r="I38" s="22" t="n">
        <v>785</v>
      </c>
      <c r="J38" s="22" t="n">
        <v>140.76</v>
      </c>
      <c r="K38" s="22" t="n">
        <v>0</v>
      </c>
      <c r="L38" s="23" t="n">
        <v>0.2</v>
      </c>
      <c r="M38" s="22" t="n">
        <v>157</v>
      </c>
      <c r="N38" s="24" t="n">
        <v>1.6</v>
      </c>
      <c r="O38" s="24" t="n">
        <v>24.2</v>
      </c>
      <c r="P38" s="17" t="inlineStr">
        <is>
          <t>Digital Wallet</t>
        </is>
      </c>
      <c r="Q38" s="17" t="inlineStr">
        <is>
          <t>Delivered</t>
        </is>
      </c>
      <c r="R38" s="17" t="n">
        <v>4</v>
      </c>
      <c r="S38" s="17">
        <f>TEXT(B38,"yyyy-mm")</f>
        <v/>
      </c>
      <c r="T38" s="17">
        <f>VLOOKUP(D38,Customers!A:D,4,FALSE)</f>
        <v/>
      </c>
      <c r="U38" s="17">
        <f>CONCATENATE(A38,"-",G38)</f>
        <v/>
      </c>
      <c r="V38" s="17">
        <f>IF(N38="","",IF(N38&lt;=30,"Fast (&lt;30m)",IF(N38&lt;=45,"Moderate (30-45m)","Delayed (&gt;45m)")))</f>
        <v/>
      </c>
      <c r="W38" s="17">
        <f>IF(AND(I38&gt;600,P38="Delivered"),"High Value Delivered","Standard")</f>
        <v/>
      </c>
      <c r="X38" s="17">
        <f>IF(OR(N38&gt;50,Q38&lt;=2),"High Risk / Delayed","Normal")</f>
        <v/>
      </c>
      <c r="Y38" s="17">
        <f>IF(NOT(P38="Cancelled"),"Fulfilled","Cancelled")</f>
        <v/>
      </c>
      <c r="Z38" s="17">
        <f>IFERROR(Q38,0)</f>
        <v/>
      </c>
    </row>
    <row r="39">
      <c r="A39" s="25" t="inlineStr">
        <is>
          <t>ORD1038</t>
        </is>
      </c>
      <c r="B39" s="25" t="inlineStr">
        <is>
          <t>2025-04-27</t>
        </is>
      </c>
      <c r="C39" s="25" t="inlineStr">
        <is>
          <t>16:26:21</t>
        </is>
      </c>
      <c r="D39" s="25" t="n">
        <v>1069</v>
      </c>
      <c r="E39" s="25" t="n">
        <v>115</v>
      </c>
      <c r="F39" s="25" t="n">
        <v>227</v>
      </c>
      <c r="G39" s="25" t="inlineStr">
        <is>
          <t>Bangalore</t>
        </is>
      </c>
      <c r="H39" s="25" t="inlineStr">
        <is>
          <t>Italian</t>
        </is>
      </c>
      <c r="I39" s="26" t="n">
        <v>684</v>
      </c>
      <c r="J39" s="26" t="n">
        <v>0</v>
      </c>
      <c r="K39" s="26" t="n">
        <v>25</v>
      </c>
      <c r="L39" s="27" t="n">
        <v>0.2</v>
      </c>
      <c r="M39" s="26" t="n">
        <v>143.05</v>
      </c>
      <c r="N39" s="28" t="n">
        <v>1.3</v>
      </c>
      <c r="O39" s="28" t="n">
        <v>25.2</v>
      </c>
      <c r="P39" s="25" t="inlineStr">
        <is>
          <t>Debit Card</t>
        </is>
      </c>
      <c r="Q39" s="25" t="inlineStr">
        <is>
          <t>Delivered</t>
        </is>
      </c>
      <c r="R39" s="25" t="n">
        <v>5</v>
      </c>
      <c r="S39" s="25">
        <f>TEXT(B39,"yyyy-mm")</f>
        <v/>
      </c>
      <c r="T39" s="25">
        <f>VLOOKUP(D39,Customers!A:D,4,FALSE)</f>
        <v/>
      </c>
      <c r="U39" s="25">
        <f>CONCATENATE(A39,"-",G39)</f>
        <v/>
      </c>
      <c r="V39" s="25">
        <f>IF(N39="","",IF(N39&lt;=30,"Fast (&lt;30m)",IF(N39&lt;=45,"Moderate (30-45m)","Delayed (&gt;45m)")))</f>
        <v/>
      </c>
      <c r="W39" s="25">
        <f>IF(AND(I39&gt;600,P39="Delivered"),"High Value Delivered","Standard")</f>
        <v/>
      </c>
      <c r="X39" s="25">
        <f>IF(OR(N39&gt;50,Q39&lt;=2),"High Risk / Delayed","Normal")</f>
        <v/>
      </c>
      <c r="Y39" s="25">
        <f>IF(NOT(P39="Cancelled"),"Fulfilled","Cancelled")</f>
        <v/>
      </c>
      <c r="Z39" s="25">
        <f>IFERROR(Q39,0)</f>
        <v/>
      </c>
    </row>
    <row r="40">
      <c r="A40" s="17" t="inlineStr">
        <is>
          <t>ORD1039</t>
        </is>
      </c>
      <c r="B40" s="17" t="inlineStr">
        <is>
          <t>2025-07-11</t>
        </is>
      </c>
      <c r="C40" s="17" t="inlineStr">
        <is>
          <t>20:09:43</t>
        </is>
      </c>
      <c r="D40" s="17" t="n">
        <v>1090</v>
      </c>
      <c r="E40" s="17" t="n">
        <v>111</v>
      </c>
      <c r="F40" s="17" t="n">
        <v>210</v>
      </c>
      <c r="G40" s="17" t="inlineStr">
        <is>
          <t>Bangalore</t>
        </is>
      </c>
      <c r="H40" s="17" t="inlineStr">
        <is>
          <t>South Indian</t>
        </is>
      </c>
      <c r="I40" s="22" t="n">
        <v>705</v>
      </c>
      <c r="J40" s="22" t="n">
        <v>0</v>
      </c>
      <c r="K40" s="22" t="n">
        <v>30</v>
      </c>
      <c r="L40" s="23" t="n">
        <v>0.15</v>
      </c>
      <c r="M40" s="22" t="n">
        <v>113.25</v>
      </c>
      <c r="N40" s="24" t="n">
        <v>4</v>
      </c>
      <c r="O40" s="24" t="n">
        <v>42.6</v>
      </c>
      <c r="P40" s="17" t="inlineStr">
        <is>
          <t>UPI</t>
        </is>
      </c>
      <c r="Q40" s="17" t="inlineStr">
        <is>
          <t>Delivered</t>
        </is>
      </c>
      <c r="R40" s="17" t="n">
        <v>3</v>
      </c>
      <c r="S40" s="17">
        <f>TEXT(B40,"yyyy-mm")</f>
        <v/>
      </c>
      <c r="T40" s="17">
        <f>VLOOKUP(D40,Customers!A:D,4,FALSE)</f>
        <v/>
      </c>
      <c r="U40" s="17">
        <f>CONCATENATE(A40,"-",G40)</f>
        <v/>
      </c>
      <c r="V40" s="17">
        <f>IF(N40="","",IF(N40&lt;=30,"Fast (&lt;30m)",IF(N40&lt;=45,"Moderate (30-45m)","Delayed (&gt;45m)")))</f>
        <v/>
      </c>
      <c r="W40" s="17">
        <f>IF(AND(I40&gt;600,P40="Delivered"),"High Value Delivered","Standard")</f>
        <v/>
      </c>
      <c r="X40" s="17">
        <f>IF(OR(N40&gt;50,Q40&lt;=2),"High Risk / Delayed","Normal")</f>
        <v/>
      </c>
      <c r="Y40" s="17">
        <f>IF(NOT(P40="Cancelled"),"Fulfilled","Cancelled")</f>
        <v/>
      </c>
      <c r="Z40" s="17">
        <f>IFERROR(Q40,0)</f>
        <v/>
      </c>
    </row>
    <row r="41">
      <c r="A41" s="25" t="inlineStr">
        <is>
          <t>ORD1040</t>
        </is>
      </c>
      <c r="B41" s="25" t="inlineStr">
        <is>
          <t>2025-03-08</t>
        </is>
      </c>
      <c r="C41" s="25" t="inlineStr">
        <is>
          <t>06:35:03</t>
        </is>
      </c>
      <c r="D41" s="25" t="n">
        <v>1201</v>
      </c>
      <c r="E41" s="25" t="n">
        <v>115</v>
      </c>
      <c r="F41" s="25" t="n">
        <v>201</v>
      </c>
      <c r="G41" s="25" t="inlineStr">
        <is>
          <t>Bangalore</t>
        </is>
      </c>
      <c r="H41" s="25" t="inlineStr">
        <is>
          <t>Italian</t>
        </is>
      </c>
      <c r="I41" s="26" t="n">
        <v>820</v>
      </c>
      <c r="J41" s="26" t="n">
        <v>95.91</v>
      </c>
      <c r="K41" s="26" t="n">
        <v>25</v>
      </c>
      <c r="L41" s="27" t="n">
        <v>0.2</v>
      </c>
      <c r="M41" s="26" t="n">
        <v>170.25</v>
      </c>
      <c r="N41" s="28" t="n">
        <v>2.5</v>
      </c>
      <c r="O41" s="28" t="n">
        <v>27</v>
      </c>
      <c r="P41" s="25" t="inlineStr">
        <is>
          <t>UPI</t>
        </is>
      </c>
      <c r="Q41" s="25" t="inlineStr">
        <is>
          <t>Delivered</t>
        </is>
      </c>
      <c r="R41" s="25" t="n">
        <v>5</v>
      </c>
      <c r="S41" s="25">
        <f>TEXT(B41,"yyyy-mm")</f>
        <v/>
      </c>
      <c r="T41" s="25">
        <f>VLOOKUP(D41,Customers!A:D,4,FALSE)</f>
        <v/>
      </c>
      <c r="U41" s="25">
        <f>CONCATENATE(A41,"-",G41)</f>
        <v/>
      </c>
      <c r="V41" s="25">
        <f>IF(N41="","",IF(N41&lt;=30,"Fast (&lt;30m)",IF(N41&lt;=45,"Moderate (30-45m)","Delayed (&gt;45m)")))</f>
        <v/>
      </c>
      <c r="W41" s="25">
        <f>IF(AND(I41&gt;600,P41="Delivered"),"High Value Delivered","Standard")</f>
        <v/>
      </c>
      <c r="X41" s="25">
        <f>IF(OR(N41&gt;50,Q41&lt;=2),"High Risk / Delayed","Normal")</f>
        <v/>
      </c>
      <c r="Y41" s="25">
        <f>IF(NOT(P41="Cancelled"),"Fulfilled","Cancelled")</f>
        <v/>
      </c>
      <c r="Z41" s="25">
        <f>IFERROR(Q41,0)</f>
        <v/>
      </c>
    </row>
    <row r="42">
      <c r="A42" s="17" t="inlineStr">
        <is>
          <t>ORD1041</t>
        </is>
      </c>
      <c r="B42" s="17" t="inlineStr">
        <is>
          <t>2025-01-27</t>
        </is>
      </c>
      <c r="C42" s="17" t="inlineStr">
        <is>
          <t>19:18:38</t>
        </is>
      </c>
      <c r="D42" s="17" t="n">
        <v>1258</v>
      </c>
      <c r="E42" s="17" t="n">
        <v>103</v>
      </c>
      <c r="F42" s="17" t="n">
        <v>222</v>
      </c>
      <c r="G42" s="17" t="inlineStr">
        <is>
          <t>Mumbai</t>
        </is>
      </c>
      <c r="H42" s="17" t="inlineStr">
        <is>
          <t>Italian</t>
        </is>
      </c>
      <c r="I42" s="22" t="n">
        <v>539</v>
      </c>
      <c r="J42" s="22" t="n">
        <v>40.22</v>
      </c>
      <c r="K42" s="22" t="n">
        <v>25</v>
      </c>
      <c r="L42" s="23" t="n">
        <v>0.18</v>
      </c>
      <c r="M42" s="22" t="n">
        <v>103.27</v>
      </c>
      <c r="N42" s="24" t="n">
        <v>3</v>
      </c>
      <c r="O42" s="24" t="n">
        <v>29.4</v>
      </c>
      <c r="P42" s="17" t="inlineStr">
        <is>
          <t>Credit Card</t>
        </is>
      </c>
      <c r="Q42" s="17" t="inlineStr">
        <is>
          <t>Returned</t>
        </is>
      </c>
      <c r="R42" s="17" t="n">
        <v>5</v>
      </c>
      <c r="S42" s="17">
        <f>TEXT(B42,"yyyy-mm")</f>
        <v/>
      </c>
      <c r="T42" s="17">
        <f>VLOOKUP(D42,Customers!A:D,4,FALSE)</f>
        <v/>
      </c>
      <c r="U42" s="17">
        <f>CONCATENATE(A42,"-",G42)</f>
        <v/>
      </c>
      <c r="V42" s="17">
        <f>IF(N42="","",IF(N42&lt;=30,"Fast (&lt;30m)",IF(N42&lt;=45,"Moderate (30-45m)","Delayed (&gt;45m)")))</f>
        <v/>
      </c>
      <c r="W42" s="17">
        <f>IF(AND(I42&gt;600,P42="Delivered"),"High Value Delivered","Standard")</f>
        <v/>
      </c>
      <c r="X42" s="17">
        <f>IF(OR(N42&gt;50,Q42&lt;=2),"High Risk / Delayed","Normal")</f>
        <v/>
      </c>
      <c r="Y42" s="17">
        <f>IF(NOT(P42="Cancelled"),"Fulfilled","Cancelled")</f>
        <v/>
      </c>
      <c r="Z42" s="17">
        <f>IFERROR(Q42,0)</f>
        <v/>
      </c>
    </row>
    <row r="43">
      <c r="A43" s="25" t="inlineStr">
        <is>
          <t>ORD1042</t>
        </is>
      </c>
      <c r="B43" s="25" t="inlineStr">
        <is>
          <t>2025-04-25</t>
        </is>
      </c>
      <c r="C43" s="25" t="inlineStr">
        <is>
          <t>15:54:06</t>
        </is>
      </c>
      <c r="D43" s="25" t="n">
        <v>1095</v>
      </c>
      <c r="E43" s="25" t="n">
        <v>108</v>
      </c>
      <c r="F43" s="25" t="n">
        <v>230</v>
      </c>
      <c r="G43" s="25" t="inlineStr">
        <is>
          <t>Delhi NCR</t>
        </is>
      </c>
      <c r="H43" s="25" t="inlineStr">
        <is>
          <t>Fast Food</t>
        </is>
      </c>
      <c r="I43" s="26" t="n">
        <v>578</v>
      </c>
      <c r="J43" s="26" t="n">
        <v>63.1</v>
      </c>
      <c r="K43" s="26" t="n">
        <v>39</v>
      </c>
      <c r="L43" s="27" t="n">
        <v>0.18</v>
      </c>
      <c r="M43" s="26" t="n">
        <v>113.79</v>
      </c>
      <c r="N43" s="28" t="n">
        <v>5.8</v>
      </c>
      <c r="O43" s="28" t="n">
        <v>33.2</v>
      </c>
      <c r="P43" s="25" t="inlineStr">
        <is>
          <t>Debit Card</t>
        </is>
      </c>
      <c r="Q43" s="25" t="inlineStr">
        <is>
          <t>Delivered</t>
        </is>
      </c>
      <c r="R43" s="25" t="n">
        <v>4</v>
      </c>
      <c r="S43" s="25">
        <f>TEXT(B43,"yyyy-mm")</f>
        <v/>
      </c>
      <c r="T43" s="25">
        <f>VLOOKUP(D43,Customers!A:D,4,FALSE)</f>
        <v/>
      </c>
      <c r="U43" s="25">
        <f>CONCATENATE(A43,"-",G43)</f>
        <v/>
      </c>
      <c r="V43" s="25">
        <f>IF(N43="","",IF(N43&lt;=30,"Fast (&lt;30m)",IF(N43&lt;=45,"Moderate (30-45m)","Delayed (&gt;45m)")))</f>
        <v/>
      </c>
      <c r="W43" s="25">
        <f>IF(AND(I43&gt;600,P43="Delivered"),"High Value Delivered","Standard")</f>
        <v/>
      </c>
      <c r="X43" s="25">
        <f>IF(OR(N43&gt;50,Q43&lt;=2),"High Risk / Delayed","Normal")</f>
        <v/>
      </c>
      <c r="Y43" s="25">
        <f>IF(NOT(P43="Cancelled"),"Fulfilled","Cancelled")</f>
        <v/>
      </c>
      <c r="Z43" s="25">
        <f>IFERROR(Q43,0)</f>
        <v/>
      </c>
    </row>
    <row r="44">
      <c r="A44" s="17" t="inlineStr">
        <is>
          <t>ORD1043</t>
        </is>
      </c>
      <c r="B44" s="17" t="inlineStr">
        <is>
          <t>2025-11-08</t>
        </is>
      </c>
      <c r="C44" s="17" t="inlineStr">
        <is>
          <t>10:59:42</t>
        </is>
      </c>
      <c r="D44" s="17" t="n">
        <v>1200</v>
      </c>
      <c r="E44" s="17" t="n">
        <v>103</v>
      </c>
      <c r="F44" s="17" t="n">
        <v>206</v>
      </c>
      <c r="G44" s="17" t="inlineStr">
        <is>
          <t>Mumbai</t>
        </is>
      </c>
      <c r="H44" s="17" t="inlineStr">
        <is>
          <t>Italian</t>
        </is>
      </c>
      <c r="I44" s="22" t="n">
        <v>930</v>
      </c>
      <c r="J44" s="22" t="n">
        <v>63.91</v>
      </c>
      <c r="K44" s="22" t="n">
        <v>28</v>
      </c>
      <c r="L44" s="23" t="n">
        <v>0.18</v>
      </c>
      <c r="M44" s="22" t="n">
        <v>174.4</v>
      </c>
      <c r="N44" s="24" t="n">
        <v>3.6</v>
      </c>
      <c r="O44" s="24" t="n">
        <v>25</v>
      </c>
      <c r="P44" s="17" t="inlineStr">
        <is>
          <t>Debit Card</t>
        </is>
      </c>
      <c r="Q44" s="17" t="inlineStr">
        <is>
          <t>Delivered</t>
        </is>
      </c>
      <c r="R44" s="17" t="n">
        <v>5</v>
      </c>
      <c r="S44" s="17">
        <f>TEXT(B44,"yyyy-mm")</f>
        <v/>
      </c>
      <c r="T44" s="17">
        <f>VLOOKUP(D44,Customers!A:D,4,FALSE)</f>
        <v/>
      </c>
      <c r="U44" s="17">
        <f>CONCATENATE(A44,"-",G44)</f>
        <v/>
      </c>
      <c r="V44" s="17">
        <f>IF(N44="","",IF(N44&lt;=30,"Fast (&lt;30m)",IF(N44&lt;=45,"Moderate (30-45m)","Delayed (&gt;45m)")))</f>
        <v/>
      </c>
      <c r="W44" s="17">
        <f>IF(AND(I44&gt;600,P44="Delivered"),"High Value Delivered","Standard")</f>
        <v/>
      </c>
      <c r="X44" s="17">
        <f>IF(OR(N44&gt;50,Q44&lt;=2),"High Risk / Delayed","Normal")</f>
        <v/>
      </c>
      <c r="Y44" s="17">
        <f>IF(NOT(P44="Cancelled"),"Fulfilled","Cancelled")</f>
        <v/>
      </c>
      <c r="Z44" s="17">
        <f>IFERROR(Q44,0)</f>
        <v/>
      </c>
    </row>
    <row r="45">
      <c r="A45" s="25" t="inlineStr">
        <is>
          <t>ORD1044</t>
        </is>
      </c>
      <c r="B45" s="25" t="inlineStr">
        <is>
          <t>2025-04-03</t>
        </is>
      </c>
      <c r="C45" s="25" t="inlineStr">
        <is>
          <t>19:55:09</t>
        </is>
      </c>
      <c r="D45" s="25" t="n">
        <v>1012</v>
      </c>
      <c r="E45" s="25" t="n">
        <v>120</v>
      </c>
      <c r="F45" s="25" t="n">
        <v>224</v>
      </c>
      <c r="G45" s="25" t="inlineStr">
        <is>
          <t>Pune</t>
        </is>
      </c>
      <c r="H45" s="25" t="inlineStr">
        <is>
          <t>Fast Food</t>
        </is>
      </c>
      <c r="I45" s="26" t="n">
        <v>1067</v>
      </c>
      <c r="J45" s="26" t="n">
        <v>149.46</v>
      </c>
      <c r="K45" s="26" t="n">
        <v>0</v>
      </c>
      <c r="L45" s="27" t="n">
        <v>0.18</v>
      </c>
      <c r="M45" s="26" t="n">
        <v>192.06</v>
      </c>
      <c r="N45" s="28" t="n">
        <v>8</v>
      </c>
      <c r="O45" s="28" t="n">
        <v>44.6</v>
      </c>
      <c r="P45" s="25" t="inlineStr">
        <is>
          <t>UPI</t>
        </is>
      </c>
      <c r="Q45" s="25" t="inlineStr">
        <is>
          <t>Returned</t>
        </is>
      </c>
      <c r="R45" s="25" t="n">
        <v>3</v>
      </c>
      <c r="S45" s="25">
        <f>TEXT(B45,"yyyy-mm")</f>
        <v/>
      </c>
      <c r="T45" s="25">
        <f>VLOOKUP(D45,Customers!A:D,4,FALSE)</f>
        <v/>
      </c>
      <c r="U45" s="25">
        <f>CONCATENATE(A45,"-",G45)</f>
        <v/>
      </c>
      <c r="V45" s="25">
        <f>IF(N45="","",IF(N45&lt;=30,"Fast (&lt;30m)",IF(N45&lt;=45,"Moderate (30-45m)","Delayed (&gt;45m)")))</f>
        <v/>
      </c>
      <c r="W45" s="25">
        <f>IF(AND(I45&gt;600,P45="Delivered"),"High Value Delivered","Standard")</f>
        <v/>
      </c>
      <c r="X45" s="25">
        <f>IF(OR(N45&gt;50,Q45&lt;=2),"High Risk / Delayed","Normal")</f>
        <v/>
      </c>
      <c r="Y45" s="25">
        <f>IF(NOT(P45="Cancelled"),"Fulfilled","Cancelled")</f>
        <v/>
      </c>
      <c r="Z45" s="25">
        <f>IFERROR(Q45,0)</f>
        <v/>
      </c>
    </row>
    <row r="46">
      <c r="A46" s="17" t="inlineStr">
        <is>
          <t>ORD1045</t>
        </is>
      </c>
      <c r="B46" s="17" t="inlineStr">
        <is>
          <t>2025-07-12</t>
        </is>
      </c>
      <c r="C46" s="17" t="inlineStr">
        <is>
          <t>18:26:29</t>
        </is>
      </c>
      <c r="D46" s="17" t="n">
        <v>1270</v>
      </c>
      <c r="E46" s="17" t="n">
        <v>114</v>
      </c>
      <c r="F46" s="17" t="n">
        <v>215</v>
      </c>
      <c r="G46" s="17" t="inlineStr">
        <is>
          <t>Hyderabad</t>
        </is>
      </c>
      <c r="H46" s="17" t="inlineStr">
        <is>
          <t>Biryani</t>
        </is>
      </c>
      <c r="I46" s="22" t="n">
        <v>569</v>
      </c>
      <c r="J46" s="22" t="n">
        <v>0</v>
      </c>
      <c r="K46" s="22" t="n">
        <v>25</v>
      </c>
      <c r="L46" s="23" t="n">
        <v>0.22</v>
      </c>
      <c r="M46" s="22" t="n">
        <v>131.43</v>
      </c>
      <c r="N46" s="24" t="n">
        <v>2.9</v>
      </c>
      <c r="O46" s="24" t="n">
        <v>25.2</v>
      </c>
      <c r="P46" s="17" t="inlineStr">
        <is>
          <t>Debit Card</t>
        </is>
      </c>
      <c r="Q46" s="17" t="inlineStr">
        <is>
          <t>Delivered</t>
        </is>
      </c>
      <c r="R46" s="17" t="n">
        <v>2</v>
      </c>
      <c r="S46" s="17">
        <f>TEXT(B46,"yyyy-mm")</f>
        <v/>
      </c>
      <c r="T46" s="17">
        <f>VLOOKUP(D46,Customers!A:D,4,FALSE)</f>
        <v/>
      </c>
      <c r="U46" s="17">
        <f>CONCATENATE(A46,"-",G46)</f>
        <v/>
      </c>
      <c r="V46" s="17">
        <f>IF(N46="","",IF(N46&lt;=30,"Fast (&lt;30m)",IF(N46&lt;=45,"Moderate (30-45m)","Delayed (&gt;45m)")))</f>
        <v/>
      </c>
      <c r="W46" s="17">
        <f>IF(AND(I46&gt;600,P46="Delivered"),"High Value Delivered","Standard")</f>
        <v/>
      </c>
      <c r="X46" s="17">
        <f>IF(OR(N46&gt;50,Q46&lt;=2),"High Risk / Delayed","Normal")</f>
        <v/>
      </c>
      <c r="Y46" s="17">
        <f>IF(NOT(P46="Cancelled"),"Fulfilled","Cancelled")</f>
        <v/>
      </c>
      <c r="Z46" s="17">
        <f>IFERROR(Q46,0)</f>
        <v/>
      </c>
    </row>
    <row r="47">
      <c r="A47" s="25" t="inlineStr">
        <is>
          <t>ORD1046</t>
        </is>
      </c>
      <c r="B47" s="25" t="inlineStr">
        <is>
          <t>2025-03-22</t>
        </is>
      </c>
      <c r="C47" s="25" t="inlineStr">
        <is>
          <t>22:48:39</t>
        </is>
      </c>
      <c r="D47" s="25" t="n">
        <v>1272</v>
      </c>
      <c r="E47" s="25" t="n">
        <v>104</v>
      </c>
      <c r="F47" s="25" t="n">
        <v>219</v>
      </c>
      <c r="G47" s="25" t="inlineStr">
        <is>
          <t>Delhi NCR</t>
        </is>
      </c>
      <c r="H47" s="25" t="inlineStr">
        <is>
          <t>Fast Food</t>
        </is>
      </c>
      <c r="I47" s="26" t="n">
        <v>270</v>
      </c>
      <c r="J47" s="26" t="n">
        <v>26.24</v>
      </c>
      <c r="K47" s="26" t="n">
        <v>32.5</v>
      </c>
      <c r="L47" s="27" t="n">
        <v>0.18</v>
      </c>
      <c r="M47" s="26" t="n">
        <v>56.72</v>
      </c>
      <c r="N47" s="28" t="n">
        <v>4.5</v>
      </c>
      <c r="O47" s="28" t="n">
        <v>27.8</v>
      </c>
      <c r="P47" s="25" t="inlineStr">
        <is>
          <t>Cash on Delivery</t>
        </is>
      </c>
      <c r="Q47" s="25" t="inlineStr">
        <is>
          <t>Delivered</t>
        </is>
      </c>
      <c r="R47" s="25" t="n">
        <v>5</v>
      </c>
      <c r="S47" s="25">
        <f>TEXT(B47,"yyyy-mm")</f>
        <v/>
      </c>
      <c r="T47" s="25">
        <f>VLOOKUP(D47,Customers!A:D,4,FALSE)</f>
        <v/>
      </c>
      <c r="U47" s="25">
        <f>CONCATENATE(A47,"-",G47)</f>
        <v/>
      </c>
      <c r="V47" s="25">
        <f>IF(N47="","",IF(N47&lt;=30,"Fast (&lt;30m)",IF(N47&lt;=45,"Moderate (30-45m)","Delayed (&gt;45m)")))</f>
        <v/>
      </c>
      <c r="W47" s="25">
        <f>IF(AND(I47&gt;600,P47="Delivered"),"High Value Delivered","Standard")</f>
        <v/>
      </c>
      <c r="X47" s="25">
        <f>IF(OR(N47&gt;50,Q47&lt;=2),"High Risk / Delayed","Normal")</f>
        <v/>
      </c>
      <c r="Y47" s="25">
        <f>IF(NOT(P47="Cancelled"),"Fulfilled","Cancelled")</f>
        <v/>
      </c>
      <c r="Z47" s="25">
        <f>IFERROR(Q47,0)</f>
        <v/>
      </c>
    </row>
    <row r="48">
      <c r="A48" s="17" t="inlineStr">
        <is>
          <t>ORD1047</t>
        </is>
      </c>
      <c r="B48" s="17" t="inlineStr">
        <is>
          <t>2025-05-20</t>
        </is>
      </c>
      <c r="C48" s="17" t="inlineStr">
        <is>
          <t>18:13:48</t>
        </is>
      </c>
      <c r="D48" s="17" t="n">
        <v>1263</v>
      </c>
      <c r="E48" s="17" t="n">
        <v>108</v>
      </c>
      <c r="F48" s="17" t="n">
        <v>228</v>
      </c>
      <c r="G48" s="17" t="inlineStr">
        <is>
          <t>Delhi NCR</t>
        </is>
      </c>
      <c r="H48" s="17" t="inlineStr">
        <is>
          <t>Fast Food</t>
        </is>
      </c>
      <c r="I48" s="22" t="n">
        <v>744</v>
      </c>
      <c r="J48" s="22" t="n">
        <v>0</v>
      </c>
      <c r="K48" s="22" t="n">
        <v>44</v>
      </c>
      <c r="L48" s="23" t="n">
        <v>0.18</v>
      </c>
      <c r="M48" s="22" t="n">
        <v>144.92</v>
      </c>
      <c r="N48" s="24" t="n">
        <v>6.8</v>
      </c>
      <c r="O48" s="24" t="n">
        <v>41.6</v>
      </c>
      <c r="P48" s="17" t="inlineStr">
        <is>
          <t>Debit Card</t>
        </is>
      </c>
      <c r="Q48" s="17" t="inlineStr">
        <is>
          <t>Delivered</t>
        </is>
      </c>
      <c r="R48" s="17" t="n">
        <v>3</v>
      </c>
      <c r="S48" s="17">
        <f>TEXT(B48,"yyyy-mm")</f>
        <v/>
      </c>
      <c r="T48" s="17">
        <f>VLOOKUP(D48,Customers!A:D,4,FALSE)</f>
        <v/>
      </c>
      <c r="U48" s="17">
        <f>CONCATENATE(A48,"-",G48)</f>
        <v/>
      </c>
      <c r="V48" s="17">
        <f>IF(N48="","",IF(N48&lt;=30,"Fast (&lt;30m)",IF(N48&lt;=45,"Moderate (30-45m)","Delayed (&gt;45m)")))</f>
        <v/>
      </c>
      <c r="W48" s="17">
        <f>IF(AND(I48&gt;600,P48="Delivered"),"High Value Delivered","Standard")</f>
        <v/>
      </c>
      <c r="X48" s="17">
        <f>IF(OR(N48&gt;50,Q48&lt;=2),"High Risk / Delayed","Normal")</f>
        <v/>
      </c>
      <c r="Y48" s="17">
        <f>IF(NOT(P48="Cancelled"),"Fulfilled","Cancelled")</f>
        <v/>
      </c>
      <c r="Z48" s="17">
        <f>IFERROR(Q48,0)</f>
        <v/>
      </c>
    </row>
    <row r="49">
      <c r="A49" s="25" t="inlineStr">
        <is>
          <t>ORD1048</t>
        </is>
      </c>
      <c r="B49" s="25" t="inlineStr">
        <is>
          <t>2025-04-23</t>
        </is>
      </c>
      <c r="C49" s="25" t="inlineStr">
        <is>
          <t>01:25:38</t>
        </is>
      </c>
      <c r="D49" s="25" t="n">
        <v>1065</v>
      </c>
      <c r="E49" s="25" t="n">
        <v>112</v>
      </c>
      <c r="F49" s="25" t="n">
        <v>212</v>
      </c>
      <c r="G49" s="25" t="inlineStr">
        <is>
          <t>Delhi NCR</t>
        </is>
      </c>
      <c r="H49" s="25" t="inlineStr">
        <is>
          <t>North Indian</t>
        </is>
      </c>
      <c r="I49" s="26" t="n">
        <v>276</v>
      </c>
      <c r="J49" s="26" t="n">
        <v>0</v>
      </c>
      <c r="K49" s="26" t="n">
        <v>36.5</v>
      </c>
      <c r="L49" s="27" t="n">
        <v>0.22</v>
      </c>
      <c r="M49" s="26" t="n">
        <v>69.84</v>
      </c>
      <c r="N49" s="28" t="n">
        <v>5.3</v>
      </c>
      <c r="O49" s="28" t="n">
        <v>30.2</v>
      </c>
      <c r="P49" s="25" t="inlineStr">
        <is>
          <t>Credit Card</t>
        </is>
      </c>
      <c r="Q49" s="25" t="inlineStr">
        <is>
          <t>Delivered</t>
        </is>
      </c>
      <c r="R49" s="25" t="n">
        <v>2</v>
      </c>
      <c r="S49" s="25">
        <f>TEXT(B49,"yyyy-mm")</f>
        <v/>
      </c>
      <c r="T49" s="25">
        <f>VLOOKUP(D49,Customers!A:D,4,FALSE)</f>
        <v/>
      </c>
      <c r="U49" s="25">
        <f>CONCATENATE(A49,"-",G49)</f>
        <v/>
      </c>
      <c r="V49" s="25">
        <f>IF(N49="","",IF(N49&lt;=30,"Fast (&lt;30m)",IF(N49&lt;=45,"Moderate (30-45m)","Delayed (&gt;45m)")))</f>
        <v/>
      </c>
      <c r="W49" s="25">
        <f>IF(AND(I49&gt;600,P49="Delivered"),"High Value Delivered","Standard")</f>
        <v/>
      </c>
      <c r="X49" s="25">
        <f>IF(OR(N49&gt;50,Q49&lt;=2),"High Risk / Delayed","Normal")</f>
        <v/>
      </c>
      <c r="Y49" s="25">
        <f>IF(NOT(P49="Cancelled"),"Fulfilled","Cancelled")</f>
        <v/>
      </c>
      <c r="Z49" s="25">
        <f>IFERROR(Q49,0)</f>
        <v/>
      </c>
    </row>
    <row r="50">
      <c r="A50" s="17" t="inlineStr">
        <is>
          <t>ORD1049</t>
        </is>
      </c>
      <c r="B50" s="17" t="inlineStr">
        <is>
          <t>2025-05-29</t>
        </is>
      </c>
      <c r="C50" s="17" t="inlineStr">
        <is>
          <t>22:20:07</t>
        </is>
      </c>
      <c r="D50" s="17" t="n">
        <v>1163</v>
      </c>
      <c r="E50" s="17" t="n">
        <v>113</v>
      </c>
      <c r="F50" s="17" t="n">
        <v>206</v>
      </c>
      <c r="G50" s="17" t="inlineStr">
        <is>
          <t>Mumbai</t>
        </is>
      </c>
      <c r="H50" s="17" t="inlineStr">
        <is>
          <t>Fast Food</t>
        </is>
      </c>
      <c r="I50" s="22" t="n">
        <v>227</v>
      </c>
      <c r="J50" s="22" t="n">
        <v>19.25</v>
      </c>
      <c r="K50" s="22" t="n">
        <v>28.5</v>
      </c>
      <c r="L50" s="23" t="n">
        <v>0.18</v>
      </c>
      <c r="M50" s="22" t="n">
        <v>47.98</v>
      </c>
      <c r="N50" s="24" t="n">
        <v>3.7</v>
      </c>
      <c r="O50" s="24" t="n">
        <v>27.8</v>
      </c>
      <c r="P50" s="17" t="inlineStr">
        <is>
          <t>Credit Card</t>
        </is>
      </c>
      <c r="Q50" s="17" t="inlineStr">
        <is>
          <t>Delivered</t>
        </is>
      </c>
      <c r="R50" s="17" t="n">
        <v>4</v>
      </c>
      <c r="S50" s="17">
        <f>TEXT(B50,"yyyy-mm")</f>
        <v/>
      </c>
      <c r="T50" s="17">
        <f>VLOOKUP(D50,Customers!A:D,4,FALSE)</f>
        <v/>
      </c>
      <c r="U50" s="17">
        <f>CONCATENATE(A50,"-",G50)</f>
        <v/>
      </c>
      <c r="V50" s="17">
        <f>IF(N50="","",IF(N50&lt;=30,"Fast (&lt;30m)",IF(N50&lt;=45,"Moderate (30-45m)","Delayed (&gt;45m)")))</f>
        <v/>
      </c>
      <c r="W50" s="17">
        <f>IF(AND(I50&gt;600,P50="Delivered"),"High Value Delivered","Standard")</f>
        <v/>
      </c>
      <c r="X50" s="17">
        <f>IF(OR(N50&gt;50,Q50&lt;=2),"High Risk / Delayed","Normal")</f>
        <v/>
      </c>
      <c r="Y50" s="17">
        <f>IF(NOT(P50="Cancelled"),"Fulfilled","Cancelled")</f>
        <v/>
      </c>
      <c r="Z50" s="17">
        <f>IFERROR(Q50,0)</f>
        <v/>
      </c>
    </row>
    <row r="51">
      <c r="A51" s="25" t="inlineStr">
        <is>
          <t>ORD1050</t>
        </is>
      </c>
      <c r="B51" s="25" t="inlineStr">
        <is>
          <t>2025-02-06</t>
        </is>
      </c>
      <c r="C51" s="25" t="inlineStr">
        <is>
          <t>14:25:55</t>
        </is>
      </c>
      <c r="D51" s="25" t="n">
        <v>1287</v>
      </c>
      <c r="E51" s="25" t="n">
        <v>101</v>
      </c>
      <c r="F51" s="25" t="n">
        <v>220</v>
      </c>
      <c r="G51" s="25" t="inlineStr">
        <is>
          <t>Bangalore</t>
        </is>
      </c>
      <c r="H51" s="25" t="inlineStr">
        <is>
          <t>North Indian</t>
        </is>
      </c>
      <c r="I51" s="26" t="n">
        <v>263</v>
      </c>
      <c r="J51" s="26" t="n">
        <v>0</v>
      </c>
      <c r="K51" s="26" t="n">
        <v>27</v>
      </c>
      <c r="L51" s="27" t="n">
        <v>0.2</v>
      </c>
      <c r="M51" s="26" t="n">
        <v>59.35</v>
      </c>
      <c r="N51" s="28" t="n">
        <v>3.4</v>
      </c>
      <c r="O51" s="28" t="n">
        <v>34.8</v>
      </c>
      <c r="P51" s="25" t="inlineStr">
        <is>
          <t>UPI</t>
        </is>
      </c>
      <c r="Q51" s="25" t="inlineStr">
        <is>
          <t>Returned</t>
        </is>
      </c>
      <c r="R51" s="25" t="n">
        <v>4</v>
      </c>
      <c r="S51" s="25">
        <f>TEXT(B51,"yyyy-mm")</f>
        <v/>
      </c>
      <c r="T51" s="25">
        <f>VLOOKUP(D51,Customers!A:D,4,FALSE)</f>
        <v/>
      </c>
      <c r="U51" s="25">
        <f>CONCATENATE(A51,"-",G51)</f>
        <v/>
      </c>
      <c r="V51" s="25">
        <f>IF(N51="","",IF(N51&lt;=30,"Fast (&lt;30m)",IF(N51&lt;=45,"Moderate (30-45m)","Delayed (&gt;45m)")))</f>
        <v/>
      </c>
      <c r="W51" s="25">
        <f>IF(AND(I51&gt;600,P51="Delivered"),"High Value Delivered","Standard")</f>
        <v/>
      </c>
      <c r="X51" s="25">
        <f>IF(OR(N51&gt;50,Q51&lt;=2),"High Risk / Delayed","Normal")</f>
        <v/>
      </c>
      <c r="Y51" s="25">
        <f>IF(NOT(P51="Cancelled"),"Fulfilled","Cancelled")</f>
        <v/>
      </c>
      <c r="Z51" s="25">
        <f>IFERROR(Q51,0)</f>
        <v/>
      </c>
    </row>
    <row r="52">
      <c r="A52" s="17" t="inlineStr">
        <is>
          <t>ORD1051</t>
        </is>
      </c>
      <c r="B52" s="17" t="inlineStr">
        <is>
          <t>2025-12-30</t>
        </is>
      </c>
      <c r="C52" s="17" t="inlineStr">
        <is>
          <t>13:40:26</t>
        </is>
      </c>
      <c r="D52" s="17" t="n">
        <v>1007</v>
      </c>
      <c r="E52" s="17" t="n">
        <v>105</v>
      </c>
      <c r="F52" s="17" t="n">
        <v>220</v>
      </c>
      <c r="G52" s="17" t="inlineStr">
        <is>
          <t>Bangalore</t>
        </is>
      </c>
      <c r="H52" s="17" t="inlineStr">
        <is>
          <t>Chinese</t>
        </is>
      </c>
      <c r="I52" s="22" t="n">
        <v>516</v>
      </c>
      <c r="J52" s="22" t="n">
        <v>0</v>
      </c>
      <c r="K52" s="22" t="n">
        <v>37.5</v>
      </c>
      <c r="L52" s="23" t="n">
        <v>0.2</v>
      </c>
      <c r="M52" s="22" t="n">
        <v>112.58</v>
      </c>
      <c r="N52" s="24" t="n">
        <v>5.5</v>
      </c>
      <c r="O52" s="24" t="n">
        <v>33.3</v>
      </c>
      <c r="P52" s="17" t="inlineStr">
        <is>
          <t>Debit Card</t>
        </is>
      </c>
      <c r="Q52" s="17" t="inlineStr">
        <is>
          <t>Delivered</t>
        </is>
      </c>
      <c r="R52" s="17" t="n">
        <v>3</v>
      </c>
      <c r="S52" s="17">
        <f>TEXT(B52,"yyyy-mm")</f>
        <v/>
      </c>
      <c r="T52" s="17">
        <f>VLOOKUP(D52,Customers!A:D,4,FALSE)</f>
        <v/>
      </c>
      <c r="U52" s="17">
        <f>CONCATENATE(A52,"-",G52)</f>
        <v/>
      </c>
      <c r="V52" s="17">
        <f>IF(N52="","",IF(N52&lt;=30,"Fast (&lt;30m)",IF(N52&lt;=45,"Moderate (30-45m)","Delayed (&gt;45m)")))</f>
        <v/>
      </c>
      <c r="W52" s="17">
        <f>IF(AND(I52&gt;600,P52="Delivered"),"High Value Delivered","Standard")</f>
        <v/>
      </c>
      <c r="X52" s="17">
        <f>IF(OR(N52&gt;50,Q52&lt;=2),"High Risk / Delayed","Normal")</f>
        <v/>
      </c>
      <c r="Y52" s="17">
        <f>IF(NOT(P52="Cancelled"),"Fulfilled","Cancelled")</f>
        <v/>
      </c>
      <c r="Z52" s="17">
        <f>IFERROR(Q52,0)</f>
        <v/>
      </c>
    </row>
    <row r="53">
      <c r="A53" s="25" t="inlineStr">
        <is>
          <t>ORD1052</t>
        </is>
      </c>
      <c r="B53" s="25" t="inlineStr">
        <is>
          <t>2025-12-20</t>
        </is>
      </c>
      <c r="C53" s="25" t="inlineStr">
        <is>
          <t>20:58:23</t>
        </is>
      </c>
      <c r="D53" s="25" t="n">
        <v>1258</v>
      </c>
      <c r="E53" s="25" t="n">
        <v>107</v>
      </c>
      <c r="F53" s="25" t="n">
        <v>202</v>
      </c>
      <c r="G53" s="25" t="inlineStr">
        <is>
          <t>Mumbai</t>
        </is>
      </c>
      <c r="H53" s="25" t="inlineStr">
        <is>
          <t>Desserts</t>
        </is>
      </c>
      <c r="I53" s="26" t="n">
        <v>310</v>
      </c>
      <c r="J53" s="26" t="n">
        <v>24.98</v>
      </c>
      <c r="K53" s="26" t="n">
        <v>28.5</v>
      </c>
      <c r="L53" s="27" t="n">
        <v>0.25</v>
      </c>
      <c r="M53" s="26" t="n">
        <v>84.62</v>
      </c>
      <c r="N53" s="28" t="n">
        <v>3.7</v>
      </c>
      <c r="O53" s="28" t="n">
        <v>28.4</v>
      </c>
      <c r="P53" s="25" t="inlineStr">
        <is>
          <t>Cash on Delivery</t>
        </is>
      </c>
      <c r="Q53" s="25" t="inlineStr">
        <is>
          <t>Delivered</t>
        </is>
      </c>
      <c r="R53" s="25" t="n">
        <v>5</v>
      </c>
      <c r="S53" s="25">
        <f>TEXT(B53,"yyyy-mm")</f>
        <v/>
      </c>
      <c r="T53" s="25">
        <f>VLOOKUP(D53,Customers!A:D,4,FALSE)</f>
        <v/>
      </c>
      <c r="U53" s="25">
        <f>CONCATENATE(A53,"-",G53)</f>
        <v/>
      </c>
      <c r="V53" s="25">
        <f>IF(N53="","",IF(N53&lt;=30,"Fast (&lt;30m)",IF(N53&lt;=45,"Moderate (30-45m)","Delayed (&gt;45m)")))</f>
        <v/>
      </c>
      <c r="W53" s="25">
        <f>IF(AND(I53&gt;600,P53="Delivered"),"High Value Delivered","Standard")</f>
        <v/>
      </c>
      <c r="X53" s="25">
        <f>IF(OR(N53&gt;50,Q53&lt;=2),"High Risk / Delayed","Normal")</f>
        <v/>
      </c>
      <c r="Y53" s="25">
        <f>IF(NOT(P53="Cancelled"),"Fulfilled","Cancelled")</f>
        <v/>
      </c>
      <c r="Z53" s="25">
        <f>IFERROR(Q53,0)</f>
        <v/>
      </c>
    </row>
    <row r="54">
      <c r="A54" s="17" t="inlineStr">
        <is>
          <t>ORD1053</t>
        </is>
      </c>
      <c r="B54" s="17" t="inlineStr">
        <is>
          <t>2025-06-08</t>
        </is>
      </c>
      <c r="C54" s="17" t="inlineStr">
        <is>
          <t>07:47:21</t>
        </is>
      </c>
      <c r="D54" s="17" t="n">
        <v>1031</v>
      </c>
      <c r="E54" s="17" t="n">
        <v>107</v>
      </c>
      <c r="F54" s="17" t="n">
        <v>206</v>
      </c>
      <c r="G54" s="17" t="inlineStr">
        <is>
          <t>Mumbai</t>
        </is>
      </c>
      <c r="H54" s="17" t="inlineStr">
        <is>
          <t>Desserts</t>
        </is>
      </c>
      <c r="I54" s="22" t="n">
        <v>446</v>
      </c>
      <c r="J54" s="22" t="n">
        <v>32.7</v>
      </c>
      <c r="K54" s="22" t="n">
        <v>26</v>
      </c>
      <c r="L54" s="23" t="n">
        <v>0.25</v>
      </c>
      <c r="M54" s="22" t="n">
        <v>118</v>
      </c>
      <c r="N54" s="24" t="n">
        <v>3.2</v>
      </c>
      <c r="O54" s="24" t="n">
        <v>23.2</v>
      </c>
      <c r="P54" s="17" t="inlineStr">
        <is>
          <t>Digital Wallet</t>
        </is>
      </c>
      <c r="Q54" s="17" t="inlineStr">
        <is>
          <t>Delivered</t>
        </is>
      </c>
      <c r="R54" s="17" t="n">
        <v>5</v>
      </c>
      <c r="S54" s="17">
        <f>TEXT(B54,"yyyy-mm")</f>
        <v/>
      </c>
      <c r="T54" s="17">
        <f>VLOOKUP(D54,Customers!A:D,4,FALSE)</f>
        <v/>
      </c>
      <c r="U54" s="17">
        <f>CONCATENATE(A54,"-",G54)</f>
        <v/>
      </c>
      <c r="V54" s="17">
        <f>IF(N54="","",IF(N54&lt;=30,"Fast (&lt;30m)",IF(N54&lt;=45,"Moderate (30-45m)","Delayed (&gt;45m)")))</f>
        <v/>
      </c>
      <c r="W54" s="17">
        <f>IF(AND(I54&gt;600,P54="Delivered"),"High Value Delivered","Standard")</f>
        <v/>
      </c>
      <c r="X54" s="17">
        <f>IF(OR(N54&gt;50,Q54&lt;=2),"High Risk / Delayed","Normal")</f>
        <v/>
      </c>
      <c r="Y54" s="17">
        <f>IF(NOT(P54="Cancelled"),"Fulfilled","Cancelled")</f>
        <v/>
      </c>
      <c r="Z54" s="17">
        <f>IFERROR(Q54,0)</f>
        <v/>
      </c>
    </row>
    <row r="55">
      <c r="A55" s="25" t="inlineStr">
        <is>
          <t>ORD1054</t>
        </is>
      </c>
      <c r="B55" s="25" t="inlineStr">
        <is>
          <t>2025-06-29</t>
        </is>
      </c>
      <c r="C55" s="25" t="inlineStr">
        <is>
          <t>21:46:52</t>
        </is>
      </c>
      <c r="D55" s="25" t="n">
        <v>1231</v>
      </c>
      <c r="E55" s="25" t="n">
        <v>101</v>
      </c>
      <c r="F55" s="25" t="n">
        <v>203</v>
      </c>
      <c r="G55" s="25" t="inlineStr">
        <is>
          <t>Bangalore</t>
        </is>
      </c>
      <c r="H55" s="25" t="inlineStr">
        <is>
          <t>North Indian</t>
        </is>
      </c>
      <c r="I55" s="26" t="n">
        <v>880</v>
      </c>
      <c r="J55" s="26" t="n">
        <v>94.20999999999999</v>
      </c>
      <c r="K55" s="26" t="n">
        <v>25</v>
      </c>
      <c r="L55" s="27" t="n">
        <v>0.2</v>
      </c>
      <c r="M55" s="26" t="n">
        <v>182.25</v>
      </c>
      <c r="N55" s="28" t="n">
        <v>1.9</v>
      </c>
      <c r="O55" s="28" t="n">
        <v/>
      </c>
      <c r="P55" s="25" t="inlineStr">
        <is>
          <t>Credit Card</t>
        </is>
      </c>
      <c r="Q55" s="25" t="inlineStr">
        <is>
          <t>Cancelled</t>
        </is>
      </c>
      <c r="R55" s="25" t="n">
        <v/>
      </c>
      <c r="S55" s="25">
        <f>TEXT(B55,"yyyy-mm")</f>
        <v/>
      </c>
      <c r="T55" s="25">
        <f>VLOOKUP(D55,Customers!A:D,4,FALSE)</f>
        <v/>
      </c>
      <c r="U55" s="25">
        <f>CONCATENATE(A55,"-",G55)</f>
        <v/>
      </c>
      <c r="V55" s="25">
        <f>IF(N55="","",IF(N55&lt;=30,"Fast (&lt;30m)",IF(N55&lt;=45,"Moderate (30-45m)","Delayed (&gt;45m)")))</f>
        <v/>
      </c>
      <c r="W55" s="25">
        <f>IF(AND(I55&gt;600,P55="Delivered"),"High Value Delivered","Standard")</f>
        <v/>
      </c>
      <c r="X55" s="25">
        <f>IF(OR(N55&gt;50,Q55&lt;=2),"High Risk / Delayed","Normal")</f>
        <v/>
      </c>
      <c r="Y55" s="25">
        <f>IF(NOT(P55="Cancelled"),"Fulfilled","Cancelled")</f>
        <v/>
      </c>
      <c r="Z55" s="25">
        <f>IFERROR(Q55,0)</f>
        <v/>
      </c>
    </row>
    <row r="56">
      <c r="A56" s="17" t="inlineStr">
        <is>
          <t>ORD1055</t>
        </is>
      </c>
      <c r="B56" s="17" t="inlineStr">
        <is>
          <t>2025-11-05</t>
        </is>
      </c>
      <c r="C56" s="17" t="inlineStr">
        <is>
          <t>20:09:48</t>
        </is>
      </c>
      <c r="D56" s="17" t="n">
        <v>1152</v>
      </c>
      <c r="E56" s="17" t="n">
        <v>119</v>
      </c>
      <c r="F56" s="17" t="n">
        <v>215</v>
      </c>
      <c r="G56" s="17" t="inlineStr">
        <is>
          <t>Hyderabad</t>
        </is>
      </c>
      <c r="H56" s="17" t="inlineStr">
        <is>
          <t>Biryani</t>
        </is>
      </c>
      <c r="I56" s="22" t="n">
        <v>891</v>
      </c>
      <c r="J56" s="22" t="n">
        <v>0</v>
      </c>
      <c r="K56" s="22" t="n">
        <v>35</v>
      </c>
      <c r="L56" s="23" t="n">
        <v>0.2</v>
      </c>
      <c r="M56" s="22" t="n">
        <v>186.95</v>
      </c>
      <c r="N56" s="24" t="n">
        <v>5</v>
      </c>
      <c r="O56" s="24" t="n">
        <v>43.4</v>
      </c>
      <c r="P56" s="17" t="inlineStr">
        <is>
          <t>Cash on Delivery</t>
        </is>
      </c>
      <c r="Q56" s="17" t="inlineStr">
        <is>
          <t>Delivered</t>
        </is>
      </c>
      <c r="R56" s="17" t="n">
        <v>2</v>
      </c>
      <c r="S56" s="17">
        <f>TEXT(B56,"yyyy-mm")</f>
        <v/>
      </c>
      <c r="T56" s="17">
        <f>VLOOKUP(D56,Customers!A:D,4,FALSE)</f>
        <v/>
      </c>
      <c r="U56" s="17">
        <f>CONCATENATE(A56,"-",G56)</f>
        <v/>
      </c>
      <c r="V56" s="17">
        <f>IF(N56="","",IF(N56&lt;=30,"Fast (&lt;30m)",IF(N56&lt;=45,"Moderate (30-45m)","Delayed (&gt;45m)")))</f>
        <v/>
      </c>
      <c r="W56" s="17">
        <f>IF(AND(I56&gt;600,P56="Delivered"),"High Value Delivered","Standard")</f>
        <v/>
      </c>
      <c r="X56" s="17">
        <f>IF(OR(N56&gt;50,Q56&lt;=2),"High Risk / Delayed","Normal")</f>
        <v/>
      </c>
      <c r="Y56" s="17">
        <f>IF(NOT(P56="Cancelled"),"Fulfilled","Cancelled")</f>
        <v/>
      </c>
      <c r="Z56" s="17">
        <f>IFERROR(Q56,0)</f>
        <v/>
      </c>
    </row>
    <row r="57">
      <c r="A57" s="25" t="inlineStr">
        <is>
          <t>ORD1056</t>
        </is>
      </c>
      <c r="B57" s="25" t="inlineStr">
        <is>
          <t>2025-11-18</t>
        </is>
      </c>
      <c r="C57" s="25" t="inlineStr">
        <is>
          <t>14:20:09</t>
        </is>
      </c>
      <c r="D57" s="25" t="n">
        <v>1126</v>
      </c>
      <c r="E57" s="25" t="n">
        <v>119</v>
      </c>
      <c r="F57" s="25" t="n">
        <v>215</v>
      </c>
      <c r="G57" s="25" t="inlineStr">
        <is>
          <t>Hyderabad</t>
        </is>
      </c>
      <c r="H57" s="25" t="inlineStr">
        <is>
          <t>Biryani</t>
        </is>
      </c>
      <c r="I57" s="26" t="n">
        <v>670</v>
      </c>
      <c r="J57" s="26" t="n">
        <v>0</v>
      </c>
      <c r="K57" s="26" t="n">
        <v>42</v>
      </c>
      <c r="L57" s="27" t="n">
        <v>0.2</v>
      </c>
      <c r="M57" s="26" t="n">
        <v>144.5</v>
      </c>
      <c r="N57" s="28" t="n">
        <v>6.4</v>
      </c>
      <c r="O57" s="28" t="n">
        <v>41.2</v>
      </c>
      <c r="P57" s="25" t="inlineStr">
        <is>
          <t>Debit Card</t>
        </is>
      </c>
      <c r="Q57" s="25" t="inlineStr">
        <is>
          <t>Delivered</t>
        </is>
      </c>
      <c r="R57" s="25" t="n">
        <v>3</v>
      </c>
      <c r="S57" s="25">
        <f>TEXT(B57,"yyyy-mm")</f>
        <v/>
      </c>
      <c r="T57" s="25">
        <f>VLOOKUP(D57,Customers!A:D,4,FALSE)</f>
        <v/>
      </c>
      <c r="U57" s="25">
        <f>CONCATENATE(A57,"-",G57)</f>
        <v/>
      </c>
      <c r="V57" s="25">
        <f>IF(N57="","",IF(N57&lt;=30,"Fast (&lt;30m)",IF(N57&lt;=45,"Moderate (30-45m)","Delayed (&gt;45m)")))</f>
        <v/>
      </c>
      <c r="W57" s="25">
        <f>IF(AND(I57&gt;600,P57="Delivered"),"High Value Delivered","Standard")</f>
        <v/>
      </c>
      <c r="X57" s="25">
        <f>IF(OR(N57&gt;50,Q57&lt;=2),"High Risk / Delayed","Normal")</f>
        <v/>
      </c>
      <c r="Y57" s="25">
        <f>IF(NOT(P57="Cancelled"),"Fulfilled","Cancelled")</f>
        <v/>
      </c>
      <c r="Z57" s="25">
        <f>IFERROR(Q57,0)</f>
        <v/>
      </c>
    </row>
    <row r="58">
      <c r="A58" s="17" t="inlineStr">
        <is>
          <t>ORD1057</t>
        </is>
      </c>
      <c r="B58" s="17" t="inlineStr">
        <is>
          <t>2025-09-17</t>
        </is>
      </c>
      <c r="C58" s="17" t="inlineStr">
        <is>
          <t>18:04:19</t>
        </is>
      </c>
      <c r="D58" s="17" t="n">
        <v>1153</v>
      </c>
      <c r="E58" s="17" t="n">
        <v>105</v>
      </c>
      <c r="F58" s="17" t="n">
        <v>218</v>
      </c>
      <c r="G58" s="17" t="inlineStr">
        <is>
          <t>Bangalore</t>
        </is>
      </c>
      <c r="H58" s="17" t="inlineStr">
        <is>
          <t>Chinese</t>
        </is>
      </c>
      <c r="I58" s="22" t="n">
        <v>692</v>
      </c>
      <c r="J58" s="22" t="n">
        <v>0</v>
      </c>
      <c r="K58" s="22" t="n">
        <v>33.5</v>
      </c>
      <c r="L58" s="23" t="n">
        <v>0.2</v>
      </c>
      <c r="M58" s="22" t="n">
        <v>146.78</v>
      </c>
      <c r="N58" s="24" t="n">
        <v>4.7</v>
      </c>
      <c r="O58" s="24" t="n">
        <v>26.5</v>
      </c>
      <c r="P58" s="17" t="inlineStr">
        <is>
          <t>Debit Card</t>
        </is>
      </c>
      <c r="Q58" s="17" t="inlineStr">
        <is>
          <t>Delivered</t>
        </is>
      </c>
      <c r="R58" s="17" t="n">
        <v>5</v>
      </c>
      <c r="S58" s="17">
        <f>TEXT(B58,"yyyy-mm")</f>
        <v/>
      </c>
      <c r="T58" s="17">
        <f>VLOOKUP(D58,Customers!A:D,4,FALSE)</f>
        <v/>
      </c>
      <c r="U58" s="17">
        <f>CONCATENATE(A58,"-",G58)</f>
        <v/>
      </c>
      <c r="V58" s="17">
        <f>IF(N58="","",IF(N58&lt;=30,"Fast (&lt;30m)",IF(N58&lt;=45,"Moderate (30-45m)","Delayed (&gt;45m)")))</f>
        <v/>
      </c>
      <c r="W58" s="17">
        <f>IF(AND(I58&gt;600,P58="Delivered"),"High Value Delivered","Standard")</f>
        <v/>
      </c>
      <c r="X58" s="17">
        <f>IF(OR(N58&gt;50,Q58&lt;=2),"High Risk / Delayed","Normal")</f>
        <v/>
      </c>
      <c r="Y58" s="17">
        <f>IF(NOT(P58="Cancelled"),"Fulfilled","Cancelled")</f>
        <v/>
      </c>
      <c r="Z58" s="17">
        <f>IFERROR(Q58,0)</f>
        <v/>
      </c>
    </row>
    <row r="59">
      <c r="A59" s="25" t="inlineStr">
        <is>
          <t>ORD1058</t>
        </is>
      </c>
      <c r="B59" s="25" t="inlineStr">
        <is>
          <t>2025-11-11</t>
        </is>
      </c>
      <c r="C59" s="25" t="inlineStr">
        <is>
          <t>22:38:32</t>
        </is>
      </c>
      <c r="D59" s="25" t="n">
        <v>1085</v>
      </c>
      <c r="E59" s="25" t="n">
        <v>119</v>
      </c>
      <c r="F59" s="25" t="n">
        <v>215</v>
      </c>
      <c r="G59" s="25" t="inlineStr">
        <is>
          <t>Hyderabad</t>
        </is>
      </c>
      <c r="H59" s="25" t="inlineStr">
        <is>
          <t>Biryani</t>
        </is>
      </c>
      <c r="I59" s="26" t="n">
        <v>613</v>
      </c>
      <c r="J59" s="26" t="n">
        <v>0</v>
      </c>
      <c r="K59" s="26" t="n">
        <v>29.5</v>
      </c>
      <c r="L59" s="27" t="n">
        <v>0.2</v>
      </c>
      <c r="M59" s="26" t="n">
        <v>129.98</v>
      </c>
      <c r="N59" s="28" t="n">
        <v>3.9</v>
      </c>
      <c r="O59" s="28" t="n">
        <v>33.2</v>
      </c>
      <c r="P59" s="25" t="inlineStr">
        <is>
          <t>UPI</t>
        </is>
      </c>
      <c r="Q59" s="25" t="inlineStr">
        <is>
          <t>Delivered</t>
        </is>
      </c>
      <c r="R59" s="25" t="n">
        <v>5</v>
      </c>
      <c r="S59" s="25">
        <f>TEXT(B59,"yyyy-mm")</f>
        <v/>
      </c>
      <c r="T59" s="25">
        <f>VLOOKUP(D59,Customers!A:D,4,FALSE)</f>
        <v/>
      </c>
      <c r="U59" s="25">
        <f>CONCATENATE(A59,"-",G59)</f>
        <v/>
      </c>
      <c r="V59" s="25">
        <f>IF(N59="","",IF(N59&lt;=30,"Fast (&lt;30m)",IF(N59&lt;=45,"Moderate (30-45m)","Delayed (&gt;45m)")))</f>
        <v/>
      </c>
      <c r="W59" s="25">
        <f>IF(AND(I59&gt;600,P59="Delivered"),"High Value Delivered","Standard")</f>
        <v/>
      </c>
      <c r="X59" s="25">
        <f>IF(OR(N59&gt;50,Q59&lt;=2),"High Risk / Delayed","Normal")</f>
        <v/>
      </c>
      <c r="Y59" s="25">
        <f>IF(NOT(P59="Cancelled"),"Fulfilled","Cancelled")</f>
        <v/>
      </c>
      <c r="Z59" s="25">
        <f>IFERROR(Q59,0)</f>
        <v/>
      </c>
    </row>
    <row r="60">
      <c r="A60" s="17" t="inlineStr">
        <is>
          <t>ORD1059</t>
        </is>
      </c>
      <c r="B60" s="17" t="inlineStr">
        <is>
          <t>2025-11-06</t>
        </is>
      </c>
      <c r="C60" s="17" t="inlineStr">
        <is>
          <t>21:30:32</t>
        </is>
      </c>
      <c r="D60" s="17" t="n">
        <v>1109</v>
      </c>
      <c r="E60" s="17" t="n">
        <v>103</v>
      </c>
      <c r="F60" s="17" t="n">
        <v>206</v>
      </c>
      <c r="G60" s="17" t="inlineStr">
        <is>
          <t>Mumbai</t>
        </is>
      </c>
      <c r="H60" s="17" t="inlineStr">
        <is>
          <t>Italian</t>
        </is>
      </c>
      <c r="I60" s="22" t="n">
        <v>374</v>
      </c>
      <c r="J60" s="22" t="n">
        <v>13.48</v>
      </c>
      <c r="K60" s="22" t="n">
        <v>25</v>
      </c>
      <c r="L60" s="23" t="n">
        <v>0.18</v>
      </c>
      <c r="M60" s="22" t="n">
        <v>73.56999999999999</v>
      </c>
      <c r="N60" s="24" t="n">
        <v>3</v>
      </c>
      <c r="O60" s="24" t="n">
        <v>35.8</v>
      </c>
      <c r="P60" s="17" t="inlineStr">
        <is>
          <t>Debit Card</t>
        </is>
      </c>
      <c r="Q60" s="17" t="inlineStr">
        <is>
          <t>Delivered</t>
        </is>
      </c>
      <c r="R60" s="17" t="n">
        <v>4</v>
      </c>
      <c r="S60" s="17">
        <f>TEXT(B60,"yyyy-mm")</f>
        <v/>
      </c>
      <c r="T60" s="17">
        <f>VLOOKUP(D60,Customers!A:D,4,FALSE)</f>
        <v/>
      </c>
      <c r="U60" s="17">
        <f>CONCATENATE(A60,"-",G60)</f>
        <v/>
      </c>
      <c r="V60" s="17">
        <f>IF(N60="","",IF(N60&lt;=30,"Fast (&lt;30m)",IF(N60&lt;=45,"Moderate (30-45m)","Delayed (&gt;45m)")))</f>
        <v/>
      </c>
      <c r="W60" s="17">
        <f>IF(AND(I60&gt;600,P60="Delivered"),"High Value Delivered","Standard")</f>
        <v/>
      </c>
      <c r="X60" s="17">
        <f>IF(OR(N60&gt;50,Q60&lt;=2),"High Risk / Delayed","Normal")</f>
        <v/>
      </c>
      <c r="Y60" s="17">
        <f>IF(NOT(P60="Cancelled"),"Fulfilled","Cancelled")</f>
        <v/>
      </c>
      <c r="Z60" s="17">
        <f>IFERROR(Q60,0)</f>
        <v/>
      </c>
    </row>
    <row r="61">
      <c r="A61" s="25" t="inlineStr">
        <is>
          <t>ORD1060</t>
        </is>
      </c>
      <c r="B61" s="25" t="inlineStr">
        <is>
          <t>2025-05-07</t>
        </is>
      </c>
      <c r="C61" s="25" t="inlineStr">
        <is>
          <t>00:45:28</t>
        </is>
      </c>
      <c r="D61" s="25" t="n">
        <v>1211</v>
      </c>
      <c r="E61" s="25" t="n">
        <v>118</v>
      </c>
      <c r="F61" s="25" t="n">
        <v>228</v>
      </c>
      <c r="G61" s="25" t="inlineStr">
        <is>
          <t>Delhi NCR</t>
        </is>
      </c>
      <c r="H61" s="25" t="inlineStr">
        <is>
          <t>North Indian</t>
        </is>
      </c>
      <c r="I61" s="26" t="n">
        <v>669</v>
      </c>
      <c r="J61" s="26" t="n">
        <v>32.64</v>
      </c>
      <c r="K61" s="26" t="n">
        <v>25</v>
      </c>
      <c r="L61" s="27" t="n">
        <v>0.2</v>
      </c>
      <c r="M61" s="26" t="n">
        <v>140.05</v>
      </c>
      <c r="N61" s="28" t="n">
        <v>2.8</v>
      </c>
      <c r="O61" s="28" t="n">
        <v>24.8</v>
      </c>
      <c r="P61" s="25" t="inlineStr">
        <is>
          <t>Debit Card</t>
        </is>
      </c>
      <c r="Q61" s="25" t="inlineStr">
        <is>
          <t>Delivered</t>
        </is>
      </c>
      <c r="R61" s="25" t="n">
        <v>4</v>
      </c>
      <c r="S61" s="25">
        <f>TEXT(B61,"yyyy-mm")</f>
        <v/>
      </c>
      <c r="T61" s="25">
        <f>VLOOKUP(D61,Customers!A:D,4,FALSE)</f>
        <v/>
      </c>
      <c r="U61" s="25">
        <f>CONCATENATE(A61,"-",G61)</f>
        <v/>
      </c>
      <c r="V61" s="25">
        <f>IF(N61="","",IF(N61&lt;=30,"Fast (&lt;30m)",IF(N61&lt;=45,"Moderate (30-45m)","Delayed (&gt;45m)")))</f>
        <v/>
      </c>
      <c r="W61" s="25">
        <f>IF(AND(I61&gt;600,P61="Delivered"),"High Value Delivered","Standard")</f>
        <v/>
      </c>
      <c r="X61" s="25">
        <f>IF(OR(N61&gt;50,Q61&lt;=2),"High Risk / Delayed","Normal")</f>
        <v/>
      </c>
      <c r="Y61" s="25">
        <f>IF(NOT(P61="Cancelled"),"Fulfilled","Cancelled")</f>
        <v/>
      </c>
      <c r="Z61" s="25">
        <f>IFERROR(Q61,0)</f>
        <v/>
      </c>
    </row>
    <row r="62">
      <c r="A62" s="17" t="inlineStr">
        <is>
          <t>ORD1061</t>
        </is>
      </c>
      <c r="B62" s="17" t="inlineStr">
        <is>
          <t>2025-12-14</t>
        </is>
      </c>
      <c r="C62" s="17" t="inlineStr">
        <is>
          <t>11:38:03</t>
        </is>
      </c>
      <c r="D62" s="17" t="n">
        <v>1222</v>
      </c>
      <c r="E62" s="17" t="n">
        <v>114</v>
      </c>
      <c r="F62" s="17" t="n">
        <v>215</v>
      </c>
      <c r="G62" s="17" t="inlineStr">
        <is>
          <t>Hyderabad</t>
        </is>
      </c>
      <c r="H62" s="17" t="inlineStr">
        <is>
          <t>Biryani</t>
        </is>
      </c>
      <c r="I62" s="22" t="n">
        <v>866</v>
      </c>
      <c r="J62" s="22" t="n">
        <v>4.57</v>
      </c>
      <c r="K62" s="22" t="n">
        <v>42</v>
      </c>
      <c r="L62" s="23" t="n">
        <v>0.22</v>
      </c>
      <c r="M62" s="22" t="n">
        <v>201.02</v>
      </c>
      <c r="N62" s="24" t="n">
        <v>6.4</v>
      </c>
      <c r="O62" s="24" t="n">
        <v>37.8</v>
      </c>
      <c r="P62" s="17" t="inlineStr">
        <is>
          <t>Cash on Delivery</t>
        </is>
      </c>
      <c r="Q62" s="17" t="inlineStr">
        <is>
          <t>Delivered</t>
        </is>
      </c>
      <c r="R62" s="17" t="n">
        <v>3</v>
      </c>
      <c r="S62" s="17">
        <f>TEXT(B62,"yyyy-mm")</f>
        <v/>
      </c>
      <c r="T62" s="17">
        <f>VLOOKUP(D62,Customers!A:D,4,FALSE)</f>
        <v/>
      </c>
      <c r="U62" s="17">
        <f>CONCATENATE(A62,"-",G62)</f>
        <v/>
      </c>
      <c r="V62" s="17">
        <f>IF(N62="","",IF(N62&lt;=30,"Fast (&lt;30m)",IF(N62&lt;=45,"Moderate (30-45m)","Delayed (&gt;45m)")))</f>
        <v/>
      </c>
      <c r="W62" s="17">
        <f>IF(AND(I62&gt;600,P62="Delivered"),"High Value Delivered","Standard")</f>
        <v/>
      </c>
      <c r="X62" s="17">
        <f>IF(OR(N62&gt;50,Q62&lt;=2),"High Risk / Delayed","Normal")</f>
        <v/>
      </c>
      <c r="Y62" s="17">
        <f>IF(NOT(P62="Cancelled"),"Fulfilled","Cancelled")</f>
        <v/>
      </c>
      <c r="Z62" s="17">
        <f>IFERROR(Q62,0)</f>
        <v/>
      </c>
    </row>
    <row r="63">
      <c r="A63" s="25" t="inlineStr">
        <is>
          <t>ORD1062</t>
        </is>
      </c>
      <c r="B63" s="25" t="inlineStr">
        <is>
          <t>2025-06-20</t>
        </is>
      </c>
      <c r="C63" s="25" t="inlineStr">
        <is>
          <t>12:05:37</t>
        </is>
      </c>
      <c r="D63" s="25" t="n">
        <v>1128</v>
      </c>
      <c r="E63" s="25" t="n">
        <v>102</v>
      </c>
      <c r="F63" s="25" t="n">
        <v>216</v>
      </c>
      <c r="G63" s="25" t="inlineStr">
        <is>
          <t>Hyderabad</t>
        </is>
      </c>
      <c r="H63" s="25" t="inlineStr">
        <is>
          <t>Biryani</t>
        </is>
      </c>
      <c r="I63" s="26" t="n">
        <v>1035</v>
      </c>
      <c r="J63" s="26" t="n">
        <v>198.38</v>
      </c>
      <c r="K63" s="26" t="n">
        <v>0</v>
      </c>
      <c r="L63" s="27" t="n">
        <v>0.22</v>
      </c>
      <c r="M63" s="26" t="n">
        <v>227.7</v>
      </c>
      <c r="N63" s="28" t="n">
        <v>5.4</v>
      </c>
      <c r="O63" s="28" t="n">
        <v>36.1</v>
      </c>
      <c r="P63" s="25" t="inlineStr">
        <is>
          <t>Cash on Delivery</t>
        </is>
      </c>
      <c r="Q63" s="25" t="inlineStr">
        <is>
          <t>Delivered</t>
        </is>
      </c>
      <c r="R63" s="25" t="n">
        <v>4</v>
      </c>
      <c r="S63" s="25">
        <f>TEXT(B63,"yyyy-mm")</f>
        <v/>
      </c>
      <c r="T63" s="25">
        <f>VLOOKUP(D63,Customers!A:D,4,FALSE)</f>
        <v/>
      </c>
      <c r="U63" s="25">
        <f>CONCATENATE(A63,"-",G63)</f>
        <v/>
      </c>
      <c r="V63" s="25">
        <f>IF(N63="","",IF(N63&lt;=30,"Fast (&lt;30m)",IF(N63&lt;=45,"Moderate (30-45m)","Delayed (&gt;45m)")))</f>
        <v/>
      </c>
      <c r="W63" s="25">
        <f>IF(AND(I63&gt;600,P63="Delivered"),"High Value Delivered","Standard")</f>
        <v/>
      </c>
      <c r="X63" s="25">
        <f>IF(OR(N63&gt;50,Q63&lt;=2),"High Risk / Delayed","Normal")</f>
        <v/>
      </c>
      <c r="Y63" s="25">
        <f>IF(NOT(P63="Cancelled"),"Fulfilled","Cancelled")</f>
        <v/>
      </c>
      <c r="Z63" s="25">
        <f>IFERROR(Q63,0)</f>
        <v/>
      </c>
    </row>
    <row r="64">
      <c r="A64" s="17" t="inlineStr">
        <is>
          <t>ORD1063</t>
        </is>
      </c>
      <c r="B64" s="17" t="inlineStr">
        <is>
          <t>2025-06-08</t>
        </is>
      </c>
      <c r="C64" s="17" t="inlineStr">
        <is>
          <t>12:35:24</t>
        </is>
      </c>
      <c r="D64" s="17" t="n">
        <v>1092</v>
      </c>
      <c r="E64" s="17" t="n">
        <v>104</v>
      </c>
      <c r="F64" s="17" t="n">
        <v>230</v>
      </c>
      <c r="G64" s="17" t="inlineStr">
        <is>
          <t>Delhi NCR</t>
        </is>
      </c>
      <c r="H64" s="17" t="inlineStr">
        <is>
          <t>Fast Food</t>
        </is>
      </c>
      <c r="I64" s="22" t="n">
        <v>878</v>
      </c>
      <c r="J64" s="22" t="n">
        <v>92.56</v>
      </c>
      <c r="K64" s="22" t="n">
        <v>25</v>
      </c>
      <c r="L64" s="23" t="n">
        <v>0.18</v>
      </c>
      <c r="M64" s="22" t="n">
        <v>164.29</v>
      </c>
      <c r="N64" s="24" t="n">
        <v>1.8</v>
      </c>
      <c r="O64" s="24" t="n">
        <v>33.1</v>
      </c>
      <c r="P64" s="17" t="inlineStr">
        <is>
          <t>Digital Wallet</t>
        </is>
      </c>
      <c r="Q64" s="17" t="inlineStr">
        <is>
          <t>Delivered</t>
        </is>
      </c>
      <c r="R64" s="17" t="n">
        <v>5</v>
      </c>
      <c r="S64" s="17">
        <f>TEXT(B64,"yyyy-mm")</f>
        <v/>
      </c>
      <c r="T64" s="17">
        <f>VLOOKUP(D64,Customers!A:D,4,FALSE)</f>
        <v/>
      </c>
      <c r="U64" s="17">
        <f>CONCATENATE(A64,"-",G64)</f>
        <v/>
      </c>
      <c r="V64" s="17">
        <f>IF(N64="","",IF(N64&lt;=30,"Fast (&lt;30m)",IF(N64&lt;=45,"Moderate (30-45m)","Delayed (&gt;45m)")))</f>
        <v/>
      </c>
      <c r="W64" s="17">
        <f>IF(AND(I64&gt;600,P64="Delivered"),"High Value Delivered","Standard")</f>
        <v/>
      </c>
      <c r="X64" s="17">
        <f>IF(OR(N64&gt;50,Q64&lt;=2),"High Risk / Delayed","Normal")</f>
        <v/>
      </c>
      <c r="Y64" s="17">
        <f>IF(NOT(P64="Cancelled"),"Fulfilled","Cancelled")</f>
        <v/>
      </c>
      <c r="Z64" s="17">
        <f>IFERROR(Q64,0)</f>
        <v/>
      </c>
    </row>
    <row r="65">
      <c r="A65" s="25" t="inlineStr">
        <is>
          <t>ORD1064</t>
        </is>
      </c>
      <c r="B65" s="25" t="inlineStr">
        <is>
          <t>2025-09-18</t>
        </is>
      </c>
      <c r="C65" s="25" t="inlineStr">
        <is>
          <t>06:23:01</t>
        </is>
      </c>
      <c r="D65" s="25" t="n">
        <v>1119</v>
      </c>
      <c r="E65" s="25" t="n">
        <v>112</v>
      </c>
      <c r="F65" s="25" t="n">
        <v>228</v>
      </c>
      <c r="G65" s="25" t="inlineStr">
        <is>
          <t>Delhi NCR</t>
        </is>
      </c>
      <c r="H65" s="25" t="inlineStr">
        <is>
          <t>North Indian</t>
        </is>
      </c>
      <c r="I65" s="26" t="n">
        <v>770</v>
      </c>
      <c r="J65" s="26" t="n">
        <v>90.88</v>
      </c>
      <c r="K65" s="26" t="n">
        <v>0</v>
      </c>
      <c r="L65" s="27" t="n">
        <v>0.22</v>
      </c>
      <c r="M65" s="26" t="n">
        <v>169.4</v>
      </c>
      <c r="N65" s="28" t="n">
        <v>5.3</v>
      </c>
      <c r="O65" s="28" t="n">
        <v>30.9</v>
      </c>
      <c r="P65" s="25" t="inlineStr">
        <is>
          <t>Cash on Delivery</t>
        </is>
      </c>
      <c r="Q65" s="25" t="inlineStr">
        <is>
          <t>Delivered</t>
        </is>
      </c>
      <c r="R65" s="25" t="n">
        <v>4</v>
      </c>
      <c r="S65" s="25">
        <f>TEXT(B65,"yyyy-mm")</f>
        <v/>
      </c>
      <c r="T65" s="25">
        <f>VLOOKUP(D65,Customers!A:D,4,FALSE)</f>
        <v/>
      </c>
      <c r="U65" s="25">
        <f>CONCATENATE(A65,"-",G65)</f>
        <v/>
      </c>
      <c r="V65" s="25">
        <f>IF(N65="","",IF(N65&lt;=30,"Fast (&lt;30m)",IF(N65&lt;=45,"Moderate (30-45m)","Delayed (&gt;45m)")))</f>
        <v/>
      </c>
      <c r="W65" s="25">
        <f>IF(AND(I65&gt;600,P65="Delivered"),"High Value Delivered","Standard")</f>
        <v/>
      </c>
      <c r="X65" s="25">
        <f>IF(OR(N65&gt;50,Q65&lt;=2),"High Risk / Delayed","Normal")</f>
        <v/>
      </c>
      <c r="Y65" s="25">
        <f>IF(NOT(P65="Cancelled"),"Fulfilled","Cancelled")</f>
        <v/>
      </c>
      <c r="Z65" s="25">
        <f>IFERROR(Q65,0)</f>
        <v/>
      </c>
    </row>
    <row r="66">
      <c r="A66" s="17" t="inlineStr">
        <is>
          <t>ORD1065</t>
        </is>
      </c>
      <c r="B66" s="17" t="inlineStr">
        <is>
          <t>2025-03-12</t>
        </is>
      </c>
      <c r="C66" s="17" t="inlineStr">
        <is>
          <t>14:09:04</t>
        </is>
      </c>
      <c r="D66" s="17" t="n">
        <v>1209</v>
      </c>
      <c r="E66" s="17" t="n">
        <v>110</v>
      </c>
      <c r="F66" s="17" t="n">
        <v>214</v>
      </c>
      <c r="G66" s="17" t="inlineStr">
        <is>
          <t>Pune</t>
        </is>
      </c>
      <c r="H66" s="17" t="inlineStr">
        <is>
          <t>North Indian</t>
        </is>
      </c>
      <c r="I66" s="22" t="n">
        <v>522</v>
      </c>
      <c r="J66" s="22" t="n">
        <v>4.22</v>
      </c>
      <c r="K66" s="22" t="n">
        <v>25</v>
      </c>
      <c r="L66" s="23" t="n">
        <v>0.18</v>
      </c>
      <c r="M66" s="22" t="n">
        <v>100.21</v>
      </c>
      <c r="N66" s="24" t="n">
        <v>3</v>
      </c>
      <c r="O66" s="24" t="n">
        <v>36</v>
      </c>
      <c r="P66" s="17" t="inlineStr">
        <is>
          <t>Digital Wallet</t>
        </is>
      </c>
      <c r="Q66" s="17" t="inlineStr">
        <is>
          <t>Delivered</t>
        </is>
      </c>
      <c r="R66" s="17" t="n">
        <v>3</v>
      </c>
      <c r="S66" s="17">
        <f>TEXT(B66,"yyyy-mm")</f>
        <v/>
      </c>
      <c r="T66" s="17">
        <f>VLOOKUP(D66,Customers!A:D,4,FALSE)</f>
        <v/>
      </c>
      <c r="U66" s="17">
        <f>CONCATENATE(A66,"-",G66)</f>
        <v/>
      </c>
      <c r="V66" s="17">
        <f>IF(N66="","",IF(N66&lt;=30,"Fast (&lt;30m)",IF(N66&lt;=45,"Moderate (30-45m)","Delayed (&gt;45m)")))</f>
        <v/>
      </c>
      <c r="W66" s="17">
        <f>IF(AND(I66&gt;600,P66="Delivered"),"High Value Delivered","Standard")</f>
        <v/>
      </c>
      <c r="X66" s="17">
        <f>IF(OR(N66&gt;50,Q66&lt;=2),"High Risk / Delayed","Normal")</f>
        <v/>
      </c>
      <c r="Y66" s="17">
        <f>IF(NOT(P66="Cancelled"),"Fulfilled","Cancelled")</f>
        <v/>
      </c>
      <c r="Z66" s="17">
        <f>IFERROR(Q66,0)</f>
        <v/>
      </c>
    </row>
    <row r="67">
      <c r="A67" s="25" t="inlineStr">
        <is>
          <t>ORD1066</t>
        </is>
      </c>
      <c r="B67" s="25" t="inlineStr">
        <is>
          <t>2025-11-13</t>
        </is>
      </c>
      <c r="C67" s="25" t="inlineStr">
        <is>
          <t>21:08:38</t>
        </is>
      </c>
      <c r="D67" s="25" t="n">
        <v>1089</v>
      </c>
      <c r="E67" s="25" t="n">
        <v>115</v>
      </c>
      <c r="F67" s="25" t="n">
        <v>203</v>
      </c>
      <c r="G67" s="25" t="inlineStr">
        <is>
          <t>Bangalore</t>
        </is>
      </c>
      <c r="H67" s="25" t="inlineStr">
        <is>
          <t>Italian</t>
        </is>
      </c>
      <c r="I67" s="26" t="n">
        <v>744</v>
      </c>
      <c r="J67" s="26" t="n">
        <v>86.47</v>
      </c>
      <c r="K67" s="26" t="n">
        <v>0</v>
      </c>
      <c r="L67" s="27" t="n">
        <v>0.2</v>
      </c>
      <c r="M67" s="26" t="n">
        <v>148.8</v>
      </c>
      <c r="N67" s="28" t="n">
        <v>8.5</v>
      </c>
      <c r="O67" s="28" t="n">
        <v>57.2</v>
      </c>
      <c r="P67" s="25" t="inlineStr">
        <is>
          <t>Digital Wallet</t>
        </is>
      </c>
      <c r="Q67" s="25" t="inlineStr">
        <is>
          <t>Delivered</t>
        </is>
      </c>
      <c r="R67" s="25" t="n">
        <v>1</v>
      </c>
      <c r="S67" s="25">
        <f>TEXT(B67,"yyyy-mm")</f>
        <v/>
      </c>
      <c r="T67" s="25">
        <f>VLOOKUP(D67,Customers!A:D,4,FALSE)</f>
        <v/>
      </c>
      <c r="U67" s="25">
        <f>CONCATENATE(A67,"-",G67)</f>
        <v/>
      </c>
      <c r="V67" s="25">
        <f>IF(N67="","",IF(N67&lt;=30,"Fast (&lt;30m)",IF(N67&lt;=45,"Moderate (30-45m)","Delayed (&gt;45m)")))</f>
        <v/>
      </c>
      <c r="W67" s="25">
        <f>IF(AND(I67&gt;600,P67="Delivered"),"High Value Delivered","Standard")</f>
        <v/>
      </c>
      <c r="X67" s="25">
        <f>IF(OR(N67&gt;50,Q67&lt;=2),"High Risk / Delayed","Normal")</f>
        <v/>
      </c>
      <c r="Y67" s="25">
        <f>IF(NOT(P67="Cancelled"),"Fulfilled","Cancelled")</f>
        <v/>
      </c>
      <c r="Z67" s="25">
        <f>IFERROR(Q67,0)</f>
        <v/>
      </c>
    </row>
    <row r="68">
      <c r="A68" s="17" t="inlineStr">
        <is>
          <t>ORD1067</t>
        </is>
      </c>
      <c r="B68" s="17" t="inlineStr">
        <is>
          <t>2025-01-23</t>
        </is>
      </c>
      <c r="C68" s="17" t="inlineStr">
        <is>
          <t>19:26:23</t>
        </is>
      </c>
      <c r="D68" s="17" t="n">
        <v>1065</v>
      </c>
      <c r="E68" s="17" t="n">
        <v>112</v>
      </c>
      <c r="F68" s="17" t="n">
        <v>219</v>
      </c>
      <c r="G68" s="17" t="inlineStr">
        <is>
          <t>Delhi NCR</t>
        </is>
      </c>
      <c r="H68" s="17" t="inlineStr">
        <is>
          <t>North Indian</t>
        </is>
      </c>
      <c r="I68" s="22" t="n">
        <v>912</v>
      </c>
      <c r="J68" s="22" t="n">
        <v>70.73999999999999</v>
      </c>
      <c r="K68" s="22" t="n">
        <v>25</v>
      </c>
      <c r="L68" s="23" t="n">
        <v>0.22</v>
      </c>
      <c r="M68" s="22" t="n">
        <v>206.89</v>
      </c>
      <c r="N68" s="24" t="n">
        <v>2.1</v>
      </c>
      <c r="O68" s="24" t="n">
        <v>26.4</v>
      </c>
      <c r="P68" s="17" t="inlineStr">
        <is>
          <t>Cash on Delivery</t>
        </is>
      </c>
      <c r="Q68" s="17" t="inlineStr">
        <is>
          <t>Delivered</t>
        </is>
      </c>
      <c r="R68" s="17" t="n">
        <v>5</v>
      </c>
      <c r="S68" s="17">
        <f>TEXT(B68,"yyyy-mm")</f>
        <v/>
      </c>
      <c r="T68" s="17">
        <f>VLOOKUP(D68,Customers!A:D,4,FALSE)</f>
        <v/>
      </c>
      <c r="U68" s="17">
        <f>CONCATENATE(A68,"-",G68)</f>
        <v/>
      </c>
      <c r="V68" s="17">
        <f>IF(N68="","",IF(N68&lt;=30,"Fast (&lt;30m)",IF(N68&lt;=45,"Moderate (30-45m)","Delayed (&gt;45m)")))</f>
        <v/>
      </c>
      <c r="W68" s="17">
        <f>IF(AND(I68&gt;600,P68="Delivered"),"High Value Delivered","Standard")</f>
        <v/>
      </c>
      <c r="X68" s="17">
        <f>IF(OR(N68&gt;50,Q68&lt;=2),"High Risk / Delayed","Normal")</f>
        <v/>
      </c>
      <c r="Y68" s="17">
        <f>IF(NOT(P68="Cancelled"),"Fulfilled","Cancelled")</f>
        <v/>
      </c>
      <c r="Z68" s="17">
        <f>IFERROR(Q68,0)</f>
        <v/>
      </c>
    </row>
    <row r="69">
      <c r="A69" s="25" t="inlineStr">
        <is>
          <t>ORD1068</t>
        </is>
      </c>
      <c r="B69" s="25" t="inlineStr">
        <is>
          <t>2025-06-08</t>
        </is>
      </c>
      <c r="C69" s="25" t="inlineStr">
        <is>
          <t>15:51:50</t>
        </is>
      </c>
      <c r="D69" s="25" t="n">
        <v>1022</v>
      </c>
      <c r="E69" s="25" t="n">
        <v>118</v>
      </c>
      <c r="F69" s="25" t="n">
        <v>221</v>
      </c>
      <c r="G69" s="25" t="inlineStr">
        <is>
          <t>Delhi NCR</t>
        </is>
      </c>
      <c r="H69" s="25" t="inlineStr">
        <is>
          <t>North Indian</t>
        </is>
      </c>
      <c r="I69" s="26" t="n">
        <v>700</v>
      </c>
      <c r="J69" s="26" t="n">
        <v>10.86</v>
      </c>
      <c r="K69" s="26" t="n">
        <v>25</v>
      </c>
      <c r="L69" s="27" t="n">
        <v>0.2</v>
      </c>
      <c r="M69" s="26" t="n">
        <v>146.25</v>
      </c>
      <c r="N69" s="28" t="n">
        <v>1.9</v>
      </c>
      <c r="O69" s="28" t="n">
        <v>24.3</v>
      </c>
      <c r="P69" s="25" t="inlineStr">
        <is>
          <t>Digital Wallet</t>
        </is>
      </c>
      <c r="Q69" s="25" t="inlineStr">
        <is>
          <t>Delivered</t>
        </is>
      </c>
      <c r="R69" s="25" t="n">
        <v>4</v>
      </c>
      <c r="S69" s="25">
        <f>TEXT(B69,"yyyy-mm")</f>
        <v/>
      </c>
      <c r="T69" s="25">
        <f>VLOOKUP(D69,Customers!A:D,4,FALSE)</f>
        <v/>
      </c>
      <c r="U69" s="25">
        <f>CONCATENATE(A69,"-",G69)</f>
        <v/>
      </c>
      <c r="V69" s="25">
        <f>IF(N69="","",IF(N69&lt;=30,"Fast (&lt;30m)",IF(N69&lt;=45,"Moderate (30-45m)","Delayed (&gt;45m)")))</f>
        <v/>
      </c>
      <c r="W69" s="25">
        <f>IF(AND(I69&gt;600,P69="Delivered"),"High Value Delivered","Standard")</f>
        <v/>
      </c>
      <c r="X69" s="25">
        <f>IF(OR(N69&gt;50,Q69&lt;=2),"High Risk / Delayed","Normal")</f>
        <v/>
      </c>
      <c r="Y69" s="25">
        <f>IF(NOT(P69="Cancelled"),"Fulfilled","Cancelled")</f>
        <v/>
      </c>
      <c r="Z69" s="25">
        <f>IFERROR(Q69,0)</f>
        <v/>
      </c>
    </row>
    <row r="70">
      <c r="A70" s="17" t="inlineStr">
        <is>
          <t>ORD1069</t>
        </is>
      </c>
      <c r="B70" s="17" t="inlineStr">
        <is>
          <t>2025-07-15</t>
        </is>
      </c>
      <c r="C70" s="17" t="inlineStr">
        <is>
          <t>11:32:33</t>
        </is>
      </c>
      <c r="D70" s="17" t="n">
        <v>1121</v>
      </c>
      <c r="E70" s="17" t="n">
        <v>111</v>
      </c>
      <c r="F70" s="17" t="n">
        <v>210</v>
      </c>
      <c r="G70" s="17" t="inlineStr">
        <is>
          <t>Bangalore</t>
        </is>
      </c>
      <c r="H70" s="17" t="inlineStr">
        <is>
          <t>South Indian</t>
        </is>
      </c>
      <c r="I70" s="22" t="n">
        <v>648</v>
      </c>
      <c r="J70" s="22" t="n">
        <v>76.23</v>
      </c>
      <c r="K70" s="22" t="n">
        <v>54</v>
      </c>
      <c r="L70" s="23" t="n">
        <v>0.15</v>
      </c>
      <c r="M70" s="22" t="n">
        <v>110.7</v>
      </c>
      <c r="N70" s="24" t="n">
        <v>8.800000000000001</v>
      </c>
      <c r="O70" s="24" t="n">
        <v>48.1</v>
      </c>
      <c r="P70" s="17" t="inlineStr">
        <is>
          <t>Digital Wallet</t>
        </is>
      </c>
      <c r="Q70" s="17" t="inlineStr">
        <is>
          <t>Delivered</t>
        </is>
      </c>
      <c r="R70" s="17" t="n">
        <v>1</v>
      </c>
      <c r="S70" s="17">
        <f>TEXT(B70,"yyyy-mm")</f>
        <v/>
      </c>
      <c r="T70" s="17">
        <f>VLOOKUP(D70,Customers!A:D,4,FALSE)</f>
        <v/>
      </c>
      <c r="U70" s="17">
        <f>CONCATENATE(A70,"-",G70)</f>
        <v/>
      </c>
      <c r="V70" s="17">
        <f>IF(N70="","",IF(N70&lt;=30,"Fast (&lt;30m)",IF(N70&lt;=45,"Moderate (30-45m)","Delayed (&gt;45m)")))</f>
        <v/>
      </c>
      <c r="W70" s="17">
        <f>IF(AND(I70&gt;600,P70="Delivered"),"High Value Delivered","Standard")</f>
        <v/>
      </c>
      <c r="X70" s="17">
        <f>IF(OR(N70&gt;50,Q70&lt;=2),"High Risk / Delayed","Normal")</f>
        <v/>
      </c>
      <c r="Y70" s="17">
        <f>IF(NOT(P70="Cancelled"),"Fulfilled","Cancelled")</f>
        <v/>
      </c>
      <c r="Z70" s="17">
        <f>IFERROR(Q70,0)</f>
        <v/>
      </c>
    </row>
    <row r="71">
      <c r="A71" s="25" t="inlineStr">
        <is>
          <t>ORD1070</t>
        </is>
      </c>
      <c r="B71" s="25" t="inlineStr">
        <is>
          <t>2025-01-27</t>
        </is>
      </c>
      <c r="C71" s="25" t="inlineStr">
        <is>
          <t>11:41:30</t>
        </is>
      </c>
      <c r="D71" s="25" t="n">
        <v>1299</v>
      </c>
      <c r="E71" s="25" t="n">
        <v>109</v>
      </c>
      <c r="F71" s="25" t="n">
        <v>225</v>
      </c>
      <c r="G71" s="25" t="inlineStr">
        <is>
          <t>Hyderabad</t>
        </is>
      </c>
      <c r="H71" s="25" t="inlineStr">
        <is>
          <t>Biryani</t>
        </is>
      </c>
      <c r="I71" s="26" t="n">
        <v>600</v>
      </c>
      <c r="J71" s="26" t="n">
        <v>53.29</v>
      </c>
      <c r="K71" s="26" t="n">
        <v>32.5</v>
      </c>
      <c r="L71" s="27" t="n">
        <v>0.2</v>
      </c>
      <c r="M71" s="26" t="n">
        <v>128.12</v>
      </c>
      <c r="N71" s="28" t="n">
        <v>4.5</v>
      </c>
      <c r="O71" s="28" t="n">
        <v>30.6</v>
      </c>
      <c r="P71" s="25" t="inlineStr">
        <is>
          <t>Digital Wallet</t>
        </is>
      </c>
      <c r="Q71" s="25" t="inlineStr">
        <is>
          <t>Delivered</t>
        </is>
      </c>
      <c r="R71" s="25" t="n">
        <v>4</v>
      </c>
      <c r="S71" s="25">
        <f>TEXT(B71,"yyyy-mm")</f>
        <v/>
      </c>
      <c r="T71" s="25">
        <f>VLOOKUP(D71,Customers!A:D,4,FALSE)</f>
        <v/>
      </c>
      <c r="U71" s="25">
        <f>CONCATENATE(A71,"-",G71)</f>
        <v/>
      </c>
      <c r="V71" s="25">
        <f>IF(N71="","",IF(N71&lt;=30,"Fast (&lt;30m)",IF(N71&lt;=45,"Moderate (30-45m)","Delayed (&gt;45m)")))</f>
        <v/>
      </c>
      <c r="W71" s="25">
        <f>IF(AND(I71&gt;600,P71="Delivered"),"High Value Delivered","Standard")</f>
        <v/>
      </c>
      <c r="X71" s="25">
        <f>IF(OR(N71&gt;50,Q71&lt;=2),"High Risk / Delayed","Normal")</f>
        <v/>
      </c>
      <c r="Y71" s="25">
        <f>IF(NOT(P71="Cancelled"),"Fulfilled","Cancelled")</f>
        <v/>
      </c>
      <c r="Z71" s="25">
        <f>IFERROR(Q71,0)</f>
        <v/>
      </c>
    </row>
    <row r="72">
      <c r="A72" s="17" t="inlineStr">
        <is>
          <t>ORD1071</t>
        </is>
      </c>
      <c r="B72" s="17" t="inlineStr">
        <is>
          <t>2025-02-12</t>
        </is>
      </c>
      <c r="C72" s="17" t="inlineStr">
        <is>
          <t>21:48:10</t>
        </is>
      </c>
      <c r="D72" s="17" t="n">
        <v>1275</v>
      </c>
      <c r="E72" s="17" t="n">
        <v>116</v>
      </c>
      <c r="F72" s="17" t="n">
        <v>224</v>
      </c>
      <c r="G72" s="17" t="inlineStr">
        <is>
          <t>Pune</t>
        </is>
      </c>
      <c r="H72" s="17" t="inlineStr">
        <is>
          <t>Desserts</t>
        </is>
      </c>
      <c r="I72" s="22" t="n">
        <v>499</v>
      </c>
      <c r="J72" s="22" t="n">
        <v>0</v>
      </c>
      <c r="K72" s="22" t="n">
        <v>28</v>
      </c>
      <c r="L72" s="23" t="n">
        <v>0.25</v>
      </c>
      <c r="M72" s="22" t="n">
        <v>131.75</v>
      </c>
      <c r="N72" s="24" t="n">
        <v>3.6</v>
      </c>
      <c r="O72" s="24" t="n">
        <v>36.2</v>
      </c>
      <c r="P72" s="17" t="inlineStr">
        <is>
          <t>Cash on Delivery</t>
        </is>
      </c>
      <c r="Q72" s="17" t="inlineStr">
        <is>
          <t>Delivered</t>
        </is>
      </c>
      <c r="R72" s="17" t="n">
        <v>5</v>
      </c>
      <c r="S72" s="17">
        <f>TEXT(B72,"yyyy-mm")</f>
        <v/>
      </c>
      <c r="T72" s="17">
        <f>VLOOKUP(D72,Customers!A:D,4,FALSE)</f>
        <v/>
      </c>
      <c r="U72" s="17">
        <f>CONCATENATE(A72,"-",G72)</f>
        <v/>
      </c>
      <c r="V72" s="17">
        <f>IF(N72="","",IF(N72&lt;=30,"Fast (&lt;30m)",IF(N72&lt;=45,"Moderate (30-45m)","Delayed (&gt;45m)")))</f>
        <v/>
      </c>
      <c r="W72" s="17">
        <f>IF(AND(I72&gt;600,P72="Delivered"),"High Value Delivered","Standard")</f>
        <v/>
      </c>
      <c r="X72" s="17">
        <f>IF(OR(N72&gt;50,Q72&lt;=2),"High Risk / Delayed","Normal")</f>
        <v/>
      </c>
      <c r="Y72" s="17">
        <f>IF(NOT(P72="Cancelled"),"Fulfilled","Cancelled")</f>
        <v/>
      </c>
      <c r="Z72" s="17">
        <f>IFERROR(Q72,0)</f>
        <v/>
      </c>
    </row>
    <row r="73">
      <c r="A73" s="25" t="inlineStr">
        <is>
          <t>ORD1072</t>
        </is>
      </c>
      <c r="B73" s="25" t="inlineStr">
        <is>
          <t>2025-08-19</t>
        </is>
      </c>
      <c r="C73" s="25" t="inlineStr">
        <is>
          <t>12:56:22</t>
        </is>
      </c>
      <c r="D73" s="25" t="n">
        <v>1054</v>
      </c>
      <c r="E73" s="25" t="n">
        <v>101</v>
      </c>
      <c r="F73" s="25" t="n">
        <v>203</v>
      </c>
      <c r="G73" s="25" t="inlineStr">
        <is>
          <t>Bangalore</t>
        </is>
      </c>
      <c r="H73" s="25" t="inlineStr">
        <is>
          <t>North Indian</t>
        </is>
      </c>
      <c r="I73" s="26" t="n">
        <v>453</v>
      </c>
      <c r="J73" s="26" t="n">
        <v>47.71</v>
      </c>
      <c r="K73" s="26" t="n">
        <v>25</v>
      </c>
      <c r="L73" s="27" t="n">
        <v>0.2</v>
      </c>
      <c r="M73" s="26" t="n">
        <v>96.84999999999999</v>
      </c>
      <c r="N73" s="28" t="n">
        <v>2.1</v>
      </c>
      <c r="O73" s="28" t="n">
        <v>27.4</v>
      </c>
      <c r="P73" s="25" t="inlineStr">
        <is>
          <t>Credit Card</t>
        </is>
      </c>
      <c r="Q73" s="25" t="inlineStr">
        <is>
          <t>Delivered</t>
        </is>
      </c>
      <c r="R73" s="25" t="n">
        <v>5</v>
      </c>
      <c r="S73" s="25">
        <f>TEXT(B73,"yyyy-mm")</f>
        <v/>
      </c>
      <c r="T73" s="25">
        <f>VLOOKUP(D73,Customers!A:D,4,FALSE)</f>
        <v/>
      </c>
      <c r="U73" s="25">
        <f>CONCATENATE(A73,"-",G73)</f>
        <v/>
      </c>
      <c r="V73" s="25">
        <f>IF(N73="","",IF(N73&lt;=30,"Fast (&lt;30m)",IF(N73&lt;=45,"Moderate (30-45m)","Delayed (&gt;45m)")))</f>
        <v/>
      </c>
      <c r="W73" s="25">
        <f>IF(AND(I73&gt;600,P73="Delivered"),"High Value Delivered","Standard")</f>
        <v/>
      </c>
      <c r="X73" s="25">
        <f>IF(OR(N73&gt;50,Q73&lt;=2),"High Risk / Delayed","Normal")</f>
        <v/>
      </c>
      <c r="Y73" s="25">
        <f>IF(NOT(P73="Cancelled"),"Fulfilled","Cancelled")</f>
        <v/>
      </c>
      <c r="Z73" s="25">
        <f>IFERROR(Q73,0)</f>
        <v/>
      </c>
    </row>
    <row r="74">
      <c r="A74" s="17" t="inlineStr">
        <is>
          <t>ORD1073</t>
        </is>
      </c>
      <c r="B74" s="17" t="inlineStr">
        <is>
          <t>2025-04-25</t>
        </is>
      </c>
      <c r="C74" s="17" t="inlineStr">
        <is>
          <t>20:01:20</t>
        </is>
      </c>
      <c r="D74" s="17" t="n">
        <v>1064</v>
      </c>
      <c r="E74" s="17" t="n">
        <v>116</v>
      </c>
      <c r="F74" s="17" t="n">
        <v>224</v>
      </c>
      <c r="G74" s="17" t="inlineStr">
        <is>
          <t>Pune</t>
        </is>
      </c>
      <c r="H74" s="17" t="inlineStr">
        <is>
          <t>Desserts</t>
        </is>
      </c>
      <c r="I74" s="22" t="n">
        <v>321</v>
      </c>
      <c r="J74" s="22" t="n">
        <v>16.69</v>
      </c>
      <c r="K74" s="22" t="n">
        <v>38.5</v>
      </c>
      <c r="L74" s="23" t="n">
        <v>0.25</v>
      </c>
      <c r="M74" s="22" t="n">
        <v>89.88</v>
      </c>
      <c r="N74" s="24" t="n">
        <v>5.7</v>
      </c>
      <c r="O74" s="24" t="n">
        <v>44.4</v>
      </c>
      <c r="P74" s="17" t="inlineStr">
        <is>
          <t>Credit Card</t>
        </is>
      </c>
      <c r="Q74" s="17" t="inlineStr">
        <is>
          <t>Delivered</t>
        </is>
      </c>
      <c r="R74" s="17" t="n">
        <v>3</v>
      </c>
      <c r="S74" s="17">
        <f>TEXT(B74,"yyyy-mm")</f>
        <v/>
      </c>
      <c r="T74" s="17">
        <f>VLOOKUP(D74,Customers!A:D,4,FALSE)</f>
        <v/>
      </c>
      <c r="U74" s="17">
        <f>CONCATENATE(A74,"-",G74)</f>
        <v/>
      </c>
      <c r="V74" s="17">
        <f>IF(N74="","",IF(N74&lt;=30,"Fast (&lt;30m)",IF(N74&lt;=45,"Moderate (30-45m)","Delayed (&gt;45m)")))</f>
        <v/>
      </c>
      <c r="W74" s="17">
        <f>IF(AND(I74&gt;600,P74="Delivered"),"High Value Delivered","Standard")</f>
        <v/>
      </c>
      <c r="X74" s="17">
        <f>IF(OR(N74&gt;50,Q74&lt;=2),"High Risk / Delayed","Normal")</f>
        <v/>
      </c>
      <c r="Y74" s="17">
        <f>IF(NOT(P74="Cancelled"),"Fulfilled","Cancelled")</f>
        <v/>
      </c>
      <c r="Z74" s="17">
        <f>IFERROR(Q74,0)</f>
        <v/>
      </c>
    </row>
    <row r="75">
      <c r="A75" s="25" t="inlineStr">
        <is>
          <t>ORD1074</t>
        </is>
      </c>
      <c r="B75" s="25" t="inlineStr">
        <is>
          <t>2025-08-30</t>
        </is>
      </c>
      <c r="C75" s="25" t="inlineStr">
        <is>
          <t>09:44:53</t>
        </is>
      </c>
      <c r="D75" s="25" t="n">
        <v>1022</v>
      </c>
      <c r="E75" s="25" t="n">
        <v>112</v>
      </c>
      <c r="F75" s="25" t="n">
        <v>211</v>
      </c>
      <c r="G75" s="25" t="inlineStr">
        <is>
          <t>Delhi NCR</t>
        </is>
      </c>
      <c r="H75" s="25" t="inlineStr">
        <is>
          <t>North Indian</t>
        </is>
      </c>
      <c r="I75" s="26" t="n">
        <v>362</v>
      </c>
      <c r="J75" s="26" t="n">
        <v>13.59</v>
      </c>
      <c r="K75" s="26" t="n">
        <v>28</v>
      </c>
      <c r="L75" s="27" t="n">
        <v>0.22</v>
      </c>
      <c r="M75" s="26" t="n">
        <v>86.64</v>
      </c>
      <c r="N75" s="28" t="n">
        <v>3.6</v>
      </c>
      <c r="O75" s="28" t="n">
        <v>28.8</v>
      </c>
      <c r="P75" s="25" t="inlineStr">
        <is>
          <t>UPI</t>
        </is>
      </c>
      <c r="Q75" s="25" t="inlineStr">
        <is>
          <t>Delivered</t>
        </is>
      </c>
      <c r="R75" s="25" t="n">
        <v>5</v>
      </c>
      <c r="S75" s="25">
        <f>TEXT(B75,"yyyy-mm")</f>
        <v/>
      </c>
      <c r="T75" s="25">
        <f>VLOOKUP(D75,Customers!A:D,4,FALSE)</f>
        <v/>
      </c>
      <c r="U75" s="25">
        <f>CONCATENATE(A75,"-",G75)</f>
        <v/>
      </c>
      <c r="V75" s="25">
        <f>IF(N75="","",IF(N75&lt;=30,"Fast (&lt;30m)",IF(N75&lt;=45,"Moderate (30-45m)","Delayed (&gt;45m)")))</f>
        <v/>
      </c>
      <c r="W75" s="25">
        <f>IF(AND(I75&gt;600,P75="Delivered"),"High Value Delivered","Standard")</f>
        <v/>
      </c>
      <c r="X75" s="25">
        <f>IF(OR(N75&gt;50,Q75&lt;=2),"High Risk / Delayed","Normal")</f>
        <v/>
      </c>
      <c r="Y75" s="25">
        <f>IF(NOT(P75="Cancelled"),"Fulfilled","Cancelled")</f>
        <v/>
      </c>
      <c r="Z75" s="25">
        <f>IFERROR(Q75,0)</f>
        <v/>
      </c>
    </row>
    <row r="76">
      <c r="A76" s="17" t="inlineStr">
        <is>
          <t>ORD1075</t>
        </is>
      </c>
      <c r="B76" s="17" t="inlineStr">
        <is>
          <t>2025-04-21</t>
        </is>
      </c>
      <c r="C76" s="17" t="inlineStr">
        <is>
          <t>22:53:09</t>
        </is>
      </c>
      <c r="D76" s="17" t="n">
        <v>1037</v>
      </c>
      <c r="E76" s="17" t="n">
        <v>111</v>
      </c>
      <c r="F76" s="17" t="n">
        <v>220</v>
      </c>
      <c r="G76" s="17" t="inlineStr">
        <is>
          <t>Bangalore</t>
        </is>
      </c>
      <c r="H76" s="17" t="inlineStr">
        <is>
          <t>South Indian</t>
        </is>
      </c>
      <c r="I76" s="22" t="n">
        <v>781</v>
      </c>
      <c r="J76" s="22" t="n">
        <v>38.04</v>
      </c>
      <c r="K76" s="22" t="n">
        <v>35.5</v>
      </c>
      <c r="L76" s="23" t="n">
        <v>0.15</v>
      </c>
      <c r="M76" s="22" t="n">
        <v>126.02</v>
      </c>
      <c r="N76" s="24" t="n">
        <v>5.1</v>
      </c>
      <c r="O76" s="24" t="n">
        <v>33.3</v>
      </c>
      <c r="P76" s="17" t="inlineStr">
        <is>
          <t>Debit Card</t>
        </is>
      </c>
      <c r="Q76" s="17" t="inlineStr">
        <is>
          <t>Delivered</t>
        </is>
      </c>
      <c r="R76" s="17" t="n">
        <v>4</v>
      </c>
      <c r="S76" s="17">
        <f>TEXT(B76,"yyyy-mm")</f>
        <v/>
      </c>
      <c r="T76" s="17">
        <f>VLOOKUP(D76,Customers!A:D,4,FALSE)</f>
        <v/>
      </c>
      <c r="U76" s="17">
        <f>CONCATENATE(A76,"-",G76)</f>
        <v/>
      </c>
      <c r="V76" s="17">
        <f>IF(N76="","",IF(N76&lt;=30,"Fast (&lt;30m)",IF(N76&lt;=45,"Moderate (30-45m)","Delayed (&gt;45m)")))</f>
        <v/>
      </c>
      <c r="W76" s="17">
        <f>IF(AND(I76&gt;600,P76="Delivered"),"High Value Delivered","Standard")</f>
        <v/>
      </c>
      <c r="X76" s="17">
        <f>IF(OR(N76&gt;50,Q76&lt;=2),"High Risk / Delayed","Normal")</f>
        <v/>
      </c>
      <c r="Y76" s="17">
        <f>IF(NOT(P76="Cancelled"),"Fulfilled","Cancelled")</f>
        <v/>
      </c>
      <c r="Z76" s="17">
        <f>IFERROR(Q76,0)</f>
        <v/>
      </c>
    </row>
    <row r="77">
      <c r="A77" s="25" t="inlineStr">
        <is>
          <t>ORD1076</t>
        </is>
      </c>
      <c r="B77" s="25" t="inlineStr">
        <is>
          <t>2025-03-04</t>
        </is>
      </c>
      <c r="C77" s="25" t="inlineStr">
        <is>
          <t>08:03:15</t>
        </is>
      </c>
      <c r="D77" s="25" t="n">
        <v>1192</v>
      </c>
      <c r="E77" s="25" t="n">
        <v>115</v>
      </c>
      <c r="F77" s="25" t="n">
        <v>205</v>
      </c>
      <c r="G77" s="25" t="inlineStr">
        <is>
          <t>Bangalore</t>
        </is>
      </c>
      <c r="H77" s="25" t="inlineStr">
        <is>
          <t>Italian</t>
        </is>
      </c>
      <c r="I77" s="26" t="n">
        <v>912</v>
      </c>
      <c r="J77" s="26" t="n">
        <v>163.6</v>
      </c>
      <c r="K77" s="26" t="n">
        <v>0</v>
      </c>
      <c r="L77" s="27" t="n">
        <v>0.2</v>
      </c>
      <c r="M77" s="26" t="n">
        <v>182.4</v>
      </c>
      <c r="N77" s="28" t="n">
        <v>4.7</v>
      </c>
      <c r="O77" s="28" t="n">
        <v>35.3</v>
      </c>
      <c r="P77" s="25" t="inlineStr">
        <is>
          <t>UPI</t>
        </is>
      </c>
      <c r="Q77" s="25" t="inlineStr">
        <is>
          <t>Delivered</t>
        </is>
      </c>
      <c r="R77" s="25" t="n">
        <v>1</v>
      </c>
      <c r="S77" s="25">
        <f>TEXT(B77,"yyyy-mm")</f>
        <v/>
      </c>
      <c r="T77" s="25">
        <f>VLOOKUP(D77,Customers!A:D,4,FALSE)</f>
        <v/>
      </c>
      <c r="U77" s="25">
        <f>CONCATENATE(A77,"-",G77)</f>
        <v/>
      </c>
      <c r="V77" s="25">
        <f>IF(N77="","",IF(N77&lt;=30,"Fast (&lt;30m)",IF(N77&lt;=45,"Moderate (30-45m)","Delayed (&gt;45m)")))</f>
        <v/>
      </c>
      <c r="W77" s="25">
        <f>IF(AND(I77&gt;600,P77="Delivered"),"High Value Delivered","Standard")</f>
        <v/>
      </c>
      <c r="X77" s="25">
        <f>IF(OR(N77&gt;50,Q77&lt;=2),"High Risk / Delayed","Normal")</f>
        <v/>
      </c>
      <c r="Y77" s="25">
        <f>IF(NOT(P77="Cancelled"),"Fulfilled","Cancelled")</f>
        <v/>
      </c>
      <c r="Z77" s="25">
        <f>IFERROR(Q77,0)</f>
        <v/>
      </c>
    </row>
    <row r="78">
      <c r="A78" s="17" t="inlineStr">
        <is>
          <t>ORD1077</t>
        </is>
      </c>
      <c r="B78" s="17" t="inlineStr">
        <is>
          <t>2025-03-15</t>
        </is>
      </c>
      <c r="C78" s="17" t="inlineStr">
        <is>
          <t>21:18:27</t>
        </is>
      </c>
      <c r="D78" s="17" t="n">
        <v>1129</v>
      </c>
      <c r="E78" s="17" t="n">
        <v>110</v>
      </c>
      <c r="F78" s="17" t="n">
        <v>204</v>
      </c>
      <c r="G78" s="17" t="inlineStr">
        <is>
          <t>Pune</t>
        </is>
      </c>
      <c r="H78" s="17" t="inlineStr">
        <is>
          <t>North Indian</t>
        </is>
      </c>
      <c r="I78" s="22" t="n">
        <v>221</v>
      </c>
      <c r="J78" s="22" t="n">
        <v>4.25</v>
      </c>
      <c r="K78" s="22" t="n">
        <v>31.5</v>
      </c>
      <c r="L78" s="23" t="n">
        <v>0.18</v>
      </c>
      <c r="M78" s="22" t="n">
        <v>47.66</v>
      </c>
      <c r="N78" s="24" t="n">
        <v>4.3</v>
      </c>
      <c r="O78" s="24" t="n">
        <v>40.6</v>
      </c>
      <c r="P78" s="17" t="inlineStr">
        <is>
          <t>UPI</t>
        </is>
      </c>
      <c r="Q78" s="17" t="inlineStr">
        <is>
          <t>Delivered</t>
        </is>
      </c>
      <c r="R78" s="17" t="n">
        <v>4</v>
      </c>
      <c r="S78" s="17">
        <f>TEXT(B78,"yyyy-mm")</f>
        <v/>
      </c>
      <c r="T78" s="17">
        <f>VLOOKUP(D78,Customers!A:D,4,FALSE)</f>
        <v/>
      </c>
      <c r="U78" s="17">
        <f>CONCATENATE(A78,"-",G78)</f>
        <v/>
      </c>
      <c r="V78" s="17">
        <f>IF(N78="","",IF(N78&lt;=30,"Fast (&lt;30m)",IF(N78&lt;=45,"Moderate (30-45m)","Delayed (&gt;45m)")))</f>
        <v/>
      </c>
      <c r="W78" s="17">
        <f>IF(AND(I78&gt;600,P78="Delivered"),"High Value Delivered","Standard")</f>
        <v/>
      </c>
      <c r="X78" s="17">
        <f>IF(OR(N78&gt;50,Q78&lt;=2),"High Risk / Delayed","Normal")</f>
        <v/>
      </c>
      <c r="Y78" s="17">
        <f>IF(NOT(P78="Cancelled"),"Fulfilled","Cancelled")</f>
        <v/>
      </c>
      <c r="Z78" s="17">
        <f>IFERROR(Q78,0)</f>
        <v/>
      </c>
    </row>
    <row r="79">
      <c r="A79" s="25" t="inlineStr">
        <is>
          <t>ORD1078</t>
        </is>
      </c>
      <c r="B79" s="25" t="inlineStr">
        <is>
          <t>2025-07-19</t>
        </is>
      </c>
      <c r="C79" s="25" t="inlineStr">
        <is>
          <t>13:55:30</t>
        </is>
      </c>
      <c r="D79" s="25" t="n">
        <v>1269</v>
      </c>
      <c r="E79" s="25" t="n">
        <v>103</v>
      </c>
      <c r="F79" s="25" t="n">
        <v>222</v>
      </c>
      <c r="G79" s="25" t="inlineStr">
        <is>
          <t>Mumbai</t>
        </is>
      </c>
      <c r="H79" s="25" t="inlineStr">
        <is>
          <t>Italian</t>
        </is>
      </c>
      <c r="I79" s="26" t="n">
        <v>264</v>
      </c>
      <c r="J79" s="26" t="n">
        <v>20.72</v>
      </c>
      <c r="K79" s="26" t="n">
        <v>25</v>
      </c>
      <c r="L79" s="27" t="n">
        <v>0.18</v>
      </c>
      <c r="M79" s="26" t="n">
        <v>53.77</v>
      </c>
      <c r="N79" s="28" t="n">
        <v>2.1</v>
      </c>
      <c r="O79" s="28" t="n">
        <v>37.6</v>
      </c>
      <c r="P79" s="25" t="inlineStr">
        <is>
          <t>UPI</t>
        </is>
      </c>
      <c r="Q79" s="25" t="inlineStr">
        <is>
          <t>Delivered</t>
        </is>
      </c>
      <c r="R79" s="25" t="n">
        <v>4</v>
      </c>
      <c r="S79" s="25">
        <f>TEXT(B79,"yyyy-mm")</f>
        <v/>
      </c>
      <c r="T79" s="25">
        <f>VLOOKUP(D79,Customers!A:D,4,FALSE)</f>
        <v/>
      </c>
      <c r="U79" s="25">
        <f>CONCATENATE(A79,"-",G79)</f>
        <v/>
      </c>
      <c r="V79" s="25">
        <f>IF(N79="","",IF(N79&lt;=30,"Fast (&lt;30m)",IF(N79&lt;=45,"Moderate (30-45m)","Delayed (&gt;45m)")))</f>
        <v/>
      </c>
      <c r="W79" s="25">
        <f>IF(AND(I79&gt;600,P79="Delivered"),"High Value Delivered","Standard")</f>
        <v/>
      </c>
      <c r="X79" s="25">
        <f>IF(OR(N79&gt;50,Q79&lt;=2),"High Risk / Delayed","Normal")</f>
        <v/>
      </c>
      <c r="Y79" s="25">
        <f>IF(NOT(P79="Cancelled"),"Fulfilled","Cancelled")</f>
        <v/>
      </c>
      <c r="Z79" s="25">
        <f>IFERROR(Q79,0)</f>
        <v/>
      </c>
    </row>
    <row r="80">
      <c r="A80" s="17" t="inlineStr">
        <is>
          <t>ORD1079</t>
        </is>
      </c>
      <c r="B80" s="17" t="inlineStr">
        <is>
          <t>2025-05-04</t>
        </is>
      </c>
      <c r="C80" s="17" t="inlineStr">
        <is>
          <t>20:46:42</t>
        </is>
      </c>
      <c r="D80" s="17" t="n">
        <v>1014</v>
      </c>
      <c r="E80" s="17" t="n">
        <v>108</v>
      </c>
      <c r="F80" s="17" t="n">
        <v>221</v>
      </c>
      <c r="G80" s="17" t="inlineStr">
        <is>
          <t>Delhi NCR</t>
        </is>
      </c>
      <c r="H80" s="17" t="inlineStr">
        <is>
          <t>Fast Food</t>
        </is>
      </c>
      <c r="I80" s="22" t="n">
        <v>863</v>
      </c>
      <c r="J80" s="22" t="n">
        <v>0</v>
      </c>
      <c r="K80" s="22" t="n">
        <v>25</v>
      </c>
      <c r="L80" s="23" t="n">
        <v>0.18</v>
      </c>
      <c r="M80" s="22" t="n">
        <v>161.59</v>
      </c>
      <c r="N80" s="24" t="n">
        <v>2.3</v>
      </c>
      <c r="O80" s="24" t="n">
        <v>27.2</v>
      </c>
      <c r="P80" s="17" t="inlineStr">
        <is>
          <t>Debit Card</t>
        </is>
      </c>
      <c r="Q80" s="17" t="inlineStr">
        <is>
          <t>Delivered</t>
        </is>
      </c>
      <c r="R80" s="17" t="n">
        <v>5</v>
      </c>
      <c r="S80" s="17">
        <f>TEXT(B80,"yyyy-mm")</f>
        <v/>
      </c>
      <c r="T80" s="17">
        <f>VLOOKUP(D80,Customers!A:D,4,FALSE)</f>
        <v/>
      </c>
      <c r="U80" s="17">
        <f>CONCATENATE(A80,"-",G80)</f>
        <v/>
      </c>
      <c r="V80" s="17">
        <f>IF(N80="","",IF(N80&lt;=30,"Fast (&lt;30m)",IF(N80&lt;=45,"Moderate (30-45m)","Delayed (&gt;45m)")))</f>
        <v/>
      </c>
      <c r="W80" s="17">
        <f>IF(AND(I80&gt;600,P80="Delivered"),"High Value Delivered","Standard")</f>
        <v/>
      </c>
      <c r="X80" s="17">
        <f>IF(OR(N80&gt;50,Q80&lt;=2),"High Risk / Delayed","Normal")</f>
        <v/>
      </c>
      <c r="Y80" s="17">
        <f>IF(NOT(P80="Cancelled"),"Fulfilled","Cancelled")</f>
        <v/>
      </c>
      <c r="Z80" s="17">
        <f>IFERROR(Q80,0)</f>
        <v/>
      </c>
    </row>
    <row r="81">
      <c r="A81" s="25" t="inlineStr">
        <is>
          <t>ORD1080</t>
        </is>
      </c>
      <c r="B81" s="25" t="inlineStr">
        <is>
          <t>2025-06-30</t>
        </is>
      </c>
      <c r="C81" s="25" t="inlineStr">
        <is>
          <t>10:34:21</t>
        </is>
      </c>
      <c r="D81" s="25" t="n">
        <v>1034</v>
      </c>
      <c r="E81" s="25" t="n">
        <v>117</v>
      </c>
      <c r="F81" s="25" t="n">
        <v>206</v>
      </c>
      <c r="G81" s="25" t="inlineStr">
        <is>
          <t>Mumbai</t>
        </is>
      </c>
      <c r="H81" s="25" t="inlineStr">
        <is>
          <t>Chinese</t>
        </is>
      </c>
      <c r="I81" s="26" t="n">
        <v>1022</v>
      </c>
      <c r="J81" s="26" t="n">
        <v>187.07</v>
      </c>
      <c r="K81" s="26" t="n">
        <v>0</v>
      </c>
      <c r="L81" s="27" t="n">
        <v>0.2</v>
      </c>
      <c r="M81" s="26" t="n">
        <v>204.4</v>
      </c>
      <c r="N81" s="28" t="n">
        <v>3.6</v>
      </c>
      <c r="O81" s="28" t="n">
        <v/>
      </c>
      <c r="P81" s="25" t="inlineStr">
        <is>
          <t>Cash on Delivery</t>
        </is>
      </c>
      <c r="Q81" s="25" t="inlineStr">
        <is>
          <t>Cancelled</t>
        </is>
      </c>
      <c r="R81" s="25" t="n">
        <v/>
      </c>
      <c r="S81" s="25">
        <f>TEXT(B81,"yyyy-mm")</f>
        <v/>
      </c>
      <c r="T81" s="25">
        <f>VLOOKUP(D81,Customers!A:D,4,FALSE)</f>
        <v/>
      </c>
      <c r="U81" s="25">
        <f>CONCATENATE(A81,"-",G81)</f>
        <v/>
      </c>
      <c r="V81" s="25">
        <f>IF(N81="","",IF(N81&lt;=30,"Fast (&lt;30m)",IF(N81&lt;=45,"Moderate (30-45m)","Delayed (&gt;45m)")))</f>
        <v/>
      </c>
      <c r="W81" s="25">
        <f>IF(AND(I81&gt;600,P81="Delivered"),"High Value Delivered","Standard")</f>
        <v/>
      </c>
      <c r="X81" s="25">
        <f>IF(OR(N81&gt;50,Q81&lt;=2),"High Risk / Delayed","Normal")</f>
        <v/>
      </c>
      <c r="Y81" s="25">
        <f>IF(NOT(P81="Cancelled"),"Fulfilled","Cancelled")</f>
        <v/>
      </c>
      <c r="Z81" s="25">
        <f>IFERROR(Q81,0)</f>
        <v/>
      </c>
    </row>
    <row r="82">
      <c r="A82" s="17" t="inlineStr">
        <is>
          <t>ORD1081</t>
        </is>
      </c>
      <c r="B82" s="17" t="inlineStr">
        <is>
          <t>2025-08-23</t>
        </is>
      </c>
      <c r="C82" s="17" t="inlineStr">
        <is>
          <t>21:02:18</t>
        </is>
      </c>
      <c r="D82" s="17" t="n">
        <v>1144</v>
      </c>
      <c r="E82" s="17" t="n">
        <v>101</v>
      </c>
      <c r="F82" s="17" t="n">
        <v>205</v>
      </c>
      <c r="G82" s="17" t="inlineStr">
        <is>
          <t>Bangalore</t>
        </is>
      </c>
      <c r="H82" s="17" t="inlineStr">
        <is>
          <t>North Indian</t>
        </is>
      </c>
      <c r="I82" s="22" t="n">
        <v>426</v>
      </c>
      <c r="J82" s="22" t="n">
        <v>0</v>
      </c>
      <c r="K82" s="22" t="n">
        <v>25</v>
      </c>
      <c r="L82" s="23" t="n">
        <v>0.2</v>
      </c>
      <c r="M82" s="22" t="n">
        <v>91.45</v>
      </c>
      <c r="N82" s="24" t="n">
        <v>2.7</v>
      </c>
      <c r="O82" s="24" t="n">
        <v>28.3</v>
      </c>
      <c r="P82" s="17" t="inlineStr">
        <is>
          <t>UPI</t>
        </is>
      </c>
      <c r="Q82" s="17" t="inlineStr">
        <is>
          <t>Delivered</t>
        </is>
      </c>
      <c r="R82" s="17" t="n">
        <v>3</v>
      </c>
      <c r="S82" s="17">
        <f>TEXT(B82,"yyyy-mm")</f>
        <v/>
      </c>
      <c r="T82" s="17">
        <f>VLOOKUP(D82,Customers!A:D,4,FALSE)</f>
        <v/>
      </c>
      <c r="U82" s="17">
        <f>CONCATENATE(A82,"-",G82)</f>
        <v/>
      </c>
      <c r="V82" s="17">
        <f>IF(N82="","",IF(N82&lt;=30,"Fast (&lt;30m)",IF(N82&lt;=45,"Moderate (30-45m)","Delayed (&gt;45m)")))</f>
        <v/>
      </c>
      <c r="W82" s="17">
        <f>IF(AND(I82&gt;600,P82="Delivered"),"High Value Delivered","Standard")</f>
        <v/>
      </c>
      <c r="X82" s="17">
        <f>IF(OR(N82&gt;50,Q82&lt;=2),"High Risk / Delayed","Normal")</f>
        <v/>
      </c>
      <c r="Y82" s="17">
        <f>IF(NOT(P82="Cancelled"),"Fulfilled","Cancelled")</f>
        <v/>
      </c>
      <c r="Z82" s="17">
        <f>IFERROR(Q82,0)</f>
        <v/>
      </c>
    </row>
    <row r="83">
      <c r="A83" s="25" t="inlineStr">
        <is>
          <t>ORD1082</t>
        </is>
      </c>
      <c r="B83" s="25" t="inlineStr">
        <is>
          <t>2025-10-06</t>
        </is>
      </c>
      <c r="C83" s="25" t="inlineStr">
        <is>
          <t>19:30:16</t>
        </is>
      </c>
      <c r="D83" s="25" t="n">
        <v>1171</v>
      </c>
      <c r="E83" s="25" t="n">
        <v>102</v>
      </c>
      <c r="F83" s="25" t="n">
        <v>216</v>
      </c>
      <c r="G83" s="25" t="inlineStr">
        <is>
          <t>Hyderabad</t>
        </is>
      </c>
      <c r="H83" s="25" t="inlineStr">
        <is>
          <t>Biryani</t>
        </is>
      </c>
      <c r="I83" s="26" t="n">
        <v>257</v>
      </c>
      <c r="J83" s="26" t="n">
        <v>26.4</v>
      </c>
      <c r="K83" s="26" t="n">
        <v>30.5</v>
      </c>
      <c r="L83" s="27" t="n">
        <v>0.22</v>
      </c>
      <c r="M83" s="26" t="n">
        <v>64.16</v>
      </c>
      <c r="N83" s="28" t="n">
        <v>4.1</v>
      </c>
      <c r="O83" s="28" t="n">
        <v>30.5</v>
      </c>
      <c r="P83" s="25" t="inlineStr">
        <is>
          <t>Debit Card</t>
        </is>
      </c>
      <c r="Q83" s="25" t="inlineStr">
        <is>
          <t>Delivered</t>
        </is>
      </c>
      <c r="R83" s="25" t="n">
        <v>5</v>
      </c>
      <c r="S83" s="25">
        <f>TEXT(B83,"yyyy-mm")</f>
        <v/>
      </c>
      <c r="T83" s="25">
        <f>VLOOKUP(D83,Customers!A:D,4,FALSE)</f>
        <v/>
      </c>
      <c r="U83" s="25">
        <f>CONCATENATE(A83,"-",G83)</f>
        <v/>
      </c>
      <c r="V83" s="25">
        <f>IF(N83="","",IF(N83&lt;=30,"Fast (&lt;30m)",IF(N83&lt;=45,"Moderate (30-45m)","Delayed (&gt;45m)")))</f>
        <v/>
      </c>
      <c r="W83" s="25">
        <f>IF(AND(I83&gt;600,P83="Delivered"),"High Value Delivered","Standard")</f>
        <v/>
      </c>
      <c r="X83" s="25">
        <f>IF(OR(N83&gt;50,Q83&lt;=2),"High Risk / Delayed","Normal")</f>
        <v/>
      </c>
      <c r="Y83" s="25">
        <f>IF(NOT(P83="Cancelled"),"Fulfilled","Cancelled")</f>
        <v/>
      </c>
      <c r="Z83" s="25">
        <f>IFERROR(Q83,0)</f>
        <v/>
      </c>
    </row>
    <row r="84">
      <c r="A84" s="17" t="inlineStr">
        <is>
          <t>ORD1083</t>
        </is>
      </c>
      <c r="B84" s="17" t="inlineStr">
        <is>
          <t>2025-05-20</t>
        </is>
      </c>
      <c r="C84" s="17" t="inlineStr">
        <is>
          <t>20:07:51</t>
        </is>
      </c>
      <c r="D84" s="17" t="n">
        <v>1053</v>
      </c>
      <c r="E84" s="17" t="n">
        <v>102</v>
      </c>
      <c r="F84" s="17" t="n">
        <v>216</v>
      </c>
      <c r="G84" s="17" t="inlineStr">
        <is>
          <t>Hyderabad</t>
        </is>
      </c>
      <c r="H84" s="17" t="inlineStr">
        <is>
          <t>Biryani</t>
        </is>
      </c>
      <c r="I84" s="22" t="n">
        <v>807</v>
      </c>
      <c r="J84" s="22" t="n">
        <v>152.48</v>
      </c>
      <c r="K84" s="22" t="n">
        <v>0</v>
      </c>
      <c r="L84" s="23" t="n">
        <v>0.22</v>
      </c>
      <c r="M84" s="22" t="n">
        <v>177.54</v>
      </c>
      <c r="N84" s="24" t="n">
        <v>1.6</v>
      </c>
      <c r="O84" s="24" t="n">
        <v>28.8</v>
      </c>
      <c r="P84" s="17" t="inlineStr">
        <is>
          <t>Cash on Delivery</t>
        </is>
      </c>
      <c r="Q84" s="17" t="inlineStr">
        <is>
          <t>Delivered</t>
        </is>
      </c>
      <c r="R84" s="17" t="n">
        <v>5</v>
      </c>
      <c r="S84" s="17">
        <f>TEXT(B84,"yyyy-mm")</f>
        <v/>
      </c>
      <c r="T84" s="17">
        <f>VLOOKUP(D84,Customers!A:D,4,FALSE)</f>
        <v/>
      </c>
      <c r="U84" s="17">
        <f>CONCATENATE(A84,"-",G84)</f>
        <v/>
      </c>
      <c r="V84" s="17">
        <f>IF(N84="","",IF(N84&lt;=30,"Fast (&lt;30m)",IF(N84&lt;=45,"Moderate (30-45m)","Delayed (&gt;45m)")))</f>
        <v/>
      </c>
      <c r="W84" s="17">
        <f>IF(AND(I84&gt;600,P84="Delivered"),"High Value Delivered","Standard")</f>
        <v/>
      </c>
      <c r="X84" s="17">
        <f>IF(OR(N84&gt;50,Q84&lt;=2),"High Risk / Delayed","Normal")</f>
        <v/>
      </c>
      <c r="Y84" s="17">
        <f>IF(NOT(P84="Cancelled"),"Fulfilled","Cancelled")</f>
        <v/>
      </c>
      <c r="Z84" s="17">
        <f>IFERROR(Q84,0)</f>
        <v/>
      </c>
    </row>
    <row r="85">
      <c r="A85" s="25" t="inlineStr">
        <is>
          <t>ORD1084</t>
        </is>
      </c>
      <c r="B85" s="25" t="inlineStr">
        <is>
          <t>2025-12-21</t>
        </is>
      </c>
      <c r="C85" s="25" t="inlineStr">
        <is>
          <t>14:31:23</t>
        </is>
      </c>
      <c r="D85" s="25" t="n">
        <v>1154</v>
      </c>
      <c r="E85" s="25" t="n">
        <v>107</v>
      </c>
      <c r="F85" s="25" t="n">
        <v>202</v>
      </c>
      <c r="G85" s="25" t="inlineStr">
        <is>
          <t>Mumbai</t>
        </is>
      </c>
      <c r="H85" s="25" t="inlineStr">
        <is>
          <t>Desserts</t>
        </is>
      </c>
      <c r="I85" s="26" t="n">
        <v>751</v>
      </c>
      <c r="J85" s="26" t="n">
        <v>0</v>
      </c>
      <c r="K85" s="26" t="n">
        <v>28.5</v>
      </c>
      <c r="L85" s="27" t="n">
        <v>0.25</v>
      </c>
      <c r="M85" s="26" t="n">
        <v>194.88</v>
      </c>
      <c r="N85" s="28" t="n">
        <v>3.7</v>
      </c>
      <c r="O85" s="28" t="n">
        <v>29.3</v>
      </c>
      <c r="P85" s="25" t="inlineStr">
        <is>
          <t>Cash on Delivery</t>
        </is>
      </c>
      <c r="Q85" s="25" t="inlineStr">
        <is>
          <t>Delivered</t>
        </is>
      </c>
      <c r="R85" s="25" t="n">
        <v>4</v>
      </c>
      <c r="S85" s="25">
        <f>TEXT(B85,"yyyy-mm")</f>
        <v/>
      </c>
      <c r="T85" s="25">
        <f>VLOOKUP(D85,Customers!A:D,4,FALSE)</f>
        <v/>
      </c>
      <c r="U85" s="25">
        <f>CONCATENATE(A85,"-",G85)</f>
        <v/>
      </c>
      <c r="V85" s="25">
        <f>IF(N85="","",IF(N85&lt;=30,"Fast (&lt;30m)",IF(N85&lt;=45,"Moderate (30-45m)","Delayed (&gt;45m)")))</f>
        <v/>
      </c>
      <c r="W85" s="25">
        <f>IF(AND(I85&gt;600,P85="Delivered"),"High Value Delivered","Standard")</f>
        <v/>
      </c>
      <c r="X85" s="25">
        <f>IF(OR(N85&gt;50,Q85&lt;=2),"High Risk / Delayed","Normal")</f>
        <v/>
      </c>
      <c r="Y85" s="25">
        <f>IF(NOT(P85="Cancelled"),"Fulfilled","Cancelled")</f>
        <v/>
      </c>
      <c r="Z85" s="25">
        <f>IFERROR(Q85,0)</f>
        <v/>
      </c>
    </row>
    <row r="86">
      <c r="A86" s="17" t="inlineStr">
        <is>
          <t>ORD1085</t>
        </is>
      </c>
      <c r="B86" s="17" t="inlineStr">
        <is>
          <t>2025-11-05</t>
        </is>
      </c>
      <c r="C86" s="17" t="inlineStr">
        <is>
          <t>12:52:11</t>
        </is>
      </c>
      <c r="D86" s="17" t="n">
        <v>1075</v>
      </c>
      <c r="E86" s="17" t="n">
        <v>104</v>
      </c>
      <c r="F86" s="17" t="n">
        <v>212</v>
      </c>
      <c r="G86" s="17" t="inlineStr">
        <is>
          <t>Delhi NCR</t>
        </is>
      </c>
      <c r="H86" s="17" t="inlineStr">
        <is>
          <t>Fast Food</t>
        </is>
      </c>
      <c r="I86" s="22" t="n">
        <v>778</v>
      </c>
      <c r="J86" s="22" t="n">
        <v>54.9</v>
      </c>
      <c r="K86" s="22" t="n">
        <v>25</v>
      </c>
      <c r="L86" s="23" t="n">
        <v>0.18</v>
      </c>
      <c r="M86" s="22" t="n">
        <v>146.29</v>
      </c>
      <c r="N86" s="24" t="n">
        <v>2.7</v>
      </c>
      <c r="O86" s="24" t="n">
        <v>23.6</v>
      </c>
      <c r="P86" s="17" t="inlineStr">
        <is>
          <t>Debit Card</t>
        </is>
      </c>
      <c r="Q86" s="17" t="inlineStr">
        <is>
          <t>Delivered</t>
        </is>
      </c>
      <c r="R86" s="17" t="n">
        <v>5</v>
      </c>
      <c r="S86" s="17">
        <f>TEXT(B86,"yyyy-mm")</f>
        <v/>
      </c>
      <c r="T86" s="17">
        <f>VLOOKUP(D86,Customers!A:D,4,FALSE)</f>
        <v/>
      </c>
      <c r="U86" s="17">
        <f>CONCATENATE(A86,"-",G86)</f>
        <v/>
      </c>
      <c r="V86" s="17">
        <f>IF(N86="","",IF(N86&lt;=30,"Fast (&lt;30m)",IF(N86&lt;=45,"Moderate (30-45m)","Delayed (&gt;45m)")))</f>
        <v/>
      </c>
      <c r="W86" s="17">
        <f>IF(AND(I86&gt;600,P86="Delivered"),"High Value Delivered","Standard")</f>
        <v/>
      </c>
      <c r="X86" s="17">
        <f>IF(OR(N86&gt;50,Q86&lt;=2),"High Risk / Delayed","Normal")</f>
        <v/>
      </c>
      <c r="Y86" s="17">
        <f>IF(NOT(P86="Cancelled"),"Fulfilled","Cancelled")</f>
        <v/>
      </c>
      <c r="Z86" s="17">
        <f>IFERROR(Q86,0)</f>
        <v/>
      </c>
    </row>
    <row r="87">
      <c r="A87" s="25" t="inlineStr">
        <is>
          <t>ORD1086</t>
        </is>
      </c>
      <c r="B87" s="25" t="inlineStr">
        <is>
          <t>2025-11-05</t>
        </is>
      </c>
      <c r="C87" s="25" t="inlineStr">
        <is>
          <t>21:45:27</t>
        </is>
      </c>
      <c r="D87" s="25" t="n">
        <v>1006</v>
      </c>
      <c r="E87" s="25" t="n">
        <v>117</v>
      </c>
      <c r="F87" s="25" t="n">
        <v>222</v>
      </c>
      <c r="G87" s="25" t="inlineStr">
        <is>
          <t>Mumbai</t>
        </is>
      </c>
      <c r="H87" s="25" t="inlineStr">
        <is>
          <t>Chinese</t>
        </is>
      </c>
      <c r="I87" s="26" t="n">
        <v>390</v>
      </c>
      <c r="J87" s="26" t="n">
        <v>10.97</v>
      </c>
      <c r="K87" s="26" t="n">
        <v>30</v>
      </c>
      <c r="L87" s="27" t="n">
        <v>0.2</v>
      </c>
      <c r="M87" s="26" t="n">
        <v>85.5</v>
      </c>
      <c r="N87" s="28" t="n">
        <v>4</v>
      </c>
      <c r="O87" s="28" t="n">
        <v>31.7</v>
      </c>
      <c r="P87" s="25" t="inlineStr">
        <is>
          <t>Debit Card</t>
        </is>
      </c>
      <c r="Q87" s="25" t="inlineStr">
        <is>
          <t>Delivered</t>
        </is>
      </c>
      <c r="R87" s="25" t="n">
        <v>2</v>
      </c>
      <c r="S87" s="25">
        <f>TEXT(B87,"yyyy-mm")</f>
        <v/>
      </c>
      <c r="T87" s="25">
        <f>VLOOKUP(D87,Customers!A:D,4,FALSE)</f>
        <v/>
      </c>
      <c r="U87" s="25">
        <f>CONCATENATE(A87,"-",G87)</f>
        <v/>
      </c>
      <c r="V87" s="25">
        <f>IF(N87="","",IF(N87&lt;=30,"Fast (&lt;30m)",IF(N87&lt;=45,"Moderate (30-45m)","Delayed (&gt;45m)")))</f>
        <v/>
      </c>
      <c r="W87" s="25">
        <f>IF(AND(I87&gt;600,P87="Delivered"),"High Value Delivered","Standard")</f>
        <v/>
      </c>
      <c r="X87" s="25">
        <f>IF(OR(N87&gt;50,Q87&lt;=2),"High Risk / Delayed","Normal")</f>
        <v/>
      </c>
      <c r="Y87" s="25">
        <f>IF(NOT(P87="Cancelled"),"Fulfilled","Cancelled")</f>
        <v/>
      </c>
      <c r="Z87" s="25">
        <f>IFERROR(Q87,0)</f>
        <v/>
      </c>
    </row>
    <row r="88">
      <c r="A88" s="17" t="inlineStr">
        <is>
          <t>ORD1087</t>
        </is>
      </c>
      <c r="B88" s="17" t="inlineStr">
        <is>
          <t>2025-02-08</t>
        </is>
      </c>
      <c r="C88" s="17" t="inlineStr">
        <is>
          <t>09:42:40</t>
        </is>
      </c>
      <c r="D88" s="17" t="n">
        <v>1060</v>
      </c>
      <c r="E88" s="17" t="n">
        <v>104</v>
      </c>
      <c r="F88" s="17" t="n">
        <v>221</v>
      </c>
      <c r="G88" s="17" t="inlineStr">
        <is>
          <t>Delhi NCR</t>
        </is>
      </c>
      <c r="H88" s="17" t="inlineStr">
        <is>
          <t>Fast Food</t>
        </is>
      </c>
      <c r="I88" s="22" t="n">
        <v>635</v>
      </c>
      <c r="J88" s="22" t="n">
        <v>0</v>
      </c>
      <c r="K88" s="22" t="n">
        <v>25</v>
      </c>
      <c r="L88" s="23" t="n">
        <v>0.18</v>
      </c>
      <c r="M88" s="22" t="n">
        <v>120.55</v>
      </c>
      <c r="N88" s="24" t="n">
        <v>2</v>
      </c>
      <c r="O88" s="24" t="n">
        <v>28.4</v>
      </c>
      <c r="P88" s="17" t="inlineStr">
        <is>
          <t>Credit Card</t>
        </is>
      </c>
      <c r="Q88" s="17" t="inlineStr">
        <is>
          <t>Delivered</t>
        </is>
      </c>
      <c r="R88" s="17" t="n">
        <v>4</v>
      </c>
      <c r="S88" s="17">
        <f>TEXT(B88,"yyyy-mm")</f>
        <v/>
      </c>
      <c r="T88" s="17">
        <f>VLOOKUP(D88,Customers!A:D,4,FALSE)</f>
        <v/>
      </c>
      <c r="U88" s="17">
        <f>CONCATENATE(A88,"-",G88)</f>
        <v/>
      </c>
      <c r="V88" s="17">
        <f>IF(N88="","",IF(N88&lt;=30,"Fast (&lt;30m)",IF(N88&lt;=45,"Moderate (30-45m)","Delayed (&gt;45m)")))</f>
        <v/>
      </c>
      <c r="W88" s="17">
        <f>IF(AND(I88&gt;600,P88="Delivered"),"High Value Delivered","Standard")</f>
        <v/>
      </c>
      <c r="X88" s="17">
        <f>IF(OR(N88&gt;50,Q88&lt;=2),"High Risk / Delayed","Normal")</f>
        <v/>
      </c>
      <c r="Y88" s="17">
        <f>IF(NOT(P88="Cancelled"),"Fulfilled","Cancelled")</f>
        <v/>
      </c>
      <c r="Z88" s="17">
        <f>IFERROR(Q88,0)</f>
        <v/>
      </c>
    </row>
    <row r="89">
      <c r="A89" s="25" t="inlineStr">
        <is>
          <t>ORD1088</t>
        </is>
      </c>
      <c r="B89" s="25" t="inlineStr">
        <is>
          <t>2025-11-08</t>
        </is>
      </c>
      <c r="C89" s="25" t="inlineStr">
        <is>
          <t>21:43:50</t>
        </is>
      </c>
      <c r="D89" s="25" t="n">
        <v>1222</v>
      </c>
      <c r="E89" s="25" t="n">
        <v>109</v>
      </c>
      <c r="F89" s="25" t="n">
        <v>216</v>
      </c>
      <c r="G89" s="25" t="inlineStr">
        <is>
          <t>Hyderabad</t>
        </is>
      </c>
      <c r="H89" s="25" t="inlineStr">
        <is>
          <t>Biryani</t>
        </is>
      </c>
      <c r="I89" s="26" t="n">
        <v>668</v>
      </c>
      <c r="J89" s="26" t="n">
        <v>0</v>
      </c>
      <c r="K89" s="26" t="n">
        <v>37.5</v>
      </c>
      <c r="L89" s="27" t="n">
        <v>0.2</v>
      </c>
      <c r="M89" s="26" t="n">
        <v>142.98</v>
      </c>
      <c r="N89" s="28" t="n">
        <v>5.5</v>
      </c>
      <c r="O89" s="28" t="n">
        <v>34.7</v>
      </c>
      <c r="P89" s="25" t="inlineStr">
        <is>
          <t>Debit Card</t>
        </is>
      </c>
      <c r="Q89" s="25" t="inlineStr">
        <is>
          <t>Delivered</t>
        </is>
      </c>
      <c r="R89" s="25" t="n">
        <v>4</v>
      </c>
      <c r="S89" s="25">
        <f>TEXT(B89,"yyyy-mm")</f>
        <v/>
      </c>
      <c r="T89" s="25">
        <f>VLOOKUP(D89,Customers!A:D,4,FALSE)</f>
        <v/>
      </c>
      <c r="U89" s="25">
        <f>CONCATENATE(A89,"-",G89)</f>
        <v/>
      </c>
      <c r="V89" s="25">
        <f>IF(N89="","",IF(N89&lt;=30,"Fast (&lt;30m)",IF(N89&lt;=45,"Moderate (30-45m)","Delayed (&gt;45m)")))</f>
        <v/>
      </c>
      <c r="W89" s="25">
        <f>IF(AND(I89&gt;600,P89="Delivered"),"High Value Delivered","Standard")</f>
        <v/>
      </c>
      <c r="X89" s="25">
        <f>IF(OR(N89&gt;50,Q89&lt;=2),"High Risk / Delayed","Normal")</f>
        <v/>
      </c>
      <c r="Y89" s="25">
        <f>IF(NOT(P89="Cancelled"),"Fulfilled","Cancelled")</f>
        <v/>
      </c>
      <c r="Z89" s="25">
        <f>IFERROR(Q89,0)</f>
        <v/>
      </c>
    </row>
    <row r="90">
      <c r="A90" s="17" t="inlineStr">
        <is>
          <t>ORD1089</t>
        </is>
      </c>
      <c r="B90" s="17" t="inlineStr">
        <is>
          <t>2025-11-06</t>
        </is>
      </c>
      <c r="C90" s="17" t="inlineStr">
        <is>
          <t>14:09:43</t>
        </is>
      </c>
      <c r="D90" s="17" t="n">
        <v>1009</v>
      </c>
      <c r="E90" s="17" t="n">
        <v>102</v>
      </c>
      <c r="F90" s="17" t="n">
        <v>215</v>
      </c>
      <c r="G90" s="17" t="inlineStr">
        <is>
          <t>Hyderabad</t>
        </is>
      </c>
      <c r="H90" s="17" t="inlineStr">
        <is>
          <t>Biryani</t>
        </is>
      </c>
      <c r="I90" s="22" t="n">
        <v>680</v>
      </c>
      <c r="J90" s="22" t="n">
        <v>79.16</v>
      </c>
      <c r="K90" s="22" t="n">
        <v>25</v>
      </c>
      <c r="L90" s="23" t="n">
        <v>0.22</v>
      </c>
      <c r="M90" s="22" t="n">
        <v>155.85</v>
      </c>
      <c r="N90" s="24" t="n">
        <v>2.4</v>
      </c>
      <c r="O90" s="24" t="n">
        <v>25.5</v>
      </c>
      <c r="P90" s="17" t="inlineStr">
        <is>
          <t>UPI</t>
        </is>
      </c>
      <c r="Q90" s="17" t="inlineStr">
        <is>
          <t>Delivered</t>
        </is>
      </c>
      <c r="R90" s="17" t="n">
        <v>4</v>
      </c>
      <c r="S90" s="17">
        <f>TEXT(B90,"yyyy-mm")</f>
        <v/>
      </c>
      <c r="T90" s="17">
        <f>VLOOKUP(D90,Customers!A:D,4,FALSE)</f>
        <v/>
      </c>
      <c r="U90" s="17">
        <f>CONCATENATE(A90,"-",G90)</f>
        <v/>
      </c>
      <c r="V90" s="17">
        <f>IF(N90="","",IF(N90&lt;=30,"Fast (&lt;30m)",IF(N90&lt;=45,"Moderate (30-45m)","Delayed (&gt;45m)")))</f>
        <v/>
      </c>
      <c r="W90" s="17">
        <f>IF(AND(I90&gt;600,P90="Delivered"),"High Value Delivered","Standard")</f>
        <v/>
      </c>
      <c r="X90" s="17">
        <f>IF(OR(N90&gt;50,Q90&lt;=2),"High Risk / Delayed","Normal")</f>
        <v/>
      </c>
      <c r="Y90" s="17">
        <f>IF(NOT(P90="Cancelled"),"Fulfilled","Cancelled")</f>
        <v/>
      </c>
      <c r="Z90" s="17">
        <f>IFERROR(Q90,0)</f>
        <v/>
      </c>
    </row>
    <row r="91">
      <c r="A91" s="25" t="inlineStr">
        <is>
          <t>ORD1090</t>
        </is>
      </c>
      <c r="B91" s="25" t="inlineStr">
        <is>
          <t>2025-06-10</t>
        </is>
      </c>
      <c r="C91" s="25" t="inlineStr">
        <is>
          <t>21:41:17</t>
        </is>
      </c>
      <c r="D91" s="25" t="n">
        <v>1244</v>
      </c>
      <c r="E91" s="25" t="n">
        <v>112</v>
      </c>
      <c r="F91" s="25" t="n">
        <v>230</v>
      </c>
      <c r="G91" s="25" t="inlineStr">
        <is>
          <t>Delhi NCR</t>
        </is>
      </c>
      <c r="H91" s="25" t="inlineStr">
        <is>
          <t>North Indian</t>
        </is>
      </c>
      <c r="I91" s="26" t="n">
        <v>475</v>
      </c>
      <c r="J91" s="26" t="n">
        <v>0.98</v>
      </c>
      <c r="K91" s="26" t="n">
        <v>34.5</v>
      </c>
      <c r="L91" s="27" t="n">
        <v>0.22</v>
      </c>
      <c r="M91" s="26" t="n">
        <v>113.12</v>
      </c>
      <c r="N91" s="28" t="n">
        <v>4.9</v>
      </c>
      <c r="O91" s="28" t="n">
        <v>32.6</v>
      </c>
      <c r="P91" s="25" t="inlineStr">
        <is>
          <t>Digital Wallet</t>
        </is>
      </c>
      <c r="Q91" s="25" t="inlineStr">
        <is>
          <t>Delivered</t>
        </is>
      </c>
      <c r="R91" s="25" t="n">
        <v>3</v>
      </c>
      <c r="S91" s="25">
        <f>TEXT(B91,"yyyy-mm")</f>
        <v/>
      </c>
      <c r="T91" s="25">
        <f>VLOOKUP(D91,Customers!A:D,4,FALSE)</f>
        <v/>
      </c>
      <c r="U91" s="25">
        <f>CONCATENATE(A91,"-",G91)</f>
        <v/>
      </c>
      <c r="V91" s="25">
        <f>IF(N91="","",IF(N91&lt;=30,"Fast (&lt;30m)",IF(N91&lt;=45,"Moderate (30-45m)","Delayed (&gt;45m)")))</f>
        <v/>
      </c>
      <c r="W91" s="25">
        <f>IF(AND(I91&gt;600,P91="Delivered"),"High Value Delivered","Standard")</f>
        <v/>
      </c>
      <c r="X91" s="25">
        <f>IF(OR(N91&gt;50,Q91&lt;=2),"High Risk / Delayed","Normal")</f>
        <v/>
      </c>
      <c r="Y91" s="25">
        <f>IF(NOT(P91="Cancelled"),"Fulfilled","Cancelled")</f>
        <v/>
      </c>
      <c r="Z91" s="25">
        <f>IFERROR(Q91,0)</f>
        <v/>
      </c>
    </row>
    <row r="92">
      <c r="A92" s="17" t="inlineStr">
        <is>
          <t>ORD1091</t>
        </is>
      </c>
      <c r="B92" s="17" t="inlineStr">
        <is>
          <t>2025-05-14</t>
        </is>
      </c>
      <c r="C92" s="17" t="inlineStr">
        <is>
          <t>18:45:28</t>
        </is>
      </c>
      <c r="D92" s="17" t="n">
        <v>1198</v>
      </c>
      <c r="E92" s="17" t="n">
        <v>105</v>
      </c>
      <c r="F92" s="17" t="n">
        <v>227</v>
      </c>
      <c r="G92" s="17" t="inlineStr">
        <is>
          <t>Bangalore</t>
        </is>
      </c>
      <c r="H92" s="17" t="inlineStr">
        <is>
          <t>Chinese</t>
        </is>
      </c>
      <c r="I92" s="22" t="n">
        <v>695</v>
      </c>
      <c r="J92" s="22" t="n">
        <v>89.34999999999999</v>
      </c>
      <c r="K92" s="22" t="n">
        <v>0</v>
      </c>
      <c r="L92" s="23" t="n">
        <v>0.2</v>
      </c>
      <c r="M92" s="22" t="n">
        <v>139</v>
      </c>
      <c r="N92" s="24" t="n">
        <v>5.5</v>
      </c>
      <c r="O92" s="24" t="n">
        <v>38.2</v>
      </c>
      <c r="P92" s="17" t="inlineStr">
        <is>
          <t>Cash on Delivery</t>
        </is>
      </c>
      <c r="Q92" s="17" t="inlineStr">
        <is>
          <t>Delivered</t>
        </is>
      </c>
      <c r="R92" s="17" t="n">
        <v>3</v>
      </c>
      <c r="S92" s="17">
        <f>TEXT(B92,"yyyy-mm")</f>
        <v/>
      </c>
      <c r="T92" s="17">
        <f>VLOOKUP(D92,Customers!A:D,4,FALSE)</f>
        <v/>
      </c>
      <c r="U92" s="17">
        <f>CONCATENATE(A92,"-",G92)</f>
        <v/>
      </c>
      <c r="V92" s="17">
        <f>IF(N92="","",IF(N92&lt;=30,"Fast (&lt;30m)",IF(N92&lt;=45,"Moderate (30-45m)","Delayed (&gt;45m)")))</f>
        <v/>
      </c>
      <c r="W92" s="17">
        <f>IF(AND(I92&gt;600,P92="Delivered"),"High Value Delivered","Standard")</f>
        <v/>
      </c>
      <c r="X92" s="17">
        <f>IF(OR(N92&gt;50,Q92&lt;=2),"High Risk / Delayed","Normal")</f>
        <v/>
      </c>
      <c r="Y92" s="17">
        <f>IF(NOT(P92="Cancelled"),"Fulfilled","Cancelled")</f>
        <v/>
      </c>
      <c r="Z92" s="17">
        <f>IFERROR(Q92,0)</f>
        <v/>
      </c>
    </row>
    <row r="93">
      <c r="A93" s="25" t="inlineStr">
        <is>
          <t>ORD1092</t>
        </is>
      </c>
      <c r="B93" s="25" t="inlineStr">
        <is>
          <t>2025-03-11</t>
        </is>
      </c>
      <c r="C93" s="25" t="inlineStr">
        <is>
          <t>08:54:04</t>
        </is>
      </c>
      <c r="D93" s="25" t="n">
        <v>1011</v>
      </c>
      <c r="E93" s="25" t="n">
        <v>109</v>
      </c>
      <c r="F93" s="25" t="n">
        <v>225</v>
      </c>
      <c r="G93" s="25" t="inlineStr">
        <is>
          <t>Hyderabad</t>
        </is>
      </c>
      <c r="H93" s="25" t="inlineStr">
        <is>
          <t>Biryani</t>
        </is>
      </c>
      <c r="I93" s="26" t="n">
        <v>682</v>
      </c>
      <c r="J93" s="26" t="n">
        <v>0</v>
      </c>
      <c r="K93" s="26" t="n">
        <v>25.5</v>
      </c>
      <c r="L93" s="27" t="n">
        <v>0.2</v>
      </c>
      <c r="M93" s="26" t="n">
        <v>142.78</v>
      </c>
      <c r="N93" s="28" t="n">
        <v>3.1</v>
      </c>
      <c r="O93" s="28" t="n">
        <v>33.8</v>
      </c>
      <c r="P93" s="25" t="inlineStr">
        <is>
          <t>UPI</t>
        </is>
      </c>
      <c r="Q93" s="25" t="inlineStr">
        <is>
          <t>Delivered</t>
        </is>
      </c>
      <c r="R93" s="25" t="n">
        <v>5</v>
      </c>
      <c r="S93" s="25">
        <f>TEXT(B93,"yyyy-mm")</f>
        <v/>
      </c>
      <c r="T93" s="25">
        <f>VLOOKUP(D93,Customers!A:D,4,FALSE)</f>
        <v/>
      </c>
      <c r="U93" s="25">
        <f>CONCATENATE(A93,"-",G93)</f>
        <v/>
      </c>
      <c r="V93" s="25">
        <f>IF(N93="","",IF(N93&lt;=30,"Fast (&lt;30m)",IF(N93&lt;=45,"Moderate (30-45m)","Delayed (&gt;45m)")))</f>
        <v/>
      </c>
      <c r="W93" s="25">
        <f>IF(AND(I93&gt;600,P93="Delivered"),"High Value Delivered","Standard")</f>
        <v/>
      </c>
      <c r="X93" s="25">
        <f>IF(OR(N93&gt;50,Q93&lt;=2),"High Risk / Delayed","Normal")</f>
        <v/>
      </c>
      <c r="Y93" s="25">
        <f>IF(NOT(P93="Cancelled"),"Fulfilled","Cancelled")</f>
        <v/>
      </c>
      <c r="Z93" s="25">
        <f>IFERROR(Q93,0)</f>
        <v/>
      </c>
    </row>
    <row r="94">
      <c r="A94" s="17" t="inlineStr">
        <is>
          <t>ORD1093</t>
        </is>
      </c>
      <c r="B94" s="17" t="inlineStr">
        <is>
          <t>2025-10-09</t>
        </is>
      </c>
      <c r="C94" s="17" t="inlineStr">
        <is>
          <t>14:34:18</t>
        </is>
      </c>
      <c r="D94" s="17" t="n">
        <v>1252</v>
      </c>
      <c r="E94" s="17" t="n">
        <v>107</v>
      </c>
      <c r="F94" s="17" t="n">
        <v>202</v>
      </c>
      <c r="G94" s="17" t="inlineStr">
        <is>
          <t>Mumbai</t>
        </is>
      </c>
      <c r="H94" s="17" t="inlineStr">
        <is>
          <t>Desserts</t>
        </is>
      </c>
      <c r="I94" s="22" t="n">
        <v>527</v>
      </c>
      <c r="J94" s="22" t="n">
        <v>30.01</v>
      </c>
      <c r="K94" s="22" t="n">
        <v>39.5</v>
      </c>
      <c r="L94" s="23" t="n">
        <v>0.25</v>
      </c>
      <c r="M94" s="22" t="n">
        <v>141.62</v>
      </c>
      <c r="N94" s="24" t="n">
        <v>5.9</v>
      </c>
      <c r="O94" s="24" t="n">
        <v>47</v>
      </c>
      <c r="P94" s="17" t="inlineStr">
        <is>
          <t>Credit Card</t>
        </is>
      </c>
      <c r="Q94" s="17" t="inlineStr">
        <is>
          <t>Delivered</t>
        </is>
      </c>
      <c r="R94" s="17" t="n">
        <v>5</v>
      </c>
      <c r="S94" s="17">
        <f>TEXT(B94,"yyyy-mm")</f>
        <v/>
      </c>
      <c r="T94" s="17">
        <f>VLOOKUP(D94,Customers!A:D,4,FALSE)</f>
        <v/>
      </c>
      <c r="U94" s="17">
        <f>CONCATENATE(A94,"-",G94)</f>
        <v/>
      </c>
      <c r="V94" s="17">
        <f>IF(N94="","",IF(N94&lt;=30,"Fast (&lt;30m)",IF(N94&lt;=45,"Moderate (30-45m)","Delayed (&gt;45m)")))</f>
        <v/>
      </c>
      <c r="W94" s="17">
        <f>IF(AND(I94&gt;600,P94="Delivered"),"High Value Delivered","Standard")</f>
        <v/>
      </c>
      <c r="X94" s="17">
        <f>IF(OR(N94&gt;50,Q94&lt;=2),"High Risk / Delayed","Normal")</f>
        <v/>
      </c>
      <c r="Y94" s="17">
        <f>IF(NOT(P94="Cancelled"),"Fulfilled","Cancelled")</f>
        <v/>
      </c>
      <c r="Z94" s="17">
        <f>IFERROR(Q94,0)</f>
        <v/>
      </c>
    </row>
    <row r="95">
      <c r="A95" s="25" t="inlineStr">
        <is>
          <t>ORD1094</t>
        </is>
      </c>
      <c r="B95" s="25" t="inlineStr">
        <is>
          <t>2025-04-13</t>
        </is>
      </c>
      <c r="C95" s="25" t="inlineStr">
        <is>
          <t>17:50:08</t>
        </is>
      </c>
      <c r="D95" s="25" t="n">
        <v>1144</v>
      </c>
      <c r="E95" s="25" t="n">
        <v>111</v>
      </c>
      <c r="F95" s="25" t="n">
        <v>205</v>
      </c>
      <c r="G95" s="25" t="inlineStr">
        <is>
          <t>Bangalore</t>
        </is>
      </c>
      <c r="H95" s="25" t="inlineStr">
        <is>
          <t>South Indian</t>
        </is>
      </c>
      <c r="I95" s="26" t="n">
        <v>462</v>
      </c>
      <c r="J95" s="26" t="n">
        <v>0.97</v>
      </c>
      <c r="K95" s="26" t="n">
        <v>29.5</v>
      </c>
      <c r="L95" s="27" t="n">
        <v>0.15</v>
      </c>
      <c r="M95" s="26" t="n">
        <v>76.68000000000001</v>
      </c>
      <c r="N95" s="28" t="n">
        <v>3.9</v>
      </c>
      <c r="O95" s="28" t="n">
        <v>32</v>
      </c>
      <c r="P95" s="25" t="inlineStr">
        <is>
          <t>Debit Card</t>
        </is>
      </c>
      <c r="Q95" s="25" t="inlineStr">
        <is>
          <t>Delivered</t>
        </is>
      </c>
      <c r="R95" s="25" t="n">
        <v>4</v>
      </c>
      <c r="S95" s="25">
        <f>TEXT(B95,"yyyy-mm")</f>
        <v/>
      </c>
      <c r="T95" s="25">
        <f>VLOOKUP(D95,Customers!A:D,4,FALSE)</f>
        <v/>
      </c>
      <c r="U95" s="25">
        <f>CONCATENATE(A95,"-",G95)</f>
        <v/>
      </c>
      <c r="V95" s="25">
        <f>IF(N95="","",IF(N95&lt;=30,"Fast (&lt;30m)",IF(N95&lt;=45,"Moderate (30-45m)","Delayed (&gt;45m)")))</f>
        <v/>
      </c>
      <c r="W95" s="25">
        <f>IF(AND(I95&gt;600,P95="Delivered"),"High Value Delivered","Standard")</f>
        <v/>
      </c>
      <c r="X95" s="25">
        <f>IF(OR(N95&gt;50,Q95&lt;=2),"High Risk / Delayed","Normal")</f>
        <v/>
      </c>
      <c r="Y95" s="25">
        <f>IF(NOT(P95="Cancelled"),"Fulfilled","Cancelled")</f>
        <v/>
      </c>
      <c r="Z95" s="25">
        <f>IFERROR(Q95,0)</f>
        <v/>
      </c>
    </row>
    <row r="96">
      <c r="A96" s="17" t="inlineStr">
        <is>
          <t>ORD1095</t>
        </is>
      </c>
      <c r="B96" s="17" t="inlineStr">
        <is>
          <t>2025-02-03</t>
        </is>
      </c>
      <c r="C96" s="17" t="inlineStr">
        <is>
          <t>12:19:25</t>
        </is>
      </c>
      <c r="D96" s="17" t="n">
        <v>1124</v>
      </c>
      <c r="E96" s="17" t="n">
        <v>118</v>
      </c>
      <c r="F96" s="17" t="n">
        <v>228</v>
      </c>
      <c r="G96" s="17" t="inlineStr">
        <is>
          <t>Delhi NCR</t>
        </is>
      </c>
      <c r="H96" s="17" t="inlineStr">
        <is>
          <t>North Indian</t>
        </is>
      </c>
      <c r="I96" s="22" t="n">
        <v>710</v>
      </c>
      <c r="J96" s="22" t="n">
        <v>43.69</v>
      </c>
      <c r="K96" s="22" t="n">
        <v>25</v>
      </c>
      <c r="L96" s="23" t="n">
        <v>0.2</v>
      </c>
      <c r="M96" s="22" t="n">
        <v>148.25</v>
      </c>
      <c r="N96" s="24" t="n">
        <v>2.5</v>
      </c>
      <c r="O96" s="24" t="n">
        <v>31.1</v>
      </c>
      <c r="P96" s="17" t="inlineStr">
        <is>
          <t>UPI</t>
        </is>
      </c>
      <c r="Q96" s="17" t="inlineStr">
        <is>
          <t>Delivered</t>
        </is>
      </c>
      <c r="R96" s="17" t="n">
        <v>4</v>
      </c>
      <c r="S96" s="17">
        <f>TEXT(B96,"yyyy-mm")</f>
        <v/>
      </c>
      <c r="T96" s="17">
        <f>VLOOKUP(D96,Customers!A:D,4,FALSE)</f>
        <v/>
      </c>
      <c r="U96" s="17">
        <f>CONCATENATE(A96,"-",G96)</f>
        <v/>
      </c>
      <c r="V96" s="17">
        <f>IF(N96="","",IF(N96&lt;=30,"Fast (&lt;30m)",IF(N96&lt;=45,"Moderate (30-45m)","Delayed (&gt;45m)")))</f>
        <v/>
      </c>
      <c r="W96" s="17">
        <f>IF(AND(I96&gt;600,P96="Delivered"),"High Value Delivered","Standard")</f>
        <v/>
      </c>
      <c r="X96" s="17">
        <f>IF(OR(N96&gt;50,Q96&lt;=2),"High Risk / Delayed","Normal")</f>
        <v/>
      </c>
      <c r="Y96" s="17">
        <f>IF(NOT(P96="Cancelled"),"Fulfilled","Cancelled")</f>
        <v/>
      </c>
      <c r="Z96" s="17">
        <f>IFERROR(Q96,0)</f>
        <v/>
      </c>
    </row>
    <row r="97">
      <c r="A97" s="25" t="inlineStr">
        <is>
          <t>ORD1096</t>
        </is>
      </c>
      <c r="B97" s="25" t="inlineStr">
        <is>
          <t>2025-11-25</t>
        </is>
      </c>
      <c r="C97" s="25" t="inlineStr">
        <is>
          <t>23:04:28</t>
        </is>
      </c>
      <c r="D97" s="25" t="n">
        <v>1160</v>
      </c>
      <c r="E97" s="25" t="n">
        <v>116</v>
      </c>
      <c r="F97" s="25" t="n">
        <v>224</v>
      </c>
      <c r="G97" s="25" t="inlineStr">
        <is>
          <t>Pune</t>
        </is>
      </c>
      <c r="H97" s="25" t="inlineStr">
        <is>
          <t>Desserts</t>
        </is>
      </c>
      <c r="I97" s="26" t="n">
        <v>697</v>
      </c>
      <c r="J97" s="26" t="n">
        <v>68.03</v>
      </c>
      <c r="K97" s="26" t="n">
        <v>34.5</v>
      </c>
      <c r="L97" s="27" t="n">
        <v>0.25</v>
      </c>
      <c r="M97" s="26" t="n">
        <v>182.88</v>
      </c>
      <c r="N97" s="28" t="n">
        <v>4.9</v>
      </c>
      <c r="O97" s="28" t="n">
        <v/>
      </c>
      <c r="P97" s="25" t="inlineStr">
        <is>
          <t>Digital Wallet</t>
        </is>
      </c>
      <c r="Q97" s="25" t="inlineStr">
        <is>
          <t>Cancelled</t>
        </is>
      </c>
      <c r="R97" s="25" t="n">
        <v/>
      </c>
      <c r="S97" s="25">
        <f>TEXT(B97,"yyyy-mm")</f>
        <v/>
      </c>
      <c r="T97" s="25">
        <f>VLOOKUP(D97,Customers!A:D,4,FALSE)</f>
        <v/>
      </c>
      <c r="U97" s="25">
        <f>CONCATENATE(A97,"-",G97)</f>
        <v/>
      </c>
      <c r="V97" s="25">
        <f>IF(N97="","",IF(N97&lt;=30,"Fast (&lt;30m)",IF(N97&lt;=45,"Moderate (30-45m)","Delayed (&gt;45m)")))</f>
        <v/>
      </c>
      <c r="W97" s="25">
        <f>IF(AND(I97&gt;600,P97="Delivered"),"High Value Delivered","Standard")</f>
        <v/>
      </c>
      <c r="X97" s="25">
        <f>IF(OR(N97&gt;50,Q97&lt;=2),"High Risk / Delayed","Normal")</f>
        <v/>
      </c>
      <c r="Y97" s="25">
        <f>IF(NOT(P97="Cancelled"),"Fulfilled","Cancelled")</f>
        <v/>
      </c>
      <c r="Z97" s="25">
        <f>IFERROR(Q97,0)</f>
        <v/>
      </c>
    </row>
    <row r="98">
      <c r="A98" s="17" t="inlineStr">
        <is>
          <t>ORD1097</t>
        </is>
      </c>
      <c r="B98" s="17" t="inlineStr">
        <is>
          <t>2025-09-15</t>
        </is>
      </c>
      <c r="C98" s="17" t="inlineStr">
        <is>
          <t>18:58:55</t>
        </is>
      </c>
      <c r="D98" s="17" t="n">
        <v>1063</v>
      </c>
      <c r="E98" s="17" t="n">
        <v>101</v>
      </c>
      <c r="F98" s="17" t="n">
        <v>203</v>
      </c>
      <c r="G98" s="17" t="inlineStr">
        <is>
          <t>Bangalore</t>
        </is>
      </c>
      <c r="H98" s="17" t="inlineStr">
        <is>
          <t>North Indian</t>
        </is>
      </c>
      <c r="I98" s="22" t="n">
        <v>276</v>
      </c>
      <c r="J98" s="22" t="n">
        <v>29.86</v>
      </c>
      <c r="K98" s="22" t="n">
        <v>28.5</v>
      </c>
      <c r="L98" s="23" t="n">
        <v>0.2</v>
      </c>
      <c r="M98" s="22" t="n">
        <v>62.32</v>
      </c>
      <c r="N98" s="24" t="n">
        <v>3.7</v>
      </c>
      <c r="O98" s="24" t="n">
        <v>33.1</v>
      </c>
      <c r="P98" s="17" t="inlineStr">
        <is>
          <t>Debit Card</t>
        </is>
      </c>
      <c r="Q98" s="17" t="inlineStr">
        <is>
          <t>Delivered</t>
        </is>
      </c>
      <c r="R98" s="17" t="n">
        <v>4</v>
      </c>
      <c r="S98" s="17">
        <f>TEXT(B98,"yyyy-mm")</f>
        <v/>
      </c>
      <c r="T98" s="17">
        <f>VLOOKUP(D98,Customers!A:D,4,FALSE)</f>
        <v/>
      </c>
      <c r="U98" s="17">
        <f>CONCATENATE(A98,"-",G98)</f>
        <v/>
      </c>
      <c r="V98" s="17">
        <f>IF(N98="","",IF(N98&lt;=30,"Fast (&lt;30m)",IF(N98&lt;=45,"Moderate (30-45m)","Delayed (&gt;45m)")))</f>
        <v/>
      </c>
      <c r="W98" s="17">
        <f>IF(AND(I98&gt;600,P98="Delivered"),"High Value Delivered","Standard")</f>
        <v/>
      </c>
      <c r="X98" s="17">
        <f>IF(OR(N98&gt;50,Q98&lt;=2),"High Risk / Delayed","Normal")</f>
        <v/>
      </c>
      <c r="Y98" s="17">
        <f>IF(NOT(P98="Cancelled"),"Fulfilled","Cancelled")</f>
        <v/>
      </c>
      <c r="Z98" s="17">
        <f>IFERROR(Q98,0)</f>
        <v/>
      </c>
    </row>
    <row r="99">
      <c r="A99" s="25" t="inlineStr">
        <is>
          <t>ORD1098</t>
        </is>
      </c>
      <c r="B99" s="25" t="inlineStr">
        <is>
          <t>2025-06-15</t>
        </is>
      </c>
      <c r="C99" s="25" t="inlineStr">
        <is>
          <t>21:59:45</t>
        </is>
      </c>
      <c r="D99" s="25" t="n">
        <v>1153</v>
      </c>
      <c r="E99" s="25" t="n">
        <v>111</v>
      </c>
      <c r="F99" s="25" t="n">
        <v>201</v>
      </c>
      <c r="G99" s="25" t="inlineStr">
        <is>
          <t>Bangalore</t>
        </is>
      </c>
      <c r="H99" s="25" t="inlineStr">
        <is>
          <t>South Indian</t>
        </is>
      </c>
      <c r="I99" s="26" t="n">
        <v>450</v>
      </c>
      <c r="J99" s="26" t="n">
        <v>0</v>
      </c>
      <c r="K99" s="26" t="n">
        <v>26</v>
      </c>
      <c r="L99" s="27" t="n">
        <v>0.15</v>
      </c>
      <c r="M99" s="26" t="n">
        <v>74</v>
      </c>
      <c r="N99" s="28" t="n">
        <v>3.2</v>
      </c>
      <c r="O99" s="28" t="n">
        <v>43.3</v>
      </c>
      <c r="P99" s="25" t="inlineStr">
        <is>
          <t>Debit Card</t>
        </is>
      </c>
      <c r="Q99" s="25" t="inlineStr">
        <is>
          <t>Delivered</t>
        </is>
      </c>
      <c r="R99" s="25" t="n">
        <v>1</v>
      </c>
      <c r="S99" s="25">
        <f>TEXT(B99,"yyyy-mm")</f>
        <v/>
      </c>
      <c r="T99" s="25">
        <f>VLOOKUP(D99,Customers!A:D,4,FALSE)</f>
        <v/>
      </c>
      <c r="U99" s="25">
        <f>CONCATENATE(A99,"-",G99)</f>
        <v/>
      </c>
      <c r="V99" s="25">
        <f>IF(N99="","",IF(N99&lt;=30,"Fast (&lt;30m)",IF(N99&lt;=45,"Moderate (30-45m)","Delayed (&gt;45m)")))</f>
        <v/>
      </c>
      <c r="W99" s="25">
        <f>IF(AND(I99&gt;600,P99="Delivered"),"High Value Delivered","Standard")</f>
        <v/>
      </c>
      <c r="X99" s="25">
        <f>IF(OR(N99&gt;50,Q99&lt;=2),"High Risk / Delayed","Normal")</f>
        <v/>
      </c>
      <c r="Y99" s="25">
        <f>IF(NOT(P99="Cancelled"),"Fulfilled","Cancelled")</f>
        <v/>
      </c>
      <c r="Z99" s="25">
        <f>IFERROR(Q99,0)</f>
        <v/>
      </c>
    </row>
    <row r="100">
      <c r="A100" s="17" t="inlineStr">
        <is>
          <t>ORD1099</t>
        </is>
      </c>
      <c r="B100" s="17" t="inlineStr">
        <is>
          <t>2025-04-11</t>
        </is>
      </c>
      <c r="C100" s="17" t="inlineStr">
        <is>
          <t>13:40:35</t>
        </is>
      </c>
      <c r="D100" s="17" t="n">
        <v>1109</v>
      </c>
      <c r="E100" s="17" t="n">
        <v>113</v>
      </c>
      <c r="F100" s="17" t="n">
        <v>206</v>
      </c>
      <c r="G100" s="17" t="inlineStr">
        <is>
          <t>Mumbai</t>
        </is>
      </c>
      <c r="H100" s="17" t="inlineStr">
        <is>
          <t>Fast Food</t>
        </is>
      </c>
      <c r="I100" s="22" t="n">
        <v>501</v>
      </c>
      <c r="J100" s="22" t="n">
        <v>0</v>
      </c>
      <c r="K100" s="22" t="n">
        <v>38</v>
      </c>
      <c r="L100" s="23" t="n">
        <v>0.18</v>
      </c>
      <c r="M100" s="22" t="n">
        <v>99.68000000000001</v>
      </c>
      <c r="N100" s="24" t="n">
        <v>5.6</v>
      </c>
      <c r="O100" s="24" t="n">
        <v>43.2</v>
      </c>
      <c r="P100" s="17" t="inlineStr">
        <is>
          <t>Digital Wallet</t>
        </is>
      </c>
      <c r="Q100" s="17" t="inlineStr">
        <is>
          <t>Delivered</t>
        </is>
      </c>
      <c r="R100" s="17" t="n">
        <v>3</v>
      </c>
      <c r="S100" s="17">
        <f>TEXT(B100,"yyyy-mm")</f>
        <v/>
      </c>
      <c r="T100" s="17">
        <f>VLOOKUP(D100,Customers!A:D,4,FALSE)</f>
        <v/>
      </c>
      <c r="U100" s="17">
        <f>CONCATENATE(A100,"-",G100)</f>
        <v/>
      </c>
      <c r="V100" s="17">
        <f>IF(N100="","",IF(N100&lt;=30,"Fast (&lt;30m)",IF(N100&lt;=45,"Moderate (30-45m)","Delayed (&gt;45m)")))</f>
        <v/>
      </c>
      <c r="W100" s="17">
        <f>IF(AND(I100&gt;600,P100="Delivered"),"High Value Delivered","Standard")</f>
        <v/>
      </c>
      <c r="X100" s="17">
        <f>IF(OR(N100&gt;50,Q100&lt;=2),"High Risk / Delayed","Normal")</f>
        <v/>
      </c>
      <c r="Y100" s="17">
        <f>IF(NOT(P100="Cancelled"),"Fulfilled","Cancelled")</f>
        <v/>
      </c>
      <c r="Z100" s="17">
        <f>IFERROR(Q100,0)</f>
        <v/>
      </c>
    </row>
    <row r="101">
      <c r="A101" s="25" t="inlineStr">
        <is>
          <t>ORD1100</t>
        </is>
      </c>
      <c r="B101" s="25" t="inlineStr">
        <is>
          <t>2025-10-31</t>
        </is>
      </c>
      <c r="C101" s="25" t="inlineStr">
        <is>
          <t>20:37:09</t>
        </is>
      </c>
      <c r="D101" s="25" t="n">
        <v>1024</v>
      </c>
      <c r="E101" s="25" t="n">
        <v>113</v>
      </c>
      <c r="F101" s="25" t="n">
        <v>229</v>
      </c>
      <c r="G101" s="25" t="inlineStr">
        <is>
          <t>Mumbai</t>
        </is>
      </c>
      <c r="H101" s="25" t="inlineStr">
        <is>
          <t>Fast Food</t>
        </is>
      </c>
      <c r="I101" s="26" t="n">
        <v>395</v>
      </c>
      <c r="J101" s="26" t="n">
        <v>22.77</v>
      </c>
      <c r="K101" s="26" t="n">
        <v>56.5</v>
      </c>
      <c r="L101" s="27" t="n">
        <v>0.18</v>
      </c>
      <c r="M101" s="26" t="n">
        <v>85.22</v>
      </c>
      <c r="N101" s="28" t="n">
        <v>9.300000000000001</v>
      </c>
      <c r="O101" s="28" t="n">
        <v>58</v>
      </c>
      <c r="P101" s="25" t="inlineStr">
        <is>
          <t>Digital Wallet</t>
        </is>
      </c>
      <c r="Q101" s="25" t="inlineStr">
        <is>
          <t>Delivered</t>
        </is>
      </c>
      <c r="R101" s="25" t="n">
        <v>3</v>
      </c>
      <c r="S101" s="25">
        <f>TEXT(B101,"yyyy-mm")</f>
        <v/>
      </c>
      <c r="T101" s="25">
        <f>VLOOKUP(D101,Customers!A:D,4,FALSE)</f>
        <v/>
      </c>
      <c r="U101" s="25">
        <f>CONCATENATE(A101,"-",G101)</f>
        <v/>
      </c>
      <c r="V101" s="25">
        <f>IF(N101="","",IF(N101&lt;=30,"Fast (&lt;30m)",IF(N101&lt;=45,"Moderate (30-45m)","Delayed (&gt;45m)")))</f>
        <v/>
      </c>
      <c r="W101" s="25">
        <f>IF(AND(I101&gt;600,P101="Delivered"),"High Value Delivered","Standard")</f>
        <v/>
      </c>
      <c r="X101" s="25">
        <f>IF(OR(N101&gt;50,Q101&lt;=2),"High Risk / Delayed","Normal")</f>
        <v/>
      </c>
      <c r="Y101" s="25">
        <f>IF(NOT(P101="Cancelled"),"Fulfilled","Cancelled")</f>
        <v/>
      </c>
      <c r="Z101" s="25">
        <f>IFERROR(Q101,0)</f>
        <v/>
      </c>
    </row>
    <row r="102">
      <c r="A102" s="17" t="inlineStr">
        <is>
          <t>ORD1101</t>
        </is>
      </c>
      <c r="B102" s="17" t="inlineStr">
        <is>
          <t>2025-02-11</t>
        </is>
      </c>
      <c r="C102" s="17" t="inlineStr">
        <is>
          <t>19:02:41</t>
        </is>
      </c>
      <c r="D102" s="17" t="n">
        <v>1039</v>
      </c>
      <c r="E102" s="17" t="n">
        <v>111</v>
      </c>
      <c r="F102" s="17" t="n">
        <v>227</v>
      </c>
      <c r="G102" s="17" t="inlineStr">
        <is>
          <t>Bangalore</t>
        </is>
      </c>
      <c r="H102" s="17" t="inlineStr">
        <is>
          <t>South Indian</t>
        </is>
      </c>
      <c r="I102" s="22" t="n">
        <v>810</v>
      </c>
      <c r="J102" s="22" t="n">
        <v>55.51</v>
      </c>
      <c r="K102" s="22" t="n">
        <v>40</v>
      </c>
      <c r="L102" s="23" t="n">
        <v>0.15</v>
      </c>
      <c r="M102" s="22" t="n">
        <v>131.5</v>
      </c>
      <c r="N102" s="24" t="n">
        <v>6</v>
      </c>
      <c r="O102" s="24" t="n">
        <v>42.9</v>
      </c>
      <c r="P102" s="17" t="inlineStr">
        <is>
          <t>Digital Wallet</t>
        </is>
      </c>
      <c r="Q102" s="17" t="inlineStr">
        <is>
          <t>Delivered</t>
        </is>
      </c>
      <c r="R102" s="17" t="n">
        <v>2</v>
      </c>
      <c r="S102" s="17">
        <f>TEXT(B102,"yyyy-mm")</f>
        <v/>
      </c>
      <c r="T102" s="17">
        <f>VLOOKUP(D102,Customers!A:D,4,FALSE)</f>
        <v/>
      </c>
      <c r="U102" s="17">
        <f>CONCATENATE(A102,"-",G102)</f>
        <v/>
      </c>
      <c r="V102" s="17">
        <f>IF(N102="","",IF(N102&lt;=30,"Fast (&lt;30m)",IF(N102&lt;=45,"Moderate (30-45m)","Delayed (&gt;45m)")))</f>
        <v/>
      </c>
      <c r="W102" s="17">
        <f>IF(AND(I102&gt;600,P102="Delivered"),"High Value Delivered","Standard")</f>
        <v/>
      </c>
      <c r="X102" s="17">
        <f>IF(OR(N102&gt;50,Q102&lt;=2),"High Risk / Delayed","Normal")</f>
        <v/>
      </c>
      <c r="Y102" s="17">
        <f>IF(NOT(P102="Cancelled"),"Fulfilled","Cancelled")</f>
        <v/>
      </c>
      <c r="Z102" s="17">
        <f>IFERROR(Q102,0)</f>
        <v/>
      </c>
    </row>
    <row r="103">
      <c r="A103" s="25" t="inlineStr">
        <is>
          <t>ORD1102</t>
        </is>
      </c>
      <c r="B103" s="25" t="inlineStr">
        <is>
          <t>2025-11-18</t>
        </is>
      </c>
      <c r="C103" s="25" t="inlineStr">
        <is>
          <t>22:34:18</t>
        </is>
      </c>
      <c r="D103" s="25" t="n">
        <v>1262</v>
      </c>
      <c r="E103" s="25" t="n">
        <v>118</v>
      </c>
      <c r="F103" s="25" t="n">
        <v>219</v>
      </c>
      <c r="G103" s="25" t="inlineStr">
        <is>
          <t>Delhi NCR</t>
        </is>
      </c>
      <c r="H103" s="25" t="inlineStr">
        <is>
          <t>North Indian</t>
        </is>
      </c>
      <c r="I103" s="26" t="n">
        <v>1221</v>
      </c>
      <c r="J103" s="26" t="n">
        <v>158.99</v>
      </c>
      <c r="K103" s="26" t="n">
        <v>0</v>
      </c>
      <c r="L103" s="27" t="n">
        <v>0.2</v>
      </c>
      <c r="M103" s="26" t="n">
        <v>244.2</v>
      </c>
      <c r="N103" s="28" t="n">
        <v>15.3</v>
      </c>
      <c r="O103" s="28" t="n">
        <v>62.4</v>
      </c>
      <c r="P103" s="25" t="inlineStr">
        <is>
          <t>Cash on Delivery</t>
        </is>
      </c>
      <c r="Q103" s="25" t="inlineStr">
        <is>
          <t>Delivered</t>
        </is>
      </c>
      <c r="R103" s="25" t="n">
        <v>2</v>
      </c>
      <c r="S103" s="25">
        <f>TEXT(B103,"yyyy-mm")</f>
        <v/>
      </c>
      <c r="T103" s="25">
        <f>VLOOKUP(D103,Customers!A:D,4,FALSE)</f>
        <v/>
      </c>
      <c r="U103" s="25">
        <f>CONCATENATE(A103,"-",G103)</f>
        <v/>
      </c>
      <c r="V103" s="25">
        <f>IF(N103="","",IF(N103&lt;=30,"Fast (&lt;30m)",IF(N103&lt;=45,"Moderate (30-45m)","Delayed (&gt;45m)")))</f>
        <v/>
      </c>
      <c r="W103" s="25">
        <f>IF(AND(I103&gt;600,P103="Delivered"),"High Value Delivered","Standard")</f>
        <v/>
      </c>
      <c r="X103" s="25">
        <f>IF(OR(N103&gt;50,Q103&lt;=2),"High Risk / Delayed","Normal")</f>
        <v/>
      </c>
      <c r="Y103" s="25">
        <f>IF(NOT(P103="Cancelled"),"Fulfilled","Cancelled")</f>
        <v/>
      </c>
      <c r="Z103" s="25">
        <f>IFERROR(Q103,0)</f>
        <v/>
      </c>
    </row>
    <row r="104">
      <c r="A104" s="17" t="inlineStr">
        <is>
          <t>ORD1103</t>
        </is>
      </c>
      <c r="B104" s="17" t="inlineStr">
        <is>
          <t>2025-12-19</t>
        </is>
      </c>
      <c r="C104" s="17" t="inlineStr">
        <is>
          <t>06:03:10</t>
        </is>
      </c>
      <c r="D104" s="17" t="n">
        <v>1098</v>
      </c>
      <c r="E104" s="17" t="n">
        <v>108</v>
      </c>
      <c r="F104" s="17" t="n">
        <v>211</v>
      </c>
      <c r="G104" s="17" t="inlineStr">
        <is>
          <t>Delhi NCR</t>
        </is>
      </c>
      <c r="H104" s="17" t="inlineStr">
        <is>
          <t>Fast Food</t>
        </is>
      </c>
      <c r="I104" s="22" t="n">
        <v>670</v>
      </c>
      <c r="J104" s="22" t="n">
        <v>0</v>
      </c>
      <c r="K104" s="22" t="n">
        <v>25</v>
      </c>
      <c r="L104" s="23" t="n">
        <v>0.18</v>
      </c>
      <c r="M104" s="22" t="n">
        <v>126.85</v>
      </c>
      <c r="N104" s="24" t="n">
        <v>2.7</v>
      </c>
      <c r="O104" s="24" t="n">
        <v>24.5</v>
      </c>
      <c r="P104" s="17" t="inlineStr">
        <is>
          <t>Debit Card</t>
        </is>
      </c>
      <c r="Q104" s="17" t="inlineStr">
        <is>
          <t>Delivered</t>
        </is>
      </c>
      <c r="R104" s="17" t="n">
        <v>5</v>
      </c>
      <c r="S104" s="17">
        <f>TEXT(B104,"yyyy-mm")</f>
        <v/>
      </c>
      <c r="T104" s="17">
        <f>VLOOKUP(D104,Customers!A:D,4,FALSE)</f>
        <v/>
      </c>
      <c r="U104" s="17">
        <f>CONCATENATE(A104,"-",G104)</f>
        <v/>
      </c>
      <c r="V104" s="17">
        <f>IF(N104="","",IF(N104&lt;=30,"Fast (&lt;30m)",IF(N104&lt;=45,"Moderate (30-45m)","Delayed (&gt;45m)")))</f>
        <v/>
      </c>
      <c r="W104" s="17">
        <f>IF(AND(I104&gt;600,P104="Delivered"),"High Value Delivered","Standard")</f>
        <v/>
      </c>
      <c r="X104" s="17">
        <f>IF(OR(N104&gt;50,Q104&lt;=2),"High Risk / Delayed","Normal")</f>
        <v/>
      </c>
      <c r="Y104" s="17">
        <f>IF(NOT(P104="Cancelled"),"Fulfilled","Cancelled")</f>
        <v/>
      </c>
      <c r="Z104" s="17">
        <f>IFERROR(Q104,0)</f>
        <v/>
      </c>
    </row>
    <row r="105">
      <c r="A105" s="25" t="inlineStr">
        <is>
          <t>ORD1104</t>
        </is>
      </c>
      <c r="B105" s="25" t="inlineStr">
        <is>
          <t>2025-06-26</t>
        </is>
      </c>
      <c r="C105" s="25" t="inlineStr">
        <is>
          <t>20:25:08</t>
        </is>
      </c>
      <c r="D105" s="25" t="n">
        <v>1171</v>
      </c>
      <c r="E105" s="25" t="n">
        <v>102</v>
      </c>
      <c r="F105" s="25" t="n">
        <v>215</v>
      </c>
      <c r="G105" s="25" t="inlineStr">
        <is>
          <t>Hyderabad</t>
        </is>
      </c>
      <c r="H105" s="25" t="inlineStr">
        <is>
          <t>Biryani</t>
        </is>
      </c>
      <c r="I105" s="26" t="n">
        <v>599</v>
      </c>
      <c r="J105" s="26" t="n">
        <v>51.54</v>
      </c>
      <c r="K105" s="26" t="n">
        <v>34</v>
      </c>
      <c r="L105" s="27" t="n">
        <v>0.22</v>
      </c>
      <c r="M105" s="26" t="n">
        <v>140.28</v>
      </c>
      <c r="N105" s="28" t="n">
        <v>4.8</v>
      </c>
      <c r="O105" s="28" t="n">
        <v>32.9</v>
      </c>
      <c r="P105" s="25" t="inlineStr">
        <is>
          <t>Credit Card</t>
        </is>
      </c>
      <c r="Q105" s="25" t="inlineStr">
        <is>
          <t>Delivered</t>
        </is>
      </c>
      <c r="R105" s="25" t="n">
        <v>5</v>
      </c>
      <c r="S105" s="25">
        <f>TEXT(B105,"yyyy-mm")</f>
        <v/>
      </c>
      <c r="T105" s="25">
        <f>VLOOKUP(D105,Customers!A:D,4,FALSE)</f>
        <v/>
      </c>
      <c r="U105" s="25">
        <f>CONCATENATE(A105,"-",G105)</f>
        <v/>
      </c>
      <c r="V105" s="25">
        <f>IF(N105="","",IF(N105&lt;=30,"Fast (&lt;30m)",IF(N105&lt;=45,"Moderate (30-45m)","Delayed (&gt;45m)")))</f>
        <v/>
      </c>
      <c r="W105" s="25">
        <f>IF(AND(I105&gt;600,P105="Delivered"),"High Value Delivered","Standard")</f>
        <v/>
      </c>
      <c r="X105" s="25">
        <f>IF(OR(N105&gt;50,Q105&lt;=2),"High Risk / Delayed","Normal")</f>
        <v/>
      </c>
      <c r="Y105" s="25">
        <f>IF(NOT(P105="Cancelled"),"Fulfilled","Cancelled")</f>
        <v/>
      </c>
      <c r="Z105" s="25">
        <f>IFERROR(Q105,0)</f>
        <v/>
      </c>
    </row>
    <row r="106">
      <c r="A106" s="17" t="inlineStr">
        <is>
          <t>ORD1105</t>
        </is>
      </c>
      <c r="B106" s="17" t="inlineStr">
        <is>
          <t>2025-08-19</t>
        </is>
      </c>
      <c r="C106" s="17" t="inlineStr">
        <is>
          <t>13:15:09</t>
        </is>
      </c>
      <c r="D106" s="17" t="n">
        <v>1079</v>
      </c>
      <c r="E106" s="17" t="n">
        <v>105</v>
      </c>
      <c r="F106" s="17" t="n">
        <v>223</v>
      </c>
      <c r="G106" s="17" t="inlineStr">
        <is>
          <t>Bangalore</t>
        </is>
      </c>
      <c r="H106" s="17" t="inlineStr">
        <is>
          <t>Chinese</t>
        </is>
      </c>
      <c r="I106" s="22" t="n">
        <v>319</v>
      </c>
      <c r="J106" s="22" t="n">
        <v>0</v>
      </c>
      <c r="K106" s="22" t="n">
        <v>37.5</v>
      </c>
      <c r="L106" s="23" t="n">
        <v>0.2</v>
      </c>
      <c r="M106" s="22" t="n">
        <v>73.18000000000001</v>
      </c>
      <c r="N106" s="24" t="n">
        <v>5.5</v>
      </c>
      <c r="O106" s="24" t="n">
        <v>46.8</v>
      </c>
      <c r="P106" s="17" t="inlineStr">
        <is>
          <t>Digital Wallet</t>
        </is>
      </c>
      <c r="Q106" s="17" t="inlineStr">
        <is>
          <t>Delivered</t>
        </is>
      </c>
      <c r="R106" s="17" t="n">
        <v>2</v>
      </c>
      <c r="S106" s="17">
        <f>TEXT(B106,"yyyy-mm")</f>
        <v/>
      </c>
      <c r="T106" s="17">
        <f>VLOOKUP(D106,Customers!A:D,4,FALSE)</f>
        <v/>
      </c>
      <c r="U106" s="17">
        <f>CONCATENATE(A106,"-",G106)</f>
        <v/>
      </c>
      <c r="V106" s="17">
        <f>IF(N106="","",IF(N106&lt;=30,"Fast (&lt;30m)",IF(N106&lt;=45,"Moderate (30-45m)","Delayed (&gt;45m)")))</f>
        <v/>
      </c>
      <c r="W106" s="17">
        <f>IF(AND(I106&gt;600,P106="Delivered"),"High Value Delivered","Standard")</f>
        <v/>
      </c>
      <c r="X106" s="17">
        <f>IF(OR(N106&gt;50,Q106&lt;=2),"High Risk / Delayed","Normal")</f>
        <v/>
      </c>
      <c r="Y106" s="17">
        <f>IF(NOT(P106="Cancelled"),"Fulfilled","Cancelled")</f>
        <v/>
      </c>
      <c r="Z106" s="17">
        <f>IFERROR(Q106,0)</f>
        <v/>
      </c>
    </row>
    <row r="107">
      <c r="A107" s="25" t="inlineStr">
        <is>
          <t>ORD1106</t>
        </is>
      </c>
      <c r="B107" s="25" t="inlineStr">
        <is>
          <t>2025-06-17</t>
        </is>
      </c>
      <c r="C107" s="25" t="inlineStr">
        <is>
          <t>14:59:36</t>
        </is>
      </c>
      <c r="D107" s="25" t="n">
        <v>1271</v>
      </c>
      <c r="E107" s="25" t="n">
        <v>108</v>
      </c>
      <c r="F107" s="25" t="n">
        <v>219</v>
      </c>
      <c r="G107" s="25" t="inlineStr">
        <is>
          <t>Delhi NCR</t>
        </is>
      </c>
      <c r="H107" s="25" t="inlineStr">
        <is>
          <t>Fast Food</t>
        </is>
      </c>
      <c r="I107" s="26" t="n">
        <v>540</v>
      </c>
      <c r="J107" s="26" t="n">
        <v>34.18</v>
      </c>
      <c r="K107" s="26" t="n">
        <v>26</v>
      </c>
      <c r="L107" s="27" t="n">
        <v>0.18</v>
      </c>
      <c r="M107" s="26" t="n">
        <v>103.7</v>
      </c>
      <c r="N107" s="28" t="n">
        <v>3.2</v>
      </c>
      <c r="O107" s="28" t="n">
        <v>31.6</v>
      </c>
      <c r="P107" s="25" t="inlineStr">
        <is>
          <t>Digital Wallet</t>
        </is>
      </c>
      <c r="Q107" s="25" t="inlineStr">
        <is>
          <t>Delivered</t>
        </is>
      </c>
      <c r="R107" s="25" t="n">
        <v>4</v>
      </c>
      <c r="S107" s="25">
        <f>TEXT(B107,"yyyy-mm")</f>
        <v/>
      </c>
      <c r="T107" s="25">
        <f>VLOOKUP(D107,Customers!A:D,4,FALSE)</f>
        <v/>
      </c>
      <c r="U107" s="25">
        <f>CONCATENATE(A107,"-",G107)</f>
        <v/>
      </c>
      <c r="V107" s="25">
        <f>IF(N107="","",IF(N107&lt;=30,"Fast (&lt;30m)",IF(N107&lt;=45,"Moderate (30-45m)","Delayed (&gt;45m)")))</f>
        <v/>
      </c>
      <c r="W107" s="25">
        <f>IF(AND(I107&gt;600,P107="Delivered"),"High Value Delivered","Standard")</f>
        <v/>
      </c>
      <c r="X107" s="25">
        <f>IF(OR(N107&gt;50,Q107&lt;=2),"High Risk / Delayed","Normal")</f>
        <v/>
      </c>
      <c r="Y107" s="25">
        <f>IF(NOT(P107="Cancelled"),"Fulfilled","Cancelled")</f>
        <v/>
      </c>
      <c r="Z107" s="25">
        <f>IFERROR(Q107,0)</f>
        <v/>
      </c>
    </row>
    <row r="108">
      <c r="A108" s="17" t="inlineStr">
        <is>
          <t>ORD1107</t>
        </is>
      </c>
      <c r="B108" s="17" t="inlineStr">
        <is>
          <t>2025-09-12</t>
        </is>
      </c>
      <c r="C108" s="17" t="inlineStr">
        <is>
          <t>12:01:05</t>
        </is>
      </c>
      <c r="D108" s="17" t="n">
        <v>1189</v>
      </c>
      <c r="E108" s="17" t="n">
        <v>109</v>
      </c>
      <c r="F108" s="17" t="n">
        <v>225</v>
      </c>
      <c r="G108" s="17" t="inlineStr">
        <is>
          <t>Hyderabad</t>
        </is>
      </c>
      <c r="H108" s="17" t="inlineStr">
        <is>
          <t>Biryani</t>
        </is>
      </c>
      <c r="I108" s="22" t="n">
        <v>622</v>
      </c>
      <c r="J108" s="22" t="n">
        <v>48.1</v>
      </c>
      <c r="K108" s="22" t="n">
        <v>25</v>
      </c>
      <c r="L108" s="23" t="n">
        <v>0.2</v>
      </c>
      <c r="M108" s="22" t="n">
        <v>130.65</v>
      </c>
      <c r="N108" s="24" t="n">
        <v>2.9</v>
      </c>
      <c r="O108" s="24" t="n">
        <v>28.4</v>
      </c>
      <c r="P108" s="17" t="inlineStr">
        <is>
          <t>Debit Card</t>
        </is>
      </c>
      <c r="Q108" s="17" t="inlineStr">
        <is>
          <t>Delivered</t>
        </is>
      </c>
      <c r="R108" s="17" t="n">
        <v>2</v>
      </c>
      <c r="S108" s="17">
        <f>TEXT(B108,"yyyy-mm")</f>
        <v/>
      </c>
      <c r="T108" s="17">
        <f>VLOOKUP(D108,Customers!A:D,4,FALSE)</f>
        <v/>
      </c>
      <c r="U108" s="17">
        <f>CONCATENATE(A108,"-",G108)</f>
        <v/>
      </c>
      <c r="V108" s="17">
        <f>IF(N108="","",IF(N108&lt;=30,"Fast (&lt;30m)",IF(N108&lt;=45,"Moderate (30-45m)","Delayed (&gt;45m)")))</f>
        <v/>
      </c>
      <c r="W108" s="17">
        <f>IF(AND(I108&gt;600,P108="Delivered"),"High Value Delivered","Standard")</f>
        <v/>
      </c>
      <c r="X108" s="17">
        <f>IF(OR(N108&gt;50,Q108&lt;=2),"High Risk / Delayed","Normal")</f>
        <v/>
      </c>
      <c r="Y108" s="17">
        <f>IF(NOT(P108="Cancelled"),"Fulfilled","Cancelled")</f>
        <v/>
      </c>
      <c r="Z108" s="17">
        <f>IFERROR(Q108,0)</f>
        <v/>
      </c>
    </row>
    <row r="109">
      <c r="A109" s="25" t="inlineStr">
        <is>
          <t>ORD1108</t>
        </is>
      </c>
      <c r="B109" s="25" t="inlineStr">
        <is>
          <t>2025-05-25</t>
        </is>
      </c>
      <c r="C109" s="25" t="inlineStr">
        <is>
          <t>19:31:38</t>
        </is>
      </c>
      <c r="D109" s="25" t="n">
        <v>1095</v>
      </c>
      <c r="E109" s="25" t="n">
        <v>112</v>
      </c>
      <c r="F109" s="25" t="n">
        <v>221</v>
      </c>
      <c r="G109" s="25" t="inlineStr">
        <is>
          <t>Delhi NCR</t>
        </is>
      </c>
      <c r="H109" s="25" t="inlineStr">
        <is>
          <t>North Indian</t>
        </is>
      </c>
      <c r="I109" s="26" t="n">
        <v>889</v>
      </c>
      <c r="J109" s="26" t="n">
        <v>86.3</v>
      </c>
      <c r="K109" s="26" t="n">
        <v>27.5</v>
      </c>
      <c r="L109" s="27" t="n">
        <v>0.22</v>
      </c>
      <c r="M109" s="26" t="n">
        <v>202.46</v>
      </c>
      <c r="N109" s="28" t="n">
        <v>3.5</v>
      </c>
      <c r="O109" s="28" t="n">
        <v>35.9</v>
      </c>
      <c r="P109" s="25" t="inlineStr">
        <is>
          <t>UPI</t>
        </is>
      </c>
      <c r="Q109" s="25" t="inlineStr">
        <is>
          <t>Delivered</t>
        </is>
      </c>
      <c r="R109" s="25" t="n">
        <v>5</v>
      </c>
      <c r="S109" s="25">
        <f>TEXT(B109,"yyyy-mm")</f>
        <v/>
      </c>
      <c r="T109" s="25">
        <f>VLOOKUP(D109,Customers!A:D,4,FALSE)</f>
        <v/>
      </c>
      <c r="U109" s="25">
        <f>CONCATENATE(A109,"-",G109)</f>
        <v/>
      </c>
      <c r="V109" s="25">
        <f>IF(N109="","",IF(N109&lt;=30,"Fast (&lt;30m)",IF(N109&lt;=45,"Moderate (30-45m)","Delayed (&gt;45m)")))</f>
        <v/>
      </c>
      <c r="W109" s="25">
        <f>IF(AND(I109&gt;600,P109="Delivered"),"High Value Delivered","Standard")</f>
        <v/>
      </c>
      <c r="X109" s="25">
        <f>IF(OR(N109&gt;50,Q109&lt;=2),"High Risk / Delayed","Normal")</f>
        <v/>
      </c>
      <c r="Y109" s="25">
        <f>IF(NOT(P109="Cancelled"),"Fulfilled","Cancelled")</f>
        <v/>
      </c>
      <c r="Z109" s="25">
        <f>IFERROR(Q109,0)</f>
        <v/>
      </c>
    </row>
    <row r="110">
      <c r="A110" s="17" t="inlineStr">
        <is>
          <t>ORD1109</t>
        </is>
      </c>
      <c r="B110" s="17" t="inlineStr">
        <is>
          <t>2025-03-10</t>
        </is>
      </c>
      <c r="C110" s="17" t="inlineStr">
        <is>
          <t>17:56:16</t>
        </is>
      </c>
      <c r="D110" s="17" t="n">
        <v>1248</v>
      </c>
      <c r="E110" s="17" t="n">
        <v>104</v>
      </c>
      <c r="F110" s="17" t="n">
        <v>212</v>
      </c>
      <c r="G110" s="17" t="inlineStr">
        <is>
          <t>Delhi NCR</t>
        </is>
      </c>
      <c r="H110" s="17" t="inlineStr">
        <is>
          <t>Fast Food</t>
        </is>
      </c>
      <c r="I110" s="22" t="n">
        <v>889</v>
      </c>
      <c r="J110" s="22" t="n">
        <v>124.75</v>
      </c>
      <c r="K110" s="22" t="n">
        <v>0</v>
      </c>
      <c r="L110" s="23" t="n">
        <v>0.18</v>
      </c>
      <c r="M110" s="22" t="n">
        <v>160.02</v>
      </c>
      <c r="N110" s="24" t="n">
        <v>3.9</v>
      </c>
      <c r="O110" s="24" t="n">
        <v>29.7</v>
      </c>
      <c r="P110" s="17" t="inlineStr">
        <is>
          <t>UPI</t>
        </is>
      </c>
      <c r="Q110" s="17" t="inlineStr">
        <is>
          <t>Delivered</t>
        </is>
      </c>
      <c r="R110" s="17" t="n">
        <v>3</v>
      </c>
      <c r="S110" s="17">
        <f>TEXT(B110,"yyyy-mm")</f>
        <v/>
      </c>
      <c r="T110" s="17">
        <f>VLOOKUP(D110,Customers!A:D,4,FALSE)</f>
        <v/>
      </c>
      <c r="U110" s="17">
        <f>CONCATENATE(A110,"-",G110)</f>
        <v/>
      </c>
      <c r="V110" s="17">
        <f>IF(N110="","",IF(N110&lt;=30,"Fast (&lt;30m)",IF(N110&lt;=45,"Moderate (30-45m)","Delayed (&gt;45m)")))</f>
        <v/>
      </c>
      <c r="W110" s="17">
        <f>IF(AND(I110&gt;600,P110="Delivered"),"High Value Delivered","Standard")</f>
        <v/>
      </c>
      <c r="X110" s="17">
        <f>IF(OR(N110&gt;50,Q110&lt;=2),"High Risk / Delayed","Normal")</f>
        <v/>
      </c>
      <c r="Y110" s="17">
        <f>IF(NOT(P110="Cancelled"),"Fulfilled","Cancelled")</f>
        <v/>
      </c>
      <c r="Z110" s="17">
        <f>IFERROR(Q110,0)</f>
        <v/>
      </c>
    </row>
    <row r="111">
      <c r="A111" s="25" t="inlineStr">
        <is>
          <t>ORD1110</t>
        </is>
      </c>
      <c r="B111" s="25" t="inlineStr">
        <is>
          <t>2025-02-07</t>
        </is>
      </c>
      <c r="C111" s="25" t="inlineStr">
        <is>
          <t>20:24:32</t>
        </is>
      </c>
      <c r="D111" s="25" t="n">
        <v>1082</v>
      </c>
      <c r="E111" s="25" t="n">
        <v>110</v>
      </c>
      <c r="F111" s="25" t="n">
        <v>224</v>
      </c>
      <c r="G111" s="25" t="inlineStr">
        <is>
          <t>Pune</t>
        </is>
      </c>
      <c r="H111" s="25" t="inlineStr">
        <is>
          <t>North Indian</t>
        </is>
      </c>
      <c r="I111" s="26" t="n">
        <v>681</v>
      </c>
      <c r="J111" s="26" t="n">
        <v>70.48999999999999</v>
      </c>
      <c r="K111" s="26" t="n">
        <v>25</v>
      </c>
      <c r="L111" s="27" t="n">
        <v>0.18</v>
      </c>
      <c r="M111" s="26" t="n">
        <v>128.83</v>
      </c>
      <c r="N111" s="28" t="n">
        <v>2.9</v>
      </c>
      <c r="O111" s="28" t="n">
        <v>27.8</v>
      </c>
      <c r="P111" s="25" t="inlineStr">
        <is>
          <t>Digital Wallet</t>
        </is>
      </c>
      <c r="Q111" s="25" t="inlineStr">
        <is>
          <t>Delivered</t>
        </is>
      </c>
      <c r="R111" s="25" t="n">
        <v>5</v>
      </c>
      <c r="S111" s="25">
        <f>TEXT(B111,"yyyy-mm")</f>
        <v/>
      </c>
      <c r="T111" s="25">
        <f>VLOOKUP(D111,Customers!A:D,4,FALSE)</f>
        <v/>
      </c>
      <c r="U111" s="25">
        <f>CONCATENATE(A111,"-",G111)</f>
        <v/>
      </c>
      <c r="V111" s="25">
        <f>IF(N111="","",IF(N111&lt;=30,"Fast (&lt;30m)",IF(N111&lt;=45,"Moderate (30-45m)","Delayed (&gt;45m)")))</f>
        <v/>
      </c>
      <c r="W111" s="25">
        <f>IF(AND(I111&gt;600,P111="Delivered"),"High Value Delivered","Standard")</f>
        <v/>
      </c>
      <c r="X111" s="25">
        <f>IF(OR(N111&gt;50,Q111&lt;=2),"High Risk / Delayed","Normal")</f>
        <v/>
      </c>
      <c r="Y111" s="25">
        <f>IF(NOT(P111="Cancelled"),"Fulfilled","Cancelled")</f>
        <v/>
      </c>
      <c r="Z111" s="25">
        <f>IFERROR(Q111,0)</f>
        <v/>
      </c>
    </row>
    <row r="112">
      <c r="A112" s="17" t="inlineStr">
        <is>
          <t>ORD1111</t>
        </is>
      </c>
      <c r="B112" s="17" t="inlineStr">
        <is>
          <t>2025-07-21</t>
        </is>
      </c>
      <c r="C112" s="17" t="inlineStr">
        <is>
          <t>10:23:50</t>
        </is>
      </c>
      <c r="D112" s="17" t="n">
        <v>1184</v>
      </c>
      <c r="E112" s="17" t="n">
        <v>105</v>
      </c>
      <c r="F112" s="17" t="n">
        <v>201</v>
      </c>
      <c r="G112" s="17" t="inlineStr">
        <is>
          <t>Bangalore</t>
        </is>
      </c>
      <c r="H112" s="17" t="inlineStr">
        <is>
          <t>Chinese</t>
        </is>
      </c>
      <c r="I112" s="22" t="n">
        <v>809</v>
      </c>
      <c r="J112" s="22" t="n">
        <v>156.86</v>
      </c>
      <c r="K112" s="22" t="n">
        <v>0</v>
      </c>
      <c r="L112" s="23" t="n">
        <v>0.2</v>
      </c>
      <c r="M112" s="22" t="n">
        <v>161.8</v>
      </c>
      <c r="N112" s="24" t="n">
        <v>3.5</v>
      </c>
      <c r="O112" s="24" t="n">
        <v>31</v>
      </c>
      <c r="P112" s="17" t="inlineStr">
        <is>
          <t>Credit Card</t>
        </is>
      </c>
      <c r="Q112" s="17" t="inlineStr">
        <is>
          <t>Delivered</t>
        </is>
      </c>
      <c r="R112" s="17" t="n">
        <v>5</v>
      </c>
      <c r="S112" s="17">
        <f>TEXT(B112,"yyyy-mm")</f>
        <v/>
      </c>
      <c r="T112" s="17">
        <f>VLOOKUP(D112,Customers!A:D,4,FALSE)</f>
        <v/>
      </c>
      <c r="U112" s="17">
        <f>CONCATENATE(A112,"-",G112)</f>
        <v/>
      </c>
      <c r="V112" s="17">
        <f>IF(N112="","",IF(N112&lt;=30,"Fast (&lt;30m)",IF(N112&lt;=45,"Moderate (30-45m)","Delayed (&gt;45m)")))</f>
        <v/>
      </c>
      <c r="W112" s="17">
        <f>IF(AND(I112&gt;600,P112="Delivered"),"High Value Delivered","Standard")</f>
        <v/>
      </c>
      <c r="X112" s="17">
        <f>IF(OR(N112&gt;50,Q112&lt;=2),"High Risk / Delayed","Normal")</f>
        <v/>
      </c>
      <c r="Y112" s="17">
        <f>IF(NOT(P112="Cancelled"),"Fulfilled","Cancelled")</f>
        <v/>
      </c>
      <c r="Z112" s="17">
        <f>IFERROR(Q112,0)</f>
        <v/>
      </c>
    </row>
    <row r="113">
      <c r="A113" s="25" t="inlineStr">
        <is>
          <t>ORD1112</t>
        </is>
      </c>
      <c r="B113" s="25" t="inlineStr">
        <is>
          <t>2025-01-20</t>
        </is>
      </c>
      <c r="C113" s="25" t="inlineStr">
        <is>
          <t>18:08:45</t>
        </is>
      </c>
      <c r="D113" s="25" t="n">
        <v>1136</v>
      </c>
      <c r="E113" s="25" t="n">
        <v>102</v>
      </c>
      <c r="F113" s="25" t="n">
        <v>215</v>
      </c>
      <c r="G113" s="25" t="inlineStr">
        <is>
          <t>Hyderabad</t>
        </is>
      </c>
      <c r="H113" s="25" t="inlineStr">
        <is>
          <t>Biryani</t>
        </is>
      </c>
      <c r="I113" s="26" t="n">
        <v>561</v>
      </c>
      <c r="J113" s="26" t="n">
        <v>23.31</v>
      </c>
      <c r="K113" s="26" t="n">
        <v>27.5</v>
      </c>
      <c r="L113" s="27" t="n">
        <v>0.22</v>
      </c>
      <c r="M113" s="26" t="n">
        <v>130.3</v>
      </c>
      <c r="N113" s="28" t="n">
        <v>3.5</v>
      </c>
      <c r="O113" s="28" t="n">
        <v>26.3</v>
      </c>
      <c r="P113" s="25" t="inlineStr">
        <is>
          <t>Digital Wallet</t>
        </is>
      </c>
      <c r="Q113" s="25" t="inlineStr">
        <is>
          <t>Delivered</t>
        </is>
      </c>
      <c r="R113" s="25" t="n">
        <v>5</v>
      </c>
      <c r="S113" s="25">
        <f>TEXT(B113,"yyyy-mm")</f>
        <v/>
      </c>
      <c r="T113" s="25">
        <f>VLOOKUP(D113,Customers!A:D,4,FALSE)</f>
        <v/>
      </c>
      <c r="U113" s="25">
        <f>CONCATENATE(A113,"-",G113)</f>
        <v/>
      </c>
      <c r="V113" s="25">
        <f>IF(N113="","",IF(N113&lt;=30,"Fast (&lt;30m)",IF(N113&lt;=45,"Moderate (30-45m)","Delayed (&gt;45m)")))</f>
        <v/>
      </c>
      <c r="W113" s="25">
        <f>IF(AND(I113&gt;600,P113="Delivered"),"High Value Delivered","Standard")</f>
        <v/>
      </c>
      <c r="X113" s="25">
        <f>IF(OR(N113&gt;50,Q113&lt;=2),"High Risk / Delayed","Normal")</f>
        <v/>
      </c>
      <c r="Y113" s="25">
        <f>IF(NOT(P113="Cancelled"),"Fulfilled","Cancelled")</f>
        <v/>
      </c>
      <c r="Z113" s="25">
        <f>IFERROR(Q113,0)</f>
        <v/>
      </c>
    </row>
    <row r="114">
      <c r="A114" s="17" t="inlineStr">
        <is>
          <t>ORD1113</t>
        </is>
      </c>
      <c r="B114" s="17" t="inlineStr">
        <is>
          <t>2025-11-10</t>
        </is>
      </c>
      <c r="C114" s="17" t="inlineStr">
        <is>
          <t>17:20:10</t>
        </is>
      </c>
      <c r="D114" s="17" t="n">
        <v>1003</v>
      </c>
      <c r="E114" s="17" t="n">
        <v>120</v>
      </c>
      <c r="F114" s="17" t="n">
        <v>217</v>
      </c>
      <c r="G114" s="17" t="inlineStr">
        <is>
          <t>Pune</t>
        </is>
      </c>
      <c r="H114" s="17" t="inlineStr">
        <is>
          <t>Fast Food</t>
        </is>
      </c>
      <c r="I114" s="22" t="n">
        <v>622</v>
      </c>
      <c r="J114" s="22" t="n">
        <v>74.23</v>
      </c>
      <c r="K114" s="22" t="n">
        <v>25</v>
      </c>
      <c r="L114" s="23" t="n">
        <v>0.18</v>
      </c>
      <c r="M114" s="22" t="n">
        <v>118.21</v>
      </c>
      <c r="N114" s="24" t="n">
        <v>1.5</v>
      </c>
      <c r="O114" s="24" t="n">
        <v>37.7</v>
      </c>
      <c r="P114" s="17" t="inlineStr">
        <is>
          <t>Debit Card</t>
        </is>
      </c>
      <c r="Q114" s="17" t="inlineStr">
        <is>
          <t>Delivered</t>
        </is>
      </c>
      <c r="R114" s="17" t="n">
        <v>5</v>
      </c>
      <c r="S114" s="17">
        <f>TEXT(B114,"yyyy-mm")</f>
        <v/>
      </c>
      <c r="T114" s="17">
        <f>VLOOKUP(D114,Customers!A:D,4,FALSE)</f>
        <v/>
      </c>
      <c r="U114" s="17">
        <f>CONCATENATE(A114,"-",G114)</f>
        <v/>
      </c>
      <c r="V114" s="17">
        <f>IF(N114="","",IF(N114&lt;=30,"Fast (&lt;30m)",IF(N114&lt;=45,"Moderate (30-45m)","Delayed (&gt;45m)")))</f>
        <v/>
      </c>
      <c r="W114" s="17">
        <f>IF(AND(I114&gt;600,P114="Delivered"),"High Value Delivered","Standard")</f>
        <v/>
      </c>
      <c r="X114" s="17">
        <f>IF(OR(N114&gt;50,Q114&lt;=2),"High Risk / Delayed","Normal")</f>
        <v/>
      </c>
      <c r="Y114" s="17">
        <f>IF(NOT(P114="Cancelled"),"Fulfilled","Cancelled")</f>
        <v/>
      </c>
      <c r="Z114" s="17">
        <f>IFERROR(Q114,0)</f>
        <v/>
      </c>
    </row>
    <row r="115">
      <c r="A115" s="25" t="inlineStr">
        <is>
          <t>ORD1114</t>
        </is>
      </c>
      <c r="B115" s="25" t="inlineStr">
        <is>
          <t>2025-09-01</t>
        </is>
      </c>
      <c r="C115" s="25" t="inlineStr">
        <is>
          <t>08:52:01</t>
        </is>
      </c>
      <c r="D115" s="25" t="n">
        <v>1252</v>
      </c>
      <c r="E115" s="25" t="n">
        <v>107</v>
      </c>
      <c r="F115" s="25" t="n">
        <v>206</v>
      </c>
      <c r="G115" s="25" t="inlineStr">
        <is>
          <t>Mumbai</t>
        </is>
      </c>
      <c r="H115" s="25" t="inlineStr">
        <is>
          <t>Desserts</t>
        </is>
      </c>
      <c r="I115" s="26" t="n">
        <v>597</v>
      </c>
      <c r="J115" s="26" t="n">
        <v>0</v>
      </c>
      <c r="K115" s="26" t="n">
        <v>25</v>
      </c>
      <c r="L115" s="27" t="n">
        <v>0.25</v>
      </c>
      <c r="M115" s="26" t="n">
        <v>155.5</v>
      </c>
      <c r="N115" s="28" t="n">
        <v>1.9</v>
      </c>
      <c r="O115" s="28" t="n">
        <v>24.7</v>
      </c>
      <c r="P115" s="25" t="inlineStr">
        <is>
          <t>Cash on Delivery</t>
        </is>
      </c>
      <c r="Q115" s="25" t="inlineStr">
        <is>
          <t>Delivered</t>
        </is>
      </c>
      <c r="R115" s="25" t="n">
        <v>4</v>
      </c>
      <c r="S115" s="25">
        <f>TEXT(B115,"yyyy-mm")</f>
        <v/>
      </c>
      <c r="T115" s="25">
        <f>VLOOKUP(D115,Customers!A:D,4,FALSE)</f>
        <v/>
      </c>
      <c r="U115" s="25">
        <f>CONCATENATE(A115,"-",G115)</f>
        <v/>
      </c>
      <c r="V115" s="25">
        <f>IF(N115="","",IF(N115&lt;=30,"Fast (&lt;30m)",IF(N115&lt;=45,"Moderate (30-45m)","Delayed (&gt;45m)")))</f>
        <v/>
      </c>
      <c r="W115" s="25">
        <f>IF(AND(I115&gt;600,P115="Delivered"),"High Value Delivered","Standard")</f>
        <v/>
      </c>
      <c r="X115" s="25">
        <f>IF(OR(N115&gt;50,Q115&lt;=2),"High Risk / Delayed","Normal")</f>
        <v/>
      </c>
      <c r="Y115" s="25">
        <f>IF(NOT(P115="Cancelled"),"Fulfilled","Cancelled")</f>
        <v/>
      </c>
      <c r="Z115" s="25">
        <f>IFERROR(Q115,0)</f>
        <v/>
      </c>
    </row>
    <row r="116">
      <c r="A116" s="17" t="inlineStr">
        <is>
          <t>ORD1115</t>
        </is>
      </c>
      <c r="B116" s="17" t="inlineStr">
        <is>
          <t>2025-05-16</t>
        </is>
      </c>
      <c r="C116" s="17" t="inlineStr">
        <is>
          <t>10:41:50</t>
        </is>
      </c>
      <c r="D116" s="17" t="n">
        <v>1061</v>
      </c>
      <c r="E116" s="17" t="n">
        <v>110</v>
      </c>
      <c r="F116" s="17" t="n">
        <v>204</v>
      </c>
      <c r="G116" s="17" t="inlineStr">
        <is>
          <t>Pune</t>
        </is>
      </c>
      <c r="H116" s="17" t="inlineStr">
        <is>
          <t>North Indian</t>
        </is>
      </c>
      <c r="I116" s="22" t="n">
        <v>812</v>
      </c>
      <c r="J116" s="22" t="n">
        <v>46.86</v>
      </c>
      <c r="K116" s="22" t="n">
        <v>27.5</v>
      </c>
      <c r="L116" s="23" t="n">
        <v>0.18</v>
      </c>
      <c r="M116" s="22" t="n">
        <v>153.04</v>
      </c>
      <c r="N116" s="24" t="n">
        <v>3.5</v>
      </c>
      <c r="O116" s="24" t="n">
        <v>32.9</v>
      </c>
      <c r="P116" s="17" t="inlineStr">
        <is>
          <t>Credit Card</t>
        </is>
      </c>
      <c r="Q116" s="17" t="inlineStr">
        <is>
          <t>Delivered</t>
        </is>
      </c>
      <c r="R116" s="17" t="n">
        <v>4</v>
      </c>
      <c r="S116" s="17">
        <f>TEXT(B116,"yyyy-mm")</f>
        <v/>
      </c>
      <c r="T116" s="17">
        <f>VLOOKUP(D116,Customers!A:D,4,FALSE)</f>
        <v/>
      </c>
      <c r="U116" s="17">
        <f>CONCATENATE(A116,"-",G116)</f>
        <v/>
      </c>
      <c r="V116" s="17">
        <f>IF(N116="","",IF(N116&lt;=30,"Fast (&lt;30m)",IF(N116&lt;=45,"Moderate (30-45m)","Delayed (&gt;45m)")))</f>
        <v/>
      </c>
      <c r="W116" s="17">
        <f>IF(AND(I116&gt;600,P116="Delivered"),"High Value Delivered","Standard")</f>
        <v/>
      </c>
      <c r="X116" s="17">
        <f>IF(OR(N116&gt;50,Q116&lt;=2),"High Risk / Delayed","Normal")</f>
        <v/>
      </c>
      <c r="Y116" s="17">
        <f>IF(NOT(P116="Cancelled"),"Fulfilled","Cancelled")</f>
        <v/>
      </c>
      <c r="Z116" s="17">
        <f>IFERROR(Q116,0)</f>
        <v/>
      </c>
    </row>
    <row r="117">
      <c r="A117" s="25" t="inlineStr">
        <is>
          <t>ORD1116</t>
        </is>
      </c>
      <c r="B117" s="25" t="inlineStr">
        <is>
          <t>2025-01-17</t>
        </is>
      </c>
      <c r="C117" s="25" t="inlineStr">
        <is>
          <t>12:36:44</t>
        </is>
      </c>
      <c r="D117" s="25" t="n">
        <v>1276</v>
      </c>
      <c r="E117" s="25" t="n">
        <v>101</v>
      </c>
      <c r="F117" s="25" t="n">
        <v>218</v>
      </c>
      <c r="G117" s="25" t="inlineStr">
        <is>
          <t>Bangalore</t>
        </is>
      </c>
      <c r="H117" s="25" t="inlineStr">
        <is>
          <t>North Indian</t>
        </is>
      </c>
      <c r="I117" s="26" t="n">
        <v>332</v>
      </c>
      <c r="J117" s="26" t="n">
        <v>0</v>
      </c>
      <c r="K117" s="26" t="n">
        <v>31</v>
      </c>
      <c r="L117" s="27" t="n">
        <v>0.2</v>
      </c>
      <c r="M117" s="26" t="n">
        <v>74.15000000000001</v>
      </c>
      <c r="N117" s="28" t="n">
        <v>4.2</v>
      </c>
      <c r="O117" s="28" t="n">
        <v>41.3</v>
      </c>
      <c r="P117" s="25" t="inlineStr">
        <is>
          <t>Cash on Delivery</t>
        </is>
      </c>
      <c r="Q117" s="25" t="inlineStr">
        <is>
          <t>Delivered</t>
        </is>
      </c>
      <c r="R117" s="25" t="n">
        <v>2</v>
      </c>
      <c r="S117" s="25">
        <f>TEXT(B117,"yyyy-mm")</f>
        <v/>
      </c>
      <c r="T117" s="25">
        <f>VLOOKUP(D117,Customers!A:D,4,FALSE)</f>
        <v/>
      </c>
      <c r="U117" s="25">
        <f>CONCATENATE(A117,"-",G117)</f>
        <v/>
      </c>
      <c r="V117" s="25">
        <f>IF(N117="","",IF(N117&lt;=30,"Fast (&lt;30m)",IF(N117&lt;=45,"Moderate (30-45m)","Delayed (&gt;45m)")))</f>
        <v/>
      </c>
      <c r="W117" s="25">
        <f>IF(AND(I117&gt;600,P117="Delivered"),"High Value Delivered","Standard")</f>
        <v/>
      </c>
      <c r="X117" s="25">
        <f>IF(OR(N117&gt;50,Q117&lt;=2),"High Risk / Delayed","Normal")</f>
        <v/>
      </c>
      <c r="Y117" s="25">
        <f>IF(NOT(P117="Cancelled"),"Fulfilled","Cancelled")</f>
        <v/>
      </c>
      <c r="Z117" s="25">
        <f>IFERROR(Q117,0)</f>
        <v/>
      </c>
    </row>
    <row r="118">
      <c r="A118" s="17" t="inlineStr">
        <is>
          <t>ORD1117</t>
        </is>
      </c>
      <c r="B118" s="17" t="inlineStr">
        <is>
          <t>2025-12-20</t>
        </is>
      </c>
      <c r="C118" s="17" t="inlineStr">
        <is>
          <t>18:13:26</t>
        </is>
      </c>
      <c r="D118" s="17" t="n">
        <v>1066</v>
      </c>
      <c r="E118" s="17" t="n">
        <v>106</v>
      </c>
      <c r="F118" s="17" t="n">
        <v>207</v>
      </c>
      <c r="G118" s="17" t="inlineStr">
        <is>
          <t>Pune</t>
        </is>
      </c>
      <c r="H118" s="17" t="inlineStr">
        <is>
          <t>South Indian</t>
        </is>
      </c>
      <c r="I118" s="22" t="n">
        <v>733</v>
      </c>
      <c r="J118" s="22" t="n">
        <v>53.98</v>
      </c>
      <c r="K118" s="22" t="n">
        <v>26</v>
      </c>
      <c r="L118" s="23" t="n">
        <v>0.15</v>
      </c>
      <c r="M118" s="22" t="n">
        <v>116.45</v>
      </c>
      <c r="N118" s="24" t="n">
        <v>3.2</v>
      </c>
      <c r="O118" s="24" t="n">
        <v>29.8</v>
      </c>
      <c r="P118" s="17" t="inlineStr">
        <is>
          <t>UPI</t>
        </is>
      </c>
      <c r="Q118" s="17" t="inlineStr">
        <is>
          <t>Delivered</t>
        </is>
      </c>
      <c r="R118" s="17" t="n">
        <v>5</v>
      </c>
      <c r="S118" s="17">
        <f>TEXT(B118,"yyyy-mm")</f>
        <v/>
      </c>
      <c r="T118" s="17">
        <f>VLOOKUP(D118,Customers!A:D,4,FALSE)</f>
        <v/>
      </c>
      <c r="U118" s="17">
        <f>CONCATENATE(A118,"-",G118)</f>
        <v/>
      </c>
      <c r="V118" s="17">
        <f>IF(N118="","",IF(N118&lt;=30,"Fast (&lt;30m)",IF(N118&lt;=45,"Moderate (30-45m)","Delayed (&gt;45m)")))</f>
        <v/>
      </c>
      <c r="W118" s="17">
        <f>IF(AND(I118&gt;600,P118="Delivered"),"High Value Delivered","Standard")</f>
        <v/>
      </c>
      <c r="X118" s="17">
        <f>IF(OR(N118&gt;50,Q118&lt;=2),"High Risk / Delayed","Normal")</f>
        <v/>
      </c>
      <c r="Y118" s="17">
        <f>IF(NOT(P118="Cancelled"),"Fulfilled","Cancelled")</f>
        <v/>
      </c>
      <c r="Z118" s="17">
        <f>IFERROR(Q118,0)</f>
        <v/>
      </c>
    </row>
    <row r="119">
      <c r="A119" s="25" t="inlineStr">
        <is>
          <t>ORD1118</t>
        </is>
      </c>
      <c r="B119" s="25" t="inlineStr">
        <is>
          <t>2025-12-06</t>
        </is>
      </c>
      <c r="C119" s="25" t="inlineStr">
        <is>
          <t>22:30:33</t>
        </is>
      </c>
      <c r="D119" s="25" t="n">
        <v>1102</v>
      </c>
      <c r="E119" s="25" t="n">
        <v>113</v>
      </c>
      <c r="F119" s="25" t="n">
        <v>222</v>
      </c>
      <c r="G119" s="25" t="inlineStr">
        <is>
          <t>Mumbai</t>
        </is>
      </c>
      <c r="H119" s="25" t="inlineStr">
        <is>
          <t>Fast Food</t>
        </is>
      </c>
      <c r="I119" s="26" t="n">
        <v>605</v>
      </c>
      <c r="J119" s="26" t="n">
        <v>43.54</v>
      </c>
      <c r="K119" s="26" t="n">
        <v>39</v>
      </c>
      <c r="L119" s="27" t="n">
        <v>0.18</v>
      </c>
      <c r="M119" s="26" t="n">
        <v>118.65</v>
      </c>
      <c r="N119" s="28" t="n">
        <v>5.8</v>
      </c>
      <c r="O119" s="28" t="n">
        <v>32</v>
      </c>
      <c r="P119" s="25" t="inlineStr">
        <is>
          <t>Digital Wallet</t>
        </is>
      </c>
      <c r="Q119" s="25" t="inlineStr">
        <is>
          <t>Delivered</t>
        </is>
      </c>
      <c r="R119" s="25" t="n">
        <v>5</v>
      </c>
      <c r="S119" s="25">
        <f>TEXT(B119,"yyyy-mm")</f>
        <v/>
      </c>
      <c r="T119" s="25">
        <f>VLOOKUP(D119,Customers!A:D,4,FALSE)</f>
        <v/>
      </c>
      <c r="U119" s="25">
        <f>CONCATENATE(A119,"-",G119)</f>
        <v/>
      </c>
      <c r="V119" s="25">
        <f>IF(N119="","",IF(N119&lt;=30,"Fast (&lt;30m)",IF(N119&lt;=45,"Moderate (30-45m)","Delayed (&gt;45m)")))</f>
        <v/>
      </c>
      <c r="W119" s="25">
        <f>IF(AND(I119&gt;600,P119="Delivered"),"High Value Delivered","Standard")</f>
        <v/>
      </c>
      <c r="X119" s="25">
        <f>IF(OR(N119&gt;50,Q119&lt;=2),"High Risk / Delayed","Normal")</f>
        <v/>
      </c>
      <c r="Y119" s="25">
        <f>IF(NOT(P119="Cancelled"),"Fulfilled","Cancelled")</f>
        <v/>
      </c>
      <c r="Z119" s="25">
        <f>IFERROR(Q119,0)</f>
        <v/>
      </c>
    </row>
    <row r="120">
      <c r="A120" s="17" t="inlineStr">
        <is>
          <t>ORD1119</t>
        </is>
      </c>
      <c r="B120" s="17" t="inlineStr">
        <is>
          <t>2025-11-09</t>
        </is>
      </c>
      <c r="C120" s="17" t="inlineStr">
        <is>
          <t>18:30:12</t>
        </is>
      </c>
      <c r="D120" s="17" t="n">
        <v>1030</v>
      </c>
      <c r="E120" s="17" t="n">
        <v>119</v>
      </c>
      <c r="F120" s="17" t="n">
        <v>216</v>
      </c>
      <c r="G120" s="17" t="inlineStr">
        <is>
          <t>Hyderabad</t>
        </is>
      </c>
      <c r="H120" s="17" t="inlineStr">
        <is>
          <t>Biryani</t>
        </is>
      </c>
      <c r="I120" s="22" t="n">
        <v>472</v>
      </c>
      <c r="J120" s="22" t="n">
        <v>0</v>
      </c>
      <c r="K120" s="22" t="n">
        <v>39</v>
      </c>
      <c r="L120" s="23" t="n">
        <v>0.2</v>
      </c>
      <c r="M120" s="22" t="n">
        <v>104.15</v>
      </c>
      <c r="N120" s="24" t="n">
        <v>5.8</v>
      </c>
      <c r="O120" s="24" t="n">
        <v>33.8</v>
      </c>
      <c r="P120" s="17" t="inlineStr">
        <is>
          <t>Debit Card</t>
        </is>
      </c>
      <c r="Q120" s="17" t="inlineStr">
        <is>
          <t>Delivered</t>
        </is>
      </c>
      <c r="R120" s="17" t="n">
        <v>5</v>
      </c>
      <c r="S120" s="17">
        <f>TEXT(B120,"yyyy-mm")</f>
        <v/>
      </c>
      <c r="T120" s="17">
        <f>VLOOKUP(D120,Customers!A:D,4,FALSE)</f>
        <v/>
      </c>
      <c r="U120" s="17">
        <f>CONCATENATE(A120,"-",G120)</f>
        <v/>
      </c>
      <c r="V120" s="17">
        <f>IF(N120="","",IF(N120&lt;=30,"Fast (&lt;30m)",IF(N120&lt;=45,"Moderate (30-45m)","Delayed (&gt;45m)")))</f>
        <v/>
      </c>
      <c r="W120" s="17">
        <f>IF(AND(I120&gt;600,P120="Delivered"),"High Value Delivered","Standard")</f>
        <v/>
      </c>
      <c r="X120" s="17">
        <f>IF(OR(N120&gt;50,Q120&lt;=2),"High Risk / Delayed","Normal")</f>
        <v/>
      </c>
      <c r="Y120" s="17">
        <f>IF(NOT(P120="Cancelled"),"Fulfilled","Cancelled")</f>
        <v/>
      </c>
      <c r="Z120" s="17">
        <f>IFERROR(Q120,0)</f>
        <v/>
      </c>
    </row>
    <row r="121">
      <c r="A121" s="25" t="inlineStr">
        <is>
          <t>ORD1120</t>
        </is>
      </c>
      <c r="B121" s="25" t="inlineStr">
        <is>
          <t>2025-06-12</t>
        </is>
      </c>
      <c r="C121" s="25" t="inlineStr">
        <is>
          <t>06:30:22</t>
        </is>
      </c>
      <c r="D121" s="25" t="n">
        <v>1243</v>
      </c>
      <c r="E121" s="25" t="n">
        <v>112</v>
      </c>
      <c r="F121" s="25" t="n">
        <v>219</v>
      </c>
      <c r="G121" s="25" t="inlineStr">
        <is>
          <t>Delhi NCR</t>
        </is>
      </c>
      <c r="H121" s="25" t="inlineStr">
        <is>
          <t>North Indian</t>
        </is>
      </c>
      <c r="I121" s="26" t="n">
        <v>1132</v>
      </c>
      <c r="J121" s="26" t="n">
        <v>218.98</v>
      </c>
      <c r="K121" s="26" t="n">
        <v>0</v>
      </c>
      <c r="L121" s="27" t="n">
        <v>0.22</v>
      </c>
      <c r="M121" s="26" t="n">
        <v>249.04</v>
      </c>
      <c r="N121" s="28" t="n">
        <v>5.8</v>
      </c>
      <c r="O121" s="28" t="n">
        <v>40.9</v>
      </c>
      <c r="P121" s="25" t="inlineStr">
        <is>
          <t>Debit Card</t>
        </is>
      </c>
      <c r="Q121" s="25" t="inlineStr">
        <is>
          <t>Delivered</t>
        </is>
      </c>
      <c r="R121" s="25" t="n">
        <v>2</v>
      </c>
      <c r="S121" s="25">
        <f>TEXT(B121,"yyyy-mm")</f>
        <v/>
      </c>
      <c r="T121" s="25">
        <f>VLOOKUP(D121,Customers!A:D,4,FALSE)</f>
        <v/>
      </c>
      <c r="U121" s="25">
        <f>CONCATENATE(A121,"-",G121)</f>
        <v/>
      </c>
      <c r="V121" s="25">
        <f>IF(N121="","",IF(N121&lt;=30,"Fast (&lt;30m)",IF(N121&lt;=45,"Moderate (30-45m)","Delayed (&gt;45m)")))</f>
        <v/>
      </c>
      <c r="W121" s="25">
        <f>IF(AND(I121&gt;600,P121="Delivered"),"High Value Delivered","Standard")</f>
        <v/>
      </c>
      <c r="X121" s="25">
        <f>IF(OR(N121&gt;50,Q121&lt;=2),"High Risk / Delayed","Normal")</f>
        <v/>
      </c>
      <c r="Y121" s="25">
        <f>IF(NOT(P121="Cancelled"),"Fulfilled","Cancelled")</f>
        <v/>
      </c>
      <c r="Z121" s="25">
        <f>IFERROR(Q121,0)</f>
        <v/>
      </c>
    </row>
    <row r="122">
      <c r="A122" s="17" t="inlineStr">
        <is>
          <t>ORD1121</t>
        </is>
      </c>
      <c r="B122" s="17" t="inlineStr">
        <is>
          <t>2025-07-22</t>
        </is>
      </c>
      <c r="C122" s="17" t="inlineStr">
        <is>
          <t>12:52:22</t>
        </is>
      </c>
      <c r="D122" s="17" t="n">
        <v>1096</v>
      </c>
      <c r="E122" s="17" t="n">
        <v>114</v>
      </c>
      <c r="F122" s="17" t="n">
        <v>225</v>
      </c>
      <c r="G122" s="17" t="inlineStr">
        <is>
          <t>Hyderabad</t>
        </is>
      </c>
      <c r="H122" s="17" t="inlineStr">
        <is>
          <t>Biryani</t>
        </is>
      </c>
      <c r="I122" s="22" t="n">
        <v>369</v>
      </c>
      <c r="J122" s="22" t="n">
        <v>0</v>
      </c>
      <c r="K122" s="22" t="n">
        <v>31</v>
      </c>
      <c r="L122" s="23" t="n">
        <v>0.22</v>
      </c>
      <c r="M122" s="22" t="n">
        <v>88.93000000000001</v>
      </c>
      <c r="N122" s="24" t="n">
        <v>4.2</v>
      </c>
      <c r="O122" s="24" t="n">
        <v>31.4</v>
      </c>
      <c r="P122" s="17" t="inlineStr">
        <is>
          <t>UPI</t>
        </is>
      </c>
      <c r="Q122" s="17" t="inlineStr">
        <is>
          <t>Delivered</t>
        </is>
      </c>
      <c r="R122" s="17" t="n">
        <v>5</v>
      </c>
      <c r="S122" s="17">
        <f>TEXT(B122,"yyyy-mm")</f>
        <v/>
      </c>
      <c r="T122" s="17">
        <f>VLOOKUP(D122,Customers!A:D,4,FALSE)</f>
        <v/>
      </c>
      <c r="U122" s="17">
        <f>CONCATENATE(A122,"-",G122)</f>
        <v/>
      </c>
      <c r="V122" s="17">
        <f>IF(N122="","",IF(N122&lt;=30,"Fast (&lt;30m)",IF(N122&lt;=45,"Moderate (30-45m)","Delayed (&gt;45m)")))</f>
        <v/>
      </c>
      <c r="W122" s="17">
        <f>IF(AND(I122&gt;600,P122="Delivered"),"High Value Delivered","Standard")</f>
        <v/>
      </c>
      <c r="X122" s="17">
        <f>IF(OR(N122&gt;50,Q122&lt;=2),"High Risk / Delayed","Normal")</f>
        <v/>
      </c>
      <c r="Y122" s="17">
        <f>IF(NOT(P122="Cancelled"),"Fulfilled","Cancelled")</f>
        <v/>
      </c>
      <c r="Z122" s="17">
        <f>IFERROR(Q122,0)</f>
        <v/>
      </c>
    </row>
    <row r="123">
      <c r="A123" s="25" t="inlineStr">
        <is>
          <t>ORD1122</t>
        </is>
      </c>
      <c r="B123" s="25" t="inlineStr">
        <is>
          <t>2025-09-03</t>
        </is>
      </c>
      <c r="C123" s="25" t="inlineStr">
        <is>
          <t>14:13:12</t>
        </is>
      </c>
      <c r="D123" s="25" t="n">
        <v>1215</v>
      </c>
      <c r="E123" s="25" t="n">
        <v>120</v>
      </c>
      <c r="F123" s="25" t="n">
        <v>207</v>
      </c>
      <c r="G123" s="25" t="inlineStr">
        <is>
          <t>Pune</t>
        </is>
      </c>
      <c r="H123" s="25" t="inlineStr">
        <is>
          <t>Fast Food</t>
        </is>
      </c>
      <c r="I123" s="26" t="n">
        <v>771</v>
      </c>
      <c r="J123" s="26" t="n">
        <v>53.18</v>
      </c>
      <c r="K123" s="26" t="n">
        <v>29.5</v>
      </c>
      <c r="L123" s="27" t="n">
        <v>0.18</v>
      </c>
      <c r="M123" s="26" t="n">
        <v>146.16</v>
      </c>
      <c r="N123" s="28" t="n">
        <v>3.9</v>
      </c>
      <c r="O123" s="28" t="n">
        <v>32.6</v>
      </c>
      <c r="P123" s="25" t="inlineStr">
        <is>
          <t>Debit Card</t>
        </is>
      </c>
      <c r="Q123" s="25" t="inlineStr">
        <is>
          <t>Delivered</t>
        </is>
      </c>
      <c r="R123" s="25" t="n">
        <v>2</v>
      </c>
      <c r="S123" s="25">
        <f>TEXT(B123,"yyyy-mm")</f>
        <v/>
      </c>
      <c r="T123" s="25">
        <f>VLOOKUP(D123,Customers!A:D,4,FALSE)</f>
        <v/>
      </c>
      <c r="U123" s="25">
        <f>CONCATENATE(A123,"-",G123)</f>
        <v/>
      </c>
      <c r="V123" s="25">
        <f>IF(N123="","",IF(N123&lt;=30,"Fast (&lt;30m)",IF(N123&lt;=45,"Moderate (30-45m)","Delayed (&gt;45m)")))</f>
        <v/>
      </c>
      <c r="W123" s="25">
        <f>IF(AND(I123&gt;600,P123="Delivered"),"High Value Delivered","Standard")</f>
        <v/>
      </c>
      <c r="X123" s="25">
        <f>IF(OR(N123&gt;50,Q123&lt;=2),"High Risk / Delayed","Normal")</f>
        <v/>
      </c>
      <c r="Y123" s="25">
        <f>IF(NOT(P123="Cancelled"),"Fulfilled","Cancelled")</f>
        <v/>
      </c>
      <c r="Z123" s="25">
        <f>IFERROR(Q123,0)</f>
        <v/>
      </c>
    </row>
    <row r="124">
      <c r="A124" s="17" t="inlineStr">
        <is>
          <t>ORD1123</t>
        </is>
      </c>
      <c r="B124" s="17" t="inlineStr">
        <is>
          <t>2025-11-12</t>
        </is>
      </c>
      <c r="C124" s="17" t="inlineStr">
        <is>
          <t>19:47:37</t>
        </is>
      </c>
      <c r="D124" s="17" t="n">
        <v>1264</v>
      </c>
      <c r="E124" s="17" t="n">
        <v>111</v>
      </c>
      <c r="F124" s="17" t="n">
        <v>220</v>
      </c>
      <c r="G124" s="17" t="inlineStr">
        <is>
          <t>Bangalore</t>
        </is>
      </c>
      <c r="H124" s="17" t="inlineStr">
        <is>
          <t>South Indian</t>
        </is>
      </c>
      <c r="I124" s="22" t="n">
        <v>465</v>
      </c>
      <c r="J124" s="22" t="n">
        <v>0</v>
      </c>
      <c r="K124" s="22" t="n">
        <v>25</v>
      </c>
      <c r="L124" s="23" t="n">
        <v>0.15</v>
      </c>
      <c r="M124" s="22" t="n">
        <v>76</v>
      </c>
      <c r="N124" s="24" t="n">
        <v>2.5</v>
      </c>
      <c r="O124" s="24" t="n">
        <v>29.3</v>
      </c>
      <c r="P124" s="17" t="inlineStr">
        <is>
          <t>Digital Wallet</t>
        </is>
      </c>
      <c r="Q124" s="17" t="inlineStr">
        <is>
          <t>Delivered</t>
        </is>
      </c>
      <c r="R124" s="17" t="n">
        <v>2</v>
      </c>
      <c r="S124" s="17">
        <f>TEXT(B124,"yyyy-mm")</f>
        <v/>
      </c>
      <c r="T124" s="17">
        <f>VLOOKUP(D124,Customers!A:D,4,FALSE)</f>
        <v/>
      </c>
      <c r="U124" s="17">
        <f>CONCATENATE(A124,"-",G124)</f>
        <v/>
      </c>
      <c r="V124" s="17">
        <f>IF(N124="","",IF(N124&lt;=30,"Fast (&lt;30m)",IF(N124&lt;=45,"Moderate (30-45m)","Delayed (&gt;45m)")))</f>
        <v/>
      </c>
      <c r="W124" s="17">
        <f>IF(AND(I124&gt;600,P124="Delivered"),"High Value Delivered","Standard")</f>
        <v/>
      </c>
      <c r="X124" s="17">
        <f>IF(OR(N124&gt;50,Q124&lt;=2),"High Risk / Delayed","Normal")</f>
        <v/>
      </c>
      <c r="Y124" s="17">
        <f>IF(NOT(P124="Cancelled"),"Fulfilled","Cancelled")</f>
        <v/>
      </c>
      <c r="Z124" s="17">
        <f>IFERROR(Q124,0)</f>
        <v/>
      </c>
    </row>
    <row r="125">
      <c r="A125" s="25" t="inlineStr">
        <is>
          <t>ORD1124</t>
        </is>
      </c>
      <c r="B125" s="25" t="inlineStr">
        <is>
          <t>2025-01-27</t>
        </is>
      </c>
      <c r="C125" s="25" t="inlineStr">
        <is>
          <t>18:06:26</t>
        </is>
      </c>
      <c r="D125" s="25" t="n">
        <v>1063</v>
      </c>
      <c r="E125" s="25" t="n">
        <v>111</v>
      </c>
      <c r="F125" s="25" t="n">
        <v>218</v>
      </c>
      <c r="G125" s="25" t="inlineStr">
        <is>
          <t>Bangalore</t>
        </is>
      </c>
      <c r="H125" s="25" t="inlineStr">
        <is>
          <t>South Indian</t>
        </is>
      </c>
      <c r="I125" s="26" t="n">
        <v>558</v>
      </c>
      <c r="J125" s="26" t="n">
        <v>55.92</v>
      </c>
      <c r="K125" s="26" t="n">
        <v>25</v>
      </c>
      <c r="L125" s="27" t="n">
        <v>0.15</v>
      </c>
      <c r="M125" s="26" t="n">
        <v>89.95</v>
      </c>
      <c r="N125" s="28" t="n">
        <v>2.4</v>
      </c>
      <c r="O125" s="28" t="n">
        <v>36.8</v>
      </c>
      <c r="P125" s="25" t="inlineStr">
        <is>
          <t>Credit Card</t>
        </is>
      </c>
      <c r="Q125" s="25" t="inlineStr">
        <is>
          <t>Delivered</t>
        </is>
      </c>
      <c r="R125" s="25" t="n">
        <v>4</v>
      </c>
      <c r="S125" s="25">
        <f>TEXT(B125,"yyyy-mm")</f>
        <v/>
      </c>
      <c r="T125" s="25">
        <f>VLOOKUP(D125,Customers!A:D,4,FALSE)</f>
        <v/>
      </c>
      <c r="U125" s="25">
        <f>CONCATENATE(A125,"-",G125)</f>
        <v/>
      </c>
      <c r="V125" s="25">
        <f>IF(N125="","",IF(N125&lt;=30,"Fast (&lt;30m)",IF(N125&lt;=45,"Moderate (30-45m)","Delayed (&gt;45m)")))</f>
        <v/>
      </c>
      <c r="W125" s="25">
        <f>IF(AND(I125&gt;600,P125="Delivered"),"High Value Delivered","Standard")</f>
        <v/>
      </c>
      <c r="X125" s="25">
        <f>IF(OR(N125&gt;50,Q125&lt;=2),"High Risk / Delayed","Normal")</f>
        <v/>
      </c>
      <c r="Y125" s="25">
        <f>IF(NOT(P125="Cancelled"),"Fulfilled","Cancelled")</f>
        <v/>
      </c>
      <c r="Z125" s="25">
        <f>IFERROR(Q125,0)</f>
        <v/>
      </c>
    </row>
    <row r="126">
      <c r="A126" s="17" t="inlineStr">
        <is>
          <t>ORD1125</t>
        </is>
      </c>
      <c r="B126" s="17" t="inlineStr">
        <is>
          <t>2025-07-28</t>
        </is>
      </c>
      <c r="C126" s="17" t="inlineStr">
        <is>
          <t>20:41:59</t>
        </is>
      </c>
      <c r="D126" s="17" t="n">
        <v>1114</v>
      </c>
      <c r="E126" s="17" t="n">
        <v>119</v>
      </c>
      <c r="F126" s="17" t="n">
        <v>225</v>
      </c>
      <c r="G126" s="17" t="inlineStr">
        <is>
          <t>Hyderabad</t>
        </is>
      </c>
      <c r="H126" s="17" t="inlineStr">
        <is>
          <t>Biryani</t>
        </is>
      </c>
      <c r="I126" s="22" t="n">
        <v>707</v>
      </c>
      <c r="J126" s="22" t="n">
        <v>58.98</v>
      </c>
      <c r="K126" s="22" t="n">
        <v>53.5</v>
      </c>
      <c r="L126" s="23" t="n">
        <v>0.2</v>
      </c>
      <c r="M126" s="22" t="n">
        <v>154.78</v>
      </c>
      <c r="N126" s="24" t="n">
        <v>8.699999999999999</v>
      </c>
      <c r="O126" s="24" t="n">
        <v>47.9</v>
      </c>
      <c r="P126" s="17" t="inlineStr">
        <is>
          <t>Debit Card</t>
        </is>
      </c>
      <c r="Q126" s="17" t="inlineStr">
        <is>
          <t>Delivered</t>
        </is>
      </c>
      <c r="R126" s="17" t="n">
        <v>3</v>
      </c>
      <c r="S126" s="17">
        <f>TEXT(B126,"yyyy-mm")</f>
        <v/>
      </c>
      <c r="T126" s="17">
        <f>VLOOKUP(D126,Customers!A:D,4,FALSE)</f>
        <v/>
      </c>
      <c r="U126" s="17">
        <f>CONCATENATE(A126,"-",G126)</f>
        <v/>
      </c>
      <c r="V126" s="17">
        <f>IF(N126="","",IF(N126&lt;=30,"Fast (&lt;30m)",IF(N126&lt;=45,"Moderate (30-45m)","Delayed (&gt;45m)")))</f>
        <v/>
      </c>
      <c r="W126" s="17">
        <f>IF(AND(I126&gt;600,P126="Delivered"),"High Value Delivered","Standard")</f>
        <v/>
      </c>
      <c r="X126" s="17">
        <f>IF(OR(N126&gt;50,Q126&lt;=2),"High Risk / Delayed","Normal")</f>
        <v/>
      </c>
      <c r="Y126" s="17">
        <f>IF(NOT(P126="Cancelled"),"Fulfilled","Cancelled")</f>
        <v/>
      </c>
      <c r="Z126" s="17">
        <f>IFERROR(Q126,0)</f>
        <v/>
      </c>
    </row>
    <row r="127">
      <c r="A127" s="25" t="inlineStr">
        <is>
          <t>ORD1126</t>
        </is>
      </c>
      <c r="B127" s="25" t="inlineStr">
        <is>
          <t>2025-02-15</t>
        </is>
      </c>
      <c r="C127" s="25" t="inlineStr">
        <is>
          <t>11:41:36</t>
        </is>
      </c>
      <c r="D127" s="25" t="n">
        <v>1059</v>
      </c>
      <c r="E127" s="25" t="n">
        <v>102</v>
      </c>
      <c r="F127" s="25" t="n">
        <v>215</v>
      </c>
      <c r="G127" s="25" t="inlineStr">
        <is>
          <t>Hyderabad</t>
        </is>
      </c>
      <c r="H127" s="25" t="inlineStr">
        <is>
          <t>Biryani</t>
        </is>
      </c>
      <c r="I127" s="26" t="n">
        <v>457</v>
      </c>
      <c r="J127" s="26" t="n">
        <v>26.44</v>
      </c>
      <c r="K127" s="26" t="n">
        <v>25</v>
      </c>
      <c r="L127" s="27" t="n">
        <v>0.22</v>
      </c>
      <c r="M127" s="26" t="n">
        <v>106.79</v>
      </c>
      <c r="N127" s="28" t="n">
        <v>2.8</v>
      </c>
      <c r="O127" s="28" t="n">
        <v>32.3</v>
      </c>
      <c r="P127" s="25" t="inlineStr">
        <is>
          <t>Credit Card</t>
        </is>
      </c>
      <c r="Q127" s="25" t="inlineStr">
        <is>
          <t>Delivered</t>
        </is>
      </c>
      <c r="R127" s="25" t="n">
        <v>5</v>
      </c>
      <c r="S127" s="25">
        <f>TEXT(B127,"yyyy-mm")</f>
        <v/>
      </c>
      <c r="T127" s="25">
        <f>VLOOKUP(D127,Customers!A:D,4,FALSE)</f>
        <v/>
      </c>
      <c r="U127" s="25">
        <f>CONCATENATE(A127,"-",G127)</f>
        <v/>
      </c>
      <c r="V127" s="25">
        <f>IF(N127="","",IF(N127&lt;=30,"Fast (&lt;30m)",IF(N127&lt;=45,"Moderate (30-45m)","Delayed (&gt;45m)")))</f>
        <v/>
      </c>
      <c r="W127" s="25">
        <f>IF(AND(I127&gt;600,P127="Delivered"),"High Value Delivered","Standard")</f>
        <v/>
      </c>
      <c r="X127" s="25">
        <f>IF(OR(N127&gt;50,Q127&lt;=2),"High Risk / Delayed","Normal")</f>
        <v/>
      </c>
      <c r="Y127" s="25">
        <f>IF(NOT(P127="Cancelled"),"Fulfilled","Cancelled")</f>
        <v/>
      </c>
      <c r="Z127" s="25">
        <f>IFERROR(Q127,0)</f>
        <v/>
      </c>
    </row>
    <row r="128">
      <c r="A128" s="17" t="inlineStr">
        <is>
          <t>ORD1127</t>
        </is>
      </c>
      <c r="B128" s="17" t="inlineStr">
        <is>
          <t>2025-07-23</t>
        </is>
      </c>
      <c r="C128" s="17" t="inlineStr">
        <is>
          <t>08:50:31</t>
        </is>
      </c>
      <c r="D128" s="17" t="n">
        <v>1001</v>
      </c>
      <c r="E128" s="17" t="n">
        <v>109</v>
      </c>
      <c r="F128" s="17" t="n">
        <v>215</v>
      </c>
      <c r="G128" s="17" t="inlineStr">
        <is>
          <t>Hyderabad</t>
        </is>
      </c>
      <c r="H128" s="17" t="inlineStr">
        <is>
          <t>Biryani</t>
        </is>
      </c>
      <c r="I128" s="22" t="n">
        <v>410</v>
      </c>
      <c r="J128" s="22" t="n">
        <v>31.56</v>
      </c>
      <c r="K128" s="22" t="n">
        <v>60</v>
      </c>
      <c r="L128" s="23" t="n">
        <v>0.2</v>
      </c>
      <c r="M128" s="22" t="n">
        <v>97</v>
      </c>
      <c r="N128" s="24" t="n">
        <v>10</v>
      </c>
      <c r="O128" s="24" t="n">
        <v>54</v>
      </c>
      <c r="P128" s="17" t="inlineStr">
        <is>
          <t>UPI</t>
        </is>
      </c>
      <c r="Q128" s="17" t="inlineStr">
        <is>
          <t>Delivered</t>
        </is>
      </c>
      <c r="R128" s="17" t="n">
        <v>2</v>
      </c>
      <c r="S128" s="17">
        <f>TEXT(B128,"yyyy-mm")</f>
        <v/>
      </c>
      <c r="T128" s="17">
        <f>VLOOKUP(D128,Customers!A:D,4,FALSE)</f>
        <v/>
      </c>
      <c r="U128" s="17">
        <f>CONCATENATE(A128,"-",G128)</f>
        <v/>
      </c>
      <c r="V128" s="17">
        <f>IF(N128="","",IF(N128&lt;=30,"Fast (&lt;30m)",IF(N128&lt;=45,"Moderate (30-45m)","Delayed (&gt;45m)")))</f>
        <v/>
      </c>
      <c r="W128" s="17">
        <f>IF(AND(I128&gt;600,P128="Delivered"),"High Value Delivered","Standard")</f>
        <v/>
      </c>
      <c r="X128" s="17">
        <f>IF(OR(N128&gt;50,Q128&lt;=2),"High Risk / Delayed","Normal")</f>
        <v/>
      </c>
      <c r="Y128" s="17">
        <f>IF(NOT(P128="Cancelled"),"Fulfilled","Cancelled")</f>
        <v/>
      </c>
      <c r="Z128" s="17">
        <f>IFERROR(Q128,0)</f>
        <v/>
      </c>
    </row>
    <row r="129">
      <c r="A129" s="25" t="inlineStr">
        <is>
          <t>ORD1128</t>
        </is>
      </c>
      <c r="B129" s="25" t="inlineStr">
        <is>
          <t>2025-10-18</t>
        </is>
      </c>
      <c r="C129" s="25" t="inlineStr">
        <is>
          <t>13:38:06</t>
        </is>
      </c>
      <c r="D129" s="25" t="n">
        <v>1220</v>
      </c>
      <c r="E129" s="25" t="n">
        <v>109</v>
      </c>
      <c r="F129" s="25" t="n">
        <v>215</v>
      </c>
      <c r="G129" s="25" t="inlineStr">
        <is>
          <t>Hyderabad</t>
        </is>
      </c>
      <c r="H129" s="25" t="inlineStr">
        <is>
          <t>Biryani</t>
        </is>
      </c>
      <c r="I129" s="26" t="n">
        <v>563</v>
      </c>
      <c r="J129" s="26" t="n">
        <v>39.36</v>
      </c>
      <c r="K129" s="26" t="n">
        <v>25</v>
      </c>
      <c r="L129" s="27" t="n">
        <v>0.2</v>
      </c>
      <c r="M129" s="26" t="n">
        <v>118.85</v>
      </c>
      <c r="N129" s="28" t="n">
        <v>2.5</v>
      </c>
      <c r="O129" s="28" t="n">
        <v/>
      </c>
      <c r="P129" s="25" t="inlineStr">
        <is>
          <t>Digital Wallet</t>
        </is>
      </c>
      <c r="Q129" s="25" t="inlineStr">
        <is>
          <t>Cancelled</t>
        </is>
      </c>
      <c r="R129" s="25" t="n">
        <v/>
      </c>
      <c r="S129" s="25">
        <f>TEXT(B129,"yyyy-mm")</f>
        <v/>
      </c>
      <c r="T129" s="25">
        <f>VLOOKUP(D129,Customers!A:D,4,FALSE)</f>
        <v/>
      </c>
      <c r="U129" s="25">
        <f>CONCATENATE(A129,"-",G129)</f>
        <v/>
      </c>
      <c r="V129" s="25">
        <f>IF(N129="","",IF(N129&lt;=30,"Fast (&lt;30m)",IF(N129&lt;=45,"Moderate (30-45m)","Delayed (&gt;45m)")))</f>
        <v/>
      </c>
      <c r="W129" s="25">
        <f>IF(AND(I129&gt;600,P129="Delivered"),"High Value Delivered","Standard")</f>
        <v/>
      </c>
      <c r="X129" s="25">
        <f>IF(OR(N129&gt;50,Q129&lt;=2),"High Risk / Delayed","Normal")</f>
        <v/>
      </c>
      <c r="Y129" s="25">
        <f>IF(NOT(P129="Cancelled"),"Fulfilled","Cancelled")</f>
        <v/>
      </c>
      <c r="Z129" s="25">
        <f>IFERROR(Q129,0)</f>
        <v/>
      </c>
    </row>
    <row r="130">
      <c r="A130" s="17" t="inlineStr">
        <is>
          <t>ORD1129</t>
        </is>
      </c>
      <c r="B130" s="17" t="inlineStr">
        <is>
          <t>2025-05-20</t>
        </is>
      </c>
      <c r="C130" s="17" t="inlineStr">
        <is>
          <t>14:12:51</t>
        </is>
      </c>
      <c r="D130" s="17" t="n">
        <v>1221</v>
      </c>
      <c r="E130" s="17" t="n">
        <v>102</v>
      </c>
      <c r="F130" s="17" t="n">
        <v>216</v>
      </c>
      <c r="G130" s="17" t="inlineStr">
        <is>
          <t>Hyderabad</t>
        </is>
      </c>
      <c r="H130" s="17" t="inlineStr">
        <is>
          <t>Biryani</t>
        </is>
      </c>
      <c r="I130" s="22" t="n">
        <v>335</v>
      </c>
      <c r="J130" s="22" t="n">
        <v>24.5</v>
      </c>
      <c r="K130" s="22" t="n">
        <v>34.5</v>
      </c>
      <c r="L130" s="23" t="n">
        <v>0.22</v>
      </c>
      <c r="M130" s="22" t="n">
        <v>82.31999999999999</v>
      </c>
      <c r="N130" s="24" t="n">
        <v>4.9</v>
      </c>
      <c r="O130" s="24" t="n">
        <v>38.4</v>
      </c>
      <c r="P130" s="17" t="inlineStr">
        <is>
          <t>Debit Card</t>
        </is>
      </c>
      <c r="Q130" s="17" t="inlineStr">
        <is>
          <t>Delivered</t>
        </is>
      </c>
      <c r="R130" s="17" t="n">
        <v>4</v>
      </c>
      <c r="S130" s="17">
        <f>TEXT(B130,"yyyy-mm")</f>
        <v/>
      </c>
      <c r="T130" s="17">
        <f>VLOOKUP(D130,Customers!A:D,4,FALSE)</f>
        <v/>
      </c>
      <c r="U130" s="17">
        <f>CONCATENATE(A130,"-",G130)</f>
        <v/>
      </c>
      <c r="V130" s="17">
        <f>IF(N130="","",IF(N130&lt;=30,"Fast (&lt;30m)",IF(N130&lt;=45,"Moderate (30-45m)","Delayed (&gt;45m)")))</f>
        <v/>
      </c>
      <c r="W130" s="17">
        <f>IF(AND(I130&gt;600,P130="Delivered"),"High Value Delivered","Standard")</f>
        <v/>
      </c>
      <c r="X130" s="17">
        <f>IF(OR(N130&gt;50,Q130&lt;=2),"High Risk / Delayed","Normal")</f>
        <v/>
      </c>
      <c r="Y130" s="17">
        <f>IF(NOT(P130="Cancelled"),"Fulfilled","Cancelled")</f>
        <v/>
      </c>
      <c r="Z130" s="17">
        <f>IFERROR(Q130,0)</f>
        <v/>
      </c>
    </row>
    <row r="131">
      <c r="A131" s="25" t="inlineStr">
        <is>
          <t>ORD1130</t>
        </is>
      </c>
      <c r="B131" s="25" t="inlineStr">
        <is>
          <t>2025-06-01</t>
        </is>
      </c>
      <c r="C131" s="25" t="inlineStr">
        <is>
          <t>19:36:43</t>
        </is>
      </c>
      <c r="D131" s="25" t="n">
        <v>1118</v>
      </c>
      <c r="E131" s="25" t="n">
        <v>118</v>
      </c>
      <c r="F131" s="25" t="n">
        <v>219</v>
      </c>
      <c r="G131" s="25" t="inlineStr">
        <is>
          <t>Delhi NCR</t>
        </is>
      </c>
      <c r="H131" s="25" t="inlineStr">
        <is>
          <t>North Indian</t>
        </is>
      </c>
      <c r="I131" s="26" t="n">
        <v>417</v>
      </c>
      <c r="J131" s="26" t="n">
        <v>0</v>
      </c>
      <c r="K131" s="26" t="n">
        <v>30</v>
      </c>
      <c r="L131" s="27" t="n">
        <v>0.2</v>
      </c>
      <c r="M131" s="26" t="n">
        <v>90.90000000000001</v>
      </c>
      <c r="N131" s="28" t="n">
        <v>4</v>
      </c>
      <c r="O131" s="28" t="n">
        <v>37.4</v>
      </c>
      <c r="P131" s="25" t="inlineStr">
        <is>
          <t>Cash on Delivery</t>
        </is>
      </c>
      <c r="Q131" s="25" t="inlineStr">
        <is>
          <t>Delivered</t>
        </is>
      </c>
      <c r="R131" s="25" t="n">
        <v>5</v>
      </c>
      <c r="S131" s="25">
        <f>TEXT(B131,"yyyy-mm")</f>
        <v/>
      </c>
      <c r="T131" s="25">
        <f>VLOOKUP(D131,Customers!A:D,4,FALSE)</f>
        <v/>
      </c>
      <c r="U131" s="25">
        <f>CONCATENATE(A131,"-",G131)</f>
        <v/>
      </c>
      <c r="V131" s="25">
        <f>IF(N131="","",IF(N131&lt;=30,"Fast (&lt;30m)",IF(N131&lt;=45,"Moderate (30-45m)","Delayed (&gt;45m)")))</f>
        <v/>
      </c>
      <c r="W131" s="25">
        <f>IF(AND(I131&gt;600,P131="Delivered"),"High Value Delivered","Standard")</f>
        <v/>
      </c>
      <c r="X131" s="25">
        <f>IF(OR(N131&gt;50,Q131&lt;=2),"High Risk / Delayed","Normal")</f>
        <v/>
      </c>
      <c r="Y131" s="25">
        <f>IF(NOT(P131="Cancelled"),"Fulfilled","Cancelled")</f>
        <v/>
      </c>
      <c r="Z131" s="25">
        <f>IFERROR(Q131,0)</f>
        <v/>
      </c>
    </row>
    <row r="132">
      <c r="A132" s="17" t="inlineStr">
        <is>
          <t>ORD1131</t>
        </is>
      </c>
      <c r="B132" s="17" t="inlineStr">
        <is>
          <t>2025-07-25</t>
        </is>
      </c>
      <c r="C132" s="17" t="inlineStr">
        <is>
          <t>19:42:06</t>
        </is>
      </c>
      <c r="D132" s="17" t="n">
        <v>1157</v>
      </c>
      <c r="E132" s="17" t="n">
        <v>109</v>
      </c>
      <c r="F132" s="17" t="n">
        <v>225</v>
      </c>
      <c r="G132" s="17" t="inlineStr">
        <is>
          <t>Hyderabad</t>
        </is>
      </c>
      <c r="H132" s="17" t="inlineStr">
        <is>
          <t>Biryani</t>
        </is>
      </c>
      <c r="I132" s="22" t="n">
        <v>409</v>
      </c>
      <c r="J132" s="22" t="n">
        <v>48.56</v>
      </c>
      <c r="K132" s="22" t="n">
        <v>25</v>
      </c>
      <c r="L132" s="23" t="n">
        <v>0.2</v>
      </c>
      <c r="M132" s="22" t="n">
        <v>88.05</v>
      </c>
      <c r="N132" s="24" t="n">
        <v>2.8</v>
      </c>
      <c r="O132" s="24" t="n">
        <v>28.8</v>
      </c>
      <c r="P132" s="17" t="inlineStr">
        <is>
          <t>Credit Card</t>
        </is>
      </c>
      <c r="Q132" s="17" t="inlineStr">
        <is>
          <t>Delivered</t>
        </is>
      </c>
      <c r="R132" s="17" t="n">
        <v>3</v>
      </c>
      <c r="S132" s="17">
        <f>TEXT(B132,"yyyy-mm")</f>
        <v/>
      </c>
      <c r="T132" s="17">
        <f>VLOOKUP(D132,Customers!A:D,4,FALSE)</f>
        <v/>
      </c>
      <c r="U132" s="17">
        <f>CONCATENATE(A132,"-",G132)</f>
        <v/>
      </c>
      <c r="V132" s="17">
        <f>IF(N132="","",IF(N132&lt;=30,"Fast (&lt;30m)",IF(N132&lt;=45,"Moderate (30-45m)","Delayed (&gt;45m)")))</f>
        <v/>
      </c>
      <c r="W132" s="17">
        <f>IF(AND(I132&gt;600,P132="Delivered"),"High Value Delivered","Standard")</f>
        <v/>
      </c>
      <c r="X132" s="17">
        <f>IF(OR(N132&gt;50,Q132&lt;=2),"High Risk / Delayed","Normal")</f>
        <v/>
      </c>
      <c r="Y132" s="17">
        <f>IF(NOT(P132="Cancelled"),"Fulfilled","Cancelled")</f>
        <v/>
      </c>
      <c r="Z132" s="17">
        <f>IFERROR(Q132,0)</f>
        <v/>
      </c>
    </row>
    <row r="133">
      <c r="A133" s="25" t="inlineStr">
        <is>
          <t>ORD1132</t>
        </is>
      </c>
      <c r="B133" s="25" t="inlineStr">
        <is>
          <t>2025-07-16</t>
        </is>
      </c>
      <c r="C133" s="25" t="inlineStr">
        <is>
          <t>17:15:28</t>
        </is>
      </c>
      <c r="D133" s="25" t="n">
        <v>1002</v>
      </c>
      <c r="E133" s="25" t="n">
        <v>108</v>
      </c>
      <c r="F133" s="25" t="n">
        <v>212</v>
      </c>
      <c r="G133" s="25" t="inlineStr">
        <is>
          <t>Delhi NCR</t>
        </is>
      </c>
      <c r="H133" s="25" t="inlineStr">
        <is>
          <t>Fast Food</t>
        </is>
      </c>
      <c r="I133" s="26" t="n">
        <v>837</v>
      </c>
      <c r="J133" s="26" t="n">
        <v>111.29</v>
      </c>
      <c r="K133" s="26" t="n">
        <v>0</v>
      </c>
      <c r="L133" s="27" t="n">
        <v>0.18</v>
      </c>
      <c r="M133" s="26" t="n">
        <v>150.66</v>
      </c>
      <c r="N133" s="28" t="n">
        <v>4.6</v>
      </c>
      <c r="O133" s="28" t="n">
        <v>31.2</v>
      </c>
      <c r="P133" s="25" t="inlineStr">
        <is>
          <t>Digital Wallet</t>
        </is>
      </c>
      <c r="Q133" s="25" t="inlineStr">
        <is>
          <t>Delivered</t>
        </is>
      </c>
      <c r="R133" s="25" t="n">
        <v>4</v>
      </c>
      <c r="S133" s="25">
        <f>TEXT(B133,"yyyy-mm")</f>
        <v/>
      </c>
      <c r="T133" s="25">
        <f>VLOOKUP(D133,Customers!A:D,4,FALSE)</f>
        <v/>
      </c>
      <c r="U133" s="25">
        <f>CONCATENATE(A133,"-",G133)</f>
        <v/>
      </c>
      <c r="V133" s="25">
        <f>IF(N133="","",IF(N133&lt;=30,"Fast (&lt;30m)",IF(N133&lt;=45,"Moderate (30-45m)","Delayed (&gt;45m)")))</f>
        <v/>
      </c>
      <c r="W133" s="25">
        <f>IF(AND(I133&gt;600,P133="Delivered"),"High Value Delivered","Standard")</f>
        <v/>
      </c>
      <c r="X133" s="25">
        <f>IF(OR(N133&gt;50,Q133&lt;=2),"High Risk / Delayed","Normal")</f>
        <v/>
      </c>
      <c r="Y133" s="25">
        <f>IF(NOT(P133="Cancelled"),"Fulfilled","Cancelled")</f>
        <v/>
      </c>
      <c r="Z133" s="25">
        <f>IFERROR(Q133,0)</f>
        <v/>
      </c>
    </row>
    <row r="134">
      <c r="A134" s="17" t="inlineStr">
        <is>
          <t>ORD1133</t>
        </is>
      </c>
      <c r="B134" s="17" t="inlineStr">
        <is>
          <t>2025-12-01</t>
        </is>
      </c>
      <c r="C134" s="17" t="inlineStr">
        <is>
          <t>13:23:44</t>
        </is>
      </c>
      <c r="D134" s="17" t="n">
        <v>1243</v>
      </c>
      <c r="E134" s="17" t="n">
        <v>104</v>
      </c>
      <c r="F134" s="17" t="n">
        <v>221</v>
      </c>
      <c r="G134" s="17" t="inlineStr">
        <is>
          <t>Delhi NCR</t>
        </is>
      </c>
      <c r="H134" s="17" t="inlineStr">
        <is>
          <t>Fast Food</t>
        </is>
      </c>
      <c r="I134" s="22" t="n">
        <v>576</v>
      </c>
      <c r="J134" s="22" t="n">
        <v>96.06</v>
      </c>
      <c r="K134" s="22" t="n">
        <v>0</v>
      </c>
      <c r="L134" s="23" t="n">
        <v>0.18</v>
      </c>
      <c r="M134" s="22" t="n">
        <v>103.68</v>
      </c>
      <c r="N134" s="24" t="n">
        <v>8.1</v>
      </c>
      <c r="O134" s="24" t="n">
        <v>52.2</v>
      </c>
      <c r="P134" s="17" t="inlineStr">
        <is>
          <t>Credit Card</t>
        </is>
      </c>
      <c r="Q134" s="17" t="inlineStr">
        <is>
          <t>Delivered</t>
        </is>
      </c>
      <c r="R134" s="17" t="n">
        <v>1</v>
      </c>
      <c r="S134" s="17">
        <f>TEXT(B134,"yyyy-mm")</f>
        <v/>
      </c>
      <c r="T134" s="17">
        <f>VLOOKUP(D134,Customers!A:D,4,FALSE)</f>
        <v/>
      </c>
      <c r="U134" s="17">
        <f>CONCATENATE(A134,"-",G134)</f>
        <v/>
      </c>
      <c r="V134" s="17">
        <f>IF(N134="","",IF(N134&lt;=30,"Fast (&lt;30m)",IF(N134&lt;=45,"Moderate (30-45m)","Delayed (&gt;45m)")))</f>
        <v/>
      </c>
      <c r="W134" s="17">
        <f>IF(AND(I134&gt;600,P134="Delivered"),"High Value Delivered","Standard")</f>
        <v/>
      </c>
      <c r="X134" s="17">
        <f>IF(OR(N134&gt;50,Q134&lt;=2),"High Risk / Delayed","Normal")</f>
        <v/>
      </c>
      <c r="Y134" s="17">
        <f>IF(NOT(P134="Cancelled"),"Fulfilled","Cancelled")</f>
        <v/>
      </c>
      <c r="Z134" s="17">
        <f>IFERROR(Q134,0)</f>
        <v/>
      </c>
    </row>
    <row r="135">
      <c r="A135" s="25" t="inlineStr">
        <is>
          <t>ORD1134</t>
        </is>
      </c>
      <c r="B135" s="25" t="inlineStr">
        <is>
          <t>2025-11-24</t>
        </is>
      </c>
      <c r="C135" s="25" t="inlineStr">
        <is>
          <t>14:58:18</t>
        </is>
      </c>
      <c r="D135" s="25" t="n">
        <v>1061</v>
      </c>
      <c r="E135" s="25" t="n">
        <v>116</v>
      </c>
      <c r="F135" s="25" t="n">
        <v>226</v>
      </c>
      <c r="G135" s="25" t="inlineStr">
        <is>
          <t>Pune</t>
        </is>
      </c>
      <c r="H135" s="25" t="inlineStr">
        <is>
          <t>Desserts</t>
        </is>
      </c>
      <c r="I135" s="26" t="n">
        <v>596</v>
      </c>
      <c r="J135" s="26" t="n">
        <v>10.45</v>
      </c>
      <c r="K135" s="26" t="n">
        <v>25</v>
      </c>
      <c r="L135" s="27" t="n">
        <v>0.25</v>
      </c>
      <c r="M135" s="26" t="n">
        <v>155.25</v>
      </c>
      <c r="N135" s="28" t="n">
        <v>2.9</v>
      </c>
      <c r="O135" s="28" t="n">
        <v>27.2</v>
      </c>
      <c r="P135" s="25" t="inlineStr">
        <is>
          <t>Credit Card</t>
        </is>
      </c>
      <c r="Q135" s="25" t="inlineStr">
        <is>
          <t>Delivered</t>
        </is>
      </c>
      <c r="R135" s="25" t="n">
        <v>4</v>
      </c>
      <c r="S135" s="25">
        <f>TEXT(B135,"yyyy-mm")</f>
        <v/>
      </c>
      <c r="T135" s="25">
        <f>VLOOKUP(D135,Customers!A:D,4,FALSE)</f>
        <v/>
      </c>
      <c r="U135" s="25">
        <f>CONCATENATE(A135,"-",G135)</f>
        <v/>
      </c>
      <c r="V135" s="25">
        <f>IF(N135="","",IF(N135&lt;=30,"Fast (&lt;30m)",IF(N135&lt;=45,"Moderate (30-45m)","Delayed (&gt;45m)")))</f>
        <v/>
      </c>
      <c r="W135" s="25">
        <f>IF(AND(I135&gt;600,P135="Delivered"),"High Value Delivered","Standard")</f>
        <v/>
      </c>
      <c r="X135" s="25">
        <f>IF(OR(N135&gt;50,Q135&lt;=2),"High Risk / Delayed","Normal")</f>
        <v/>
      </c>
      <c r="Y135" s="25">
        <f>IF(NOT(P135="Cancelled"),"Fulfilled","Cancelled")</f>
        <v/>
      </c>
      <c r="Z135" s="25">
        <f>IFERROR(Q135,0)</f>
        <v/>
      </c>
    </row>
    <row r="136">
      <c r="A136" s="17" t="inlineStr">
        <is>
          <t>ORD1135</t>
        </is>
      </c>
      <c r="B136" s="17" t="inlineStr">
        <is>
          <t>2025-12-26</t>
        </is>
      </c>
      <c r="C136" s="17" t="inlineStr">
        <is>
          <t>15:35:58</t>
        </is>
      </c>
      <c r="D136" s="17" t="n">
        <v>1217</v>
      </c>
      <c r="E136" s="17" t="n">
        <v>109</v>
      </c>
      <c r="F136" s="17" t="n">
        <v>215</v>
      </c>
      <c r="G136" s="17" t="inlineStr">
        <is>
          <t>Hyderabad</t>
        </is>
      </c>
      <c r="H136" s="17" t="inlineStr">
        <is>
          <t>Biryani</t>
        </is>
      </c>
      <c r="I136" s="22" t="n">
        <v>702</v>
      </c>
      <c r="J136" s="22" t="n">
        <v>45.04</v>
      </c>
      <c r="K136" s="22" t="n">
        <v>25</v>
      </c>
      <c r="L136" s="23" t="n">
        <v>0.2</v>
      </c>
      <c r="M136" s="22" t="n">
        <v>146.65</v>
      </c>
      <c r="N136" s="24" t="n">
        <v>3</v>
      </c>
      <c r="O136" s="24" t="n">
        <v>35</v>
      </c>
      <c r="P136" s="17" t="inlineStr">
        <is>
          <t>Credit Card</t>
        </is>
      </c>
      <c r="Q136" s="17" t="inlineStr">
        <is>
          <t>Delivered</t>
        </is>
      </c>
      <c r="R136" s="17" t="n">
        <v>5</v>
      </c>
      <c r="S136" s="17">
        <f>TEXT(B136,"yyyy-mm")</f>
        <v/>
      </c>
      <c r="T136" s="17">
        <f>VLOOKUP(D136,Customers!A:D,4,FALSE)</f>
        <v/>
      </c>
      <c r="U136" s="17">
        <f>CONCATENATE(A136,"-",G136)</f>
        <v/>
      </c>
      <c r="V136" s="17">
        <f>IF(N136="","",IF(N136&lt;=30,"Fast (&lt;30m)",IF(N136&lt;=45,"Moderate (30-45m)","Delayed (&gt;45m)")))</f>
        <v/>
      </c>
      <c r="W136" s="17">
        <f>IF(AND(I136&gt;600,P136="Delivered"),"High Value Delivered","Standard")</f>
        <v/>
      </c>
      <c r="X136" s="17">
        <f>IF(OR(N136&gt;50,Q136&lt;=2),"High Risk / Delayed","Normal")</f>
        <v/>
      </c>
      <c r="Y136" s="17">
        <f>IF(NOT(P136="Cancelled"),"Fulfilled","Cancelled")</f>
        <v/>
      </c>
      <c r="Z136" s="17">
        <f>IFERROR(Q136,0)</f>
        <v/>
      </c>
    </row>
    <row r="137">
      <c r="A137" s="25" t="inlineStr">
        <is>
          <t>ORD1136</t>
        </is>
      </c>
      <c r="B137" s="25" t="inlineStr">
        <is>
          <t>2025-02-09</t>
        </is>
      </c>
      <c r="C137" s="25" t="inlineStr">
        <is>
          <t>16:58:36</t>
        </is>
      </c>
      <c r="D137" s="25" t="n">
        <v>1189</v>
      </c>
      <c r="E137" s="25" t="n">
        <v>119</v>
      </c>
      <c r="F137" s="25" t="n">
        <v>215</v>
      </c>
      <c r="G137" s="25" t="inlineStr">
        <is>
          <t>Hyderabad</t>
        </is>
      </c>
      <c r="H137" s="25" t="inlineStr">
        <is>
          <t>Biryani</t>
        </is>
      </c>
      <c r="I137" s="26" t="n">
        <v>334</v>
      </c>
      <c r="J137" s="26" t="n">
        <v>0</v>
      </c>
      <c r="K137" s="26" t="n">
        <v>28</v>
      </c>
      <c r="L137" s="27" t="n">
        <v>0.2</v>
      </c>
      <c r="M137" s="26" t="n">
        <v>73.8</v>
      </c>
      <c r="N137" s="28" t="n">
        <v>3.6</v>
      </c>
      <c r="O137" s="28" t="n">
        <v>32.1</v>
      </c>
      <c r="P137" s="25" t="inlineStr">
        <is>
          <t>Digital Wallet</t>
        </is>
      </c>
      <c r="Q137" s="25" t="inlineStr">
        <is>
          <t>Delivered</t>
        </is>
      </c>
      <c r="R137" s="25" t="n">
        <v>4</v>
      </c>
      <c r="S137" s="25">
        <f>TEXT(B137,"yyyy-mm")</f>
        <v/>
      </c>
      <c r="T137" s="25">
        <f>VLOOKUP(D137,Customers!A:D,4,FALSE)</f>
        <v/>
      </c>
      <c r="U137" s="25">
        <f>CONCATENATE(A137,"-",G137)</f>
        <v/>
      </c>
      <c r="V137" s="25">
        <f>IF(N137="","",IF(N137&lt;=30,"Fast (&lt;30m)",IF(N137&lt;=45,"Moderate (30-45m)","Delayed (&gt;45m)")))</f>
        <v/>
      </c>
      <c r="W137" s="25">
        <f>IF(AND(I137&gt;600,P137="Delivered"),"High Value Delivered","Standard")</f>
        <v/>
      </c>
      <c r="X137" s="25">
        <f>IF(OR(N137&gt;50,Q137&lt;=2),"High Risk / Delayed","Normal")</f>
        <v/>
      </c>
      <c r="Y137" s="25">
        <f>IF(NOT(P137="Cancelled"),"Fulfilled","Cancelled")</f>
        <v/>
      </c>
      <c r="Z137" s="25">
        <f>IFERROR(Q137,0)</f>
        <v/>
      </c>
    </row>
    <row r="138">
      <c r="A138" s="17" t="inlineStr">
        <is>
          <t>ORD1137</t>
        </is>
      </c>
      <c r="B138" s="17" t="inlineStr">
        <is>
          <t>2025-03-26</t>
        </is>
      </c>
      <c r="C138" s="17" t="inlineStr">
        <is>
          <t>18:20:54</t>
        </is>
      </c>
      <c r="D138" s="17" t="n">
        <v>1190</v>
      </c>
      <c r="E138" s="17" t="n">
        <v>119</v>
      </c>
      <c r="F138" s="17" t="n">
        <v>215</v>
      </c>
      <c r="G138" s="17" t="inlineStr">
        <is>
          <t>Hyderabad</t>
        </is>
      </c>
      <c r="H138" s="17" t="inlineStr">
        <is>
          <t>Biryani</t>
        </is>
      </c>
      <c r="I138" s="22" t="n">
        <v>752</v>
      </c>
      <c r="J138" s="22" t="n">
        <v>0</v>
      </c>
      <c r="K138" s="22" t="n">
        <v>33.5</v>
      </c>
      <c r="L138" s="23" t="n">
        <v>0.2</v>
      </c>
      <c r="M138" s="22" t="n">
        <v>158.78</v>
      </c>
      <c r="N138" s="24" t="n">
        <v>4.7</v>
      </c>
      <c r="O138" s="24" t="n">
        <v>35</v>
      </c>
      <c r="P138" s="17" t="inlineStr">
        <is>
          <t>Digital Wallet</t>
        </is>
      </c>
      <c r="Q138" s="17" t="inlineStr">
        <is>
          <t>Delivered</t>
        </is>
      </c>
      <c r="R138" s="17" t="n">
        <v>5</v>
      </c>
      <c r="S138" s="17">
        <f>TEXT(B138,"yyyy-mm")</f>
        <v/>
      </c>
      <c r="T138" s="17">
        <f>VLOOKUP(D138,Customers!A:D,4,FALSE)</f>
        <v/>
      </c>
      <c r="U138" s="17">
        <f>CONCATENATE(A138,"-",G138)</f>
        <v/>
      </c>
      <c r="V138" s="17">
        <f>IF(N138="","",IF(N138&lt;=30,"Fast (&lt;30m)",IF(N138&lt;=45,"Moderate (30-45m)","Delayed (&gt;45m)")))</f>
        <v/>
      </c>
      <c r="W138" s="17">
        <f>IF(AND(I138&gt;600,P138="Delivered"),"High Value Delivered","Standard")</f>
        <v/>
      </c>
      <c r="X138" s="17">
        <f>IF(OR(N138&gt;50,Q138&lt;=2),"High Risk / Delayed","Normal")</f>
        <v/>
      </c>
      <c r="Y138" s="17">
        <f>IF(NOT(P138="Cancelled"),"Fulfilled","Cancelled")</f>
        <v/>
      </c>
      <c r="Z138" s="17">
        <f>IFERROR(Q138,0)</f>
        <v/>
      </c>
    </row>
    <row r="139">
      <c r="A139" s="25" t="inlineStr">
        <is>
          <t>ORD1138</t>
        </is>
      </c>
      <c r="B139" s="25" t="inlineStr">
        <is>
          <t>2025-01-29</t>
        </is>
      </c>
      <c r="C139" s="25" t="inlineStr">
        <is>
          <t>13:29:08</t>
        </is>
      </c>
      <c r="D139" s="25" t="n">
        <v>1049</v>
      </c>
      <c r="E139" s="25" t="n">
        <v>117</v>
      </c>
      <c r="F139" s="25" t="n">
        <v>202</v>
      </c>
      <c r="G139" s="25" t="inlineStr">
        <is>
          <t>Mumbai</t>
        </is>
      </c>
      <c r="H139" s="25" t="inlineStr">
        <is>
          <t>Chinese</t>
        </is>
      </c>
      <c r="I139" s="26" t="n">
        <v>745</v>
      </c>
      <c r="J139" s="26" t="n">
        <v>0</v>
      </c>
      <c r="K139" s="26" t="n">
        <v>28.5</v>
      </c>
      <c r="L139" s="27" t="n">
        <v>0.2</v>
      </c>
      <c r="M139" s="26" t="n">
        <v>156.12</v>
      </c>
      <c r="N139" s="28" t="n">
        <v>3.7</v>
      </c>
      <c r="O139" s="28" t="n">
        <v>39.8</v>
      </c>
      <c r="P139" s="25" t="inlineStr">
        <is>
          <t>Digital Wallet</t>
        </is>
      </c>
      <c r="Q139" s="25" t="inlineStr">
        <is>
          <t>Delivered</t>
        </is>
      </c>
      <c r="R139" s="25" t="n">
        <v>1</v>
      </c>
      <c r="S139" s="25">
        <f>TEXT(B139,"yyyy-mm")</f>
        <v/>
      </c>
      <c r="T139" s="25">
        <f>VLOOKUP(D139,Customers!A:D,4,FALSE)</f>
        <v/>
      </c>
      <c r="U139" s="25">
        <f>CONCATENATE(A139,"-",G139)</f>
        <v/>
      </c>
      <c r="V139" s="25">
        <f>IF(N139="","",IF(N139&lt;=30,"Fast (&lt;30m)",IF(N139&lt;=45,"Moderate (30-45m)","Delayed (&gt;45m)")))</f>
        <v/>
      </c>
      <c r="W139" s="25">
        <f>IF(AND(I139&gt;600,P139="Delivered"),"High Value Delivered","Standard")</f>
        <v/>
      </c>
      <c r="X139" s="25">
        <f>IF(OR(N139&gt;50,Q139&lt;=2),"High Risk / Delayed","Normal")</f>
        <v/>
      </c>
      <c r="Y139" s="25">
        <f>IF(NOT(P139="Cancelled"),"Fulfilled","Cancelled")</f>
        <v/>
      </c>
      <c r="Z139" s="25">
        <f>IFERROR(Q139,0)</f>
        <v/>
      </c>
    </row>
    <row r="140">
      <c r="A140" s="17" t="inlineStr">
        <is>
          <t>ORD1139</t>
        </is>
      </c>
      <c r="B140" s="17" t="inlineStr">
        <is>
          <t>2025-07-22</t>
        </is>
      </c>
      <c r="C140" s="17" t="inlineStr">
        <is>
          <t>19:16:52</t>
        </is>
      </c>
      <c r="D140" s="17" t="n">
        <v>1197</v>
      </c>
      <c r="E140" s="17" t="n">
        <v>113</v>
      </c>
      <c r="F140" s="17" t="n">
        <v>222</v>
      </c>
      <c r="G140" s="17" t="inlineStr">
        <is>
          <t>Mumbai</t>
        </is>
      </c>
      <c r="H140" s="17" t="inlineStr">
        <is>
          <t>Fast Food</t>
        </is>
      </c>
      <c r="I140" s="22" t="n">
        <v>223</v>
      </c>
      <c r="J140" s="22" t="n">
        <v>22.79</v>
      </c>
      <c r="K140" s="22" t="n">
        <v>41</v>
      </c>
      <c r="L140" s="23" t="n">
        <v>0.18</v>
      </c>
      <c r="M140" s="22" t="n">
        <v>50.39</v>
      </c>
      <c r="N140" s="24" t="n">
        <v>6.2</v>
      </c>
      <c r="O140" s="24" t="n">
        <v>51.3</v>
      </c>
      <c r="P140" s="17" t="inlineStr">
        <is>
          <t>UPI</t>
        </is>
      </c>
      <c r="Q140" s="17" t="inlineStr">
        <is>
          <t>Delivered</t>
        </is>
      </c>
      <c r="R140" s="17" t="n">
        <v>3</v>
      </c>
      <c r="S140" s="17">
        <f>TEXT(B140,"yyyy-mm")</f>
        <v/>
      </c>
      <c r="T140" s="17">
        <f>VLOOKUP(D140,Customers!A:D,4,FALSE)</f>
        <v/>
      </c>
      <c r="U140" s="17">
        <f>CONCATENATE(A140,"-",G140)</f>
        <v/>
      </c>
      <c r="V140" s="17">
        <f>IF(N140="","",IF(N140&lt;=30,"Fast (&lt;30m)",IF(N140&lt;=45,"Moderate (30-45m)","Delayed (&gt;45m)")))</f>
        <v/>
      </c>
      <c r="W140" s="17">
        <f>IF(AND(I140&gt;600,P140="Delivered"),"High Value Delivered","Standard")</f>
        <v/>
      </c>
      <c r="X140" s="17">
        <f>IF(OR(N140&gt;50,Q140&lt;=2),"High Risk / Delayed","Normal")</f>
        <v/>
      </c>
      <c r="Y140" s="17">
        <f>IF(NOT(P140="Cancelled"),"Fulfilled","Cancelled")</f>
        <v/>
      </c>
      <c r="Z140" s="17">
        <f>IFERROR(Q140,0)</f>
        <v/>
      </c>
    </row>
    <row r="141">
      <c r="A141" s="25" t="inlineStr">
        <is>
          <t>ORD1140</t>
        </is>
      </c>
      <c r="B141" s="25" t="inlineStr">
        <is>
          <t>2025-10-05</t>
        </is>
      </c>
      <c r="C141" s="25" t="inlineStr">
        <is>
          <t>11:03:59</t>
        </is>
      </c>
      <c r="D141" s="25" t="n">
        <v>1081</v>
      </c>
      <c r="E141" s="25" t="n">
        <v>101</v>
      </c>
      <c r="F141" s="25" t="n">
        <v>218</v>
      </c>
      <c r="G141" s="25" t="inlineStr">
        <is>
          <t>Bangalore</t>
        </is>
      </c>
      <c r="H141" s="25" t="inlineStr">
        <is>
          <t>North Indian</t>
        </is>
      </c>
      <c r="I141" s="26" t="n">
        <v>629</v>
      </c>
      <c r="J141" s="26" t="n">
        <v>92.59</v>
      </c>
      <c r="K141" s="26" t="n">
        <v>0</v>
      </c>
      <c r="L141" s="27" t="n">
        <v>0.2</v>
      </c>
      <c r="M141" s="26" t="n">
        <v>125.8</v>
      </c>
      <c r="N141" s="28" t="n">
        <v>7.3</v>
      </c>
      <c r="O141" s="28" t="n">
        <v>38.3</v>
      </c>
      <c r="P141" s="25" t="inlineStr">
        <is>
          <t>Credit Card</t>
        </is>
      </c>
      <c r="Q141" s="25" t="inlineStr">
        <is>
          <t>Delivered</t>
        </is>
      </c>
      <c r="R141" s="25" t="n">
        <v>4</v>
      </c>
      <c r="S141" s="25">
        <f>TEXT(B141,"yyyy-mm")</f>
        <v/>
      </c>
      <c r="T141" s="25">
        <f>VLOOKUP(D141,Customers!A:D,4,FALSE)</f>
        <v/>
      </c>
      <c r="U141" s="25">
        <f>CONCATENATE(A141,"-",G141)</f>
        <v/>
      </c>
      <c r="V141" s="25">
        <f>IF(N141="","",IF(N141&lt;=30,"Fast (&lt;30m)",IF(N141&lt;=45,"Moderate (30-45m)","Delayed (&gt;45m)")))</f>
        <v/>
      </c>
      <c r="W141" s="25">
        <f>IF(AND(I141&gt;600,P141="Delivered"),"High Value Delivered","Standard")</f>
        <v/>
      </c>
      <c r="X141" s="25">
        <f>IF(OR(N141&gt;50,Q141&lt;=2),"High Risk / Delayed","Normal")</f>
        <v/>
      </c>
      <c r="Y141" s="25">
        <f>IF(NOT(P141="Cancelled"),"Fulfilled","Cancelled")</f>
        <v/>
      </c>
      <c r="Z141" s="25">
        <f>IFERROR(Q141,0)</f>
        <v/>
      </c>
    </row>
    <row r="142">
      <c r="A142" s="17" t="inlineStr">
        <is>
          <t>ORD1141</t>
        </is>
      </c>
      <c r="B142" s="17" t="inlineStr">
        <is>
          <t>2025-07-11</t>
        </is>
      </c>
      <c r="C142" s="17" t="inlineStr">
        <is>
          <t>13:57:24</t>
        </is>
      </c>
      <c r="D142" s="17" t="n">
        <v>1088</v>
      </c>
      <c r="E142" s="17" t="n">
        <v>116</v>
      </c>
      <c r="F142" s="17" t="n">
        <v>209</v>
      </c>
      <c r="G142" s="17" t="inlineStr">
        <is>
          <t>Pune</t>
        </is>
      </c>
      <c r="H142" s="17" t="inlineStr">
        <is>
          <t>Desserts</t>
        </is>
      </c>
      <c r="I142" s="22" t="n">
        <v>679</v>
      </c>
      <c r="J142" s="22" t="n">
        <v>75.28</v>
      </c>
      <c r="K142" s="22" t="n">
        <v>34.5</v>
      </c>
      <c r="L142" s="23" t="n">
        <v>0.25</v>
      </c>
      <c r="M142" s="22" t="n">
        <v>178.38</v>
      </c>
      <c r="N142" s="24" t="n">
        <v>4.9</v>
      </c>
      <c r="O142" s="24" t="n">
        <v>41.5</v>
      </c>
      <c r="P142" s="17" t="inlineStr">
        <is>
          <t>Cash on Delivery</t>
        </is>
      </c>
      <c r="Q142" s="17" t="inlineStr">
        <is>
          <t>Delivered</t>
        </is>
      </c>
      <c r="R142" s="17" t="n">
        <v>5</v>
      </c>
      <c r="S142" s="17">
        <f>TEXT(B142,"yyyy-mm")</f>
        <v/>
      </c>
      <c r="T142" s="17">
        <f>VLOOKUP(D142,Customers!A:D,4,FALSE)</f>
        <v/>
      </c>
      <c r="U142" s="17">
        <f>CONCATENATE(A142,"-",G142)</f>
        <v/>
      </c>
      <c r="V142" s="17">
        <f>IF(N142="","",IF(N142&lt;=30,"Fast (&lt;30m)",IF(N142&lt;=45,"Moderate (30-45m)","Delayed (&gt;45m)")))</f>
        <v/>
      </c>
      <c r="W142" s="17">
        <f>IF(AND(I142&gt;600,P142="Delivered"),"High Value Delivered","Standard")</f>
        <v/>
      </c>
      <c r="X142" s="17">
        <f>IF(OR(N142&gt;50,Q142&lt;=2),"High Risk / Delayed","Normal")</f>
        <v/>
      </c>
      <c r="Y142" s="17">
        <f>IF(NOT(P142="Cancelled"),"Fulfilled","Cancelled")</f>
        <v/>
      </c>
      <c r="Z142" s="17">
        <f>IFERROR(Q142,0)</f>
        <v/>
      </c>
    </row>
    <row r="143">
      <c r="A143" s="25" t="inlineStr">
        <is>
          <t>ORD1142</t>
        </is>
      </c>
      <c r="B143" s="25" t="inlineStr">
        <is>
          <t>2025-12-01</t>
        </is>
      </c>
      <c r="C143" s="25" t="inlineStr">
        <is>
          <t>14:55:22</t>
        </is>
      </c>
      <c r="D143" s="25" t="n">
        <v>1225</v>
      </c>
      <c r="E143" s="25" t="n">
        <v>116</v>
      </c>
      <c r="F143" s="25" t="n">
        <v>208</v>
      </c>
      <c r="G143" s="25" t="inlineStr">
        <is>
          <t>Pune</t>
        </is>
      </c>
      <c r="H143" s="25" t="inlineStr">
        <is>
          <t>Desserts</t>
        </is>
      </c>
      <c r="I143" s="26" t="n">
        <v>341</v>
      </c>
      <c r="J143" s="26" t="n">
        <v>0</v>
      </c>
      <c r="K143" s="26" t="n">
        <v>25</v>
      </c>
      <c r="L143" s="27" t="n">
        <v>0.25</v>
      </c>
      <c r="M143" s="26" t="n">
        <v>91.5</v>
      </c>
      <c r="N143" s="28" t="n">
        <v>2.7</v>
      </c>
      <c r="O143" s="28" t="n">
        <v>81.5</v>
      </c>
      <c r="P143" s="25" t="inlineStr">
        <is>
          <t>Credit Card</t>
        </is>
      </c>
      <c r="Q143" s="25" t="inlineStr">
        <is>
          <t>Delivered</t>
        </is>
      </c>
      <c r="R143" s="25" t="n">
        <v>1</v>
      </c>
      <c r="S143" s="25">
        <f>TEXT(B143,"yyyy-mm")</f>
        <v/>
      </c>
      <c r="T143" s="25">
        <f>VLOOKUP(D143,Customers!A:D,4,FALSE)</f>
        <v/>
      </c>
      <c r="U143" s="25">
        <f>CONCATENATE(A143,"-",G143)</f>
        <v/>
      </c>
      <c r="V143" s="25">
        <f>IF(N143="","",IF(N143&lt;=30,"Fast (&lt;30m)",IF(N143&lt;=45,"Moderate (30-45m)","Delayed (&gt;45m)")))</f>
        <v/>
      </c>
      <c r="W143" s="25">
        <f>IF(AND(I143&gt;600,P143="Delivered"),"High Value Delivered","Standard")</f>
        <v/>
      </c>
      <c r="X143" s="25">
        <f>IF(OR(N143&gt;50,Q143&lt;=2),"High Risk / Delayed","Normal")</f>
        <v/>
      </c>
      <c r="Y143" s="25">
        <f>IF(NOT(P143="Cancelled"),"Fulfilled","Cancelled")</f>
        <v/>
      </c>
      <c r="Z143" s="25">
        <f>IFERROR(Q143,0)</f>
        <v/>
      </c>
    </row>
    <row r="144">
      <c r="A144" s="17" t="inlineStr">
        <is>
          <t>ORD1143</t>
        </is>
      </c>
      <c r="B144" s="17" t="inlineStr">
        <is>
          <t>2025-06-02</t>
        </is>
      </c>
      <c r="C144" s="17" t="inlineStr">
        <is>
          <t>17:29:43</t>
        </is>
      </c>
      <c r="D144" s="17" t="n">
        <v>1292</v>
      </c>
      <c r="E144" s="17" t="n">
        <v>120</v>
      </c>
      <c r="F144" s="17" t="n">
        <v>217</v>
      </c>
      <c r="G144" s="17" t="inlineStr">
        <is>
          <t>Pune</t>
        </is>
      </c>
      <c r="H144" s="17" t="inlineStr">
        <is>
          <t>Fast Food</t>
        </is>
      </c>
      <c r="I144" s="22" t="n">
        <v>777</v>
      </c>
      <c r="J144" s="22" t="n">
        <v>0</v>
      </c>
      <c r="K144" s="22" t="n">
        <v>52.5</v>
      </c>
      <c r="L144" s="23" t="n">
        <v>0.18</v>
      </c>
      <c r="M144" s="22" t="n">
        <v>152.98</v>
      </c>
      <c r="N144" s="24" t="n">
        <v>8.5</v>
      </c>
      <c r="O144" s="24" t="n">
        <v>41.1</v>
      </c>
      <c r="P144" s="17" t="inlineStr">
        <is>
          <t>Credit Card</t>
        </is>
      </c>
      <c r="Q144" s="17" t="inlineStr">
        <is>
          <t>Delivered</t>
        </is>
      </c>
      <c r="R144" s="17" t="n">
        <v>5</v>
      </c>
      <c r="S144" s="17">
        <f>TEXT(B144,"yyyy-mm")</f>
        <v/>
      </c>
      <c r="T144" s="17">
        <f>VLOOKUP(D144,Customers!A:D,4,FALSE)</f>
        <v/>
      </c>
      <c r="U144" s="17">
        <f>CONCATENATE(A144,"-",G144)</f>
        <v/>
      </c>
      <c r="V144" s="17">
        <f>IF(N144="","",IF(N144&lt;=30,"Fast (&lt;30m)",IF(N144&lt;=45,"Moderate (30-45m)","Delayed (&gt;45m)")))</f>
        <v/>
      </c>
      <c r="W144" s="17">
        <f>IF(AND(I144&gt;600,P144="Delivered"),"High Value Delivered","Standard")</f>
        <v/>
      </c>
      <c r="X144" s="17">
        <f>IF(OR(N144&gt;50,Q144&lt;=2),"High Risk / Delayed","Normal")</f>
        <v/>
      </c>
      <c r="Y144" s="17">
        <f>IF(NOT(P144="Cancelled"),"Fulfilled","Cancelled")</f>
        <v/>
      </c>
      <c r="Z144" s="17">
        <f>IFERROR(Q144,0)</f>
        <v/>
      </c>
    </row>
    <row r="145">
      <c r="A145" s="25" t="inlineStr">
        <is>
          <t>ORD1144</t>
        </is>
      </c>
      <c r="B145" s="25" t="inlineStr">
        <is>
          <t>2025-06-27</t>
        </is>
      </c>
      <c r="C145" s="25" t="inlineStr">
        <is>
          <t>17:09:17</t>
        </is>
      </c>
      <c r="D145" s="25" t="n">
        <v>1265</v>
      </c>
      <c r="E145" s="25" t="n">
        <v>111</v>
      </c>
      <c r="F145" s="25" t="n">
        <v>227</v>
      </c>
      <c r="G145" s="25" t="inlineStr">
        <is>
          <t>Bangalore</t>
        </is>
      </c>
      <c r="H145" s="25" t="inlineStr">
        <is>
          <t>South Indian</t>
        </is>
      </c>
      <c r="I145" s="26" t="n">
        <v>752</v>
      </c>
      <c r="J145" s="26" t="n">
        <v>141.02</v>
      </c>
      <c r="K145" s="26" t="n">
        <v>0</v>
      </c>
      <c r="L145" s="27" t="n">
        <v>0.15</v>
      </c>
      <c r="M145" s="26" t="n">
        <v>112.8</v>
      </c>
      <c r="N145" s="28" t="n">
        <v>2.4</v>
      </c>
      <c r="O145" s="28" t="n">
        <v>30</v>
      </c>
      <c r="P145" s="25" t="inlineStr">
        <is>
          <t>UPI</t>
        </is>
      </c>
      <c r="Q145" s="25" t="inlineStr">
        <is>
          <t>Delivered</t>
        </is>
      </c>
      <c r="R145" s="25" t="n">
        <v>5</v>
      </c>
      <c r="S145" s="25">
        <f>TEXT(B145,"yyyy-mm")</f>
        <v/>
      </c>
      <c r="T145" s="25">
        <f>VLOOKUP(D145,Customers!A:D,4,FALSE)</f>
        <v/>
      </c>
      <c r="U145" s="25">
        <f>CONCATENATE(A145,"-",G145)</f>
        <v/>
      </c>
      <c r="V145" s="25">
        <f>IF(N145="","",IF(N145&lt;=30,"Fast (&lt;30m)",IF(N145&lt;=45,"Moderate (30-45m)","Delayed (&gt;45m)")))</f>
        <v/>
      </c>
      <c r="W145" s="25">
        <f>IF(AND(I145&gt;600,P145="Delivered"),"High Value Delivered","Standard")</f>
        <v/>
      </c>
      <c r="X145" s="25">
        <f>IF(OR(N145&gt;50,Q145&lt;=2),"High Risk / Delayed","Normal")</f>
        <v/>
      </c>
      <c r="Y145" s="25">
        <f>IF(NOT(P145="Cancelled"),"Fulfilled","Cancelled")</f>
        <v/>
      </c>
      <c r="Z145" s="25">
        <f>IFERROR(Q145,0)</f>
        <v/>
      </c>
    </row>
    <row r="146">
      <c r="A146" s="17" t="inlineStr">
        <is>
          <t>ORD1145</t>
        </is>
      </c>
      <c r="B146" s="17" t="inlineStr">
        <is>
          <t>2025-04-16</t>
        </is>
      </c>
      <c r="C146" s="17" t="inlineStr">
        <is>
          <t>14:04:06</t>
        </is>
      </c>
      <c r="D146" s="17" t="n">
        <v>1018</v>
      </c>
      <c r="E146" s="17" t="n">
        <v>112</v>
      </c>
      <c r="F146" s="17" t="n">
        <v>212</v>
      </c>
      <c r="G146" s="17" t="inlineStr">
        <is>
          <t>Delhi NCR</t>
        </is>
      </c>
      <c r="H146" s="17" t="inlineStr">
        <is>
          <t>North Indian</t>
        </is>
      </c>
      <c r="I146" s="22" t="n">
        <v>828</v>
      </c>
      <c r="J146" s="22" t="n">
        <v>0</v>
      </c>
      <c r="K146" s="22" t="n">
        <v>32.5</v>
      </c>
      <c r="L146" s="23" t="n">
        <v>0.22</v>
      </c>
      <c r="M146" s="22" t="n">
        <v>190.28</v>
      </c>
      <c r="N146" s="24" t="n">
        <v>4.5</v>
      </c>
      <c r="O146" s="24" t="n">
        <v>37.2</v>
      </c>
      <c r="P146" s="17" t="inlineStr">
        <is>
          <t>UPI</t>
        </is>
      </c>
      <c r="Q146" s="17" t="inlineStr">
        <is>
          <t>Delivered</t>
        </is>
      </c>
      <c r="R146" s="17" t="n">
        <v>4</v>
      </c>
      <c r="S146" s="17">
        <f>TEXT(B146,"yyyy-mm")</f>
        <v/>
      </c>
      <c r="T146" s="17">
        <f>VLOOKUP(D146,Customers!A:D,4,FALSE)</f>
        <v/>
      </c>
      <c r="U146" s="17">
        <f>CONCATENATE(A146,"-",G146)</f>
        <v/>
      </c>
      <c r="V146" s="17">
        <f>IF(N146="","",IF(N146&lt;=30,"Fast (&lt;30m)",IF(N146&lt;=45,"Moderate (30-45m)","Delayed (&gt;45m)")))</f>
        <v/>
      </c>
      <c r="W146" s="17">
        <f>IF(AND(I146&gt;600,P146="Delivered"),"High Value Delivered","Standard")</f>
        <v/>
      </c>
      <c r="X146" s="17">
        <f>IF(OR(N146&gt;50,Q146&lt;=2),"High Risk / Delayed","Normal")</f>
        <v/>
      </c>
      <c r="Y146" s="17">
        <f>IF(NOT(P146="Cancelled"),"Fulfilled","Cancelled")</f>
        <v/>
      </c>
      <c r="Z146" s="17">
        <f>IFERROR(Q146,0)</f>
        <v/>
      </c>
    </row>
    <row r="147">
      <c r="A147" s="25" t="inlineStr">
        <is>
          <t>ORD1146</t>
        </is>
      </c>
      <c r="B147" s="25" t="inlineStr">
        <is>
          <t>2025-07-25</t>
        </is>
      </c>
      <c r="C147" s="25" t="inlineStr">
        <is>
          <t>18:28:14</t>
        </is>
      </c>
      <c r="D147" s="25" t="n">
        <v>1235</v>
      </c>
      <c r="E147" s="25" t="n">
        <v>114</v>
      </c>
      <c r="F147" s="25" t="n">
        <v>215</v>
      </c>
      <c r="G147" s="25" t="inlineStr">
        <is>
          <t>Hyderabad</t>
        </is>
      </c>
      <c r="H147" s="25" t="inlineStr">
        <is>
          <t>Biryani</t>
        </is>
      </c>
      <c r="I147" s="26" t="n">
        <v>772</v>
      </c>
      <c r="J147" s="26" t="n">
        <v>0</v>
      </c>
      <c r="K147" s="26" t="n">
        <v>25</v>
      </c>
      <c r="L147" s="27" t="n">
        <v>0.22</v>
      </c>
      <c r="M147" s="26" t="n">
        <v>176.09</v>
      </c>
      <c r="N147" s="28" t="n">
        <v>2</v>
      </c>
      <c r="O147" s="28" t="n">
        <v>30.8</v>
      </c>
      <c r="P147" s="25" t="inlineStr">
        <is>
          <t>UPI</t>
        </is>
      </c>
      <c r="Q147" s="25" t="inlineStr">
        <is>
          <t>Delivered</t>
        </is>
      </c>
      <c r="R147" s="25" t="n">
        <v>4</v>
      </c>
      <c r="S147" s="25">
        <f>TEXT(B147,"yyyy-mm")</f>
        <v/>
      </c>
      <c r="T147" s="25">
        <f>VLOOKUP(D147,Customers!A:D,4,FALSE)</f>
        <v/>
      </c>
      <c r="U147" s="25">
        <f>CONCATENATE(A147,"-",G147)</f>
        <v/>
      </c>
      <c r="V147" s="25">
        <f>IF(N147="","",IF(N147&lt;=30,"Fast (&lt;30m)",IF(N147&lt;=45,"Moderate (30-45m)","Delayed (&gt;45m)")))</f>
        <v/>
      </c>
      <c r="W147" s="25">
        <f>IF(AND(I147&gt;600,P147="Delivered"),"High Value Delivered","Standard")</f>
        <v/>
      </c>
      <c r="X147" s="25">
        <f>IF(OR(N147&gt;50,Q147&lt;=2),"High Risk / Delayed","Normal")</f>
        <v/>
      </c>
      <c r="Y147" s="25">
        <f>IF(NOT(P147="Cancelled"),"Fulfilled","Cancelled")</f>
        <v/>
      </c>
      <c r="Z147" s="25">
        <f>IFERROR(Q147,0)</f>
        <v/>
      </c>
    </row>
    <row r="148">
      <c r="A148" s="17" t="inlineStr">
        <is>
          <t>ORD1147</t>
        </is>
      </c>
      <c r="B148" s="17" t="inlineStr">
        <is>
          <t>2025-04-30</t>
        </is>
      </c>
      <c r="C148" s="17" t="inlineStr">
        <is>
          <t>17:52:58</t>
        </is>
      </c>
      <c r="D148" s="17" t="n">
        <v>1077</v>
      </c>
      <c r="E148" s="17" t="n">
        <v>109</v>
      </c>
      <c r="F148" s="17" t="n">
        <v>215</v>
      </c>
      <c r="G148" s="17" t="inlineStr">
        <is>
          <t>Hyderabad</t>
        </is>
      </c>
      <c r="H148" s="17" t="inlineStr">
        <is>
          <t>Biryani</t>
        </is>
      </c>
      <c r="I148" s="22" t="n">
        <v>809</v>
      </c>
      <c r="J148" s="22" t="n">
        <v>58.51</v>
      </c>
      <c r="K148" s="22" t="n">
        <v>36</v>
      </c>
      <c r="L148" s="23" t="n">
        <v>0.2</v>
      </c>
      <c r="M148" s="22" t="n">
        <v>170.8</v>
      </c>
      <c r="N148" s="24" t="n">
        <v>5.2</v>
      </c>
      <c r="O148" s="24" t="n">
        <v>38.9</v>
      </c>
      <c r="P148" s="17" t="inlineStr">
        <is>
          <t>Debit Card</t>
        </is>
      </c>
      <c r="Q148" s="17" t="inlineStr">
        <is>
          <t>Delivered</t>
        </is>
      </c>
      <c r="R148" s="17" t="n">
        <v>4</v>
      </c>
      <c r="S148" s="17">
        <f>TEXT(B148,"yyyy-mm")</f>
        <v/>
      </c>
      <c r="T148" s="17">
        <f>VLOOKUP(D148,Customers!A:D,4,FALSE)</f>
        <v/>
      </c>
      <c r="U148" s="17">
        <f>CONCATENATE(A148,"-",G148)</f>
        <v/>
      </c>
      <c r="V148" s="17">
        <f>IF(N148="","",IF(N148&lt;=30,"Fast (&lt;30m)",IF(N148&lt;=45,"Moderate (30-45m)","Delayed (&gt;45m)")))</f>
        <v/>
      </c>
      <c r="W148" s="17">
        <f>IF(AND(I148&gt;600,P148="Delivered"),"High Value Delivered","Standard")</f>
        <v/>
      </c>
      <c r="X148" s="17">
        <f>IF(OR(N148&gt;50,Q148&lt;=2),"High Risk / Delayed","Normal")</f>
        <v/>
      </c>
      <c r="Y148" s="17">
        <f>IF(NOT(P148="Cancelled"),"Fulfilled","Cancelled")</f>
        <v/>
      </c>
      <c r="Z148" s="17">
        <f>IFERROR(Q148,0)</f>
        <v/>
      </c>
    </row>
    <row r="149">
      <c r="A149" s="25" t="inlineStr">
        <is>
          <t>ORD1148</t>
        </is>
      </c>
      <c r="B149" s="25" t="inlineStr">
        <is>
          <t>2025-03-15</t>
        </is>
      </c>
      <c r="C149" s="25" t="inlineStr">
        <is>
          <t>12:42:33</t>
        </is>
      </c>
      <c r="D149" s="25" t="n">
        <v>1049</v>
      </c>
      <c r="E149" s="25" t="n">
        <v>103</v>
      </c>
      <c r="F149" s="25" t="n">
        <v>202</v>
      </c>
      <c r="G149" s="25" t="inlineStr">
        <is>
          <t>Mumbai</t>
        </is>
      </c>
      <c r="H149" s="25" t="inlineStr">
        <is>
          <t>Italian</t>
        </is>
      </c>
      <c r="I149" s="26" t="n">
        <v>446</v>
      </c>
      <c r="J149" s="26" t="n">
        <v>0</v>
      </c>
      <c r="K149" s="26" t="n">
        <v>31</v>
      </c>
      <c r="L149" s="27" t="n">
        <v>0.18</v>
      </c>
      <c r="M149" s="26" t="n">
        <v>88.03</v>
      </c>
      <c r="N149" s="28" t="n">
        <v>4.2</v>
      </c>
      <c r="O149" s="28" t="n">
        <v>31.6</v>
      </c>
      <c r="P149" s="25" t="inlineStr">
        <is>
          <t>Digital Wallet</t>
        </is>
      </c>
      <c r="Q149" s="25" t="inlineStr">
        <is>
          <t>Delivered</t>
        </is>
      </c>
      <c r="R149" s="25" t="n">
        <v>3</v>
      </c>
      <c r="S149" s="25">
        <f>TEXT(B149,"yyyy-mm")</f>
        <v/>
      </c>
      <c r="T149" s="25">
        <f>VLOOKUP(D149,Customers!A:D,4,FALSE)</f>
        <v/>
      </c>
      <c r="U149" s="25">
        <f>CONCATENATE(A149,"-",G149)</f>
        <v/>
      </c>
      <c r="V149" s="25">
        <f>IF(N149="","",IF(N149&lt;=30,"Fast (&lt;30m)",IF(N149&lt;=45,"Moderate (30-45m)","Delayed (&gt;45m)")))</f>
        <v/>
      </c>
      <c r="W149" s="25">
        <f>IF(AND(I149&gt;600,P149="Delivered"),"High Value Delivered","Standard")</f>
        <v/>
      </c>
      <c r="X149" s="25">
        <f>IF(OR(N149&gt;50,Q149&lt;=2),"High Risk / Delayed","Normal")</f>
        <v/>
      </c>
      <c r="Y149" s="25">
        <f>IF(NOT(P149="Cancelled"),"Fulfilled","Cancelled")</f>
        <v/>
      </c>
      <c r="Z149" s="25">
        <f>IFERROR(Q149,0)</f>
        <v/>
      </c>
    </row>
    <row r="150">
      <c r="A150" s="17" t="inlineStr">
        <is>
          <t>ORD1149</t>
        </is>
      </c>
      <c r="B150" s="17" t="inlineStr">
        <is>
          <t>2025-01-25</t>
        </is>
      </c>
      <c r="C150" s="17" t="inlineStr">
        <is>
          <t>20:22:41</t>
        </is>
      </c>
      <c r="D150" s="17" t="n">
        <v>1016</v>
      </c>
      <c r="E150" s="17" t="n">
        <v>101</v>
      </c>
      <c r="F150" s="17" t="n">
        <v>201</v>
      </c>
      <c r="G150" s="17" t="inlineStr">
        <is>
          <t>Bangalore</t>
        </is>
      </c>
      <c r="H150" s="17" t="inlineStr">
        <is>
          <t>North Indian</t>
        </is>
      </c>
      <c r="I150" s="22" t="n">
        <v>907</v>
      </c>
      <c r="J150" s="22" t="n">
        <v>0</v>
      </c>
      <c r="K150" s="22" t="n">
        <v>25</v>
      </c>
      <c r="L150" s="23" t="n">
        <v>0.2</v>
      </c>
      <c r="M150" s="22" t="n">
        <v>187.65</v>
      </c>
      <c r="N150" s="24" t="n">
        <v>2.4</v>
      </c>
      <c r="O150" s="24" t="n">
        <v>30.5</v>
      </c>
      <c r="P150" s="17" t="inlineStr">
        <is>
          <t>Cash on Delivery</t>
        </is>
      </c>
      <c r="Q150" s="17" t="inlineStr">
        <is>
          <t>Delivered</t>
        </is>
      </c>
      <c r="R150" s="17" t="n">
        <v>2</v>
      </c>
      <c r="S150" s="17">
        <f>TEXT(B150,"yyyy-mm")</f>
        <v/>
      </c>
      <c r="T150" s="17">
        <f>VLOOKUP(D150,Customers!A:D,4,FALSE)</f>
        <v/>
      </c>
      <c r="U150" s="17">
        <f>CONCATENATE(A150,"-",G150)</f>
        <v/>
      </c>
      <c r="V150" s="17">
        <f>IF(N150="","",IF(N150&lt;=30,"Fast (&lt;30m)",IF(N150&lt;=45,"Moderate (30-45m)","Delayed (&gt;45m)")))</f>
        <v/>
      </c>
      <c r="W150" s="17">
        <f>IF(AND(I150&gt;600,P150="Delivered"),"High Value Delivered","Standard")</f>
        <v/>
      </c>
      <c r="X150" s="17">
        <f>IF(OR(N150&gt;50,Q150&lt;=2),"High Risk / Delayed","Normal")</f>
        <v/>
      </c>
      <c r="Y150" s="17">
        <f>IF(NOT(P150="Cancelled"),"Fulfilled","Cancelled")</f>
        <v/>
      </c>
      <c r="Z150" s="17">
        <f>IFERROR(Q150,0)</f>
        <v/>
      </c>
    </row>
    <row r="151">
      <c r="A151" s="25" t="inlineStr">
        <is>
          <t>ORD1150</t>
        </is>
      </c>
      <c r="B151" s="25" t="inlineStr">
        <is>
          <t>2025-07-12</t>
        </is>
      </c>
      <c r="C151" s="25" t="inlineStr">
        <is>
          <t>12:11:48</t>
        </is>
      </c>
      <c r="D151" s="25" t="n">
        <v>1223</v>
      </c>
      <c r="E151" s="25" t="n">
        <v>119</v>
      </c>
      <c r="F151" s="25" t="n">
        <v>216</v>
      </c>
      <c r="G151" s="25" t="inlineStr">
        <is>
          <t>Hyderabad</t>
        </is>
      </c>
      <c r="H151" s="25" t="inlineStr">
        <is>
          <t>Biryani</t>
        </is>
      </c>
      <c r="I151" s="26" t="n">
        <v>770</v>
      </c>
      <c r="J151" s="26" t="n">
        <v>0</v>
      </c>
      <c r="K151" s="26" t="n">
        <v>25</v>
      </c>
      <c r="L151" s="27" t="n">
        <v>0.2</v>
      </c>
      <c r="M151" s="26" t="n">
        <v>160.25</v>
      </c>
      <c r="N151" s="28" t="n">
        <v>2.7</v>
      </c>
      <c r="O151" s="28" t="n">
        <v>33.1</v>
      </c>
      <c r="P151" s="25" t="inlineStr">
        <is>
          <t>Debit Card</t>
        </is>
      </c>
      <c r="Q151" s="25" t="inlineStr">
        <is>
          <t>Delivered</t>
        </is>
      </c>
      <c r="R151" s="25" t="n">
        <v>5</v>
      </c>
      <c r="S151" s="25">
        <f>TEXT(B151,"yyyy-mm")</f>
        <v/>
      </c>
      <c r="T151" s="25">
        <f>VLOOKUP(D151,Customers!A:D,4,FALSE)</f>
        <v/>
      </c>
      <c r="U151" s="25">
        <f>CONCATENATE(A151,"-",G151)</f>
        <v/>
      </c>
      <c r="V151" s="25">
        <f>IF(N151="","",IF(N151&lt;=30,"Fast (&lt;30m)",IF(N151&lt;=45,"Moderate (30-45m)","Delayed (&gt;45m)")))</f>
        <v/>
      </c>
      <c r="W151" s="25">
        <f>IF(AND(I151&gt;600,P151="Delivered"),"High Value Delivered","Standard")</f>
        <v/>
      </c>
      <c r="X151" s="25">
        <f>IF(OR(N151&gt;50,Q151&lt;=2),"High Risk / Delayed","Normal")</f>
        <v/>
      </c>
      <c r="Y151" s="25">
        <f>IF(NOT(P151="Cancelled"),"Fulfilled","Cancelled")</f>
        <v/>
      </c>
      <c r="Z151" s="25">
        <f>IFERROR(Q151,0)</f>
        <v/>
      </c>
    </row>
    <row r="152">
      <c r="A152" s="17" t="inlineStr">
        <is>
          <t>ORD1151</t>
        </is>
      </c>
      <c r="B152" s="17" t="inlineStr">
        <is>
          <t>2025-10-15</t>
        </is>
      </c>
      <c r="C152" s="17" t="inlineStr">
        <is>
          <t>22:26:26</t>
        </is>
      </c>
      <c r="D152" s="17" t="n">
        <v>1175</v>
      </c>
      <c r="E152" s="17" t="n">
        <v>105</v>
      </c>
      <c r="F152" s="17" t="n">
        <v>223</v>
      </c>
      <c r="G152" s="17" t="inlineStr">
        <is>
          <t>Bangalore</t>
        </is>
      </c>
      <c r="H152" s="17" t="inlineStr">
        <is>
          <t>Chinese</t>
        </is>
      </c>
      <c r="I152" s="22" t="n">
        <v>790</v>
      </c>
      <c r="J152" s="22" t="n">
        <v>68.81</v>
      </c>
      <c r="K152" s="22" t="n">
        <v>25</v>
      </c>
      <c r="L152" s="23" t="n">
        <v>0.2</v>
      </c>
      <c r="M152" s="22" t="n">
        <v>164.25</v>
      </c>
      <c r="N152" s="24" t="n">
        <v>2.9</v>
      </c>
      <c r="O152" s="24" t="n">
        <v>24.4</v>
      </c>
      <c r="P152" s="17" t="inlineStr">
        <is>
          <t>Debit Card</t>
        </is>
      </c>
      <c r="Q152" s="17" t="inlineStr">
        <is>
          <t>Delivered</t>
        </is>
      </c>
      <c r="R152" s="17" t="n">
        <v>3</v>
      </c>
      <c r="S152" s="17">
        <f>TEXT(B152,"yyyy-mm")</f>
        <v/>
      </c>
      <c r="T152" s="17">
        <f>VLOOKUP(D152,Customers!A:D,4,FALSE)</f>
        <v/>
      </c>
      <c r="U152" s="17">
        <f>CONCATENATE(A152,"-",G152)</f>
        <v/>
      </c>
      <c r="V152" s="17">
        <f>IF(N152="","",IF(N152&lt;=30,"Fast (&lt;30m)",IF(N152&lt;=45,"Moderate (30-45m)","Delayed (&gt;45m)")))</f>
        <v/>
      </c>
      <c r="W152" s="17">
        <f>IF(AND(I152&gt;600,P152="Delivered"),"High Value Delivered","Standard")</f>
        <v/>
      </c>
      <c r="X152" s="17">
        <f>IF(OR(N152&gt;50,Q152&lt;=2),"High Risk / Delayed","Normal")</f>
        <v/>
      </c>
      <c r="Y152" s="17">
        <f>IF(NOT(P152="Cancelled"),"Fulfilled","Cancelled")</f>
        <v/>
      </c>
      <c r="Z152" s="17">
        <f>IFERROR(Q152,0)</f>
        <v/>
      </c>
    </row>
    <row r="153">
      <c r="A153" s="25" t="inlineStr">
        <is>
          <t>ORD1152</t>
        </is>
      </c>
      <c r="B153" s="25" t="inlineStr">
        <is>
          <t>2025-11-28</t>
        </is>
      </c>
      <c r="C153" s="25" t="inlineStr">
        <is>
          <t>20:05:59</t>
        </is>
      </c>
      <c r="D153" s="25" t="n">
        <v>1193</v>
      </c>
      <c r="E153" s="25" t="n">
        <v>118</v>
      </c>
      <c r="F153" s="25" t="n">
        <v>219</v>
      </c>
      <c r="G153" s="25" t="inlineStr">
        <is>
          <t>Delhi NCR</t>
        </is>
      </c>
      <c r="H153" s="25" t="inlineStr">
        <is>
          <t>North Indian</t>
        </is>
      </c>
      <c r="I153" s="26" t="n">
        <v>996</v>
      </c>
      <c r="J153" s="26" t="n">
        <v>136.56</v>
      </c>
      <c r="K153" s="26" t="n">
        <v>0</v>
      </c>
      <c r="L153" s="27" t="n">
        <v>0.2</v>
      </c>
      <c r="M153" s="26" t="n">
        <v>199.2</v>
      </c>
      <c r="N153" s="28" t="n">
        <v>3.8</v>
      </c>
      <c r="O153" s="28" t="n">
        <v>35</v>
      </c>
      <c r="P153" s="25" t="inlineStr">
        <is>
          <t>Credit Card</t>
        </is>
      </c>
      <c r="Q153" s="25" t="inlineStr">
        <is>
          <t>Delivered</t>
        </is>
      </c>
      <c r="R153" s="25" t="n">
        <v>3</v>
      </c>
      <c r="S153" s="25">
        <f>TEXT(B153,"yyyy-mm")</f>
        <v/>
      </c>
      <c r="T153" s="25">
        <f>VLOOKUP(D153,Customers!A:D,4,FALSE)</f>
        <v/>
      </c>
      <c r="U153" s="25">
        <f>CONCATENATE(A153,"-",G153)</f>
        <v/>
      </c>
      <c r="V153" s="25">
        <f>IF(N153="","",IF(N153&lt;=30,"Fast (&lt;30m)",IF(N153&lt;=45,"Moderate (30-45m)","Delayed (&gt;45m)")))</f>
        <v/>
      </c>
      <c r="W153" s="25">
        <f>IF(AND(I153&gt;600,P153="Delivered"),"High Value Delivered","Standard")</f>
        <v/>
      </c>
      <c r="X153" s="25">
        <f>IF(OR(N153&gt;50,Q153&lt;=2),"High Risk / Delayed","Normal")</f>
        <v/>
      </c>
      <c r="Y153" s="25">
        <f>IF(NOT(P153="Cancelled"),"Fulfilled","Cancelled")</f>
        <v/>
      </c>
      <c r="Z153" s="25">
        <f>IFERROR(Q153,0)</f>
        <v/>
      </c>
    </row>
    <row r="154">
      <c r="A154" s="17" t="inlineStr">
        <is>
          <t>ORD1153</t>
        </is>
      </c>
      <c r="B154" s="17" t="inlineStr">
        <is>
          <t>2025-07-13</t>
        </is>
      </c>
      <c r="C154" s="17" t="inlineStr">
        <is>
          <t>17:43:38</t>
        </is>
      </c>
      <c r="D154" s="17" t="n">
        <v>1033</v>
      </c>
      <c r="E154" s="17" t="n">
        <v>119</v>
      </c>
      <c r="F154" s="17" t="n">
        <v>216</v>
      </c>
      <c r="G154" s="17" t="inlineStr">
        <is>
          <t>Hyderabad</t>
        </is>
      </c>
      <c r="H154" s="17" t="inlineStr">
        <is>
          <t>Biryani</t>
        </is>
      </c>
      <c r="I154" s="22" t="n">
        <v>837</v>
      </c>
      <c r="J154" s="22" t="n">
        <v>0</v>
      </c>
      <c r="K154" s="22" t="n">
        <v>40.5</v>
      </c>
      <c r="L154" s="23" t="n">
        <v>0.2</v>
      </c>
      <c r="M154" s="22" t="n">
        <v>177.52</v>
      </c>
      <c r="N154" s="24" t="n">
        <v>6.1</v>
      </c>
      <c r="O154" s="24" t="n">
        <v>31</v>
      </c>
      <c r="P154" s="17" t="inlineStr">
        <is>
          <t>Digital Wallet</t>
        </is>
      </c>
      <c r="Q154" s="17" t="inlineStr">
        <is>
          <t>Delivered</t>
        </is>
      </c>
      <c r="R154" s="17" t="n">
        <v>4</v>
      </c>
      <c r="S154" s="17">
        <f>TEXT(B154,"yyyy-mm")</f>
        <v/>
      </c>
      <c r="T154" s="17">
        <f>VLOOKUP(D154,Customers!A:D,4,FALSE)</f>
        <v/>
      </c>
      <c r="U154" s="17">
        <f>CONCATENATE(A154,"-",G154)</f>
        <v/>
      </c>
      <c r="V154" s="17">
        <f>IF(N154="","",IF(N154&lt;=30,"Fast (&lt;30m)",IF(N154&lt;=45,"Moderate (30-45m)","Delayed (&gt;45m)")))</f>
        <v/>
      </c>
      <c r="W154" s="17">
        <f>IF(AND(I154&gt;600,P154="Delivered"),"High Value Delivered","Standard")</f>
        <v/>
      </c>
      <c r="X154" s="17">
        <f>IF(OR(N154&gt;50,Q154&lt;=2),"High Risk / Delayed","Normal")</f>
        <v/>
      </c>
      <c r="Y154" s="17">
        <f>IF(NOT(P154="Cancelled"),"Fulfilled","Cancelled")</f>
        <v/>
      </c>
      <c r="Z154" s="17">
        <f>IFERROR(Q154,0)</f>
        <v/>
      </c>
    </row>
    <row r="155">
      <c r="A155" s="25" t="inlineStr">
        <is>
          <t>ORD1154</t>
        </is>
      </c>
      <c r="B155" s="25" t="inlineStr">
        <is>
          <t>2025-06-20</t>
        </is>
      </c>
      <c r="C155" s="25" t="inlineStr">
        <is>
          <t>13:19:58</t>
        </is>
      </c>
      <c r="D155" s="25" t="n">
        <v>1217</v>
      </c>
      <c r="E155" s="25" t="n">
        <v>114</v>
      </c>
      <c r="F155" s="25" t="n">
        <v>225</v>
      </c>
      <c r="G155" s="25" t="inlineStr">
        <is>
          <t>Hyderabad</t>
        </is>
      </c>
      <c r="H155" s="25" t="inlineStr">
        <is>
          <t>Biryani</t>
        </is>
      </c>
      <c r="I155" s="26" t="n">
        <v>235</v>
      </c>
      <c r="J155" s="26" t="n">
        <v>0</v>
      </c>
      <c r="K155" s="26" t="n">
        <v>25</v>
      </c>
      <c r="L155" s="27" t="n">
        <v>0.22</v>
      </c>
      <c r="M155" s="26" t="n">
        <v>57.95</v>
      </c>
      <c r="N155" s="28" t="n">
        <v>1.9</v>
      </c>
      <c r="O155" s="28" t="n">
        <v>21.5</v>
      </c>
      <c r="P155" s="25" t="inlineStr">
        <is>
          <t>UPI</t>
        </is>
      </c>
      <c r="Q155" s="25" t="inlineStr">
        <is>
          <t>Delivered</t>
        </is>
      </c>
      <c r="R155" s="25" t="n">
        <v>4</v>
      </c>
      <c r="S155" s="25">
        <f>TEXT(B155,"yyyy-mm")</f>
        <v/>
      </c>
      <c r="T155" s="25">
        <f>VLOOKUP(D155,Customers!A:D,4,FALSE)</f>
        <v/>
      </c>
      <c r="U155" s="25">
        <f>CONCATENATE(A155,"-",G155)</f>
        <v/>
      </c>
      <c r="V155" s="25">
        <f>IF(N155="","",IF(N155&lt;=30,"Fast (&lt;30m)",IF(N155&lt;=45,"Moderate (30-45m)","Delayed (&gt;45m)")))</f>
        <v/>
      </c>
      <c r="W155" s="25">
        <f>IF(AND(I155&gt;600,P155="Delivered"),"High Value Delivered","Standard")</f>
        <v/>
      </c>
      <c r="X155" s="25">
        <f>IF(OR(N155&gt;50,Q155&lt;=2),"High Risk / Delayed","Normal")</f>
        <v/>
      </c>
      <c r="Y155" s="25">
        <f>IF(NOT(P155="Cancelled"),"Fulfilled","Cancelled")</f>
        <v/>
      </c>
      <c r="Z155" s="25">
        <f>IFERROR(Q155,0)</f>
        <v/>
      </c>
    </row>
    <row r="156">
      <c r="A156" s="17" t="inlineStr">
        <is>
          <t>ORD1155</t>
        </is>
      </c>
      <c r="B156" s="17" t="inlineStr">
        <is>
          <t>2025-07-23</t>
        </is>
      </c>
      <c r="C156" s="17" t="inlineStr">
        <is>
          <t>12:58:15</t>
        </is>
      </c>
      <c r="D156" s="17" t="n">
        <v>1161</v>
      </c>
      <c r="E156" s="17" t="n">
        <v>114</v>
      </c>
      <c r="F156" s="17" t="n">
        <v>225</v>
      </c>
      <c r="G156" s="17" t="inlineStr">
        <is>
          <t>Hyderabad</t>
        </is>
      </c>
      <c r="H156" s="17" t="inlineStr">
        <is>
          <t>Biryani</t>
        </is>
      </c>
      <c r="I156" s="22" t="n">
        <v>785</v>
      </c>
      <c r="J156" s="22" t="n">
        <v>0</v>
      </c>
      <c r="K156" s="22" t="n">
        <v>63</v>
      </c>
      <c r="L156" s="23" t="n">
        <v>0.22</v>
      </c>
      <c r="M156" s="22" t="n">
        <v>188.45</v>
      </c>
      <c r="N156" s="24" t="n">
        <v>10.6</v>
      </c>
      <c r="O156" s="24" t="n">
        <v>56.4</v>
      </c>
      <c r="P156" s="17" t="inlineStr">
        <is>
          <t>Cash on Delivery</t>
        </is>
      </c>
      <c r="Q156" s="17" t="inlineStr">
        <is>
          <t>Delivered</t>
        </is>
      </c>
      <c r="R156" s="17" t="n">
        <v>1</v>
      </c>
      <c r="S156" s="17">
        <f>TEXT(B156,"yyyy-mm")</f>
        <v/>
      </c>
      <c r="T156" s="17">
        <f>VLOOKUP(D156,Customers!A:D,4,FALSE)</f>
        <v/>
      </c>
      <c r="U156" s="17">
        <f>CONCATENATE(A156,"-",G156)</f>
        <v/>
      </c>
      <c r="V156" s="17">
        <f>IF(N156="","",IF(N156&lt;=30,"Fast (&lt;30m)",IF(N156&lt;=45,"Moderate (30-45m)","Delayed (&gt;45m)")))</f>
        <v/>
      </c>
      <c r="W156" s="17">
        <f>IF(AND(I156&gt;600,P156="Delivered"),"High Value Delivered","Standard")</f>
        <v/>
      </c>
      <c r="X156" s="17">
        <f>IF(OR(N156&gt;50,Q156&lt;=2),"High Risk / Delayed","Normal")</f>
        <v/>
      </c>
      <c r="Y156" s="17">
        <f>IF(NOT(P156="Cancelled"),"Fulfilled","Cancelled")</f>
        <v/>
      </c>
      <c r="Z156" s="17">
        <f>IFERROR(Q156,0)</f>
        <v/>
      </c>
    </row>
    <row r="157">
      <c r="A157" s="25" t="inlineStr">
        <is>
          <t>ORD1156</t>
        </is>
      </c>
      <c r="B157" s="25" t="inlineStr">
        <is>
          <t>2025-07-04</t>
        </is>
      </c>
      <c r="C157" s="25" t="inlineStr">
        <is>
          <t>12:32:56</t>
        </is>
      </c>
      <c r="D157" s="25" t="n">
        <v>1251</v>
      </c>
      <c r="E157" s="25" t="n">
        <v>119</v>
      </c>
      <c r="F157" s="25" t="n">
        <v>215</v>
      </c>
      <c r="G157" s="25" t="inlineStr">
        <is>
          <t>Hyderabad</t>
        </is>
      </c>
      <c r="H157" s="25" t="inlineStr">
        <is>
          <t>Biryani</t>
        </is>
      </c>
      <c r="I157" s="26" t="n">
        <v>729</v>
      </c>
      <c r="J157" s="26" t="n">
        <v>0</v>
      </c>
      <c r="K157" s="26" t="n">
        <v>25</v>
      </c>
      <c r="L157" s="27" t="n">
        <v>0.2</v>
      </c>
      <c r="M157" s="26" t="n">
        <v>152.05</v>
      </c>
      <c r="N157" s="28" t="n">
        <v>1.8</v>
      </c>
      <c r="O157" s="28" t="n">
        <v>27.9</v>
      </c>
      <c r="P157" s="25" t="inlineStr">
        <is>
          <t>Cash on Delivery</t>
        </is>
      </c>
      <c r="Q157" s="25" t="inlineStr">
        <is>
          <t>Delivered</t>
        </is>
      </c>
      <c r="R157" s="25" t="n">
        <v>4</v>
      </c>
      <c r="S157" s="25">
        <f>TEXT(B157,"yyyy-mm")</f>
        <v/>
      </c>
      <c r="T157" s="25">
        <f>VLOOKUP(D157,Customers!A:D,4,FALSE)</f>
        <v/>
      </c>
      <c r="U157" s="25">
        <f>CONCATENATE(A157,"-",G157)</f>
        <v/>
      </c>
      <c r="V157" s="25">
        <f>IF(N157="","",IF(N157&lt;=30,"Fast (&lt;30m)",IF(N157&lt;=45,"Moderate (30-45m)","Delayed (&gt;45m)")))</f>
        <v/>
      </c>
      <c r="W157" s="25">
        <f>IF(AND(I157&gt;600,P157="Delivered"),"High Value Delivered","Standard")</f>
        <v/>
      </c>
      <c r="X157" s="25">
        <f>IF(OR(N157&gt;50,Q157&lt;=2),"High Risk / Delayed","Normal")</f>
        <v/>
      </c>
      <c r="Y157" s="25">
        <f>IF(NOT(P157="Cancelled"),"Fulfilled","Cancelled")</f>
        <v/>
      </c>
      <c r="Z157" s="25">
        <f>IFERROR(Q157,0)</f>
        <v/>
      </c>
    </row>
    <row r="158">
      <c r="A158" s="17" t="inlineStr">
        <is>
          <t>ORD1157</t>
        </is>
      </c>
      <c r="B158" s="17" t="inlineStr">
        <is>
          <t>2025-06-10</t>
        </is>
      </c>
      <c r="C158" s="17" t="inlineStr">
        <is>
          <t>07:26:02</t>
        </is>
      </c>
      <c r="D158" s="17" t="n">
        <v>1194</v>
      </c>
      <c r="E158" s="17" t="n">
        <v>101</v>
      </c>
      <c r="F158" s="17" t="n">
        <v>220</v>
      </c>
      <c r="G158" s="17" t="inlineStr">
        <is>
          <t>Bangalore</t>
        </is>
      </c>
      <c r="H158" s="17" t="inlineStr">
        <is>
          <t>North Indian</t>
        </is>
      </c>
      <c r="I158" s="22" t="n">
        <v>796</v>
      </c>
      <c r="J158" s="22" t="n">
        <v>87.95</v>
      </c>
      <c r="K158" s="22" t="n">
        <v>34.5</v>
      </c>
      <c r="L158" s="23" t="n">
        <v>0.2</v>
      </c>
      <c r="M158" s="22" t="n">
        <v>167.82</v>
      </c>
      <c r="N158" s="24" t="n">
        <v>4.9</v>
      </c>
      <c r="O158" s="24" t="n">
        <v>40.9</v>
      </c>
      <c r="P158" s="17" t="inlineStr">
        <is>
          <t>UPI</t>
        </is>
      </c>
      <c r="Q158" s="17" t="inlineStr">
        <is>
          <t>Delivered</t>
        </is>
      </c>
      <c r="R158" s="17" t="n">
        <v>4</v>
      </c>
      <c r="S158" s="17">
        <f>TEXT(B158,"yyyy-mm")</f>
        <v/>
      </c>
      <c r="T158" s="17">
        <f>VLOOKUP(D158,Customers!A:D,4,FALSE)</f>
        <v/>
      </c>
      <c r="U158" s="17">
        <f>CONCATENATE(A158,"-",G158)</f>
        <v/>
      </c>
      <c r="V158" s="17">
        <f>IF(N158="","",IF(N158&lt;=30,"Fast (&lt;30m)",IF(N158&lt;=45,"Moderate (30-45m)","Delayed (&gt;45m)")))</f>
        <v/>
      </c>
      <c r="W158" s="17">
        <f>IF(AND(I158&gt;600,P158="Delivered"),"High Value Delivered","Standard")</f>
        <v/>
      </c>
      <c r="X158" s="17">
        <f>IF(OR(N158&gt;50,Q158&lt;=2),"High Risk / Delayed","Normal")</f>
        <v/>
      </c>
      <c r="Y158" s="17">
        <f>IF(NOT(P158="Cancelled"),"Fulfilled","Cancelled")</f>
        <v/>
      </c>
      <c r="Z158" s="17">
        <f>IFERROR(Q158,0)</f>
        <v/>
      </c>
    </row>
    <row r="159">
      <c r="A159" s="25" t="inlineStr">
        <is>
          <t>ORD1158</t>
        </is>
      </c>
      <c r="B159" s="25" t="inlineStr">
        <is>
          <t>2025-03-20</t>
        </is>
      </c>
      <c r="C159" s="25" t="inlineStr">
        <is>
          <t>19:12:21</t>
        </is>
      </c>
      <c r="D159" s="25" t="n">
        <v>1010</v>
      </c>
      <c r="E159" s="25" t="n">
        <v>102</v>
      </c>
      <c r="F159" s="25" t="n">
        <v>215</v>
      </c>
      <c r="G159" s="25" t="inlineStr">
        <is>
          <t>Hyderabad</t>
        </is>
      </c>
      <c r="H159" s="25" t="inlineStr">
        <is>
          <t>Biryani</t>
        </is>
      </c>
      <c r="I159" s="26" t="n">
        <v>455</v>
      </c>
      <c r="J159" s="26" t="n">
        <v>34.85</v>
      </c>
      <c r="K159" s="26" t="n">
        <v>28</v>
      </c>
      <c r="L159" s="27" t="n">
        <v>0.22</v>
      </c>
      <c r="M159" s="26" t="n">
        <v>107.1</v>
      </c>
      <c r="N159" s="28" t="n">
        <v>3.6</v>
      </c>
      <c r="O159" s="28" t="n">
        <v>44.8</v>
      </c>
      <c r="P159" s="25" t="inlineStr">
        <is>
          <t>Cash on Delivery</t>
        </is>
      </c>
      <c r="Q159" s="25" t="inlineStr">
        <is>
          <t>Delivered</t>
        </is>
      </c>
      <c r="R159" s="25" t="n">
        <v>1</v>
      </c>
      <c r="S159" s="25">
        <f>TEXT(B159,"yyyy-mm")</f>
        <v/>
      </c>
      <c r="T159" s="25">
        <f>VLOOKUP(D159,Customers!A:D,4,FALSE)</f>
        <v/>
      </c>
      <c r="U159" s="25">
        <f>CONCATENATE(A159,"-",G159)</f>
        <v/>
      </c>
      <c r="V159" s="25">
        <f>IF(N159="","",IF(N159&lt;=30,"Fast (&lt;30m)",IF(N159&lt;=45,"Moderate (30-45m)","Delayed (&gt;45m)")))</f>
        <v/>
      </c>
      <c r="W159" s="25">
        <f>IF(AND(I159&gt;600,P159="Delivered"),"High Value Delivered","Standard")</f>
        <v/>
      </c>
      <c r="X159" s="25">
        <f>IF(OR(N159&gt;50,Q159&lt;=2),"High Risk / Delayed","Normal")</f>
        <v/>
      </c>
      <c r="Y159" s="25">
        <f>IF(NOT(P159="Cancelled"),"Fulfilled","Cancelled")</f>
        <v/>
      </c>
      <c r="Z159" s="25">
        <f>IFERROR(Q159,0)</f>
        <v/>
      </c>
    </row>
    <row r="160">
      <c r="A160" s="17" t="inlineStr">
        <is>
          <t>ORD1159</t>
        </is>
      </c>
      <c r="B160" s="17" t="inlineStr">
        <is>
          <t>2025-11-25</t>
        </is>
      </c>
      <c r="C160" s="17" t="inlineStr">
        <is>
          <t>13:47:31</t>
        </is>
      </c>
      <c r="D160" s="17" t="n">
        <v>1125</v>
      </c>
      <c r="E160" s="17" t="n">
        <v>120</v>
      </c>
      <c r="F160" s="17" t="n">
        <v>224</v>
      </c>
      <c r="G160" s="17" t="inlineStr">
        <is>
          <t>Pune</t>
        </is>
      </c>
      <c r="H160" s="17" t="inlineStr">
        <is>
          <t>Fast Food</t>
        </is>
      </c>
      <c r="I160" s="22" t="n">
        <v>691</v>
      </c>
      <c r="J160" s="22" t="n">
        <v>0</v>
      </c>
      <c r="K160" s="22" t="n">
        <v>52</v>
      </c>
      <c r="L160" s="23" t="n">
        <v>0.18</v>
      </c>
      <c r="M160" s="22" t="n">
        <v>137.38</v>
      </c>
      <c r="N160" s="24" t="n">
        <v>8.4</v>
      </c>
      <c r="O160" s="24" t="n">
        <v>52.8</v>
      </c>
      <c r="P160" s="17" t="inlineStr">
        <is>
          <t>Credit Card</t>
        </is>
      </c>
      <c r="Q160" s="17" t="inlineStr">
        <is>
          <t>Delivered</t>
        </is>
      </c>
      <c r="R160" s="17" t="n">
        <v>2</v>
      </c>
      <c r="S160" s="17">
        <f>TEXT(B160,"yyyy-mm")</f>
        <v/>
      </c>
      <c r="T160" s="17">
        <f>VLOOKUP(D160,Customers!A:D,4,FALSE)</f>
        <v/>
      </c>
      <c r="U160" s="17">
        <f>CONCATENATE(A160,"-",G160)</f>
        <v/>
      </c>
      <c r="V160" s="17">
        <f>IF(N160="","",IF(N160&lt;=30,"Fast (&lt;30m)",IF(N160&lt;=45,"Moderate (30-45m)","Delayed (&gt;45m)")))</f>
        <v/>
      </c>
      <c r="W160" s="17">
        <f>IF(AND(I160&gt;600,P160="Delivered"),"High Value Delivered","Standard")</f>
        <v/>
      </c>
      <c r="X160" s="17">
        <f>IF(OR(N160&gt;50,Q160&lt;=2),"High Risk / Delayed","Normal")</f>
        <v/>
      </c>
      <c r="Y160" s="17">
        <f>IF(NOT(P160="Cancelled"),"Fulfilled","Cancelled")</f>
        <v/>
      </c>
      <c r="Z160" s="17">
        <f>IFERROR(Q160,0)</f>
        <v/>
      </c>
    </row>
    <row r="161">
      <c r="A161" s="25" t="inlineStr">
        <is>
          <t>ORD1160</t>
        </is>
      </c>
      <c r="B161" s="25" t="inlineStr">
        <is>
          <t>2025-04-05</t>
        </is>
      </c>
      <c r="C161" s="25" t="inlineStr">
        <is>
          <t>15:58:56</t>
        </is>
      </c>
      <c r="D161" s="25" t="n">
        <v>1125</v>
      </c>
      <c r="E161" s="25" t="n">
        <v>120</v>
      </c>
      <c r="F161" s="25" t="n">
        <v>224</v>
      </c>
      <c r="G161" s="25" t="inlineStr">
        <is>
          <t>Pune</t>
        </is>
      </c>
      <c r="H161" s="25" t="inlineStr">
        <is>
          <t>Fast Food</t>
        </is>
      </c>
      <c r="I161" s="26" t="n">
        <v>775</v>
      </c>
      <c r="J161" s="26" t="n">
        <v>59.35</v>
      </c>
      <c r="K161" s="26" t="n">
        <v>40.5</v>
      </c>
      <c r="L161" s="27" t="n">
        <v>0.18</v>
      </c>
      <c r="M161" s="26" t="n">
        <v>149.62</v>
      </c>
      <c r="N161" s="28" t="n">
        <v>6.1</v>
      </c>
      <c r="O161" s="28" t="n">
        <v>38.7</v>
      </c>
      <c r="P161" s="25" t="inlineStr">
        <is>
          <t>UPI</t>
        </is>
      </c>
      <c r="Q161" s="25" t="inlineStr">
        <is>
          <t>Delivered</t>
        </is>
      </c>
      <c r="R161" s="25" t="n">
        <v>5</v>
      </c>
      <c r="S161" s="25">
        <f>TEXT(B161,"yyyy-mm")</f>
        <v/>
      </c>
      <c r="T161" s="25">
        <f>VLOOKUP(D161,Customers!A:D,4,FALSE)</f>
        <v/>
      </c>
      <c r="U161" s="25">
        <f>CONCATENATE(A161,"-",G161)</f>
        <v/>
      </c>
      <c r="V161" s="25">
        <f>IF(N161="","",IF(N161&lt;=30,"Fast (&lt;30m)",IF(N161&lt;=45,"Moderate (30-45m)","Delayed (&gt;45m)")))</f>
        <v/>
      </c>
      <c r="W161" s="25">
        <f>IF(AND(I161&gt;600,P161="Delivered"),"High Value Delivered","Standard")</f>
        <v/>
      </c>
      <c r="X161" s="25">
        <f>IF(OR(N161&gt;50,Q161&lt;=2),"High Risk / Delayed","Normal")</f>
        <v/>
      </c>
      <c r="Y161" s="25">
        <f>IF(NOT(P161="Cancelled"),"Fulfilled","Cancelled")</f>
        <v/>
      </c>
      <c r="Z161" s="25">
        <f>IFERROR(Q161,0)</f>
        <v/>
      </c>
    </row>
    <row r="162">
      <c r="A162" s="17" t="inlineStr">
        <is>
          <t>ORD1161</t>
        </is>
      </c>
      <c r="B162" s="17" t="inlineStr">
        <is>
          <t>2025-03-12</t>
        </is>
      </c>
      <c r="C162" s="17" t="inlineStr">
        <is>
          <t>18:53:40</t>
        </is>
      </c>
      <c r="D162" s="17" t="n">
        <v>1057</v>
      </c>
      <c r="E162" s="17" t="n">
        <v>103</v>
      </c>
      <c r="F162" s="17" t="n">
        <v>222</v>
      </c>
      <c r="G162" s="17" t="inlineStr">
        <is>
          <t>Mumbai</t>
        </is>
      </c>
      <c r="H162" s="17" t="inlineStr">
        <is>
          <t>Italian</t>
        </is>
      </c>
      <c r="I162" s="22" t="n">
        <v>456</v>
      </c>
      <c r="J162" s="22" t="n">
        <v>0</v>
      </c>
      <c r="K162" s="22" t="n">
        <v>31</v>
      </c>
      <c r="L162" s="23" t="n">
        <v>0.18</v>
      </c>
      <c r="M162" s="22" t="n">
        <v>89.83</v>
      </c>
      <c r="N162" s="24" t="n">
        <v>4.2</v>
      </c>
      <c r="O162" s="24" t="n">
        <v>27.5</v>
      </c>
      <c r="P162" s="17" t="inlineStr">
        <is>
          <t>Credit Card</t>
        </is>
      </c>
      <c r="Q162" s="17" t="inlineStr">
        <is>
          <t>Delivered</t>
        </is>
      </c>
      <c r="R162" s="17" t="n">
        <v>4</v>
      </c>
      <c r="S162" s="17">
        <f>TEXT(B162,"yyyy-mm")</f>
        <v/>
      </c>
      <c r="T162" s="17">
        <f>VLOOKUP(D162,Customers!A:D,4,FALSE)</f>
        <v/>
      </c>
      <c r="U162" s="17">
        <f>CONCATENATE(A162,"-",G162)</f>
        <v/>
      </c>
      <c r="V162" s="17">
        <f>IF(N162="","",IF(N162&lt;=30,"Fast (&lt;30m)",IF(N162&lt;=45,"Moderate (30-45m)","Delayed (&gt;45m)")))</f>
        <v/>
      </c>
      <c r="W162" s="17">
        <f>IF(AND(I162&gt;600,P162="Delivered"),"High Value Delivered","Standard")</f>
        <v/>
      </c>
      <c r="X162" s="17">
        <f>IF(OR(N162&gt;50,Q162&lt;=2),"High Risk / Delayed","Normal")</f>
        <v/>
      </c>
      <c r="Y162" s="17">
        <f>IF(NOT(P162="Cancelled"),"Fulfilled","Cancelled")</f>
        <v/>
      </c>
      <c r="Z162" s="17">
        <f>IFERROR(Q162,0)</f>
        <v/>
      </c>
    </row>
    <row r="163">
      <c r="A163" s="25" t="inlineStr">
        <is>
          <t>ORD1162</t>
        </is>
      </c>
      <c r="B163" s="25" t="inlineStr">
        <is>
          <t>2025-11-13</t>
        </is>
      </c>
      <c r="C163" s="25" t="inlineStr">
        <is>
          <t>22:40:42</t>
        </is>
      </c>
      <c r="D163" s="25" t="n">
        <v>1170</v>
      </c>
      <c r="E163" s="25" t="n">
        <v>103</v>
      </c>
      <c r="F163" s="25" t="n">
        <v>222</v>
      </c>
      <c r="G163" s="25" t="inlineStr">
        <is>
          <t>Mumbai</t>
        </is>
      </c>
      <c r="H163" s="25" t="inlineStr">
        <is>
          <t>Italian</t>
        </is>
      </c>
      <c r="I163" s="26" t="n">
        <v>851</v>
      </c>
      <c r="J163" s="26" t="n">
        <v>44.88</v>
      </c>
      <c r="K163" s="26" t="n">
        <v>25</v>
      </c>
      <c r="L163" s="27" t="n">
        <v>0.18</v>
      </c>
      <c r="M163" s="26" t="n">
        <v>159.43</v>
      </c>
      <c r="N163" s="28" t="n">
        <v>2</v>
      </c>
      <c r="O163" s="28" t="n">
        <v>18.9</v>
      </c>
      <c r="P163" s="25" t="inlineStr">
        <is>
          <t>Digital Wallet</t>
        </is>
      </c>
      <c r="Q163" s="25" t="inlineStr">
        <is>
          <t>Delivered</t>
        </is>
      </c>
      <c r="R163" s="25" t="n">
        <v>1</v>
      </c>
      <c r="S163" s="25">
        <f>TEXT(B163,"yyyy-mm")</f>
        <v/>
      </c>
      <c r="T163" s="25">
        <f>VLOOKUP(D163,Customers!A:D,4,FALSE)</f>
        <v/>
      </c>
      <c r="U163" s="25">
        <f>CONCATENATE(A163,"-",G163)</f>
        <v/>
      </c>
      <c r="V163" s="25">
        <f>IF(N163="","",IF(N163&lt;=30,"Fast (&lt;30m)",IF(N163&lt;=45,"Moderate (30-45m)","Delayed (&gt;45m)")))</f>
        <v/>
      </c>
      <c r="W163" s="25">
        <f>IF(AND(I163&gt;600,P163="Delivered"),"High Value Delivered","Standard")</f>
        <v/>
      </c>
      <c r="X163" s="25">
        <f>IF(OR(N163&gt;50,Q163&lt;=2),"High Risk / Delayed","Normal")</f>
        <v/>
      </c>
      <c r="Y163" s="25">
        <f>IF(NOT(P163="Cancelled"),"Fulfilled","Cancelled")</f>
        <v/>
      </c>
      <c r="Z163" s="25">
        <f>IFERROR(Q163,0)</f>
        <v/>
      </c>
    </row>
    <row r="164">
      <c r="A164" s="17" t="inlineStr">
        <is>
          <t>ORD1163</t>
        </is>
      </c>
      <c r="B164" s="17" t="inlineStr">
        <is>
          <t>2025-09-29</t>
        </is>
      </c>
      <c r="C164" s="17" t="inlineStr">
        <is>
          <t>21:46:17</t>
        </is>
      </c>
      <c r="D164" s="17" t="n">
        <v>1065</v>
      </c>
      <c r="E164" s="17" t="n">
        <v>108</v>
      </c>
      <c r="F164" s="17" t="n">
        <v>212</v>
      </c>
      <c r="G164" s="17" t="inlineStr">
        <is>
          <t>Delhi NCR</t>
        </is>
      </c>
      <c r="H164" s="17" t="inlineStr">
        <is>
          <t>Fast Food</t>
        </is>
      </c>
      <c r="I164" s="22" t="n">
        <v>768</v>
      </c>
      <c r="J164" s="22" t="n">
        <v>1.05</v>
      </c>
      <c r="K164" s="22" t="n">
        <v>28</v>
      </c>
      <c r="L164" s="23" t="n">
        <v>0.18</v>
      </c>
      <c r="M164" s="22" t="n">
        <v>145.24</v>
      </c>
      <c r="N164" s="24" t="n">
        <v>3.6</v>
      </c>
      <c r="O164" s="24" t="n">
        <v>34</v>
      </c>
      <c r="P164" s="17" t="inlineStr">
        <is>
          <t>Cash on Delivery</t>
        </is>
      </c>
      <c r="Q164" s="17" t="inlineStr">
        <is>
          <t>Delivered</t>
        </is>
      </c>
      <c r="R164" s="17" t="n">
        <v>2</v>
      </c>
      <c r="S164" s="17">
        <f>TEXT(B164,"yyyy-mm")</f>
        <v/>
      </c>
      <c r="T164" s="17">
        <f>VLOOKUP(D164,Customers!A:D,4,FALSE)</f>
        <v/>
      </c>
      <c r="U164" s="17">
        <f>CONCATENATE(A164,"-",G164)</f>
        <v/>
      </c>
      <c r="V164" s="17">
        <f>IF(N164="","",IF(N164&lt;=30,"Fast (&lt;30m)",IF(N164&lt;=45,"Moderate (30-45m)","Delayed (&gt;45m)")))</f>
        <v/>
      </c>
      <c r="W164" s="17">
        <f>IF(AND(I164&gt;600,P164="Delivered"),"High Value Delivered","Standard")</f>
        <v/>
      </c>
      <c r="X164" s="17">
        <f>IF(OR(N164&gt;50,Q164&lt;=2),"High Risk / Delayed","Normal")</f>
        <v/>
      </c>
      <c r="Y164" s="17">
        <f>IF(NOT(P164="Cancelled"),"Fulfilled","Cancelled")</f>
        <v/>
      </c>
      <c r="Z164" s="17">
        <f>IFERROR(Q164,0)</f>
        <v/>
      </c>
    </row>
    <row r="165">
      <c r="A165" s="25" t="inlineStr">
        <is>
          <t>ORD1164</t>
        </is>
      </c>
      <c r="B165" s="25" t="inlineStr">
        <is>
          <t>2025-02-19</t>
        </is>
      </c>
      <c r="C165" s="25" t="inlineStr">
        <is>
          <t>19:33:09</t>
        </is>
      </c>
      <c r="D165" s="25" t="n">
        <v>1094</v>
      </c>
      <c r="E165" s="25" t="n">
        <v>108</v>
      </c>
      <c r="F165" s="25" t="n">
        <v>221</v>
      </c>
      <c r="G165" s="25" t="inlineStr">
        <is>
          <t>Delhi NCR</t>
        </is>
      </c>
      <c r="H165" s="25" t="inlineStr">
        <is>
          <t>Fast Food</t>
        </is>
      </c>
      <c r="I165" s="26" t="n">
        <v>466</v>
      </c>
      <c r="J165" s="26" t="n">
        <v>0</v>
      </c>
      <c r="K165" s="26" t="n">
        <v>25</v>
      </c>
      <c r="L165" s="27" t="n">
        <v>0.18</v>
      </c>
      <c r="M165" s="26" t="n">
        <v>90.13</v>
      </c>
      <c r="N165" s="28" t="n">
        <v>2.3</v>
      </c>
      <c r="O165" s="28" t="n">
        <v>30</v>
      </c>
      <c r="P165" s="25" t="inlineStr">
        <is>
          <t>Debit Card</t>
        </is>
      </c>
      <c r="Q165" s="25" t="inlineStr">
        <is>
          <t>Delivered</t>
        </is>
      </c>
      <c r="R165" s="25" t="n">
        <v>5</v>
      </c>
      <c r="S165" s="25">
        <f>TEXT(B165,"yyyy-mm")</f>
        <v/>
      </c>
      <c r="T165" s="25">
        <f>VLOOKUP(D165,Customers!A:D,4,FALSE)</f>
        <v/>
      </c>
      <c r="U165" s="25">
        <f>CONCATENATE(A165,"-",G165)</f>
        <v/>
      </c>
      <c r="V165" s="25">
        <f>IF(N165="","",IF(N165&lt;=30,"Fast (&lt;30m)",IF(N165&lt;=45,"Moderate (30-45m)","Delayed (&gt;45m)")))</f>
        <v/>
      </c>
      <c r="W165" s="25">
        <f>IF(AND(I165&gt;600,P165="Delivered"),"High Value Delivered","Standard")</f>
        <v/>
      </c>
      <c r="X165" s="25">
        <f>IF(OR(N165&gt;50,Q165&lt;=2),"High Risk / Delayed","Normal")</f>
        <v/>
      </c>
      <c r="Y165" s="25">
        <f>IF(NOT(P165="Cancelled"),"Fulfilled","Cancelled")</f>
        <v/>
      </c>
      <c r="Z165" s="25">
        <f>IFERROR(Q165,0)</f>
        <v/>
      </c>
    </row>
    <row r="166">
      <c r="A166" s="17" t="inlineStr">
        <is>
          <t>ORD1165</t>
        </is>
      </c>
      <c r="B166" s="17" t="inlineStr">
        <is>
          <t>2025-07-11</t>
        </is>
      </c>
      <c r="C166" s="17" t="inlineStr">
        <is>
          <t>22:25:29</t>
        </is>
      </c>
      <c r="D166" s="17" t="n">
        <v>1275</v>
      </c>
      <c r="E166" s="17" t="n">
        <v>120</v>
      </c>
      <c r="F166" s="17" t="n">
        <v>214</v>
      </c>
      <c r="G166" s="17" t="inlineStr">
        <is>
          <t>Pune</t>
        </is>
      </c>
      <c r="H166" s="17" t="inlineStr">
        <is>
          <t>Fast Food</t>
        </is>
      </c>
      <c r="I166" s="22" t="n">
        <v>798</v>
      </c>
      <c r="J166" s="22" t="n">
        <v>0</v>
      </c>
      <c r="K166" s="22" t="n">
        <v>28</v>
      </c>
      <c r="L166" s="23" t="n">
        <v>0.18</v>
      </c>
      <c r="M166" s="22" t="n">
        <v>150.64</v>
      </c>
      <c r="N166" s="24" t="n">
        <v>3.6</v>
      </c>
      <c r="O166" s="24" t="n">
        <v>31.7</v>
      </c>
      <c r="P166" s="17" t="inlineStr">
        <is>
          <t>Debit Card</t>
        </is>
      </c>
      <c r="Q166" s="17" t="inlineStr">
        <is>
          <t>Delivered</t>
        </is>
      </c>
      <c r="R166" s="17" t="n">
        <v>4</v>
      </c>
      <c r="S166" s="17">
        <f>TEXT(B166,"yyyy-mm")</f>
        <v/>
      </c>
      <c r="T166" s="17">
        <f>VLOOKUP(D166,Customers!A:D,4,FALSE)</f>
        <v/>
      </c>
      <c r="U166" s="17">
        <f>CONCATENATE(A166,"-",G166)</f>
        <v/>
      </c>
      <c r="V166" s="17">
        <f>IF(N166="","",IF(N166&lt;=30,"Fast (&lt;30m)",IF(N166&lt;=45,"Moderate (30-45m)","Delayed (&gt;45m)")))</f>
        <v/>
      </c>
      <c r="W166" s="17">
        <f>IF(AND(I166&gt;600,P166="Delivered"),"High Value Delivered","Standard")</f>
        <v/>
      </c>
      <c r="X166" s="17">
        <f>IF(OR(N166&gt;50,Q166&lt;=2),"High Risk / Delayed","Normal")</f>
        <v/>
      </c>
      <c r="Y166" s="17">
        <f>IF(NOT(P166="Cancelled"),"Fulfilled","Cancelled")</f>
        <v/>
      </c>
      <c r="Z166" s="17">
        <f>IFERROR(Q166,0)</f>
        <v/>
      </c>
    </row>
    <row r="167">
      <c r="A167" s="25" t="inlineStr">
        <is>
          <t>ORD1166</t>
        </is>
      </c>
      <c r="B167" s="25" t="inlineStr">
        <is>
          <t>2025-07-27</t>
        </is>
      </c>
      <c r="C167" s="25" t="inlineStr">
        <is>
          <t>20:24:24</t>
        </is>
      </c>
      <c r="D167" s="25" t="n">
        <v>1142</v>
      </c>
      <c r="E167" s="25" t="n">
        <v>119</v>
      </c>
      <c r="F167" s="25" t="n">
        <v>215</v>
      </c>
      <c r="G167" s="25" t="inlineStr">
        <is>
          <t>Hyderabad</t>
        </is>
      </c>
      <c r="H167" s="25" t="inlineStr">
        <is>
          <t>Biryani</t>
        </is>
      </c>
      <c r="I167" s="26" t="n">
        <v>785</v>
      </c>
      <c r="J167" s="26" t="n">
        <v>0</v>
      </c>
      <c r="K167" s="26" t="n">
        <v>39.5</v>
      </c>
      <c r="L167" s="27" t="n">
        <v>0.2</v>
      </c>
      <c r="M167" s="26" t="n">
        <v>166.88</v>
      </c>
      <c r="N167" s="28" t="n">
        <v>5.9</v>
      </c>
      <c r="O167" s="28" t="n">
        <v>41.2</v>
      </c>
      <c r="P167" s="25" t="inlineStr">
        <is>
          <t>Credit Card</t>
        </is>
      </c>
      <c r="Q167" s="25" t="inlineStr">
        <is>
          <t>Delivered</t>
        </is>
      </c>
      <c r="R167" s="25" t="n">
        <v>2</v>
      </c>
      <c r="S167" s="25">
        <f>TEXT(B167,"yyyy-mm")</f>
        <v/>
      </c>
      <c r="T167" s="25">
        <f>VLOOKUP(D167,Customers!A:D,4,FALSE)</f>
        <v/>
      </c>
      <c r="U167" s="25">
        <f>CONCATENATE(A167,"-",G167)</f>
        <v/>
      </c>
      <c r="V167" s="25">
        <f>IF(N167="","",IF(N167&lt;=30,"Fast (&lt;30m)",IF(N167&lt;=45,"Moderate (30-45m)","Delayed (&gt;45m)")))</f>
        <v/>
      </c>
      <c r="W167" s="25">
        <f>IF(AND(I167&gt;600,P167="Delivered"),"High Value Delivered","Standard")</f>
        <v/>
      </c>
      <c r="X167" s="25">
        <f>IF(OR(N167&gt;50,Q167&lt;=2),"High Risk / Delayed","Normal")</f>
        <v/>
      </c>
      <c r="Y167" s="25">
        <f>IF(NOT(P167="Cancelled"),"Fulfilled","Cancelled")</f>
        <v/>
      </c>
      <c r="Z167" s="25">
        <f>IFERROR(Q167,0)</f>
        <v/>
      </c>
    </row>
    <row r="168">
      <c r="A168" s="17" t="inlineStr">
        <is>
          <t>ORD1167</t>
        </is>
      </c>
      <c r="B168" s="17" t="inlineStr">
        <is>
          <t>2025-08-11</t>
        </is>
      </c>
      <c r="C168" s="17" t="inlineStr">
        <is>
          <t>13:41:50</t>
        </is>
      </c>
      <c r="D168" s="17" t="n">
        <v>1180</v>
      </c>
      <c r="E168" s="17" t="n">
        <v>104</v>
      </c>
      <c r="F168" s="17" t="n">
        <v>230</v>
      </c>
      <c r="G168" s="17" t="inlineStr">
        <is>
          <t>Delhi NCR</t>
        </is>
      </c>
      <c r="H168" s="17" t="inlineStr">
        <is>
          <t>Fast Food</t>
        </is>
      </c>
      <c r="I168" s="22" t="n">
        <v>559</v>
      </c>
      <c r="J168" s="22" t="n">
        <v>38.37</v>
      </c>
      <c r="K168" s="22" t="n">
        <v>25</v>
      </c>
      <c r="L168" s="23" t="n">
        <v>0.18</v>
      </c>
      <c r="M168" s="22" t="n">
        <v>106.87</v>
      </c>
      <c r="N168" s="24" t="n">
        <v>2.9</v>
      </c>
      <c r="O168" s="24" t="n">
        <v>36</v>
      </c>
      <c r="P168" s="17" t="inlineStr">
        <is>
          <t>Digital Wallet</t>
        </is>
      </c>
      <c r="Q168" s="17" t="inlineStr">
        <is>
          <t>Delivered</t>
        </is>
      </c>
      <c r="R168" s="17" t="n">
        <v>5</v>
      </c>
      <c r="S168" s="17">
        <f>TEXT(B168,"yyyy-mm")</f>
        <v/>
      </c>
      <c r="T168" s="17">
        <f>VLOOKUP(D168,Customers!A:D,4,FALSE)</f>
        <v/>
      </c>
      <c r="U168" s="17">
        <f>CONCATENATE(A168,"-",G168)</f>
        <v/>
      </c>
      <c r="V168" s="17">
        <f>IF(N168="","",IF(N168&lt;=30,"Fast (&lt;30m)",IF(N168&lt;=45,"Moderate (30-45m)","Delayed (&gt;45m)")))</f>
        <v/>
      </c>
      <c r="W168" s="17">
        <f>IF(AND(I168&gt;600,P168="Delivered"),"High Value Delivered","Standard")</f>
        <v/>
      </c>
      <c r="X168" s="17">
        <f>IF(OR(N168&gt;50,Q168&lt;=2),"High Risk / Delayed","Normal")</f>
        <v/>
      </c>
      <c r="Y168" s="17">
        <f>IF(NOT(P168="Cancelled"),"Fulfilled","Cancelled")</f>
        <v/>
      </c>
      <c r="Z168" s="17">
        <f>IFERROR(Q168,0)</f>
        <v/>
      </c>
    </row>
    <row r="169">
      <c r="A169" s="25" t="inlineStr">
        <is>
          <t>ORD1168</t>
        </is>
      </c>
      <c r="B169" s="25" t="inlineStr">
        <is>
          <t>2025-04-19</t>
        </is>
      </c>
      <c r="C169" s="25" t="inlineStr">
        <is>
          <t>11:57:55</t>
        </is>
      </c>
      <c r="D169" s="25" t="n">
        <v>1058</v>
      </c>
      <c r="E169" s="25" t="n">
        <v>103</v>
      </c>
      <c r="F169" s="25" t="n">
        <v>229</v>
      </c>
      <c r="G169" s="25" t="inlineStr">
        <is>
          <t>Mumbai</t>
        </is>
      </c>
      <c r="H169" s="25" t="inlineStr">
        <is>
          <t>Italian</t>
        </is>
      </c>
      <c r="I169" s="26" t="n">
        <v>928</v>
      </c>
      <c r="J169" s="26" t="n">
        <v>35.3</v>
      </c>
      <c r="K169" s="26" t="n">
        <v>50</v>
      </c>
      <c r="L169" s="27" t="n">
        <v>0.18</v>
      </c>
      <c r="M169" s="26" t="n">
        <v>179.54</v>
      </c>
      <c r="N169" s="28" t="n">
        <v>8</v>
      </c>
      <c r="O169" s="28" t="n">
        <v>37</v>
      </c>
      <c r="P169" s="25" t="inlineStr">
        <is>
          <t>UPI</t>
        </is>
      </c>
      <c r="Q169" s="25" t="inlineStr">
        <is>
          <t>Delivered</t>
        </is>
      </c>
      <c r="R169" s="25" t="n">
        <v>4</v>
      </c>
      <c r="S169" s="25">
        <f>TEXT(B169,"yyyy-mm")</f>
        <v/>
      </c>
      <c r="T169" s="25">
        <f>VLOOKUP(D169,Customers!A:D,4,FALSE)</f>
        <v/>
      </c>
      <c r="U169" s="25">
        <f>CONCATENATE(A169,"-",G169)</f>
        <v/>
      </c>
      <c r="V169" s="25">
        <f>IF(N169="","",IF(N169&lt;=30,"Fast (&lt;30m)",IF(N169&lt;=45,"Moderate (30-45m)","Delayed (&gt;45m)")))</f>
        <v/>
      </c>
      <c r="W169" s="25">
        <f>IF(AND(I169&gt;600,P169="Delivered"),"High Value Delivered","Standard")</f>
        <v/>
      </c>
      <c r="X169" s="25">
        <f>IF(OR(N169&gt;50,Q169&lt;=2),"High Risk / Delayed","Normal")</f>
        <v/>
      </c>
      <c r="Y169" s="25">
        <f>IF(NOT(P169="Cancelled"),"Fulfilled","Cancelled")</f>
        <v/>
      </c>
      <c r="Z169" s="25">
        <f>IFERROR(Q169,0)</f>
        <v/>
      </c>
    </row>
    <row r="170">
      <c r="A170" s="17" t="inlineStr">
        <is>
          <t>ORD1169</t>
        </is>
      </c>
      <c r="B170" s="17" t="inlineStr">
        <is>
          <t>2025-06-11</t>
        </is>
      </c>
      <c r="C170" s="17" t="inlineStr">
        <is>
          <t>12:01:13</t>
        </is>
      </c>
      <c r="D170" s="17" t="n">
        <v>1102</v>
      </c>
      <c r="E170" s="17" t="n">
        <v>113</v>
      </c>
      <c r="F170" s="17" t="n">
        <v>229</v>
      </c>
      <c r="G170" s="17" t="inlineStr">
        <is>
          <t>Mumbai</t>
        </is>
      </c>
      <c r="H170" s="17" t="inlineStr">
        <is>
          <t>Fast Food</t>
        </is>
      </c>
      <c r="I170" s="22" t="n">
        <v>821</v>
      </c>
      <c r="J170" s="22" t="n">
        <v>49.34</v>
      </c>
      <c r="K170" s="22" t="n">
        <v>35</v>
      </c>
      <c r="L170" s="23" t="n">
        <v>0.18</v>
      </c>
      <c r="M170" s="22" t="n">
        <v>156.53</v>
      </c>
      <c r="N170" s="24" t="n">
        <v>5</v>
      </c>
      <c r="O170" s="24" t="n">
        <v>44.4</v>
      </c>
      <c r="P170" s="17" t="inlineStr">
        <is>
          <t>Cash on Delivery</t>
        </is>
      </c>
      <c r="Q170" s="17" t="inlineStr">
        <is>
          <t>Delivered</t>
        </is>
      </c>
      <c r="R170" s="17" t="n">
        <v>5</v>
      </c>
      <c r="S170" s="17">
        <f>TEXT(B170,"yyyy-mm")</f>
        <v/>
      </c>
      <c r="T170" s="17">
        <f>VLOOKUP(D170,Customers!A:D,4,FALSE)</f>
        <v/>
      </c>
      <c r="U170" s="17">
        <f>CONCATENATE(A170,"-",G170)</f>
        <v/>
      </c>
      <c r="V170" s="17">
        <f>IF(N170="","",IF(N170&lt;=30,"Fast (&lt;30m)",IF(N170&lt;=45,"Moderate (30-45m)","Delayed (&gt;45m)")))</f>
        <v/>
      </c>
      <c r="W170" s="17">
        <f>IF(AND(I170&gt;600,P170="Delivered"),"High Value Delivered","Standard")</f>
        <v/>
      </c>
      <c r="X170" s="17">
        <f>IF(OR(N170&gt;50,Q170&lt;=2),"High Risk / Delayed","Normal")</f>
        <v/>
      </c>
      <c r="Y170" s="17">
        <f>IF(NOT(P170="Cancelled"),"Fulfilled","Cancelled")</f>
        <v/>
      </c>
      <c r="Z170" s="17">
        <f>IFERROR(Q170,0)</f>
        <v/>
      </c>
    </row>
    <row r="171">
      <c r="A171" s="25" t="inlineStr">
        <is>
          <t>ORD1170</t>
        </is>
      </c>
      <c r="B171" s="25" t="inlineStr">
        <is>
          <t>2025-03-25</t>
        </is>
      </c>
      <c r="C171" s="25" t="inlineStr">
        <is>
          <t>19:36:15</t>
        </is>
      </c>
      <c r="D171" s="25" t="n">
        <v>1106</v>
      </c>
      <c r="E171" s="25" t="n">
        <v>105</v>
      </c>
      <c r="F171" s="25" t="n">
        <v>218</v>
      </c>
      <c r="G171" s="25" t="inlineStr">
        <is>
          <t>Bangalore</t>
        </is>
      </c>
      <c r="H171" s="25" t="inlineStr">
        <is>
          <t>Chinese</t>
        </is>
      </c>
      <c r="I171" s="26" t="n">
        <v>800</v>
      </c>
      <c r="J171" s="26" t="n">
        <v>24.91</v>
      </c>
      <c r="K171" s="26" t="n">
        <v>25</v>
      </c>
      <c r="L171" s="27" t="n">
        <v>0.2</v>
      </c>
      <c r="M171" s="26" t="n">
        <v>166.25</v>
      </c>
      <c r="N171" s="28" t="n">
        <v>2.8</v>
      </c>
      <c r="O171" s="28" t="n">
        <v>34.1</v>
      </c>
      <c r="P171" s="25" t="inlineStr">
        <is>
          <t>Debit Card</t>
        </is>
      </c>
      <c r="Q171" s="25" t="inlineStr">
        <is>
          <t>Delivered</t>
        </is>
      </c>
      <c r="R171" s="25" t="n">
        <v>3</v>
      </c>
      <c r="S171" s="25">
        <f>TEXT(B171,"yyyy-mm")</f>
        <v/>
      </c>
      <c r="T171" s="25">
        <f>VLOOKUP(D171,Customers!A:D,4,FALSE)</f>
        <v/>
      </c>
      <c r="U171" s="25">
        <f>CONCATENATE(A171,"-",G171)</f>
        <v/>
      </c>
      <c r="V171" s="25">
        <f>IF(N171="","",IF(N171&lt;=30,"Fast (&lt;30m)",IF(N171&lt;=45,"Moderate (30-45m)","Delayed (&gt;45m)")))</f>
        <v/>
      </c>
      <c r="W171" s="25">
        <f>IF(AND(I171&gt;600,P171="Delivered"),"High Value Delivered","Standard")</f>
        <v/>
      </c>
      <c r="X171" s="25">
        <f>IF(OR(N171&gt;50,Q171&lt;=2),"High Risk / Delayed","Normal")</f>
        <v/>
      </c>
      <c r="Y171" s="25">
        <f>IF(NOT(P171="Cancelled"),"Fulfilled","Cancelled")</f>
        <v/>
      </c>
      <c r="Z171" s="25">
        <f>IFERROR(Q171,0)</f>
        <v/>
      </c>
    </row>
    <row r="172">
      <c r="A172" s="17" t="inlineStr">
        <is>
          <t>ORD1171</t>
        </is>
      </c>
      <c r="B172" s="17" t="inlineStr">
        <is>
          <t>2025-09-14</t>
        </is>
      </c>
      <c r="C172" s="17" t="inlineStr">
        <is>
          <t>20:47:22</t>
        </is>
      </c>
      <c r="D172" s="17" t="n">
        <v>1034</v>
      </c>
      <c r="E172" s="17" t="n">
        <v>107</v>
      </c>
      <c r="F172" s="17" t="n">
        <v>206</v>
      </c>
      <c r="G172" s="17" t="inlineStr">
        <is>
          <t>Mumbai</t>
        </is>
      </c>
      <c r="H172" s="17" t="inlineStr">
        <is>
          <t>Desserts</t>
        </is>
      </c>
      <c r="I172" s="22" t="n">
        <v>399</v>
      </c>
      <c r="J172" s="22" t="n">
        <v>57.34</v>
      </c>
      <c r="K172" s="22" t="n">
        <v>28</v>
      </c>
      <c r="L172" s="23" t="n">
        <v>0.25</v>
      </c>
      <c r="M172" s="22" t="n">
        <v>106.75</v>
      </c>
      <c r="N172" s="24" t="n">
        <v>3.6</v>
      </c>
      <c r="O172" s="24" t="n">
        <v>34.1</v>
      </c>
      <c r="P172" s="17" t="inlineStr">
        <is>
          <t>Debit Card</t>
        </is>
      </c>
      <c r="Q172" s="17" t="inlineStr">
        <is>
          <t>Delivered</t>
        </is>
      </c>
      <c r="R172" s="17" t="n">
        <v>4</v>
      </c>
      <c r="S172" s="17">
        <f>TEXT(B172,"yyyy-mm")</f>
        <v/>
      </c>
      <c r="T172" s="17">
        <f>VLOOKUP(D172,Customers!A:D,4,FALSE)</f>
        <v/>
      </c>
      <c r="U172" s="17">
        <f>CONCATENATE(A172,"-",G172)</f>
        <v/>
      </c>
      <c r="V172" s="17">
        <f>IF(N172="","",IF(N172&lt;=30,"Fast (&lt;30m)",IF(N172&lt;=45,"Moderate (30-45m)","Delayed (&gt;45m)")))</f>
        <v/>
      </c>
      <c r="W172" s="17">
        <f>IF(AND(I172&gt;600,P172="Delivered"),"High Value Delivered","Standard")</f>
        <v/>
      </c>
      <c r="X172" s="17">
        <f>IF(OR(N172&gt;50,Q172&lt;=2),"High Risk / Delayed","Normal")</f>
        <v/>
      </c>
      <c r="Y172" s="17">
        <f>IF(NOT(P172="Cancelled"),"Fulfilled","Cancelled")</f>
        <v/>
      </c>
      <c r="Z172" s="17">
        <f>IFERROR(Q172,0)</f>
        <v/>
      </c>
    </row>
    <row r="173">
      <c r="A173" s="25" t="inlineStr">
        <is>
          <t>ORD1172</t>
        </is>
      </c>
      <c r="B173" s="25" t="inlineStr">
        <is>
          <t>2025-11-21</t>
        </is>
      </c>
      <c r="C173" s="25" t="inlineStr">
        <is>
          <t>19:17:50</t>
        </is>
      </c>
      <c r="D173" s="25" t="n">
        <v>1224</v>
      </c>
      <c r="E173" s="25" t="n">
        <v>112</v>
      </c>
      <c r="F173" s="25" t="n">
        <v>212</v>
      </c>
      <c r="G173" s="25" t="inlineStr">
        <is>
          <t>Delhi NCR</t>
        </is>
      </c>
      <c r="H173" s="25" t="inlineStr">
        <is>
          <t>North Indian</t>
        </is>
      </c>
      <c r="I173" s="26" t="n">
        <v>681</v>
      </c>
      <c r="J173" s="26" t="n">
        <v>0</v>
      </c>
      <c r="K173" s="26" t="n">
        <v>25</v>
      </c>
      <c r="L173" s="27" t="n">
        <v>0.22</v>
      </c>
      <c r="M173" s="26" t="n">
        <v>156.07</v>
      </c>
      <c r="N173" s="28" t="n">
        <v>1.5</v>
      </c>
      <c r="O173" s="28" t="n">
        <v>22.4</v>
      </c>
      <c r="P173" s="25" t="inlineStr">
        <is>
          <t>Cash on Delivery</t>
        </is>
      </c>
      <c r="Q173" s="25" t="inlineStr">
        <is>
          <t>Delivered</t>
        </is>
      </c>
      <c r="R173" s="25" t="n">
        <v>2</v>
      </c>
      <c r="S173" s="25">
        <f>TEXT(B173,"yyyy-mm")</f>
        <v/>
      </c>
      <c r="T173" s="25">
        <f>VLOOKUP(D173,Customers!A:D,4,FALSE)</f>
        <v/>
      </c>
      <c r="U173" s="25">
        <f>CONCATENATE(A173,"-",G173)</f>
        <v/>
      </c>
      <c r="V173" s="25">
        <f>IF(N173="","",IF(N173&lt;=30,"Fast (&lt;30m)",IF(N173&lt;=45,"Moderate (30-45m)","Delayed (&gt;45m)")))</f>
        <v/>
      </c>
      <c r="W173" s="25">
        <f>IF(AND(I173&gt;600,P173="Delivered"),"High Value Delivered","Standard")</f>
        <v/>
      </c>
      <c r="X173" s="25">
        <f>IF(OR(N173&gt;50,Q173&lt;=2),"High Risk / Delayed","Normal")</f>
        <v/>
      </c>
      <c r="Y173" s="25">
        <f>IF(NOT(P173="Cancelled"),"Fulfilled","Cancelled")</f>
        <v/>
      </c>
      <c r="Z173" s="25">
        <f>IFERROR(Q173,0)</f>
        <v/>
      </c>
    </row>
    <row r="174">
      <c r="A174" s="17" t="inlineStr">
        <is>
          <t>ORD1173</t>
        </is>
      </c>
      <c r="B174" s="17" t="inlineStr">
        <is>
          <t>2025-02-13</t>
        </is>
      </c>
      <c r="C174" s="17" t="inlineStr">
        <is>
          <t>18:49:39</t>
        </is>
      </c>
      <c r="D174" s="17" t="n">
        <v>1043</v>
      </c>
      <c r="E174" s="17" t="n">
        <v>102</v>
      </c>
      <c r="F174" s="17" t="n">
        <v>215</v>
      </c>
      <c r="G174" s="17" t="inlineStr">
        <is>
          <t>Hyderabad</t>
        </is>
      </c>
      <c r="H174" s="17" t="inlineStr">
        <is>
          <t>Biryani</t>
        </is>
      </c>
      <c r="I174" s="22" t="n">
        <v>522</v>
      </c>
      <c r="J174" s="22" t="n">
        <v>29.78</v>
      </c>
      <c r="K174" s="22" t="n">
        <v>49</v>
      </c>
      <c r="L174" s="23" t="n">
        <v>0.22</v>
      </c>
      <c r="M174" s="22" t="n">
        <v>127.09</v>
      </c>
      <c r="N174" s="24" t="n">
        <v>7.8</v>
      </c>
      <c r="O174" s="24" t="n">
        <v>37</v>
      </c>
      <c r="P174" s="17" t="inlineStr">
        <is>
          <t>Credit Card</t>
        </is>
      </c>
      <c r="Q174" s="17" t="inlineStr">
        <is>
          <t>Delivered</t>
        </is>
      </c>
      <c r="R174" s="17" t="n">
        <v>5</v>
      </c>
      <c r="S174" s="17">
        <f>TEXT(B174,"yyyy-mm")</f>
        <v/>
      </c>
      <c r="T174" s="17">
        <f>VLOOKUP(D174,Customers!A:D,4,FALSE)</f>
        <v/>
      </c>
      <c r="U174" s="17">
        <f>CONCATENATE(A174,"-",G174)</f>
        <v/>
      </c>
      <c r="V174" s="17">
        <f>IF(N174="","",IF(N174&lt;=30,"Fast (&lt;30m)",IF(N174&lt;=45,"Moderate (30-45m)","Delayed (&gt;45m)")))</f>
        <v/>
      </c>
      <c r="W174" s="17">
        <f>IF(AND(I174&gt;600,P174="Delivered"),"High Value Delivered","Standard")</f>
        <v/>
      </c>
      <c r="X174" s="17">
        <f>IF(OR(N174&gt;50,Q174&lt;=2),"High Risk / Delayed","Normal")</f>
        <v/>
      </c>
      <c r="Y174" s="17">
        <f>IF(NOT(P174="Cancelled"),"Fulfilled","Cancelled")</f>
        <v/>
      </c>
      <c r="Z174" s="17">
        <f>IFERROR(Q174,0)</f>
        <v/>
      </c>
    </row>
    <row r="175">
      <c r="A175" s="25" t="inlineStr">
        <is>
          <t>ORD1174</t>
        </is>
      </c>
      <c r="B175" s="25" t="inlineStr">
        <is>
          <t>2025-06-12</t>
        </is>
      </c>
      <c r="C175" s="25" t="inlineStr">
        <is>
          <t>12:23:06</t>
        </is>
      </c>
      <c r="D175" s="25" t="n">
        <v>1082</v>
      </c>
      <c r="E175" s="25" t="n">
        <v>110</v>
      </c>
      <c r="F175" s="25" t="n">
        <v>214</v>
      </c>
      <c r="G175" s="25" t="inlineStr">
        <is>
          <t>Pune</t>
        </is>
      </c>
      <c r="H175" s="25" t="inlineStr">
        <is>
          <t>North Indian</t>
        </is>
      </c>
      <c r="I175" s="26" t="n">
        <v>313</v>
      </c>
      <c r="J175" s="26" t="n">
        <v>15.76</v>
      </c>
      <c r="K175" s="26" t="n">
        <v>47</v>
      </c>
      <c r="L175" s="27" t="n">
        <v>0.18</v>
      </c>
      <c r="M175" s="26" t="n">
        <v>68.09</v>
      </c>
      <c r="N175" s="28" t="n">
        <v>7.4</v>
      </c>
      <c r="O175" s="28" t="n">
        <v>46.9</v>
      </c>
      <c r="P175" s="25" t="inlineStr">
        <is>
          <t>Debit Card</t>
        </is>
      </c>
      <c r="Q175" s="25" t="inlineStr">
        <is>
          <t>Delivered</t>
        </is>
      </c>
      <c r="R175" s="25" t="n">
        <v>5</v>
      </c>
      <c r="S175" s="25">
        <f>TEXT(B175,"yyyy-mm")</f>
        <v/>
      </c>
      <c r="T175" s="25">
        <f>VLOOKUP(D175,Customers!A:D,4,FALSE)</f>
        <v/>
      </c>
      <c r="U175" s="25">
        <f>CONCATENATE(A175,"-",G175)</f>
        <v/>
      </c>
      <c r="V175" s="25">
        <f>IF(N175="","",IF(N175&lt;=30,"Fast (&lt;30m)",IF(N175&lt;=45,"Moderate (30-45m)","Delayed (&gt;45m)")))</f>
        <v/>
      </c>
      <c r="W175" s="25">
        <f>IF(AND(I175&gt;600,P175="Delivered"),"High Value Delivered","Standard")</f>
        <v/>
      </c>
      <c r="X175" s="25">
        <f>IF(OR(N175&gt;50,Q175&lt;=2),"High Risk / Delayed","Normal")</f>
        <v/>
      </c>
      <c r="Y175" s="25">
        <f>IF(NOT(P175="Cancelled"),"Fulfilled","Cancelled")</f>
        <v/>
      </c>
      <c r="Z175" s="25">
        <f>IFERROR(Q175,0)</f>
        <v/>
      </c>
    </row>
    <row r="176">
      <c r="A176" s="17" t="inlineStr">
        <is>
          <t>ORD1175</t>
        </is>
      </c>
      <c r="B176" s="17" t="inlineStr">
        <is>
          <t>2025-02-14</t>
        </is>
      </c>
      <c r="C176" s="17" t="inlineStr">
        <is>
          <t>20:11:27</t>
        </is>
      </c>
      <c r="D176" s="17" t="n">
        <v>1071</v>
      </c>
      <c r="E176" s="17" t="n">
        <v>116</v>
      </c>
      <c r="F176" s="17" t="n">
        <v>204</v>
      </c>
      <c r="G176" s="17" t="inlineStr">
        <is>
          <t>Pune</t>
        </is>
      </c>
      <c r="H176" s="17" t="inlineStr">
        <is>
          <t>Desserts</t>
        </is>
      </c>
      <c r="I176" s="22" t="n">
        <v>679</v>
      </c>
      <c r="J176" s="22" t="n">
        <v>60.42</v>
      </c>
      <c r="K176" s="22" t="n">
        <v>47</v>
      </c>
      <c r="L176" s="23" t="n">
        <v>0.25</v>
      </c>
      <c r="M176" s="22" t="n">
        <v>181.5</v>
      </c>
      <c r="N176" s="24" t="n">
        <v>7.4</v>
      </c>
      <c r="O176" s="24" t="n">
        <v>46.7</v>
      </c>
      <c r="P176" s="17" t="inlineStr">
        <is>
          <t>UPI</t>
        </is>
      </c>
      <c r="Q176" s="17" t="inlineStr">
        <is>
          <t>Delivered</t>
        </is>
      </c>
      <c r="R176" s="17" t="n">
        <v>3</v>
      </c>
      <c r="S176" s="17">
        <f>TEXT(B176,"yyyy-mm")</f>
        <v/>
      </c>
      <c r="T176" s="17">
        <f>VLOOKUP(D176,Customers!A:D,4,FALSE)</f>
        <v/>
      </c>
      <c r="U176" s="17">
        <f>CONCATENATE(A176,"-",G176)</f>
        <v/>
      </c>
      <c r="V176" s="17">
        <f>IF(N176="","",IF(N176&lt;=30,"Fast (&lt;30m)",IF(N176&lt;=45,"Moderate (30-45m)","Delayed (&gt;45m)")))</f>
        <v/>
      </c>
      <c r="W176" s="17">
        <f>IF(AND(I176&gt;600,P176="Delivered"),"High Value Delivered","Standard")</f>
        <v/>
      </c>
      <c r="X176" s="17">
        <f>IF(OR(N176&gt;50,Q176&lt;=2),"High Risk / Delayed","Normal")</f>
        <v/>
      </c>
      <c r="Y176" s="17">
        <f>IF(NOT(P176="Cancelled"),"Fulfilled","Cancelled")</f>
        <v/>
      </c>
      <c r="Z176" s="17">
        <f>IFERROR(Q176,0)</f>
        <v/>
      </c>
    </row>
    <row r="177">
      <c r="A177" s="25" t="inlineStr">
        <is>
          <t>ORD1176</t>
        </is>
      </c>
      <c r="B177" s="25" t="inlineStr">
        <is>
          <t>2025-07-01</t>
        </is>
      </c>
      <c r="C177" s="25" t="inlineStr">
        <is>
          <t>21:35:05</t>
        </is>
      </c>
      <c r="D177" s="25" t="n">
        <v>1142</v>
      </c>
      <c r="E177" s="25" t="n">
        <v>109</v>
      </c>
      <c r="F177" s="25" t="n">
        <v>216</v>
      </c>
      <c r="G177" s="25" t="inlineStr">
        <is>
          <t>Hyderabad</t>
        </is>
      </c>
      <c r="H177" s="25" t="inlineStr">
        <is>
          <t>Biryani</t>
        </is>
      </c>
      <c r="I177" s="26" t="n">
        <v>831</v>
      </c>
      <c r="J177" s="26" t="n">
        <v>21.57</v>
      </c>
      <c r="K177" s="26" t="n">
        <v>34.5</v>
      </c>
      <c r="L177" s="27" t="n">
        <v>0.2</v>
      </c>
      <c r="M177" s="26" t="n">
        <v>174.82</v>
      </c>
      <c r="N177" s="28" t="n">
        <v>4.9</v>
      </c>
      <c r="O177" s="28" t="n">
        <v>36.5</v>
      </c>
      <c r="P177" s="25" t="inlineStr">
        <is>
          <t>Debit Card</t>
        </is>
      </c>
      <c r="Q177" s="25" t="inlineStr">
        <is>
          <t>Delivered</t>
        </is>
      </c>
      <c r="R177" s="25" t="n">
        <v>4</v>
      </c>
      <c r="S177" s="25">
        <f>TEXT(B177,"yyyy-mm")</f>
        <v/>
      </c>
      <c r="T177" s="25">
        <f>VLOOKUP(D177,Customers!A:D,4,FALSE)</f>
        <v/>
      </c>
      <c r="U177" s="25">
        <f>CONCATENATE(A177,"-",G177)</f>
        <v/>
      </c>
      <c r="V177" s="25">
        <f>IF(N177="","",IF(N177&lt;=30,"Fast (&lt;30m)",IF(N177&lt;=45,"Moderate (30-45m)","Delayed (&gt;45m)")))</f>
        <v/>
      </c>
      <c r="W177" s="25">
        <f>IF(AND(I177&gt;600,P177="Delivered"),"High Value Delivered","Standard")</f>
        <v/>
      </c>
      <c r="X177" s="25">
        <f>IF(OR(N177&gt;50,Q177&lt;=2),"High Risk / Delayed","Normal")</f>
        <v/>
      </c>
      <c r="Y177" s="25">
        <f>IF(NOT(P177="Cancelled"),"Fulfilled","Cancelled")</f>
        <v/>
      </c>
      <c r="Z177" s="25">
        <f>IFERROR(Q177,0)</f>
        <v/>
      </c>
    </row>
    <row r="178">
      <c r="A178" s="17" t="inlineStr">
        <is>
          <t>ORD1177</t>
        </is>
      </c>
      <c r="B178" s="17" t="inlineStr">
        <is>
          <t>2025-10-14</t>
        </is>
      </c>
      <c r="C178" s="17" t="inlineStr">
        <is>
          <t>18:57:15</t>
        </is>
      </c>
      <c r="D178" s="17" t="n">
        <v>1236</v>
      </c>
      <c r="E178" s="17" t="n">
        <v>118</v>
      </c>
      <c r="F178" s="17" t="n">
        <v>211</v>
      </c>
      <c r="G178" s="17" t="inlineStr">
        <is>
          <t>Delhi NCR</t>
        </is>
      </c>
      <c r="H178" s="17" t="inlineStr">
        <is>
          <t>North Indian</t>
        </is>
      </c>
      <c r="I178" s="22" t="n">
        <v>805</v>
      </c>
      <c r="J178" s="22" t="n">
        <v>69.61</v>
      </c>
      <c r="K178" s="22" t="n">
        <v>43.5</v>
      </c>
      <c r="L178" s="23" t="n">
        <v>0.2</v>
      </c>
      <c r="M178" s="22" t="n">
        <v>171.88</v>
      </c>
      <c r="N178" s="24" t="n">
        <v>6.7</v>
      </c>
      <c r="O178" s="24" t="n">
        <v/>
      </c>
      <c r="P178" s="17" t="inlineStr">
        <is>
          <t>Credit Card</t>
        </is>
      </c>
      <c r="Q178" s="17" t="inlineStr">
        <is>
          <t>Cancelled</t>
        </is>
      </c>
      <c r="R178" s="17" t="n">
        <v/>
      </c>
      <c r="S178" s="17">
        <f>TEXT(B178,"yyyy-mm")</f>
        <v/>
      </c>
      <c r="T178" s="17">
        <f>VLOOKUP(D178,Customers!A:D,4,FALSE)</f>
        <v/>
      </c>
      <c r="U178" s="17">
        <f>CONCATENATE(A178,"-",G178)</f>
        <v/>
      </c>
      <c r="V178" s="17">
        <f>IF(N178="","",IF(N178&lt;=30,"Fast (&lt;30m)",IF(N178&lt;=45,"Moderate (30-45m)","Delayed (&gt;45m)")))</f>
        <v/>
      </c>
      <c r="W178" s="17">
        <f>IF(AND(I178&gt;600,P178="Delivered"),"High Value Delivered","Standard")</f>
        <v/>
      </c>
      <c r="X178" s="17">
        <f>IF(OR(N178&gt;50,Q178&lt;=2),"High Risk / Delayed","Normal")</f>
        <v/>
      </c>
      <c r="Y178" s="17">
        <f>IF(NOT(P178="Cancelled"),"Fulfilled","Cancelled")</f>
        <v/>
      </c>
      <c r="Z178" s="17">
        <f>IFERROR(Q178,0)</f>
        <v/>
      </c>
    </row>
    <row r="179">
      <c r="A179" s="25" t="inlineStr">
        <is>
          <t>ORD1178</t>
        </is>
      </c>
      <c r="B179" s="25" t="inlineStr">
        <is>
          <t>2025-06-04</t>
        </is>
      </c>
      <c r="C179" s="25" t="inlineStr">
        <is>
          <t>17:17:31</t>
        </is>
      </c>
      <c r="D179" s="25" t="n">
        <v>1295</v>
      </c>
      <c r="E179" s="25" t="n">
        <v>104</v>
      </c>
      <c r="F179" s="25" t="n">
        <v>230</v>
      </c>
      <c r="G179" s="25" t="inlineStr">
        <is>
          <t>Delhi NCR</t>
        </is>
      </c>
      <c r="H179" s="25" t="inlineStr">
        <is>
          <t>Fast Food</t>
        </is>
      </c>
      <c r="I179" s="26" t="n">
        <v>369</v>
      </c>
      <c r="J179" s="26" t="n">
        <v>0</v>
      </c>
      <c r="K179" s="26" t="n">
        <v>27</v>
      </c>
      <c r="L179" s="27" t="n">
        <v>0.18</v>
      </c>
      <c r="M179" s="26" t="n">
        <v>73.17</v>
      </c>
      <c r="N179" s="28" t="n">
        <v>3.4</v>
      </c>
      <c r="O179" s="28" t="n">
        <v>32.3</v>
      </c>
      <c r="P179" s="25" t="inlineStr">
        <is>
          <t>Cash on Delivery</t>
        </is>
      </c>
      <c r="Q179" s="25" t="inlineStr">
        <is>
          <t>Delivered</t>
        </is>
      </c>
      <c r="R179" s="25" t="n">
        <v>5</v>
      </c>
      <c r="S179" s="25">
        <f>TEXT(B179,"yyyy-mm")</f>
        <v/>
      </c>
      <c r="T179" s="25">
        <f>VLOOKUP(D179,Customers!A:D,4,FALSE)</f>
        <v/>
      </c>
      <c r="U179" s="25">
        <f>CONCATENATE(A179,"-",G179)</f>
        <v/>
      </c>
      <c r="V179" s="25">
        <f>IF(N179="","",IF(N179&lt;=30,"Fast (&lt;30m)",IF(N179&lt;=45,"Moderate (30-45m)","Delayed (&gt;45m)")))</f>
        <v/>
      </c>
      <c r="W179" s="25">
        <f>IF(AND(I179&gt;600,P179="Delivered"),"High Value Delivered","Standard")</f>
        <v/>
      </c>
      <c r="X179" s="25">
        <f>IF(OR(N179&gt;50,Q179&lt;=2),"High Risk / Delayed","Normal")</f>
        <v/>
      </c>
      <c r="Y179" s="25">
        <f>IF(NOT(P179="Cancelled"),"Fulfilled","Cancelled")</f>
        <v/>
      </c>
      <c r="Z179" s="25">
        <f>IFERROR(Q179,0)</f>
        <v/>
      </c>
    </row>
    <row r="180">
      <c r="A180" s="17" t="inlineStr">
        <is>
          <t>ORD1179</t>
        </is>
      </c>
      <c r="B180" s="17" t="inlineStr">
        <is>
          <t>2025-07-04</t>
        </is>
      </c>
      <c r="C180" s="17" t="inlineStr">
        <is>
          <t>21:16:15</t>
        </is>
      </c>
      <c r="D180" s="17" t="n">
        <v>1151</v>
      </c>
      <c r="E180" s="17" t="n">
        <v>107</v>
      </c>
      <c r="F180" s="17" t="n">
        <v>206</v>
      </c>
      <c r="G180" s="17" t="inlineStr">
        <is>
          <t>Mumbai</t>
        </is>
      </c>
      <c r="H180" s="17" t="inlineStr">
        <is>
          <t>Desserts</t>
        </is>
      </c>
      <c r="I180" s="22" t="n">
        <v>1086</v>
      </c>
      <c r="J180" s="22" t="n">
        <v>173.09</v>
      </c>
      <c r="K180" s="22" t="n">
        <v>0</v>
      </c>
      <c r="L180" s="23" t="n">
        <v>0.25</v>
      </c>
      <c r="M180" s="22" t="n">
        <v>271.5</v>
      </c>
      <c r="N180" s="24" t="n">
        <v>3</v>
      </c>
      <c r="O180" s="24" t="n">
        <v>25.5</v>
      </c>
      <c r="P180" s="17" t="inlineStr">
        <is>
          <t>UPI</t>
        </is>
      </c>
      <c r="Q180" s="17" t="inlineStr">
        <is>
          <t>Delivered</t>
        </is>
      </c>
      <c r="R180" s="17" t="n">
        <v>5</v>
      </c>
      <c r="S180" s="17">
        <f>TEXT(B180,"yyyy-mm")</f>
        <v/>
      </c>
      <c r="T180" s="17">
        <f>VLOOKUP(D180,Customers!A:D,4,FALSE)</f>
        <v/>
      </c>
      <c r="U180" s="17">
        <f>CONCATENATE(A180,"-",G180)</f>
        <v/>
      </c>
      <c r="V180" s="17">
        <f>IF(N180="","",IF(N180&lt;=30,"Fast (&lt;30m)",IF(N180&lt;=45,"Moderate (30-45m)","Delayed (&gt;45m)")))</f>
        <v/>
      </c>
      <c r="W180" s="17">
        <f>IF(AND(I180&gt;600,P180="Delivered"),"High Value Delivered","Standard")</f>
        <v/>
      </c>
      <c r="X180" s="17">
        <f>IF(OR(N180&gt;50,Q180&lt;=2),"High Risk / Delayed","Normal")</f>
        <v/>
      </c>
      <c r="Y180" s="17">
        <f>IF(NOT(P180="Cancelled"),"Fulfilled","Cancelled")</f>
        <v/>
      </c>
      <c r="Z180" s="17">
        <f>IFERROR(Q180,0)</f>
        <v/>
      </c>
    </row>
    <row r="181">
      <c r="A181" s="25" t="inlineStr">
        <is>
          <t>ORD1180</t>
        </is>
      </c>
      <c r="B181" s="25" t="inlineStr">
        <is>
          <t>2025-01-04</t>
        </is>
      </c>
      <c r="C181" s="25" t="inlineStr">
        <is>
          <t>00:25:21</t>
        </is>
      </c>
      <c r="D181" s="25" t="n">
        <v>1219</v>
      </c>
      <c r="E181" s="25" t="n">
        <v>118</v>
      </c>
      <c r="F181" s="25" t="n">
        <v>221</v>
      </c>
      <c r="G181" s="25" t="inlineStr">
        <is>
          <t>Delhi NCR</t>
        </is>
      </c>
      <c r="H181" s="25" t="inlineStr">
        <is>
          <t>North Indian</t>
        </is>
      </c>
      <c r="I181" s="26" t="n">
        <v>855</v>
      </c>
      <c r="J181" s="26" t="n">
        <v>65.48999999999999</v>
      </c>
      <c r="K181" s="26" t="n">
        <v>25</v>
      </c>
      <c r="L181" s="27" t="n">
        <v>0.2</v>
      </c>
      <c r="M181" s="26" t="n">
        <v>177.25</v>
      </c>
      <c r="N181" s="28" t="n">
        <v>1.5</v>
      </c>
      <c r="O181" s="28" t="n">
        <v>25.6</v>
      </c>
      <c r="P181" s="25" t="inlineStr">
        <is>
          <t>Cash on Delivery</t>
        </is>
      </c>
      <c r="Q181" s="25" t="inlineStr">
        <is>
          <t>Delivered</t>
        </is>
      </c>
      <c r="R181" s="25" t="n">
        <v>4</v>
      </c>
      <c r="S181" s="25">
        <f>TEXT(B181,"yyyy-mm")</f>
        <v/>
      </c>
      <c r="T181" s="25">
        <f>VLOOKUP(D181,Customers!A:D,4,FALSE)</f>
        <v/>
      </c>
      <c r="U181" s="25">
        <f>CONCATENATE(A181,"-",G181)</f>
        <v/>
      </c>
      <c r="V181" s="25">
        <f>IF(N181="","",IF(N181&lt;=30,"Fast (&lt;30m)",IF(N181&lt;=45,"Moderate (30-45m)","Delayed (&gt;45m)")))</f>
        <v/>
      </c>
      <c r="W181" s="25">
        <f>IF(AND(I181&gt;600,P181="Delivered"),"High Value Delivered","Standard")</f>
        <v/>
      </c>
      <c r="X181" s="25">
        <f>IF(OR(N181&gt;50,Q181&lt;=2),"High Risk / Delayed","Normal")</f>
        <v/>
      </c>
      <c r="Y181" s="25">
        <f>IF(NOT(P181="Cancelled"),"Fulfilled","Cancelled")</f>
        <v/>
      </c>
      <c r="Z181" s="25">
        <f>IFERROR(Q181,0)</f>
        <v/>
      </c>
    </row>
    <row r="182">
      <c r="A182" s="17" t="inlineStr">
        <is>
          <t>ORD1181</t>
        </is>
      </c>
      <c r="B182" s="17" t="inlineStr">
        <is>
          <t>2025-06-03</t>
        </is>
      </c>
      <c r="C182" s="17" t="inlineStr">
        <is>
          <t>16:20:38</t>
        </is>
      </c>
      <c r="D182" s="17" t="n">
        <v>1219</v>
      </c>
      <c r="E182" s="17" t="n">
        <v>104</v>
      </c>
      <c r="F182" s="17" t="n">
        <v>211</v>
      </c>
      <c r="G182" s="17" t="inlineStr">
        <is>
          <t>Delhi NCR</t>
        </is>
      </c>
      <c r="H182" s="17" t="inlineStr">
        <is>
          <t>Fast Food</t>
        </is>
      </c>
      <c r="I182" s="22" t="n">
        <v>931</v>
      </c>
      <c r="J182" s="22" t="n">
        <v>59.64</v>
      </c>
      <c r="K182" s="22" t="n">
        <v>62.5</v>
      </c>
      <c r="L182" s="23" t="n">
        <v>0.18</v>
      </c>
      <c r="M182" s="22" t="n">
        <v>183.2</v>
      </c>
      <c r="N182" s="24" t="n">
        <v>10.5</v>
      </c>
      <c r="O182" s="24" t="n">
        <v>46</v>
      </c>
      <c r="P182" s="17" t="inlineStr">
        <is>
          <t>Cash on Delivery</t>
        </is>
      </c>
      <c r="Q182" s="17" t="inlineStr">
        <is>
          <t>Delivered</t>
        </is>
      </c>
      <c r="R182" s="17" t="n">
        <v>3</v>
      </c>
      <c r="S182" s="17">
        <f>TEXT(B182,"yyyy-mm")</f>
        <v/>
      </c>
      <c r="T182" s="17">
        <f>VLOOKUP(D182,Customers!A:D,4,FALSE)</f>
        <v/>
      </c>
      <c r="U182" s="17">
        <f>CONCATENATE(A182,"-",G182)</f>
        <v/>
      </c>
      <c r="V182" s="17">
        <f>IF(N182="","",IF(N182&lt;=30,"Fast (&lt;30m)",IF(N182&lt;=45,"Moderate (30-45m)","Delayed (&gt;45m)")))</f>
        <v/>
      </c>
      <c r="W182" s="17">
        <f>IF(AND(I182&gt;600,P182="Delivered"),"High Value Delivered","Standard")</f>
        <v/>
      </c>
      <c r="X182" s="17">
        <f>IF(OR(N182&gt;50,Q182&lt;=2),"High Risk / Delayed","Normal")</f>
        <v/>
      </c>
      <c r="Y182" s="17">
        <f>IF(NOT(P182="Cancelled"),"Fulfilled","Cancelled")</f>
        <v/>
      </c>
      <c r="Z182" s="17">
        <f>IFERROR(Q182,0)</f>
        <v/>
      </c>
    </row>
    <row r="183">
      <c r="A183" s="25" t="inlineStr">
        <is>
          <t>ORD1182</t>
        </is>
      </c>
      <c r="B183" s="25" t="inlineStr">
        <is>
          <t>2025-10-22</t>
        </is>
      </c>
      <c r="C183" s="25" t="inlineStr">
        <is>
          <t>12:50:15</t>
        </is>
      </c>
      <c r="D183" s="25" t="n">
        <v>1132</v>
      </c>
      <c r="E183" s="25" t="n">
        <v>101</v>
      </c>
      <c r="F183" s="25" t="n">
        <v>227</v>
      </c>
      <c r="G183" s="25" t="inlineStr">
        <is>
          <t>Bangalore</t>
        </is>
      </c>
      <c r="H183" s="25" t="inlineStr">
        <is>
          <t>North Indian</t>
        </is>
      </c>
      <c r="I183" s="26" t="n">
        <v>553</v>
      </c>
      <c r="J183" s="26" t="n">
        <v>0</v>
      </c>
      <c r="K183" s="26" t="n">
        <v>25</v>
      </c>
      <c r="L183" s="27" t="n">
        <v>0.2</v>
      </c>
      <c r="M183" s="26" t="n">
        <v>116.85</v>
      </c>
      <c r="N183" s="28" t="n">
        <v>1.8</v>
      </c>
      <c r="O183" s="28" t="n">
        <v>29.5</v>
      </c>
      <c r="P183" s="25" t="inlineStr">
        <is>
          <t>Cash on Delivery</t>
        </is>
      </c>
      <c r="Q183" s="25" t="inlineStr">
        <is>
          <t>Delivered</t>
        </is>
      </c>
      <c r="R183" s="25" t="n">
        <v>3</v>
      </c>
      <c r="S183" s="25">
        <f>TEXT(B183,"yyyy-mm")</f>
        <v/>
      </c>
      <c r="T183" s="25">
        <f>VLOOKUP(D183,Customers!A:D,4,FALSE)</f>
        <v/>
      </c>
      <c r="U183" s="25">
        <f>CONCATENATE(A183,"-",G183)</f>
        <v/>
      </c>
      <c r="V183" s="25">
        <f>IF(N183="","",IF(N183&lt;=30,"Fast (&lt;30m)",IF(N183&lt;=45,"Moderate (30-45m)","Delayed (&gt;45m)")))</f>
        <v/>
      </c>
      <c r="W183" s="25">
        <f>IF(AND(I183&gt;600,P183="Delivered"),"High Value Delivered","Standard")</f>
        <v/>
      </c>
      <c r="X183" s="25">
        <f>IF(OR(N183&gt;50,Q183&lt;=2),"High Risk / Delayed","Normal")</f>
        <v/>
      </c>
      <c r="Y183" s="25">
        <f>IF(NOT(P183="Cancelled"),"Fulfilled","Cancelled")</f>
        <v/>
      </c>
      <c r="Z183" s="25">
        <f>IFERROR(Q183,0)</f>
        <v/>
      </c>
    </row>
    <row r="184">
      <c r="A184" s="17" t="inlineStr">
        <is>
          <t>ORD1183</t>
        </is>
      </c>
      <c r="B184" s="17" t="inlineStr">
        <is>
          <t>2025-10-31</t>
        </is>
      </c>
      <c r="C184" s="17" t="inlineStr">
        <is>
          <t>20:34:11</t>
        </is>
      </c>
      <c r="D184" s="17" t="n">
        <v>1131</v>
      </c>
      <c r="E184" s="17" t="n">
        <v>112</v>
      </c>
      <c r="F184" s="17" t="n">
        <v>219</v>
      </c>
      <c r="G184" s="17" t="inlineStr">
        <is>
          <t>Delhi NCR</t>
        </is>
      </c>
      <c r="H184" s="17" t="inlineStr">
        <is>
          <t>North Indian</t>
        </is>
      </c>
      <c r="I184" s="22" t="n">
        <v>918</v>
      </c>
      <c r="J184" s="22" t="n">
        <v>1.98</v>
      </c>
      <c r="K184" s="22" t="n">
        <v>51.5</v>
      </c>
      <c r="L184" s="23" t="n">
        <v>0.22</v>
      </c>
      <c r="M184" s="22" t="n">
        <v>214.84</v>
      </c>
      <c r="N184" s="24" t="n">
        <v>8.300000000000001</v>
      </c>
      <c r="O184" s="24" t="n">
        <v>51</v>
      </c>
      <c r="P184" s="17" t="inlineStr">
        <is>
          <t>Credit Card</t>
        </is>
      </c>
      <c r="Q184" s="17" t="inlineStr">
        <is>
          <t>Delivered</t>
        </is>
      </c>
      <c r="R184" s="17" t="n">
        <v>1</v>
      </c>
      <c r="S184" s="17">
        <f>TEXT(B184,"yyyy-mm")</f>
        <v/>
      </c>
      <c r="T184" s="17">
        <f>VLOOKUP(D184,Customers!A:D,4,FALSE)</f>
        <v/>
      </c>
      <c r="U184" s="17">
        <f>CONCATENATE(A184,"-",G184)</f>
        <v/>
      </c>
      <c r="V184" s="17">
        <f>IF(N184="","",IF(N184&lt;=30,"Fast (&lt;30m)",IF(N184&lt;=45,"Moderate (30-45m)","Delayed (&gt;45m)")))</f>
        <v/>
      </c>
      <c r="W184" s="17">
        <f>IF(AND(I184&gt;600,P184="Delivered"),"High Value Delivered","Standard")</f>
        <v/>
      </c>
      <c r="X184" s="17">
        <f>IF(OR(N184&gt;50,Q184&lt;=2),"High Risk / Delayed","Normal")</f>
        <v/>
      </c>
      <c r="Y184" s="17">
        <f>IF(NOT(P184="Cancelled"),"Fulfilled","Cancelled")</f>
        <v/>
      </c>
      <c r="Z184" s="17">
        <f>IFERROR(Q184,0)</f>
        <v/>
      </c>
    </row>
    <row r="185">
      <c r="A185" s="25" t="inlineStr">
        <is>
          <t>ORD1184</t>
        </is>
      </c>
      <c r="B185" s="25" t="inlineStr">
        <is>
          <t>2025-07-29</t>
        </is>
      </c>
      <c r="C185" s="25" t="inlineStr">
        <is>
          <t>14:43:31</t>
        </is>
      </c>
      <c r="D185" s="25" t="n">
        <v>1205</v>
      </c>
      <c r="E185" s="25" t="n">
        <v>113</v>
      </c>
      <c r="F185" s="25" t="n">
        <v>222</v>
      </c>
      <c r="G185" s="25" t="inlineStr">
        <is>
          <t>Mumbai</t>
        </is>
      </c>
      <c r="H185" s="25" t="inlineStr">
        <is>
          <t>Fast Food</t>
        </is>
      </c>
      <c r="I185" s="26" t="n">
        <v>362</v>
      </c>
      <c r="J185" s="26" t="n">
        <v>34.15</v>
      </c>
      <c r="K185" s="26" t="n">
        <v>31</v>
      </c>
      <c r="L185" s="27" t="n">
        <v>0.18</v>
      </c>
      <c r="M185" s="26" t="n">
        <v>72.91</v>
      </c>
      <c r="N185" s="28" t="n">
        <v>4.2</v>
      </c>
      <c r="O185" s="28" t="n">
        <v>40.3</v>
      </c>
      <c r="P185" s="25" t="inlineStr">
        <is>
          <t>Credit Card</t>
        </is>
      </c>
      <c r="Q185" s="25" t="inlineStr">
        <is>
          <t>Delivered</t>
        </is>
      </c>
      <c r="R185" s="25" t="n">
        <v>2</v>
      </c>
      <c r="S185" s="25">
        <f>TEXT(B185,"yyyy-mm")</f>
        <v/>
      </c>
      <c r="T185" s="25">
        <f>VLOOKUP(D185,Customers!A:D,4,FALSE)</f>
        <v/>
      </c>
      <c r="U185" s="25">
        <f>CONCATENATE(A185,"-",G185)</f>
        <v/>
      </c>
      <c r="V185" s="25">
        <f>IF(N185="","",IF(N185&lt;=30,"Fast (&lt;30m)",IF(N185&lt;=45,"Moderate (30-45m)","Delayed (&gt;45m)")))</f>
        <v/>
      </c>
      <c r="W185" s="25">
        <f>IF(AND(I185&gt;600,P185="Delivered"),"High Value Delivered","Standard")</f>
        <v/>
      </c>
      <c r="X185" s="25">
        <f>IF(OR(N185&gt;50,Q185&lt;=2),"High Risk / Delayed","Normal")</f>
        <v/>
      </c>
      <c r="Y185" s="25">
        <f>IF(NOT(P185="Cancelled"),"Fulfilled","Cancelled")</f>
        <v/>
      </c>
      <c r="Z185" s="25">
        <f>IFERROR(Q185,0)</f>
        <v/>
      </c>
    </row>
    <row r="186">
      <c r="A186" s="17" t="inlineStr">
        <is>
          <t>ORD1185</t>
        </is>
      </c>
      <c r="B186" s="17" t="inlineStr">
        <is>
          <t>2025-08-18</t>
        </is>
      </c>
      <c r="C186" s="17" t="inlineStr">
        <is>
          <t>19:38:30</t>
        </is>
      </c>
      <c r="D186" s="17" t="n">
        <v>1290</v>
      </c>
      <c r="E186" s="17" t="n">
        <v>103</v>
      </c>
      <c r="F186" s="17" t="n">
        <v>206</v>
      </c>
      <c r="G186" s="17" t="inlineStr">
        <is>
          <t>Mumbai</t>
        </is>
      </c>
      <c r="H186" s="17" t="inlineStr">
        <is>
          <t>Italian</t>
        </is>
      </c>
      <c r="I186" s="22" t="n">
        <v>816</v>
      </c>
      <c r="J186" s="22" t="n">
        <v>0</v>
      </c>
      <c r="K186" s="22" t="n">
        <v>29</v>
      </c>
      <c r="L186" s="23" t="n">
        <v>0.18</v>
      </c>
      <c r="M186" s="22" t="n">
        <v>154.13</v>
      </c>
      <c r="N186" s="24" t="n">
        <v>3.8</v>
      </c>
      <c r="O186" s="24" t="n">
        <v>36.5</v>
      </c>
      <c r="P186" s="17" t="inlineStr">
        <is>
          <t>Cash on Delivery</t>
        </is>
      </c>
      <c r="Q186" s="17" t="inlineStr">
        <is>
          <t>Delivered</t>
        </is>
      </c>
      <c r="R186" s="17" t="n">
        <v>5</v>
      </c>
      <c r="S186" s="17">
        <f>TEXT(B186,"yyyy-mm")</f>
        <v/>
      </c>
      <c r="T186" s="17">
        <f>VLOOKUP(D186,Customers!A:D,4,FALSE)</f>
        <v/>
      </c>
      <c r="U186" s="17">
        <f>CONCATENATE(A186,"-",G186)</f>
        <v/>
      </c>
      <c r="V186" s="17">
        <f>IF(N186="","",IF(N186&lt;=30,"Fast (&lt;30m)",IF(N186&lt;=45,"Moderate (30-45m)","Delayed (&gt;45m)")))</f>
        <v/>
      </c>
      <c r="W186" s="17">
        <f>IF(AND(I186&gt;600,P186="Delivered"),"High Value Delivered","Standard")</f>
        <v/>
      </c>
      <c r="X186" s="17">
        <f>IF(OR(N186&gt;50,Q186&lt;=2),"High Risk / Delayed","Normal")</f>
        <v/>
      </c>
      <c r="Y186" s="17">
        <f>IF(NOT(P186="Cancelled"),"Fulfilled","Cancelled")</f>
        <v/>
      </c>
      <c r="Z186" s="17">
        <f>IFERROR(Q186,0)</f>
        <v/>
      </c>
    </row>
    <row r="187">
      <c r="A187" s="25" t="inlineStr">
        <is>
          <t>ORD1186</t>
        </is>
      </c>
      <c r="B187" s="25" t="inlineStr">
        <is>
          <t>2025-02-25</t>
        </is>
      </c>
      <c r="C187" s="25" t="inlineStr">
        <is>
          <t>18:49:15</t>
        </is>
      </c>
      <c r="D187" s="25" t="n">
        <v>1134</v>
      </c>
      <c r="E187" s="25" t="n">
        <v>109</v>
      </c>
      <c r="F187" s="25" t="n">
        <v>216</v>
      </c>
      <c r="G187" s="25" t="inlineStr">
        <is>
          <t>Hyderabad</t>
        </is>
      </c>
      <c r="H187" s="25" t="inlineStr">
        <is>
          <t>Biryani</t>
        </is>
      </c>
      <c r="I187" s="26" t="n">
        <v>893</v>
      </c>
      <c r="J187" s="26" t="n">
        <v>11.88</v>
      </c>
      <c r="K187" s="26" t="n">
        <v>42.5</v>
      </c>
      <c r="L187" s="27" t="n">
        <v>0.2</v>
      </c>
      <c r="M187" s="26" t="n">
        <v>189.23</v>
      </c>
      <c r="N187" s="28" t="n">
        <v>6.5</v>
      </c>
      <c r="O187" s="28" t="n">
        <v>37.3</v>
      </c>
      <c r="P187" s="25" t="inlineStr">
        <is>
          <t>Digital Wallet</t>
        </is>
      </c>
      <c r="Q187" s="25" t="inlineStr">
        <is>
          <t>Delivered</t>
        </is>
      </c>
      <c r="R187" s="25" t="n">
        <v>3</v>
      </c>
      <c r="S187" s="25">
        <f>TEXT(B187,"yyyy-mm")</f>
        <v/>
      </c>
      <c r="T187" s="25">
        <f>VLOOKUP(D187,Customers!A:D,4,FALSE)</f>
        <v/>
      </c>
      <c r="U187" s="25">
        <f>CONCATENATE(A187,"-",G187)</f>
        <v/>
      </c>
      <c r="V187" s="25">
        <f>IF(N187="","",IF(N187&lt;=30,"Fast (&lt;30m)",IF(N187&lt;=45,"Moderate (30-45m)","Delayed (&gt;45m)")))</f>
        <v/>
      </c>
      <c r="W187" s="25">
        <f>IF(AND(I187&gt;600,P187="Delivered"),"High Value Delivered","Standard")</f>
        <v/>
      </c>
      <c r="X187" s="25">
        <f>IF(OR(N187&gt;50,Q187&lt;=2),"High Risk / Delayed","Normal")</f>
        <v/>
      </c>
      <c r="Y187" s="25">
        <f>IF(NOT(P187="Cancelled"),"Fulfilled","Cancelled")</f>
        <v/>
      </c>
      <c r="Z187" s="25">
        <f>IFERROR(Q187,0)</f>
        <v/>
      </c>
    </row>
    <row r="188">
      <c r="A188" s="17" t="inlineStr">
        <is>
          <t>ORD1187</t>
        </is>
      </c>
      <c r="B188" s="17" t="inlineStr">
        <is>
          <t>2025-02-24</t>
        </is>
      </c>
      <c r="C188" s="17" t="inlineStr">
        <is>
          <t>14:00:06</t>
        </is>
      </c>
      <c r="D188" s="17" t="n">
        <v>1285</v>
      </c>
      <c r="E188" s="17" t="n">
        <v>115</v>
      </c>
      <c r="F188" s="17" t="n">
        <v>223</v>
      </c>
      <c r="G188" s="17" t="inlineStr">
        <is>
          <t>Bangalore</t>
        </is>
      </c>
      <c r="H188" s="17" t="inlineStr">
        <is>
          <t>Italian</t>
        </is>
      </c>
      <c r="I188" s="22" t="n">
        <v>484</v>
      </c>
      <c r="J188" s="22" t="n">
        <v>0</v>
      </c>
      <c r="K188" s="22" t="n">
        <v>43.5</v>
      </c>
      <c r="L188" s="23" t="n">
        <v>0.2</v>
      </c>
      <c r="M188" s="22" t="n">
        <v>107.68</v>
      </c>
      <c r="N188" s="24" t="n">
        <v>6.7</v>
      </c>
      <c r="O188" s="24" t="n">
        <v>47.2</v>
      </c>
      <c r="P188" s="17" t="inlineStr">
        <is>
          <t>Digital Wallet</t>
        </is>
      </c>
      <c r="Q188" s="17" t="inlineStr">
        <is>
          <t>Delivered</t>
        </is>
      </c>
      <c r="R188" s="17" t="n">
        <v>1</v>
      </c>
      <c r="S188" s="17">
        <f>TEXT(B188,"yyyy-mm")</f>
        <v/>
      </c>
      <c r="T188" s="17">
        <f>VLOOKUP(D188,Customers!A:D,4,FALSE)</f>
        <v/>
      </c>
      <c r="U188" s="17">
        <f>CONCATENATE(A188,"-",G188)</f>
        <v/>
      </c>
      <c r="V188" s="17">
        <f>IF(N188="","",IF(N188&lt;=30,"Fast (&lt;30m)",IF(N188&lt;=45,"Moderate (30-45m)","Delayed (&gt;45m)")))</f>
        <v/>
      </c>
      <c r="W188" s="17">
        <f>IF(AND(I188&gt;600,P188="Delivered"),"High Value Delivered","Standard")</f>
        <v/>
      </c>
      <c r="X188" s="17">
        <f>IF(OR(N188&gt;50,Q188&lt;=2),"High Risk / Delayed","Normal")</f>
        <v/>
      </c>
      <c r="Y188" s="17">
        <f>IF(NOT(P188="Cancelled"),"Fulfilled","Cancelled")</f>
        <v/>
      </c>
      <c r="Z188" s="17">
        <f>IFERROR(Q188,0)</f>
        <v/>
      </c>
    </row>
    <row r="189">
      <c r="A189" s="25" t="inlineStr">
        <is>
          <t>ORD1188</t>
        </is>
      </c>
      <c r="B189" s="25" t="inlineStr">
        <is>
          <t>2025-07-20</t>
        </is>
      </c>
      <c r="C189" s="25" t="inlineStr">
        <is>
          <t>08:29:49</t>
        </is>
      </c>
      <c r="D189" s="25" t="n">
        <v>1273</v>
      </c>
      <c r="E189" s="25" t="n">
        <v>102</v>
      </c>
      <c r="F189" s="25" t="n">
        <v>215</v>
      </c>
      <c r="G189" s="25" t="inlineStr">
        <is>
          <t>Hyderabad</t>
        </is>
      </c>
      <c r="H189" s="25" t="inlineStr">
        <is>
          <t>Biryani</t>
        </is>
      </c>
      <c r="I189" s="26" t="n">
        <v>1165</v>
      </c>
      <c r="J189" s="26" t="n">
        <v>196.94</v>
      </c>
      <c r="K189" s="26" t="n">
        <v>0</v>
      </c>
      <c r="L189" s="27" t="n">
        <v>0.22</v>
      </c>
      <c r="M189" s="26" t="n">
        <v>256.3</v>
      </c>
      <c r="N189" s="28" t="n">
        <v>11.3</v>
      </c>
      <c r="O189" s="28" t="n">
        <v>45.6</v>
      </c>
      <c r="P189" s="25" t="inlineStr">
        <is>
          <t>UPI</t>
        </is>
      </c>
      <c r="Q189" s="25" t="inlineStr">
        <is>
          <t>Delivered</t>
        </is>
      </c>
      <c r="R189" s="25" t="n">
        <v>3</v>
      </c>
      <c r="S189" s="25">
        <f>TEXT(B189,"yyyy-mm")</f>
        <v/>
      </c>
      <c r="T189" s="25">
        <f>VLOOKUP(D189,Customers!A:D,4,FALSE)</f>
        <v/>
      </c>
      <c r="U189" s="25">
        <f>CONCATENATE(A189,"-",G189)</f>
        <v/>
      </c>
      <c r="V189" s="25">
        <f>IF(N189="","",IF(N189&lt;=30,"Fast (&lt;30m)",IF(N189&lt;=45,"Moderate (30-45m)","Delayed (&gt;45m)")))</f>
        <v/>
      </c>
      <c r="W189" s="25">
        <f>IF(AND(I189&gt;600,P189="Delivered"),"High Value Delivered","Standard")</f>
        <v/>
      </c>
      <c r="X189" s="25">
        <f>IF(OR(N189&gt;50,Q189&lt;=2),"High Risk / Delayed","Normal")</f>
        <v/>
      </c>
      <c r="Y189" s="25">
        <f>IF(NOT(P189="Cancelled"),"Fulfilled","Cancelled")</f>
        <v/>
      </c>
      <c r="Z189" s="25">
        <f>IFERROR(Q189,0)</f>
        <v/>
      </c>
    </row>
    <row r="190">
      <c r="A190" s="17" t="inlineStr">
        <is>
          <t>ORD1189</t>
        </is>
      </c>
      <c r="B190" s="17" t="inlineStr">
        <is>
          <t>2025-08-01</t>
        </is>
      </c>
      <c r="C190" s="17" t="inlineStr">
        <is>
          <t>20:58:05</t>
        </is>
      </c>
      <c r="D190" s="17" t="n">
        <v>1255</v>
      </c>
      <c r="E190" s="17" t="n">
        <v>120</v>
      </c>
      <c r="F190" s="17" t="n">
        <v>209</v>
      </c>
      <c r="G190" s="17" t="inlineStr">
        <is>
          <t>Pune</t>
        </is>
      </c>
      <c r="H190" s="17" t="inlineStr">
        <is>
          <t>Fast Food</t>
        </is>
      </c>
      <c r="I190" s="22" t="n">
        <v>338</v>
      </c>
      <c r="J190" s="22" t="n">
        <v>19.74</v>
      </c>
      <c r="K190" s="22" t="n">
        <v>25</v>
      </c>
      <c r="L190" s="23" t="n">
        <v>0.18</v>
      </c>
      <c r="M190" s="22" t="n">
        <v>67.09</v>
      </c>
      <c r="N190" s="24" t="n">
        <v>2.1</v>
      </c>
      <c r="O190" s="24" t="n">
        <v>29.6</v>
      </c>
      <c r="P190" s="17" t="inlineStr">
        <is>
          <t>Debit Card</t>
        </is>
      </c>
      <c r="Q190" s="17" t="inlineStr">
        <is>
          <t>Delivered</t>
        </is>
      </c>
      <c r="R190" s="17" t="n">
        <v>5</v>
      </c>
      <c r="S190" s="17">
        <f>TEXT(B190,"yyyy-mm")</f>
        <v/>
      </c>
      <c r="T190" s="17">
        <f>VLOOKUP(D190,Customers!A:D,4,FALSE)</f>
        <v/>
      </c>
      <c r="U190" s="17">
        <f>CONCATENATE(A190,"-",G190)</f>
        <v/>
      </c>
      <c r="V190" s="17">
        <f>IF(N190="","",IF(N190&lt;=30,"Fast (&lt;30m)",IF(N190&lt;=45,"Moderate (30-45m)","Delayed (&gt;45m)")))</f>
        <v/>
      </c>
      <c r="W190" s="17">
        <f>IF(AND(I190&gt;600,P190="Delivered"),"High Value Delivered","Standard")</f>
        <v/>
      </c>
      <c r="X190" s="17">
        <f>IF(OR(N190&gt;50,Q190&lt;=2),"High Risk / Delayed","Normal")</f>
        <v/>
      </c>
      <c r="Y190" s="17">
        <f>IF(NOT(P190="Cancelled"),"Fulfilled","Cancelled")</f>
        <v/>
      </c>
      <c r="Z190" s="17">
        <f>IFERROR(Q190,0)</f>
        <v/>
      </c>
    </row>
    <row r="191">
      <c r="A191" s="25" t="inlineStr">
        <is>
          <t>ORD1190</t>
        </is>
      </c>
      <c r="B191" s="25" t="inlineStr">
        <is>
          <t>2025-06-28</t>
        </is>
      </c>
      <c r="C191" s="25" t="inlineStr">
        <is>
          <t>10:30:06</t>
        </is>
      </c>
      <c r="D191" s="25" t="n">
        <v>1229</v>
      </c>
      <c r="E191" s="25" t="n">
        <v>113</v>
      </c>
      <c r="F191" s="25" t="n">
        <v>206</v>
      </c>
      <c r="G191" s="25" t="inlineStr">
        <is>
          <t>Mumbai</t>
        </is>
      </c>
      <c r="H191" s="25" t="inlineStr">
        <is>
          <t>Fast Food</t>
        </is>
      </c>
      <c r="I191" s="26" t="n">
        <v>952</v>
      </c>
      <c r="J191" s="26" t="n">
        <v>161.53</v>
      </c>
      <c r="K191" s="26" t="n">
        <v>0</v>
      </c>
      <c r="L191" s="27" t="n">
        <v>0.18</v>
      </c>
      <c r="M191" s="26" t="n">
        <v>171.36</v>
      </c>
      <c r="N191" s="28" t="n">
        <v>2.1</v>
      </c>
      <c r="O191" s="28" t="n">
        <v>26.1</v>
      </c>
      <c r="P191" s="25" t="inlineStr">
        <is>
          <t>Debit Card</t>
        </is>
      </c>
      <c r="Q191" s="25" t="inlineStr">
        <is>
          <t>Delivered</t>
        </is>
      </c>
      <c r="R191" s="25" t="n">
        <v>4</v>
      </c>
      <c r="S191" s="25">
        <f>TEXT(B191,"yyyy-mm")</f>
        <v/>
      </c>
      <c r="T191" s="25">
        <f>VLOOKUP(D191,Customers!A:D,4,FALSE)</f>
        <v/>
      </c>
      <c r="U191" s="25">
        <f>CONCATENATE(A191,"-",G191)</f>
        <v/>
      </c>
      <c r="V191" s="25">
        <f>IF(N191="","",IF(N191&lt;=30,"Fast (&lt;30m)",IF(N191&lt;=45,"Moderate (30-45m)","Delayed (&gt;45m)")))</f>
        <v/>
      </c>
      <c r="W191" s="25">
        <f>IF(AND(I191&gt;600,P191="Delivered"),"High Value Delivered","Standard")</f>
        <v/>
      </c>
      <c r="X191" s="25">
        <f>IF(OR(N191&gt;50,Q191&lt;=2),"High Risk / Delayed","Normal")</f>
        <v/>
      </c>
      <c r="Y191" s="25">
        <f>IF(NOT(P191="Cancelled"),"Fulfilled","Cancelled")</f>
        <v/>
      </c>
      <c r="Z191" s="25">
        <f>IFERROR(Q191,0)</f>
        <v/>
      </c>
    </row>
    <row r="192">
      <c r="A192" s="17" t="inlineStr">
        <is>
          <t>ORD1191</t>
        </is>
      </c>
      <c r="B192" s="17" t="inlineStr">
        <is>
          <t>2025-01-12</t>
        </is>
      </c>
      <c r="C192" s="17" t="inlineStr">
        <is>
          <t>13:54:21</t>
        </is>
      </c>
      <c r="D192" s="17" t="n">
        <v>1180</v>
      </c>
      <c r="E192" s="17" t="n">
        <v>112</v>
      </c>
      <c r="F192" s="17" t="n">
        <v>219</v>
      </c>
      <c r="G192" s="17" t="inlineStr">
        <is>
          <t>Delhi NCR</t>
        </is>
      </c>
      <c r="H192" s="17" t="inlineStr">
        <is>
          <t>North Indian</t>
        </is>
      </c>
      <c r="I192" s="22" t="n">
        <v>883</v>
      </c>
      <c r="J192" s="22" t="n">
        <v>0</v>
      </c>
      <c r="K192" s="22" t="n">
        <v>41</v>
      </c>
      <c r="L192" s="23" t="n">
        <v>0.22</v>
      </c>
      <c r="M192" s="22" t="n">
        <v>204.51</v>
      </c>
      <c r="N192" s="24" t="n">
        <v>6.2</v>
      </c>
      <c r="O192" s="24" t="n">
        <v>44.3</v>
      </c>
      <c r="P192" s="17" t="inlineStr">
        <is>
          <t>Credit Card</t>
        </is>
      </c>
      <c r="Q192" s="17" t="inlineStr">
        <is>
          <t>Delivered</t>
        </is>
      </c>
      <c r="R192" s="17" t="n">
        <v>2</v>
      </c>
      <c r="S192" s="17">
        <f>TEXT(B192,"yyyy-mm")</f>
        <v/>
      </c>
      <c r="T192" s="17">
        <f>VLOOKUP(D192,Customers!A:D,4,FALSE)</f>
        <v/>
      </c>
      <c r="U192" s="17">
        <f>CONCATENATE(A192,"-",G192)</f>
        <v/>
      </c>
      <c r="V192" s="17">
        <f>IF(N192="","",IF(N192&lt;=30,"Fast (&lt;30m)",IF(N192&lt;=45,"Moderate (30-45m)","Delayed (&gt;45m)")))</f>
        <v/>
      </c>
      <c r="W192" s="17">
        <f>IF(AND(I192&gt;600,P192="Delivered"),"High Value Delivered","Standard")</f>
        <v/>
      </c>
      <c r="X192" s="17">
        <f>IF(OR(N192&gt;50,Q192&lt;=2),"High Risk / Delayed","Normal")</f>
        <v/>
      </c>
      <c r="Y192" s="17">
        <f>IF(NOT(P192="Cancelled"),"Fulfilled","Cancelled")</f>
        <v/>
      </c>
      <c r="Z192" s="17">
        <f>IFERROR(Q192,0)</f>
        <v/>
      </c>
    </row>
    <row r="193">
      <c r="A193" s="25" t="inlineStr">
        <is>
          <t>ORD1192</t>
        </is>
      </c>
      <c r="B193" s="25" t="inlineStr">
        <is>
          <t>2025-10-14</t>
        </is>
      </c>
      <c r="C193" s="25" t="inlineStr">
        <is>
          <t>21:27:29</t>
        </is>
      </c>
      <c r="D193" s="25" t="n">
        <v>1257</v>
      </c>
      <c r="E193" s="25" t="n">
        <v>106</v>
      </c>
      <c r="F193" s="25" t="n">
        <v>217</v>
      </c>
      <c r="G193" s="25" t="inlineStr">
        <is>
          <t>Pune</t>
        </is>
      </c>
      <c r="H193" s="25" t="inlineStr">
        <is>
          <t>South Indian</t>
        </is>
      </c>
      <c r="I193" s="26" t="n">
        <v>761</v>
      </c>
      <c r="J193" s="26" t="n">
        <v>106.92</v>
      </c>
      <c r="K193" s="26" t="n">
        <v>0</v>
      </c>
      <c r="L193" s="27" t="n">
        <v>0.15</v>
      </c>
      <c r="M193" s="26" t="n">
        <v>114.15</v>
      </c>
      <c r="N193" s="28" t="n">
        <v>3.9</v>
      </c>
      <c r="O193" s="28" t="n">
        <v>35.5</v>
      </c>
      <c r="P193" s="25" t="inlineStr">
        <is>
          <t>Cash on Delivery</t>
        </is>
      </c>
      <c r="Q193" s="25" t="inlineStr">
        <is>
          <t>Delivered</t>
        </is>
      </c>
      <c r="R193" s="25" t="n">
        <v>4</v>
      </c>
      <c r="S193" s="25">
        <f>TEXT(B193,"yyyy-mm")</f>
        <v/>
      </c>
      <c r="T193" s="25">
        <f>VLOOKUP(D193,Customers!A:D,4,FALSE)</f>
        <v/>
      </c>
      <c r="U193" s="25">
        <f>CONCATENATE(A193,"-",G193)</f>
        <v/>
      </c>
      <c r="V193" s="25">
        <f>IF(N193="","",IF(N193&lt;=30,"Fast (&lt;30m)",IF(N193&lt;=45,"Moderate (30-45m)","Delayed (&gt;45m)")))</f>
        <v/>
      </c>
      <c r="W193" s="25">
        <f>IF(AND(I193&gt;600,P193="Delivered"),"High Value Delivered","Standard")</f>
        <v/>
      </c>
      <c r="X193" s="25">
        <f>IF(OR(N193&gt;50,Q193&lt;=2),"High Risk / Delayed","Normal")</f>
        <v/>
      </c>
      <c r="Y193" s="25">
        <f>IF(NOT(P193="Cancelled"),"Fulfilled","Cancelled")</f>
        <v/>
      </c>
      <c r="Z193" s="25">
        <f>IFERROR(Q193,0)</f>
        <v/>
      </c>
    </row>
    <row r="194">
      <c r="A194" s="17" t="inlineStr">
        <is>
          <t>ORD1193</t>
        </is>
      </c>
      <c r="B194" s="17" t="inlineStr">
        <is>
          <t>2025-08-19</t>
        </is>
      </c>
      <c r="C194" s="17" t="inlineStr">
        <is>
          <t>10:37:27</t>
        </is>
      </c>
      <c r="D194" s="17" t="n">
        <v>1093</v>
      </c>
      <c r="E194" s="17" t="n">
        <v>108</v>
      </c>
      <c r="F194" s="17" t="n">
        <v>211</v>
      </c>
      <c r="G194" s="17" t="inlineStr">
        <is>
          <t>Delhi NCR</t>
        </is>
      </c>
      <c r="H194" s="17" t="inlineStr">
        <is>
          <t>Fast Food</t>
        </is>
      </c>
      <c r="I194" s="22" t="n">
        <v>618</v>
      </c>
      <c r="J194" s="22" t="n">
        <v>31.09</v>
      </c>
      <c r="K194" s="22" t="n">
        <v>25</v>
      </c>
      <c r="L194" s="23" t="n">
        <v>0.18</v>
      </c>
      <c r="M194" s="22" t="n">
        <v>117.49</v>
      </c>
      <c r="N194" s="24" t="n">
        <v>2.8</v>
      </c>
      <c r="O194" s="24" t="n">
        <v>29.6</v>
      </c>
      <c r="P194" s="17" t="inlineStr">
        <is>
          <t>Debit Card</t>
        </is>
      </c>
      <c r="Q194" s="17" t="inlineStr">
        <is>
          <t>Delivered</t>
        </is>
      </c>
      <c r="R194" s="17" t="n">
        <v>3</v>
      </c>
      <c r="S194" s="17">
        <f>TEXT(B194,"yyyy-mm")</f>
        <v/>
      </c>
      <c r="T194" s="17">
        <f>VLOOKUP(D194,Customers!A:D,4,FALSE)</f>
        <v/>
      </c>
      <c r="U194" s="17">
        <f>CONCATENATE(A194,"-",G194)</f>
        <v/>
      </c>
      <c r="V194" s="17">
        <f>IF(N194="","",IF(N194&lt;=30,"Fast (&lt;30m)",IF(N194&lt;=45,"Moderate (30-45m)","Delayed (&gt;45m)")))</f>
        <v/>
      </c>
      <c r="W194" s="17">
        <f>IF(AND(I194&gt;600,P194="Delivered"),"High Value Delivered","Standard")</f>
        <v/>
      </c>
      <c r="X194" s="17">
        <f>IF(OR(N194&gt;50,Q194&lt;=2),"High Risk / Delayed","Normal")</f>
        <v/>
      </c>
      <c r="Y194" s="17">
        <f>IF(NOT(P194="Cancelled"),"Fulfilled","Cancelled")</f>
        <v/>
      </c>
      <c r="Z194" s="17">
        <f>IFERROR(Q194,0)</f>
        <v/>
      </c>
    </row>
    <row r="195">
      <c r="A195" s="25" t="inlineStr">
        <is>
          <t>ORD1194</t>
        </is>
      </c>
      <c r="B195" s="25" t="inlineStr">
        <is>
          <t>2025-07-07</t>
        </is>
      </c>
      <c r="C195" s="25" t="inlineStr">
        <is>
          <t>21:20:12</t>
        </is>
      </c>
      <c r="D195" s="25" t="n">
        <v>1236</v>
      </c>
      <c r="E195" s="25" t="n">
        <v>104</v>
      </c>
      <c r="F195" s="25" t="n">
        <v>228</v>
      </c>
      <c r="G195" s="25" t="inlineStr">
        <is>
          <t>Delhi NCR</t>
        </is>
      </c>
      <c r="H195" s="25" t="inlineStr">
        <is>
          <t>Fast Food</t>
        </is>
      </c>
      <c r="I195" s="26" t="n">
        <v>688</v>
      </c>
      <c r="J195" s="26" t="n">
        <v>39.89</v>
      </c>
      <c r="K195" s="26" t="n">
        <v>25</v>
      </c>
      <c r="L195" s="27" t="n">
        <v>0.18</v>
      </c>
      <c r="M195" s="26" t="n">
        <v>130.09</v>
      </c>
      <c r="N195" s="28" t="n">
        <v>2.4</v>
      </c>
      <c r="O195" s="28" t="n">
        <v>28.7</v>
      </c>
      <c r="P195" s="25" t="inlineStr">
        <is>
          <t>Cash on Delivery</t>
        </is>
      </c>
      <c r="Q195" s="25" t="inlineStr">
        <is>
          <t>Delivered</t>
        </is>
      </c>
      <c r="R195" s="25" t="n">
        <v>2</v>
      </c>
      <c r="S195" s="25">
        <f>TEXT(B195,"yyyy-mm")</f>
        <v/>
      </c>
      <c r="T195" s="25">
        <f>VLOOKUP(D195,Customers!A:D,4,FALSE)</f>
        <v/>
      </c>
      <c r="U195" s="25">
        <f>CONCATENATE(A195,"-",G195)</f>
        <v/>
      </c>
      <c r="V195" s="25">
        <f>IF(N195="","",IF(N195&lt;=30,"Fast (&lt;30m)",IF(N195&lt;=45,"Moderate (30-45m)","Delayed (&gt;45m)")))</f>
        <v/>
      </c>
      <c r="W195" s="25">
        <f>IF(AND(I195&gt;600,P195="Delivered"),"High Value Delivered","Standard")</f>
        <v/>
      </c>
      <c r="X195" s="25">
        <f>IF(OR(N195&gt;50,Q195&lt;=2),"High Risk / Delayed","Normal")</f>
        <v/>
      </c>
      <c r="Y195" s="25">
        <f>IF(NOT(P195="Cancelled"),"Fulfilled","Cancelled")</f>
        <v/>
      </c>
      <c r="Z195" s="25">
        <f>IFERROR(Q195,0)</f>
        <v/>
      </c>
    </row>
    <row r="196">
      <c r="A196" s="17" t="inlineStr">
        <is>
          <t>ORD1195</t>
        </is>
      </c>
      <c r="B196" s="17" t="inlineStr">
        <is>
          <t>2025-10-28</t>
        </is>
      </c>
      <c r="C196" s="17" t="inlineStr">
        <is>
          <t>20:07:22</t>
        </is>
      </c>
      <c r="D196" s="17" t="n">
        <v>1182</v>
      </c>
      <c r="E196" s="17" t="n">
        <v>114</v>
      </c>
      <c r="F196" s="17" t="n">
        <v>215</v>
      </c>
      <c r="G196" s="17" t="inlineStr">
        <is>
          <t>Hyderabad</t>
        </is>
      </c>
      <c r="H196" s="17" t="inlineStr">
        <is>
          <t>Biryani</t>
        </is>
      </c>
      <c r="I196" s="22" t="n">
        <v>580</v>
      </c>
      <c r="J196" s="22" t="n">
        <v>28.65</v>
      </c>
      <c r="K196" s="22" t="n">
        <v>30.5</v>
      </c>
      <c r="L196" s="23" t="n">
        <v>0.22</v>
      </c>
      <c r="M196" s="22" t="n">
        <v>135.22</v>
      </c>
      <c r="N196" s="24" t="n">
        <v>4.1</v>
      </c>
      <c r="O196" s="24" t="n">
        <v>38.5</v>
      </c>
      <c r="P196" s="17" t="inlineStr">
        <is>
          <t>Debit Card</t>
        </is>
      </c>
      <c r="Q196" s="17" t="inlineStr">
        <is>
          <t>Delivered</t>
        </is>
      </c>
      <c r="R196" s="17" t="n">
        <v>4</v>
      </c>
      <c r="S196" s="17">
        <f>TEXT(B196,"yyyy-mm")</f>
        <v/>
      </c>
      <c r="T196" s="17">
        <f>VLOOKUP(D196,Customers!A:D,4,FALSE)</f>
        <v/>
      </c>
      <c r="U196" s="17">
        <f>CONCATENATE(A196,"-",G196)</f>
        <v/>
      </c>
      <c r="V196" s="17">
        <f>IF(N196="","",IF(N196&lt;=30,"Fast (&lt;30m)",IF(N196&lt;=45,"Moderate (30-45m)","Delayed (&gt;45m)")))</f>
        <v/>
      </c>
      <c r="W196" s="17">
        <f>IF(AND(I196&gt;600,P196="Delivered"),"High Value Delivered","Standard")</f>
        <v/>
      </c>
      <c r="X196" s="17">
        <f>IF(OR(N196&gt;50,Q196&lt;=2),"High Risk / Delayed","Normal")</f>
        <v/>
      </c>
      <c r="Y196" s="17">
        <f>IF(NOT(P196="Cancelled"),"Fulfilled","Cancelled")</f>
        <v/>
      </c>
      <c r="Z196" s="17">
        <f>IFERROR(Q196,0)</f>
        <v/>
      </c>
    </row>
    <row r="197">
      <c r="A197" s="25" t="inlineStr">
        <is>
          <t>ORD1196</t>
        </is>
      </c>
      <c r="B197" s="25" t="inlineStr">
        <is>
          <t>2025-03-02</t>
        </is>
      </c>
      <c r="C197" s="25" t="inlineStr">
        <is>
          <t>20:15:19</t>
        </is>
      </c>
      <c r="D197" s="25" t="n">
        <v>1155</v>
      </c>
      <c r="E197" s="25" t="n">
        <v>120</v>
      </c>
      <c r="F197" s="25" t="n">
        <v>208</v>
      </c>
      <c r="G197" s="25" t="inlineStr">
        <is>
          <t>Pune</t>
        </is>
      </c>
      <c r="H197" s="25" t="inlineStr">
        <is>
          <t>Fast Food</t>
        </is>
      </c>
      <c r="I197" s="26" t="n">
        <v>485</v>
      </c>
      <c r="J197" s="26" t="n">
        <v>66.61</v>
      </c>
      <c r="K197" s="26" t="n">
        <v>26</v>
      </c>
      <c r="L197" s="27" t="n">
        <v>0.18</v>
      </c>
      <c r="M197" s="26" t="n">
        <v>93.8</v>
      </c>
      <c r="N197" s="28" t="n">
        <v>3.2</v>
      </c>
      <c r="O197" s="28" t="n">
        <v/>
      </c>
      <c r="P197" s="25" t="inlineStr">
        <is>
          <t>Cash on Delivery</t>
        </is>
      </c>
      <c r="Q197" s="25" t="inlineStr">
        <is>
          <t>Cancelled</t>
        </is>
      </c>
      <c r="R197" s="25" t="n">
        <v/>
      </c>
      <c r="S197" s="25">
        <f>TEXT(B197,"yyyy-mm")</f>
        <v/>
      </c>
      <c r="T197" s="25">
        <f>VLOOKUP(D197,Customers!A:D,4,FALSE)</f>
        <v/>
      </c>
      <c r="U197" s="25">
        <f>CONCATENATE(A197,"-",G197)</f>
        <v/>
      </c>
      <c r="V197" s="25">
        <f>IF(N197="","",IF(N197&lt;=30,"Fast (&lt;30m)",IF(N197&lt;=45,"Moderate (30-45m)","Delayed (&gt;45m)")))</f>
        <v/>
      </c>
      <c r="W197" s="25">
        <f>IF(AND(I197&gt;600,P197="Delivered"),"High Value Delivered","Standard")</f>
        <v/>
      </c>
      <c r="X197" s="25">
        <f>IF(OR(N197&gt;50,Q197&lt;=2),"High Risk / Delayed","Normal")</f>
        <v/>
      </c>
      <c r="Y197" s="25">
        <f>IF(NOT(P197="Cancelled"),"Fulfilled","Cancelled")</f>
        <v/>
      </c>
      <c r="Z197" s="25">
        <f>IFERROR(Q197,0)</f>
        <v/>
      </c>
    </row>
    <row r="198">
      <c r="A198" s="17" t="inlineStr">
        <is>
          <t>ORD1197</t>
        </is>
      </c>
      <c r="B198" s="17" t="inlineStr">
        <is>
          <t>2025-08-05</t>
        </is>
      </c>
      <c r="C198" s="17" t="inlineStr">
        <is>
          <t>12:11:31</t>
        </is>
      </c>
      <c r="D198" s="17" t="n">
        <v>1249</v>
      </c>
      <c r="E198" s="17" t="n">
        <v>114</v>
      </c>
      <c r="F198" s="17" t="n">
        <v>215</v>
      </c>
      <c r="G198" s="17" t="inlineStr">
        <is>
          <t>Hyderabad</t>
        </is>
      </c>
      <c r="H198" s="17" t="inlineStr">
        <is>
          <t>Biryani</t>
        </is>
      </c>
      <c r="I198" s="22" t="n">
        <v>1107</v>
      </c>
      <c r="J198" s="22" t="n">
        <v>187.46</v>
      </c>
      <c r="K198" s="22" t="n">
        <v>0</v>
      </c>
      <c r="L198" s="23" t="n">
        <v>0.22</v>
      </c>
      <c r="M198" s="22" t="n">
        <v>243.54</v>
      </c>
      <c r="N198" s="24" t="n">
        <v>3.5</v>
      </c>
      <c r="O198" s="24" t="n">
        <v>45.4</v>
      </c>
      <c r="P198" s="17" t="inlineStr">
        <is>
          <t>Credit Card</t>
        </is>
      </c>
      <c r="Q198" s="17" t="inlineStr">
        <is>
          <t>Delivered</t>
        </is>
      </c>
      <c r="R198" s="17" t="n">
        <v>3</v>
      </c>
      <c r="S198" s="17">
        <f>TEXT(B198,"yyyy-mm")</f>
        <v/>
      </c>
      <c r="T198" s="17">
        <f>VLOOKUP(D198,Customers!A:D,4,FALSE)</f>
        <v/>
      </c>
      <c r="U198" s="17">
        <f>CONCATENATE(A198,"-",G198)</f>
        <v/>
      </c>
      <c r="V198" s="17">
        <f>IF(N198="","",IF(N198&lt;=30,"Fast (&lt;30m)",IF(N198&lt;=45,"Moderate (30-45m)","Delayed (&gt;45m)")))</f>
        <v/>
      </c>
      <c r="W198" s="17">
        <f>IF(AND(I198&gt;600,P198="Delivered"),"High Value Delivered","Standard")</f>
        <v/>
      </c>
      <c r="X198" s="17">
        <f>IF(OR(N198&gt;50,Q198&lt;=2),"High Risk / Delayed","Normal")</f>
        <v/>
      </c>
      <c r="Y198" s="17">
        <f>IF(NOT(P198="Cancelled"),"Fulfilled","Cancelled")</f>
        <v/>
      </c>
      <c r="Z198" s="17">
        <f>IFERROR(Q198,0)</f>
        <v/>
      </c>
    </row>
    <row r="199">
      <c r="A199" s="25" t="inlineStr">
        <is>
          <t>ORD1198</t>
        </is>
      </c>
      <c r="B199" s="25" t="inlineStr">
        <is>
          <t>2025-03-13</t>
        </is>
      </c>
      <c r="C199" s="25" t="inlineStr">
        <is>
          <t>08:11:20</t>
        </is>
      </c>
      <c r="D199" s="25" t="n">
        <v>1137</v>
      </c>
      <c r="E199" s="25" t="n">
        <v>116</v>
      </c>
      <c r="F199" s="25" t="n">
        <v>217</v>
      </c>
      <c r="G199" s="25" t="inlineStr">
        <is>
          <t>Pune</t>
        </is>
      </c>
      <c r="H199" s="25" t="inlineStr">
        <is>
          <t>Desserts</t>
        </is>
      </c>
      <c r="I199" s="26" t="n">
        <v>681</v>
      </c>
      <c r="J199" s="26" t="n">
        <v>47.15</v>
      </c>
      <c r="K199" s="26" t="n">
        <v>25</v>
      </c>
      <c r="L199" s="27" t="n">
        <v>0.25</v>
      </c>
      <c r="M199" s="26" t="n">
        <v>176.5</v>
      </c>
      <c r="N199" s="28" t="n">
        <v>2.3</v>
      </c>
      <c r="O199" s="28" t="n">
        <v>30.4</v>
      </c>
      <c r="P199" s="25" t="inlineStr">
        <is>
          <t>Cash on Delivery</t>
        </is>
      </c>
      <c r="Q199" s="25" t="inlineStr">
        <is>
          <t>Delivered</t>
        </is>
      </c>
      <c r="R199" s="25" t="n">
        <v>4</v>
      </c>
      <c r="S199" s="25">
        <f>TEXT(B199,"yyyy-mm")</f>
        <v/>
      </c>
      <c r="T199" s="25">
        <f>VLOOKUP(D199,Customers!A:D,4,FALSE)</f>
        <v/>
      </c>
      <c r="U199" s="25">
        <f>CONCATENATE(A199,"-",G199)</f>
        <v/>
      </c>
      <c r="V199" s="25">
        <f>IF(N199="","",IF(N199&lt;=30,"Fast (&lt;30m)",IF(N199&lt;=45,"Moderate (30-45m)","Delayed (&gt;45m)")))</f>
        <v/>
      </c>
      <c r="W199" s="25">
        <f>IF(AND(I199&gt;600,P199="Delivered"),"High Value Delivered","Standard")</f>
        <v/>
      </c>
      <c r="X199" s="25">
        <f>IF(OR(N199&gt;50,Q199&lt;=2),"High Risk / Delayed","Normal")</f>
        <v/>
      </c>
      <c r="Y199" s="25">
        <f>IF(NOT(P199="Cancelled"),"Fulfilled","Cancelled")</f>
        <v/>
      </c>
      <c r="Z199" s="25">
        <f>IFERROR(Q199,0)</f>
        <v/>
      </c>
    </row>
    <row r="200">
      <c r="A200" s="17" t="inlineStr">
        <is>
          <t>ORD1199</t>
        </is>
      </c>
      <c r="B200" s="17" t="inlineStr">
        <is>
          <t>2025-07-16</t>
        </is>
      </c>
      <c r="C200" s="17" t="inlineStr">
        <is>
          <t>19:35:32</t>
        </is>
      </c>
      <c r="D200" s="17" t="n">
        <v>1129</v>
      </c>
      <c r="E200" s="17" t="n">
        <v>116</v>
      </c>
      <c r="F200" s="17" t="n">
        <v>207</v>
      </c>
      <c r="G200" s="17" t="inlineStr">
        <is>
          <t>Pune</t>
        </is>
      </c>
      <c r="H200" s="17" t="inlineStr">
        <is>
          <t>Desserts</t>
        </is>
      </c>
      <c r="I200" s="22" t="n">
        <v>888</v>
      </c>
      <c r="J200" s="22" t="n">
        <v>0</v>
      </c>
      <c r="K200" s="22" t="n">
        <v>29</v>
      </c>
      <c r="L200" s="23" t="n">
        <v>0.25</v>
      </c>
      <c r="M200" s="22" t="n">
        <v>229.25</v>
      </c>
      <c r="N200" s="24" t="n">
        <v>3.8</v>
      </c>
      <c r="O200" s="24" t="n">
        <v>36.4</v>
      </c>
      <c r="P200" s="17" t="inlineStr">
        <is>
          <t>Cash on Delivery</t>
        </is>
      </c>
      <c r="Q200" s="17" t="inlineStr">
        <is>
          <t>Delivered</t>
        </is>
      </c>
      <c r="R200" s="17" t="n">
        <v>3</v>
      </c>
      <c r="S200" s="17">
        <f>TEXT(B200,"yyyy-mm")</f>
        <v/>
      </c>
      <c r="T200" s="17">
        <f>VLOOKUP(D200,Customers!A:D,4,FALSE)</f>
        <v/>
      </c>
      <c r="U200" s="17">
        <f>CONCATENATE(A200,"-",G200)</f>
        <v/>
      </c>
      <c r="V200" s="17">
        <f>IF(N200="","",IF(N200&lt;=30,"Fast (&lt;30m)",IF(N200&lt;=45,"Moderate (30-45m)","Delayed (&gt;45m)")))</f>
        <v/>
      </c>
      <c r="W200" s="17">
        <f>IF(AND(I200&gt;600,P200="Delivered"),"High Value Delivered","Standard")</f>
        <v/>
      </c>
      <c r="X200" s="17">
        <f>IF(OR(N200&gt;50,Q200&lt;=2),"High Risk / Delayed","Normal")</f>
        <v/>
      </c>
      <c r="Y200" s="17">
        <f>IF(NOT(P200="Cancelled"),"Fulfilled","Cancelled")</f>
        <v/>
      </c>
      <c r="Z200" s="17">
        <f>IFERROR(Q200,0)</f>
        <v/>
      </c>
    </row>
    <row r="201">
      <c r="A201" s="25" t="inlineStr">
        <is>
          <t>ORD1200</t>
        </is>
      </c>
      <c r="B201" s="25" t="inlineStr">
        <is>
          <t>2025-02-12</t>
        </is>
      </c>
      <c r="C201" s="25" t="inlineStr">
        <is>
          <t>20:36:01</t>
        </is>
      </c>
      <c r="D201" s="25" t="n">
        <v>1155</v>
      </c>
      <c r="E201" s="25" t="n">
        <v>120</v>
      </c>
      <c r="F201" s="25" t="n">
        <v>204</v>
      </c>
      <c r="G201" s="25" t="inlineStr">
        <is>
          <t>Pune</t>
        </is>
      </c>
      <c r="H201" s="25" t="inlineStr">
        <is>
          <t>Fast Food</t>
        </is>
      </c>
      <c r="I201" s="26" t="n">
        <v>619</v>
      </c>
      <c r="J201" s="26" t="n">
        <v>63.92</v>
      </c>
      <c r="K201" s="26" t="n">
        <v>0</v>
      </c>
      <c r="L201" s="27" t="n">
        <v>0.18</v>
      </c>
      <c r="M201" s="26" t="n">
        <v>111.42</v>
      </c>
      <c r="N201" s="28" t="n">
        <v>2.5</v>
      </c>
      <c r="O201" s="28" t="n">
        <v>29.2</v>
      </c>
      <c r="P201" s="25" t="inlineStr">
        <is>
          <t>Debit Card</t>
        </is>
      </c>
      <c r="Q201" s="25" t="inlineStr">
        <is>
          <t>Delivered</t>
        </is>
      </c>
      <c r="R201" s="25" t="n">
        <v>3</v>
      </c>
      <c r="S201" s="25">
        <f>TEXT(B201,"yyyy-mm")</f>
        <v/>
      </c>
      <c r="T201" s="25">
        <f>VLOOKUP(D201,Customers!A:D,4,FALSE)</f>
        <v/>
      </c>
      <c r="U201" s="25">
        <f>CONCATENATE(A201,"-",G201)</f>
        <v/>
      </c>
      <c r="V201" s="25">
        <f>IF(N201="","",IF(N201&lt;=30,"Fast (&lt;30m)",IF(N201&lt;=45,"Moderate (30-45m)","Delayed (&gt;45m)")))</f>
        <v/>
      </c>
      <c r="W201" s="25">
        <f>IF(AND(I201&gt;600,P201="Delivered"),"High Value Delivered","Standard")</f>
        <v/>
      </c>
      <c r="X201" s="25">
        <f>IF(OR(N201&gt;50,Q201&lt;=2),"High Risk / Delayed","Normal")</f>
        <v/>
      </c>
      <c r="Y201" s="25">
        <f>IF(NOT(P201="Cancelled"),"Fulfilled","Cancelled")</f>
        <v/>
      </c>
      <c r="Z201" s="25">
        <f>IFERROR(Q201,0)</f>
        <v/>
      </c>
    </row>
    <row r="202">
      <c r="A202" s="17" t="inlineStr">
        <is>
          <t>ORD1201</t>
        </is>
      </c>
      <c r="B202" s="17" t="inlineStr">
        <is>
          <t>2025-10-17</t>
        </is>
      </c>
      <c r="C202" s="17" t="inlineStr">
        <is>
          <t>08:47:49</t>
        </is>
      </c>
      <c r="D202" s="17" t="n">
        <v>1137</v>
      </c>
      <c r="E202" s="17" t="n">
        <v>110</v>
      </c>
      <c r="F202" s="17" t="n">
        <v>226</v>
      </c>
      <c r="G202" s="17" t="inlineStr">
        <is>
          <t>Pune</t>
        </is>
      </c>
      <c r="H202" s="17" t="inlineStr">
        <is>
          <t>North Indian</t>
        </is>
      </c>
      <c r="I202" s="22" t="n">
        <v>727</v>
      </c>
      <c r="J202" s="22" t="n">
        <v>6.58</v>
      </c>
      <c r="K202" s="22" t="n">
        <v>30</v>
      </c>
      <c r="L202" s="23" t="n">
        <v>0.18</v>
      </c>
      <c r="M202" s="22" t="n">
        <v>138.36</v>
      </c>
      <c r="N202" s="24" t="n">
        <v>4</v>
      </c>
      <c r="O202" s="24" t="n">
        <v>28.7</v>
      </c>
      <c r="P202" s="17" t="inlineStr">
        <is>
          <t>Digital Wallet</t>
        </is>
      </c>
      <c r="Q202" s="17" t="inlineStr">
        <is>
          <t>Delivered</t>
        </is>
      </c>
      <c r="R202" s="17" t="n">
        <v>5</v>
      </c>
      <c r="S202" s="17">
        <f>TEXT(B202,"yyyy-mm")</f>
        <v/>
      </c>
      <c r="T202" s="17">
        <f>VLOOKUP(D202,Customers!A:D,4,FALSE)</f>
        <v/>
      </c>
      <c r="U202" s="17">
        <f>CONCATENATE(A202,"-",G202)</f>
        <v/>
      </c>
      <c r="V202" s="17">
        <f>IF(N202="","",IF(N202&lt;=30,"Fast (&lt;30m)",IF(N202&lt;=45,"Moderate (30-45m)","Delayed (&gt;45m)")))</f>
        <v/>
      </c>
      <c r="W202" s="17">
        <f>IF(AND(I202&gt;600,P202="Delivered"),"High Value Delivered","Standard")</f>
        <v/>
      </c>
      <c r="X202" s="17">
        <f>IF(OR(N202&gt;50,Q202&lt;=2),"High Risk / Delayed","Normal")</f>
        <v/>
      </c>
      <c r="Y202" s="17">
        <f>IF(NOT(P202="Cancelled"),"Fulfilled","Cancelled")</f>
        <v/>
      </c>
      <c r="Z202" s="17">
        <f>IFERROR(Q202,0)</f>
        <v/>
      </c>
    </row>
    <row r="203">
      <c r="A203" s="25" t="inlineStr">
        <is>
          <t>ORD1202</t>
        </is>
      </c>
      <c r="B203" s="25" t="inlineStr">
        <is>
          <t>2025-10-07</t>
        </is>
      </c>
      <c r="C203" s="25" t="inlineStr">
        <is>
          <t>10:13:27</t>
        </is>
      </c>
      <c r="D203" s="25" t="n">
        <v>1065</v>
      </c>
      <c r="E203" s="25" t="n">
        <v>112</v>
      </c>
      <c r="F203" s="25" t="n">
        <v>221</v>
      </c>
      <c r="G203" s="25" t="inlineStr">
        <is>
          <t>Delhi NCR</t>
        </is>
      </c>
      <c r="H203" s="25" t="inlineStr">
        <is>
          <t>North Indian</t>
        </is>
      </c>
      <c r="I203" s="26" t="n">
        <v>324</v>
      </c>
      <c r="J203" s="26" t="n">
        <v>16.94</v>
      </c>
      <c r="K203" s="26" t="n">
        <v>37.5</v>
      </c>
      <c r="L203" s="27" t="n">
        <v>0.22</v>
      </c>
      <c r="M203" s="26" t="n">
        <v>80.66</v>
      </c>
      <c r="N203" s="28" t="n">
        <v>5.5</v>
      </c>
      <c r="O203" s="28" t="n">
        <v/>
      </c>
      <c r="P203" s="25" t="inlineStr">
        <is>
          <t>UPI</t>
        </is>
      </c>
      <c r="Q203" s="25" t="inlineStr">
        <is>
          <t>Cancelled</t>
        </is>
      </c>
      <c r="R203" s="25" t="n">
        <v/>
      </c>
      <c r="S203" s="25">
        <f>TEXT(B203,"yyyy-mm")</f>
        <v/>
      </c>
      <c r="T203" s="25">
        <f>VLOOKUP(D203,Customers!A:D,4,FALSE)</f>
        <v/>
      </c>
      <c r="U203" s="25">
        <f>CONCATENATE(A203,"-",G203)</f>
        <v/>
      </c>
      <c r="V203" s="25">
        <f>IF(N203="","",IF(N203&lt;=30,"Fast (&lt;30m)",IF(N203&lt;=45,"Moderate (30-45m)","Delayed (&gt;45m)")))</f>
        <v/>
      </c>
      <c r="W203" s="25">
        <f>IF(AND(I203&gt;600,P203="Delivered"),"High Value Delivered","Standard")</f>
        <v/>
      </c>
      <c r="X203" s="25">
        <f>IF(OR(N203&gt;50,Q203&lt;=2),"High Risk / Delayed","Normal")</f>
        <v/>
      </c>
      <c r="Y203" s="25">
        <f>IF(NOT(P203="Cancelled"),"Fulfilled","Cancelled")</f>
        <v/>
      </c>
      <c r="Z203" s="25">
        <f>IFERROR(Q203,0)</f>
        <v/>
      </c>
    </row>
    <row r="204">
      <c r="A204" s="17" t="inlineStr">
        <is>
          <t>ORD1203</t>
        </is>
      </c>
      <c r="B204" s="17" t="inlineStr">
        <is>
          <t>2025-02-14</t>
        </is>
      </c>
      <c r="C204" s="17" t="inlineStr">
        <is>
          <t>20:28:55</t>
        </is>
      </c>
      <c r="D204" s="17" t="n">
        <v>1187</v>
      </c>
      <c r="E204" s="17" t="n">
        <v>103</v>
      </c>
      <c r="F204" s="17" t="n">
        <v>229</v>
      </c>
      <c r="G204" s="17" t="inlineStr">
        <is>
          <t>Mumbai</t>
        </is>
      </c>
      <c r="H204" s="17" t="inlineStr">
        <is>
          <t>Italian</t>
        </is>
      </c>
      <c r="I204" s="22" t="n">
        <v>340</v>
      </c>
      <c r="J204" s="22" t="n">
        <v>35.46</v>
      </c>
      <c r="K204" s="22" t="n">
        <v>25</v>
      </c>
      <c r="L204" s="23" t="n">
        <v>0.18</v>
      </c>
      <c r="M204" s="22" t="n">
        <v>67.45</v>
      </c>
      <c r="N204" s="24" t="n">
        <v>3</v>
      </c>
      <c r="O204" s="24" t="n">
        <v>46.7</v>
      </c>
      <c r="P204" s="17" t="inlineStr">
        <is>
          <t>Digital Wallet</t>
        </is>
      </c>
      <c r="Q204" s="17" t="inlineStr">
        <is>
          <t>Delivered</t>
        </is>
      </c>
      <c r="R204" s="17" t="n">
        <v>2</v>
      </c>
      <c r="S204" s="17">
        <f>TEXT(B204,"yyyy-mm")</f>
        <v/>
      </c>
      <c r="T204" s="17">
        <f>VLOOKUP(D204,Customers!A:D,4,FALSE)</f>
        <v/>
      </c>
      <c r="U204" s="17">
        <f>CONCATENATE(A204,"-",G204)</f>
        <v/>
      </c>
      <c r="V204" s="17">
        <f>IF(N204="","",IF(N204&lt;=30,"Fast (&lt;30m)",IF(N204&lt;=45,"Moderate (30-45m)","Delayed (&gt;45m)")))</f>
        <v/>
      </c>
      <c r="W204" s="17">
        <f>IF(AND(I204&gt;600,P204="Delivered"),"High Value Delivered","Standard")</f>
        <v/>
      </c>
      <c r="X204" s="17">
        <f>IF(OR(N204&gt;50,Q204&lt;=2),"High Risk / Delayed","Normal")</f>
        <v/>
      </c>
      <c r="Y204" s="17">
        <f>IF(NOT(P204="Cancelled"),"Fulfilled","Cancelled")</f>
        <v/>
      </c>
      <c r="Z204" s="17">
        <f>IFERROR(Q204,0)</f>
        <v/>
      </c>
    </row>
    <row r="205">
      <c r="A205" s="25" t="inlineStr">
        <is>
          <t>ORD1204</t>
        </is>
      </c>
      <c r="B205" s="25" t="inlineStr">
        <is>
          <t>2025-11-12</t>
        </is>
      </c>
      <c r="C205" s="25" t="inlineStr">
        <is>
          <t>20:08:50</t>
        </is>
      </c>
      <c r="D205" s="25" t="n">
        <v>1040</v>
      </c>
      <c r="E205" s="25" t="n">
        <v>106</v>
      </c>
      <c r="F205" s="25" t="n">
        <v>208</v>
      </c>
      <c r="G205" s="25" t="inlineStr">
        <is>
          <t>Pune</t>
        </is>
      </c>
      <c r="H205" s="25" t="inlineStr">
        <is>
          <t>South Indian</t>
        </is>
      </c>
      <c r="I205" s="26" t="n">
        <v>431</v>
      </c>
      <c r="J205" s="26" t="n">
        <v>27.77</v>
      </c>
      <c r="K205" s="26" t="n">
        <v>25</v>
      </c>
      <c r="L205" s="27" t="n">
        <v>0.15</v>
      </c>
      <c r="M205" s="26" t="n">
        <v>70.90000000000001</v>
      </c>
      <c r="N205" s="28" t="n">
        <v>2.9</v>
      </c>
      <c r="O205" s="28" t="n">
        <v>29.9</v>
      </c>
      <c r="P205" s="25" t="inlineStr">
        <is>
          <t>Digital Wallet</t>
        </is>
      </c>
      <c r="Q205" s="25" t="inlineStr">
        <is>
          <t>Delivered</t>
        </is>
      </c>
      <c r="R205" s="25" t="n">
        <v>4</v>
      </c>
      <c r="S205" s="25">
        <f>TEXT(B205,"yyyy-mm")</f>
        <v/>
      </c>
      <c r="T205" s="25">
        <f>VLOOKUP(D205,Customers!A:D,4,FALSE)</f>
        <v/>
      </c>
      <c r="U205" s="25">
        <f>CONCATENATE(A205,"-",G205)</f>
        <v/>
      </c>
      <c r="V205" s="25">
        <f>IF(N205="","",IF(N205&lt;=30,"Fast (&lt;30m)",IF(N205&lt;=45,"Moderate (30-45m)","Delayed (&gt;45m)")))</f>
        <v/>
      </c>
      <c r="W205" s="25">
        <f>IF(AND(I205&gt;600,P205="Delivered"),"High Value Delivered","Standard")</f>
        <v/>
      </c>
      <c r="X205" s="25">
        <f>IF(OR(N205&gt;50,Q205&lt;=2),"High Risk / Delayed","Normal")</f>
        <v/>
      </c>
      <c r="Y205" s="25">
        <f>IF(NOT(P205="Cancelled"),"Fulfilled","Cancelled")</f>
        <v/>
      </c>
      <c r="Z205" s="25">
        <f>IFERROR(Q205,0)</f>
        <v/>
      </c>
    </row>
    <row r="206">
      <c r="A206" s="17" t="inlineStr">
        <is>
          <t>ORD1205</t>
        </is>
      </c>
      <c r="B206" s="17" t="inlineStr">
        <is>
          <t>2025-12-27</t>
        </is>
      </c>
      <c r="C206" s="17" t="inlineStr">
        <is>
          <t>20:18:18</t>
        </is>
      </c>
      <c r="D206" s="17" t="n">
        <v>1125</v>
      </c>
      <c r="E206" s="17" t="n">
        <v>120</v>
      </c>
      <c r="F206" s="17" t="n">
        <v>209</v>
      </c>
      <c r="G206" s="17" t="inlineStr">
        <is>
          <t>Pune</t>
        </is>
      </c>
      <c r="H206" s="17" t="inlineStr">
        <is>
          <t>Fast Food</t>
        </is>
      </c>
      <c r="I206" s="22" t="n">
        <v>806</v>
      </c>
      <c r="J206" s="22" t="n">
        <v>0</v>
      </c>
      <c r="K206" s="22" t="n">
        <v>25.5</v>
      </c>
      <c r="L206" s="23" t="n">
        <v>0.18</v>
      </c>
      <c r="M206" s="22" t="n">
        <v>151.45</v>
      </c>
      <c r="N206" s="24" t="n">
        <v>3.1</v>
      </c>
      <c r="O206" s="24" t="n">
        <v>34.1</v>
      </c>
      <c r="P206" s="17" t="inlineStr">
        <is>
          <t>UPI</t>
        </is>
      </c>
      <c r="Q206" s="17" t="inlineStr">
        <is>
          <t>Delivered</t>
        </is>
      </c>
      <c r="R206" s="17" t="n">
        <v>5</v>
      </c>
      <c r="S206" s="17">
        <f>TEXT(B206,"yyyy-mm")</f>
        <v/>
      </c>
      <c r="T206" s="17">
        <f>VLOOKUP(D206,Customers!A:D,4,FALSE)</f>
        <v/>
      </c>
      <c r="U206" s="17">
        <f>CONCATENATE(A206,"-",G206)</f>
        <v/>
      </c>
      <c r="V206" s="17">
        <f>IF(N206="","",IF(N206&lt;=30,"Fast (&lt;30m)",IF(N206&lt;=45,"Moderate (30-45m)","Delayed (&gt;45m)")))</f>
        <v/>
      </c>
      <c r="W206" s="17">
        <f>IF(AND(I206&gt;600,P206="Delivered"),"High Value Delivered","Standard")</f>
        <v/>
      </c>
      <c r="X206" s="17">
        <f>IF(OR(N206&gt;50,Q206&lt;=2),"High Risk / Delayed","Normal")</f>
        <v/>
      </c>
      <c r="Y206" s="17">
        <f>IF(NOT(P206="Cancelled"),"Fulfilled","Cancelled")</f>
        <v/>
      </c>
      <c r="Z206" s="17">
        <f>IFERROR(Q206,0)</f>
        <v/>
      </c>
    </row>
    <row r="207">
      <c r="A207" s="25" t="inlineStr">
        <is>
          <t>ORD1206</t>
        </is>
      </c>
      <c r="B207" s="25" t="inlineStr">
        <is>
          <t>2025-01-31</t>
        </is>
      </c>
      <c r="C207" s="25" t="inlineStr">
        <is>
          <t>19:17:55</t>
        </is>
      </c>
      <c r="D207" s="25" t="n">
        <v>1146</v>
      </c>
      <c r="E207" s="25" t="n">
        <v>113</v>
      </c>
      <c r="F207" s="25" t="n">
        <v>202</v>
      </c>
      <c r="G207" s="25" t="inlineStr">
        <is>
          <t>Mumbai</t>
        </is>
      </c>
      <c r="H207" s="25" t="inlineStr">
        <is>
          <t>Fast Food</t>
        </is>
      </c>
      <c r="I207" s="26" t="n">
        <v>891</v>
      </c>
      <c r="J207" s="26" t="n">
        <v>0</v>
      </c>
      <c r="K207" s="26" t="n">
        <v>31</v>
      </c>
      <c r="L207" s="27" t="n">
        <v>0.18</v>
      </c>
      <c r="M207" s="26" t="n">
        <v>168.13</v>
      </c>
      <c r="N207" s="28" t="n">
        <v>4.2</v>
      </c>
      <c r="O207" s="28" t="n">
        <v>41.9</v>
      </c>
      <c r="P207" s="25" t="inlineStr">
        <is>
          <t>Credit Card</t>
        </is>
      </c>
      <c r="Q207" s="25" t="inlineStr">
        <is>
          <t>Delivered</t>
        </is>
      </c>
      <c r="R207" s="25" t="n">
        <v>3</v>
      </c>
      <c r="S207" s="25">
        <f>TEXT(B207,"yyyy-mm")</f>
        <v/>
      </c>
      <c r="T207" s="25">
        <f>VLOOKUP(D207,Customers!A:D,4,FALSE)</f>
        <v/>
      </c>
      <c r="U207" s="25">
        <f>CONCATENATE(A207,"-",G207)</f>
        <v/>
      </c>
      <c r="V207" s="25">
        <f>IF(N207="","",IF(N207&lt;=30,"Fast (&lt;30m)",IF(N207&lt;=45,"Moderate (30-45m)","Delayed (&gt;45m)")))</f>
        <v/>
      </c>
      <c r="W207" s="25">
        <f>IF(AND(I207&gt;600,P207="Delivered"),"High Value Delivered","Standard")</f>
        <v/>
      </c>
      <c r="X207" s="25">
        <f>IF(OR(N207&gt;50,Q207&lt;=2),"High Risk / Delayed","Normal")</f>
        <v/>
      </c>
      <c r="Y207" s="25">
        <f>IF(NOT(P207="Cancelled"),"Fulfilled","Cancelled")</f>
        <v/>
      </c>
      <c r="Z207" s="25">
        <f>IFERROR(Q207,0)</f>
        <v/>
      </c>
    </row>
    <row r="208">
      <c r="A208" s="17" t="inlineStr">
        <is>
          <t>ORD1207</t>
        </is>
      </c>
      <c r="B208" s="17" t="inlineStr">
        <is>
          <t>2025-05-07</t>
        </is>
      </c>
      <c r="C208" s="17" t="inlineStr">
        <is>
          <t>19:48:53</t>
        </is>
      </c>
      <c r="D208" s="17" t="n">
        <v>1188</v>
      </c>
      <c r="E208" s="17" t="n">
        <v>114</v>
      </c>
      <c r="F208" s="17" t="n">
        <v>215</v>
      </c>
      <c r="G208" s="17" t="inlineStr">
        <is>
          <t>Hyderabad</t>
        </is>
      </c>
      <c r="H208" s="17" t="inlineStr">
        <is>
          <t>Biryani</t>
        </is>
      </c>
      <c r="I208" s="22" t="n">
        <v>912</v>
      </c>
      <c r="J208" s="22" t="n">
        <v>0</v>
      </c>
      <c r="K208" s="22" t="n">
        <v>27</v>
      </c>
      <c r="L208" s="23" t="n">
        <v>0.22</v>
      </c>
      <c r="M208" s="22" t="n">
        <v>207.39</v>
      </c>
      <c r="N208" s="24" t="n">
        <v>3.4</v>
      </c>
      <c r="O208" s="24" t="n">
        <v>26.6</v>
      </c>
      <c r="P208" s="17" t="inlineStr">
        <is>
          <t>Debit Card</t>
        </is>
      </c>
      <c r="Q208" s="17" t="inlineStr">
        <is>
          <t>Delivered</t>
        </is>
      </c>
      <c r="R208" s="17" t="n">
        <v>5</v>
      </c>
      <c r="S208" s="17">
        <f>TEXT(B208,"yyyy-mm")</f>
        <v/>
      </c>
      <c r="T208" s="17">
        <f>VLOOKUP(D208,Customers!A:D,4,FALSE)</f>
        <v/>
      </c>
      <c r="U208" s="17">
        <f>CONCATENATE(A208,"-",G208)</f>
        <v/>
      </c>
      <c r="V208" s="17">
        <f>IF(N208="","",IF(N208&lt;=30,"Fast (&lt;30m)",IF(N208&lt;=45,"Moderate (30-45m)","Delayed (&gt;45m)")))</f>
        <v/>
      </c>
      <c r="W208" s="17">
        <f>IF(AND(I208&gt;600,P208="Delivered"),"High Value Delivered","Standard")</f>
        <v/>
      </c>
      <c r="X208" s="17">
        <f>IF(OR(N208&gt;50,Q208&lt;=2),"High Risk / Delayed","Normal")</f>
        <v/>
      </c>
      <c r="Y208" s="17">
        <f>IF(NOT(P208="Cancelled"),"Fulfilled","Cancelled")</f>
        <v/>
      </c>
      <c r="Z208" s="17">
        <f>IFERROR(Q208,0)</f>
        <v/>
      </c>
    </row>
    <row r="209">
      <c r="A209" s="25" t="inlineStr">
        <is>
          <t>ORD1208</t>
        </is>
      </c>
      <c r="B209" s="25" t="inlineStr">
        <is>
          <t>2025-02-08</t>
        </is>
      </c>
      <c r="C209" s="25" t="inlineStr">
        <is>
          <t>21:40:50</t>
        </is>
      </c>
      <c r="D209" s="25" t="n">
        <v>1231</v>
      </c>
      <c r="E209" s="25" t="n">
        <v>111</v>
      </c>
      <c r="F209" s="25" t="n">
        <v>223</v>
      </c>
      <c r="G209" s="25" t="inlineStr">
        <is>
          <t>Bangalore</t>
        </is>
      </c>
      <c r="H209" s="25" t="inlineStr">
        <is>
          <t>South Indian</t>
        </is>
      </c>
      <c r="I209" s="26" t="n">
        <v>315</v>
      </c>
      <c r="J209" s="26" t="n">
        <v>24.63</v>
      </c>
      <c r="K209" s="26" t="n">
        <v>33</v>
      </c>
      <c r="L209" s="27" t="n">
        <v>0.15</v>
      </c>
      <c r="M209" s="26" t="n">
        <v>55.5</v>
      </c>
      <c r="N209" s="28" t="n">
        <v>4.6</v>
      </c>
      <c r="O209" s="28" t="n">
        <v>38.4</v>
      </c>
      <c r="P209" s="25" t="inlineStr">
        <is>
          <t>Debit Card</t>
        </is>
      </c>
      <c r="Q209" s="25" t="inlineStr">
        <is>
          <t>Delivered</t>
        </is>
      </c>
      <c r="R209" s="25" t="n">
        <v>4</v>
      </c>
      <c r="S209" s="25">
        <f>TEXT(B209,"yyyy-mm")</f>
        <v/>
      </c>
      <c r="T209" s="25">
        <f>VLOOKUP(D209,Customers!A:D,4,FALSE)</f>
        <v/>
      </c>
      <c r="U209" s="25">
        <f>CONCATENATE(A209,"-",G209)</f>
        <v/>
      </c>
      <c r="V209" s="25">
        <f>IF(N209="","",IF(N209&lt;=30,"Fast (&lt;30m)",IF(N209&lt;=45,"Moderate (30-45m)","Delayed (&gt;45m)")))</f>
        <v/>
      </c>
      <c r="W209" s="25">
        <f>IF(AND(I209&gt;600,P209="Delivered"),"High Value Delivered","Standard")</f>
        <v/>
      </c>
      <c r="X209" s="25">
        <f>IF(OR(N209&gt;50,Q209&lt;=2),"High Risk / Delayed","Normal")</f>
        <v/>
      </c>
      <c r="Y209" s="25">
        <f>IF(NOT(P209="Cancelled"),"Fulfilled","Cancelled")</f>
        <v/>
      </c>
      <c r="Z209" s="25">
        <f>IFERROR(Q209,0)</f>
        <v/>
      </c>
    </row>
    <row r="210">
      <c r="A210" s="17" t="inlineStr">
        <is>
          <t>ORD1209</t>
        </is>
      </c>
      <c r="B210" s="17" t="inlineStr">
        <is>
          <t>2025-10-25</t>
        </is>
      </c>
      <c r="C210" s="17" t="inlineStr">
        <is>
          <t>10:00:55</t>
        </is>
      </c>
      <c r="D210" s="17" t="n">
        <v>1293</v>
      </c>
      <c r="E210" s="17" t="n">
        <v>109</v>
      </c>
      <c r="F210" s="17" t="n">
        <v>216</v>
      </c>
      <c r="G210" s="17" t="inlineStr">
        <is>
          <t>Hyderabad</t>
        </is>
      </c>
      <c r="H210" s="17" t="inlineStr">
        <is>
          <t>Biryani</t>
        </is>
      </c>
      <c r="I210" s="22" t="n">
        <v>315</v>
      </c>
      <c r="J210" s="22" t="n">
        <v>31.87</v>
      </c>
      <c r="K210" s="22" t="n">
        <v>33</v>
      </c>
      <c r="L210" s="23" t="n">
        <v>0.2</v>
      </c>
      <c r="M210" s="22" t="n">
        <v>71.25</v>
      </c>
      <c r="N210" s="24" t="n">
        <v>4.6</v>
      </c>
      <c r="O210" s="24" t="n">
        <v>30.7</v>
      </c>
      <c r="P210" s="17" t="inlineStr">
        <is>
          <t>Debit Card</t>
        </is>
      </c>
      <c r="Q210" s="17" t="inlineStr">
        <is>
          <t>Delivered</t>
        </is>
      </c>
      <c r="R210" s="17" t="n">
        <v>3</v>
      </c>
      <c r="S210" s="17">
        <f>TEXT(B210,"yyyy-mm")</f>
        <v/>
      </c>
      <c r="T210" s="17">
        <f>VLOOKUP(D210,Customers!A:D,4,FALSE)</f>
        <v/>
      </c>
      <c r="U210" s="17">
        <f>CONCATENATE(A210,"-",G210)</f>
        <v/>
      </c>
      <c r="V210" s="17">
        <f>IF(N210="","",IF(N210&lt;=30,"Fast (&lt;30m)",IF(N210&lt;=45,"Moderate (30-45m)","Delayed (&gt;45m)")))</f>
        <v/>
      </c>
      <c r="W210" s="17">
        <f>IF(AND(I210&gt;600,P210="Delivered"),"High Value Delivered","Standard")</f>
        <v/>
      </c>
      <c r="X210" s="17">
        <f>IF(OR(N210&gt;50,Q210&lt;=2),"High Risk / Delayed","Normal")</f>
        <v/>
      </c>
      <c r="Y210" s="17">
        <f>IF(NOT(P210="Cancelled"),"Fulfilled","Cancelled")</f>
        <v/>
      </c>
      <c r="Z210" s="17">
        <f>IFERROR(Q210,0)</f>
        <v/>
      </c>
    </row>
    <row r="211">
      <c r="A211" s="25" t="inlineStr">
        <is>
          <t>ORD1210</t>
        </is>
      </c>
      <c r="B211" s="25" t="inlineStr">
        <is>
          <t>2025-04-22</t>
        </is>
      </c>
      <c r="C211" s="25" t="inlineStr">
        <is>
          <t>20:27:52</t>
        </is>
      </c>
      <c r="D211" s="25" t="n">
        <v>1236</v>
      </c>
      <c r="E211" s="25" t="n">
        <v>104</v>
      </c>
      <c r="F211" s="25" t="n">
        <v>228</v>
      </c>
      <c r="G211" s="25" t="inlineStr">
        <is>
          <t>Delhi NCR</t>
        </is>
      </c>
      <c r="H211" s="25" t="inlineStr">
        <is>
          <t>Fast Food</t>
        </is>
      </c>
      <c r="I211" s="26" t="n">
        <v>436</v>
      </c>
      <c r="J211" s="26" t="n">
        <v>36.9</v>
      </c>
      <c r="K211" s="26" t="n">
        <v>25</v>
      </c>
      <c r="L211" s="27" t="n">
        <v>0.18</v>
      </c>
      <c r="M211" s="26" t="n">
        <v>84.73</v>
      </c>
      <c r="N211" s="28" t="n">
        <v>1.8</v>
      </c>
      <c r="O211" s="28" t="n">
        <v>25.3</v>
      </c>
      <c r="P211" s="25" t="inlineStr">
        <is>
          <t>Debit Card</t>
        </is>
      </c>
      <c r="Q211" s="25" t="inlineStr">
        <is>
          <t>Delivered</t>
        </is>
      </c>
      <c r="R211" s="25" t="n">
        <v>5</v>
      </c>
      <c r="S211" s="25">
        <f>TEXT(B211,"yyyy-mm")</f>
        <v/>
      </c>
      <c r="T211" s="25">
        <f>VLOOKUP(D211,Customers!A:D,4,FALSE)</f>
        <v/>
      </c>
      <c r="U211" s="25">
        <f>CONCATENATE(A211,"-",G211)</f>
        <v/>
      </c>
      <c r="V211" s="25">
        <f>IF(N211="","",IF(N211&lt;=30,"Fast (&lt;30m)",IF(N211&lt;=45,"Moderate (30-45m)","Delayed (&gt;45m)")))</f>
        <v/>
      </c>
      <c r="W211" s="25">
        <f>IF(AND(I211&gt;600,P211="Delivered"),"High Value Delivered","Standard")</f>
        <v/>
      </c>
      <c r="X211" s="25">
        <f>IF(OR(N211&gt;50,Q211&lt;=2),"High Risk / Delayed","Normal")</f>
        <v/>
      </c>
      <c r="Y211" s="25">
        <f>IF(NOT(P211="Cancelled"),"Fulfilled","Cancelled")</f>
        <v/>
      </c>
      <c r="Z211" s="25">
        <f>IFERROR(Q211,0)</f>
        <v/>
      </c>
    </row>
    <row r="212">
      <c r="A212" s="17" t="inlineStr">
        <is>
          <t>ORD1211</t>
        </is>
      </c>
      <c r="B212" s="17" t="inlineStr">
        <is>
          <t>2025-06-25</t>
        </is>
      </c>
      <c r="C212" s="17" t="inlineStr">
        <is>
          <t>20:57:43</t>
        </is>
      </c>
      <c r="D212" s="17" t="n">
        <v>1064</v>
      </c>
      <c r="E212" s="17" t="n">
        <v>106</v>
      </c>
      <c r="F212" s="17" t="n">
        <v>208</v>
      </c>
      <c r="G212" s="17" t="inlineStr">
        <is>
          <t>Pune</t>
        </is>
      </c>
      <c r="H212" s="17" t="inlineStr">
        <is>
          <t>South Indian</t>
        </is>
      </c>
      <c r="I212" s="22" t="n">
        <v>269</v>
      </c>
      <c r="J212" s="22" t="n">
        <v>0</v>
      </c>
      <c r="K212" s="22" t="n">
        <v>33</v>
      </c>
      <c r="L212" s="23" t="n">
        <v>0.15</v>
      </c>
      <c r="M212" s="22" t="n">
        <v>48.6</v>
      </c>
      <c r="N212" s="24" t="n">
        <v>4.6</v>
      </c>
      <c r="O212" s="24" t="n">
        <v>37.5</v>
      </c>
      <c r="P212" s="17" t="inlineStr">
        <is>
          <t>Cash on Delivery</t>
        </is>
      </c>
      <c r="Q212" s="17" t="inlineStr">
        <is>
          <t>Delivered</t>
        </is>
      </c>
      <c r="R212" s="17" t="n">
        <v>4</v>
      </c>
      <c r="S212" s="17">
        <f>TEXT(B212,"yyyy-mm")</f>
        <v/>
      </c>
      <c r="T212" s="17">
        <f>VLOOKUP(D212,Customers!A:D,4,FALSE)</f>
        <v/>
      </c>
      <c r="U212" s="17">
        <f>CONCATENATE(A212,"-",G212)</f>
        <v/>
      </c>
      <c r="V212" s="17">
        <f>IF(N212="","",IF(N212&lt;=30,"Fast (&lt;30m)",IF(N212&lt;=45,"Moderate (30-45m)","Delayed (&gt;45m)")))</f>
        <v/>
      </c>
      <c r="W212" s="17">
        <f>IF(AND(I212&gt;600,P212="Delivered"),"High Value Delivered","Standard")</f>
        <v/>
      </c>
      <c r="X212" s="17">
        <f>IF(OR(N212&gt;50,Q212&lt;=2),"High Risk / Delayed","Normal")</f>
        <v/>
      </c>
      <c r="Y212" s="17">
        <f>IF(NOT(P212="Cancelled"),"Fulfilled","Cancelled")</f>
        <v/>
      </c>
      <c r="Z212" s="17">
        <f>IFERROR(Q212,0)</f>
        <v/>
      </c>
    </row>
    <row r="213">
      <c r="A213" s="25" t="inlineStr">
        <is>
          <t>ORD1212</t>
        </is>
      </c>
      <c r="B213" s="25" t="inlineStr">
        <is>
          <t>2025-03-22</t>
        </is>
      </c>
      <c r="C213" s="25" t="inlineStr">
        <is>
          <t>12:28:29</t>
        </is>
      </c>
      <c r="D213" s="25" t="n">
        <v>1022</v>
      </c>
      <c r="E213" s="25" t="n">
        <v>108</v>
      </c>
      <c r="F213" s="25" t="n">
        <v>219</v>
      </c>
      <c r="G213" s="25" t="inlineStr">
        <is>
          <t>Delhi NCR</t>
        </is>
      </c>
      <c r="H213" s="25" t="inlineStr">
        <is>
          <t>Fast Food</t>
        </is>
      </c>
      <c r="I213" s="26" t="n">
        <v>220</v>
      </c>
      <c r="J213" s="26" t="n">
        <v>7.53</v>
      </c>
      <c r="K213" s="26" t="n">
        <v>52.5</v>
      </c>
      <c r="L213" s="27" t="n">
        <v>0.18</v>
      </c>
      <c r="M213" s="26" t="n">
        <v>52.72</v>
      </c>
      <c r="N213" s="28" t="n">
        <v>8.5</v>
      </c>
      <c r="O213" s="28" t="n">
        <v>58.3</v>
      </c>
      <c r="P213" s="25" t="inlineStr">
        <is>
          <t>Credit Card</t>
        </is>
      </c>
      <c r="Q213" s="25" t="inlineStr">
        <is>
          <t>Delivered</t>
        </is>
      </c>
      <c r="R213" s="25" t="n">
        <v>2</v>
      </c>
      <c r="S213" s="25">
        <f>TEXT(B213,"yyyy-mm")</f>
        <v/>
      </c>
      <c r="T213" s="25">
        <f>VLOOKUP(D213,Customers!A:D,4,FALSE)</f>
        <v/>
      </c>
      <c r="U213" s="25">
        <f>CONCATENATE(A213,"-",G213)</f>
        <v/>
      </c>
      <c r="V213" s="25">
        <f>IF(N213="","",IF(N213&lt;=30,"Fast (&lt;30m)",IF(N213&lt;=45,"Moderate (30-45m)","Delayed (&gt;45m)")))</f>
        <v/>
      </c>
      <c r="W213" s="25">
        <f>IF(AND(I213&gt;600,P213="Delivered"),"High Value Delivered","Standard")</f>
        <v/>
      </c>
      <c r="X213" s="25">
        <f>IF(OR(N213&gt;50,Q213&lt;=2),"High Risk / Delayed","Normal")</f>
        <v/>
      </c>
      <c r="Y213" s="25">
        <f>IF(NOT(P213="Cancelled"),"Fulfilled","Cancelled")</f>
        <v/>
      </c>
      <c r="Z213" s="25">
        <f>IFERROR(Q213,0)</f>
        <v/>
      </c>
    </row>
    <row r="214">
      <c r="A214" s="17" t="inlineStr">
        <is>
          <t>ORD1213</t>
        </is>
      </c>
      <c r="B214" s="17" t="inlineStr">
        <is>
          <t>2025-02-17</t>
        </is>
      </c>
      <c r="C214" s="17" t="inlineStr">
        <is>
          <t>11:41:23</t>
        </is>
      </c>
      <c r="D214" s="17" t="n">
        <v>1102</v>
      </c>
      <c r="E214" s="17" t="n">
        <v>107</v>
      </c>
      <c r="F214" s="17" t="n">
        <v>222</v>
      </c>
      <c r="G214" s="17" t="inlineStr">
        <is>
          <t>Mumbai</t>
        </is>
      </c>
      <c r="H214" s="17" t="inlineStr">
        <is>
          <t>Desserts</t>
        </is>
      </c>
      <c r="I214" s="22" t="n">
        <v>476</v>
      </c>
      <c r="J214" s="22" t="n">
        <v>26.55</v>
      </c>
      <c r="K214" s="22" t="n">
        <v>30</v>
      </c>
      <c r="L214" s="23" t="n">
        <v>0.25</v>
      </c>
      <c r="M214" s="22" t="n">
        <v>126.5</v>
      </c>
      <c r="N214" s="24" t="n">
        <v>4</v>
      </c>
      <c r="O214" s="24" t="n">
        <v>37.9</v>
      </c>
      <c r="P214" s="17" t="inlineStr">
        <is>
          <t>Credit Card</t>
        </is>
      </c>
      <c r="Q214" s="17" t="inlineStr">
        <is>
          <t>Delivered</t>
        </is>
      </c>
      <c r="R214" s="17" t="n">
        <v>4</v>
      </c>
      <c r="S214" s="17">
        <f>TEXT(B214,"yyyy-mm")</f>
        <v/>
      </c>
      <c r="T214" s="17">
        <f>VLOOKUP(D214,Customers!A:D,4,FALSE)</f>
        <v/>
      </c>
      <c r="U214" s="17">
        <f>CONCATENATE(A214,"-",G214)</f>
        <v/>
      </c>
      <c r="V214" s="17">
        <f>IF(N214="","",IF(N214&lt;=30,"Fast (&lt;30m)",IF(N214&lt;=45,"Moderate (30-45m)","Delayed (&gt;45m)")))</f>
        <v/>
      </c>
      <c r="W214" s="17">
        <f>IF(AND(I214&gt;600,P214="Delivered"),"High Value Delivered","Standard")</f>
        <v/>
      </c>
      <c r="X214" s="17">
        <f>IF(OR(N214&gt;50,Q214&lt;=2),"High Risk / Delayed","Normal")</f>
        <v/>
      </c>
      <c r="Y214" s="17">
        <f>IF(NOT(P214="Cancelled"),"Fulfilled","Cancelled")</f>
        <v/>
      </c>
      <c r="Z214" s="17">
        <f>IFERROR(Q214,0)</f>
        <v/>
      </c>
    </row>
    <row r="215">
      <c r="A215" s="25" t="inlineStr">
        <is>
          <t>ORD1214</t>
        </is>
      </c>
      <c r="B215" s="25" t="inlineStr">
        <is>
          <t>2025-11-17</t>
        </is>
      </c>
      <c r="C215" s="25" t="inlineStr">
        <is>
          <t>20:19:46</t>
        </is>
      </c>
      <c r="D215" s="25" t="n">
        <v>1053</v>
      </c>
      <c r="E215" s="25" t="n">
        <v>109</v>
      </c>
      <c r="F215" s="25" t="n">
        <v>216</v>
      </c>
      <c r="G215" s="25" t="inlineStr">
        <is>
          <t>Hyderabad</t>
        </is>
      </c>
      <c r="H215" s="25" t="inlineStr">
        <is>
          <t>Biryani</t>
        </is>
      </c>
      <c r="I215" s="26" t="n">
        <v>1229</v>
      </c>
      <c r="J215" s="26" t="n">
        <v>151.68</v>
      </c>
      <c r="K215" s="26" t="n">
        <v>0</v>
      </c>
      <c r="L215" s="27" t="n">
        <v>0.2</v>
      </c>
      <c r="M215" s="26" t="n">
        <v>245.8</v>
      </c>
      <c r="N215" s="28" t="n">
        <v>2.8</v>
      </c>
      <c r="O215" s="28" t="n">
        <v>34</v>
      </c>
      <c r="P215" s="25" t="inlineStr">
        <is>
          <t>UPI</t>
        </is>
      </c>
      <c r="Q215" s="25" t="inlineStr">
        <is>
          <t>Delivered</t>
        </is>
      </c>
      <c r="R215" s="25" t="n">
        <v>4</v>
      </c>
      <c r="S215" s="25">
        <f>TEXT(B215,"yyyy-mm")</f>
        <v/>
      </c>
      <c r="T215" s="25">
        <f>VLOOKUP(D215,Customers!A:D,4,FALSE)</f>
        <v/>
      </c>
      <c r="U215" s="25">
        <f>CONCATENATE(A215,"-",G215)</f>
        <v/>
      </c>
      <c r="V215" s="25">
        <f>IF(N215="","",IF(N215&lt;=30,"Fast (&lt;30m)",IF(N215&lt;=45,"Moderate (30-45m)","Delayed (&gt;45m)")))</f>
        <v/>
      </c>
      <c r="W215" s="25">
        <f>IF(AND(I215&gt;600,P215="Delivered"),"High Value Delivered","Standard")</f>
        <v/>
      </c>
      <c r="X215" s="25">
        <f>IF(OR(N215&gt;50,Q215&lt;=2),"High Risk / Delayed","Normal")</f>
        <v/>
      </c>
      <c r="Y215" s="25">
        <f>IF(NOT(P215="Cancelled"),"Fulfilled","Cancelled")</f>
        <v/>
      </c>
      <c r="Z215" s="25">
        <f>IFERROR(Q215,0)</f>
        <v/>
      </c>
    </row>
    <row r="216">
      <c r="A216" s="17" t="inlineStr">
        <is>
          <t>ORD1215</t>
        </is>
      </c>
      <c r="B216" s="17" t="inlineStr">
        <is>
          <t>2025-09-02</t>
        </is>
      </c>
      <c r="C216" s="17" t="inlineStr">
        <is>
          <t>19:04:08</t>
        </is>
      </c>
      <c r="D216" s="17" t="n">
        <v>1160</v>
      </c>
      <c r="E216" s="17" t="n">
        <v>106</v>
      </c>
      <c r="F216" s="17" t="n">
        <v>224</v>
      </c>
      <c r="G216" s="17" t="inlineStr">
        <is>
          <t>Pune</t>
        </is>
      </c>
      <c r="H216" s="17" t="inlineStr">
        <is>
          <t>South Indian</t>
        </is>
      </c>
      <c r="I216" s="22" t="n">
        <v>827</v>
      </c>
      <c r="J216" s="22" t="n">
        <v>54.44</v>
      </c>
      <c r="K216" s="22" t="n">
        <v>39</v>
      </c>
      <c r="L216" s="23" t="n">
        <v>0.15</v>
      </c>
      <c r="M216" s="22" t="n">
        <v>133.8</v>
      </c>
      <c r="N216" s="24" t="n">
        <v>5.8</v>
      </c>
      <c r="O216" s="24" t="n">
        <v>40.8</v>
      </c>
      <c r="P216" s="17" t="inlineStr">
        <is>
          <t>UPI</t>
        </is>
      </c>
      <c r="Q216" s="17" t="inlineStr">
        <is>
          <t>Delivered</t>
        </is>
      </c>
      <c r="R216" s="17" t="n">
        <v>3</v>
      </c>
      <c r="S216" s="17">
        <f>TEXT(B216,"yyyy-mm")</f>
        <v/>
      </c>
      <c r="T216" s="17">
        <f>VLOOKUP(D216,Customers!A:D,4,FALSE)</f>
        <v/>
      </c>
      <c r="U216" s="17">
        <f>CONCATENATE(A216,"-",G216)</f>
        <v/>
      </c>
      <c r="V216" s="17">
        <f>IF(N216="","",IF(N216&lt;=30,"Fast (&lt;30m)",IF(N216&lt;=45,"Moderate (30-45m)","Delayed (&gt;45m)")))</f>
        <v/>
      </c>
      <c r="W216" s="17">
        <f>IF(AND(I216&gt;600,P216="Delivered"),"High Value Delivered","Standard")</f>
        <v/>
      </c>
      <c r="X216" s="17">
        <f>IF(OR(N216&gt;50,Q216&lt;=2),"High Risk / Delayed","Normal")</f>
        <v/>
      </c>
      <c r="Y216" s="17">
        <f>IF(NOT(P216="Cancelled"),"Fulfilled","Cancelled")</f>
        <v/>
      </c>
      <c r="Z216" s="17">
        <f>IFERROR(Q216,0)</f>
        <v/>
      </c>
    </row>
    <row r="217">
      <c r="A217" s="25" t="inlineStr">
        <is>
          <t>ORD1216</t>
        </is>
      </c>
      <c r="B217" s="25" t="inlineStr">
        <is>
          <t>2025-03-03</t>
        </is>
      </c>
      <c r="C217" s="25" t="inlineStr">
        <is>
          <t>08:55:27</t>
        </is>
      </c>
      <c r="D217" s="25" t="n">
        <v>1119</v>
      </c>
      <c r="E217" s="25" t="n">
        <v>118</v>
      </c>
      <c r="F217" s="25" t="n">
        <v>211</v>
      </c>
      <c r="G217" s="25" t="inlineStr">
        <is>
          <t>Delhi NCR</t>
        </is>
      </c>
      <c r="H217" s="25" t="inlineStr">
        <is>
          <t>North Indian</t>
        </is>
      </c>
      <c r="I217" s="26" t="n">
        <v>1063</v>
      </c>
      <c r="J217" s="26" t="n">
        <v>157.08</v>
      </c>
      <c r="K217" s="26" t="n">
        <v>0</v>
      </c>
      <c r="L217" s="27" t="n">
        <v>0.2</v>
      </c>
      <c r="M217" s="26" t="n">
        <v>212.6</v>
      </c>
      <c r="N217" s="28" t="n">
        <v>6</v>
      </c>
      <c r="O217" s="28" t="n">
        <v>32.6</v>
      </c>
      <c r="P217" s="25" t="inlineStr">
        <is>
          <t>UPI</t>
        </is>
      </c>
      <c r="Q217" s="25" t="inlineStr">
        <is>
          <t>Delivered</t>
        </is>
      </c>
      <c r="R217" s="25" t="n">
        <v>5</v>
      </c>
      <c r="S217" s="25">
        <f>TEXT(B217,"yyyy-mm")</f>
        <v/>
      </c>
      <c r="T217" s="25">
        <f>VLOOKUP(D217,Customers!A:D,4,FALSE)</f>
        <v/>
      </c>
      <c r="U217" s="25">
        <f>CONCATENATE(A217,"-",G217)</f>
        <v/>
      </c>
      <c r="V217" s="25">
        <f>IF(N217="","",IF(N217&lt;=30,"Fast (&lt;30m)",IF(N217&lt;=45,"Moderate (30-45m)","Delayed (&gt;45m)")))</f>
        <v/>
      </c>
      <c r="W217" s="25">
        <f>IF(AND(I217&gt;600,P217="Delivered"),"High Value Delivered","Standard")</f>
        <v/>
      </c>
      <c r="X217" s="25">
        <f>IF(OR(N217&gt;50,Q217&lt;=2),"High Risk / Delayed","Normal")</f>
        <v/>
      </c>
      <c r="Y217" s="25">
        <f>IF(NOT(P217="Cancelled"),"Fulfilled","Cancelled")</f>
        <v/>
      </c>
      <c r="Z217" s="25">
        <f>IFERROR(Q217,0)</f>
        <v/>
      </c>
    </row>
    <row r="218">
      <c r="A218" s="17" t="inlineStr">
        <is>
          <t>ORD1217</t>
        </is>
      </c>
      <c r="B218" s="17" t="inlineStr">
        <is>
          <t>2025-07-08</t>
        </is>
      </c>
      <c r="C218" s="17" t="inlineStr">
        <is>
          <t>21:56:19</t>
        </is>
      </c>
      <c r="D218" s="17" t="n">
        <v>1190</v>
      </c>
      <c r="E218" s="17" t="n">
        <v>119</v>
      </c>
      <c r="F218" s="17" t="n">
        <v>215</v>
      </c>
      <c r="G218" s="17" t="inlineStr">
        <is>
          <t>Hyderabad</t>
        </is>
      </c>
      <c r="H218" s="17" t="inlineStr">
        <is>
          <t>Biryani</t>
        </is>
      </c>
      <c r="I218" s="22" t="n">
        <v>360</v>
      </c>
      <c r="J218" s="22" t="n">
        <v>0</v>
      </c>
      <c r="K218" s="22" t="n">
        <v>32.5</v>
      </c>
      <c r="L218" s="23" t="n">
        <v>0.2</v>
      </c>
      <c r="M218" s="22" t="n">
        <v>80.12</v>
      </c>
      <c r="N218" s="24" t="n">
        <v>4.5</v>
      </c>
      <c r="O218" s="24" t="n">
        <v>43.5</v>
      </c>
      <c r="P218" s="17" t="inlineStr">
        <is>
          <t>Credit Card</t>
        </is>
      </c>
      <c r="Q218" s="17" t="inlineStr">
        <is>
          <t>Delivered</t>
        </is>
      </c>
      <c r="R218" s="17" t="n">
        <v>2</v>
      </c>
      <c r="S218" s="17">
        <f>TEXT(B218,"yyyy-mm")</f>
        <v/>
      </c>
      <c r="T218" s="17">
        <f>VLOOKUP(D218,Customers!A:D,4,FALSE)</f>
        <v/>
      </c>
      <c r="U218" s="17">
        <f>CONCATENATE(A218,"-",G218)</f>
        <v/>
      </c>
      <c r="V218" s="17">
        <f>IF(N218="","",IF(N218&lt;=30,"Fast (&lt;30m)",IF(N218&lt;=45,"Moderate (30-45m)","Delayed (&gt;45m)")))</f>
        <v/>
      </c>
      <c r="W218" s="17">
        <f>IF(AND(I218&gt;600,P218="Delivered"),"High Value Delivered","Standard")</f>
        <v/>
      </c>
      <c r="X218" s="17">
        <f>IF(OR(N218&gt;50,Q218&lt;=2),"High Risk / Delayed","Normal")</f>
        <v/>
      </c>
      <c r="Y218" s="17">
        <f>IF(NOT(P218="Cancelled"),"Fulfilled","Cancelled")</f>
        <v/>
      </c>
      <c r="Z218" s="17">
        <f>IFERROR(Q218,0)</f>
        <v/>
      </c>
    </row>
    <row r="219">
      <c r="A219" s="25" t="inlineStr">
        <is>
          <t>ORD1218</t>
        </is>
      </c>
      <c r="B219" s="25" t="inlineStr">
        <is>
          <t>2025-11-09</t>
        </is>
      </c>
      <c r="C219" s="25" t="inlineStr">
        <is>
          <t>21:41:10</t>
        </is>
      </c>
      <c r="D219" s="25" t="n">
        <v>1271</v>
      </c>
      <c r="E219" s="25" t="n">
        <v>104</v>
      </c>
      <c r="F219" s="25" t="n">
        <v>221</v>
      </c>
      <c r="G219" s="25" t="inlineStr">
        <is>
          <t>Delhi NCR</t>
        </is>
      </c>
      <c r="H219" s="25" t="inlineStr">
        <is>
          <t>Fast Food</t>
        </is>
      </c>
      <c r="I219" s="26" t="n">
        <v>670</v>
      </c>
      <c r="J219" s="26" t="n">
        <v>49.97</v>
      </c>
      <c r="K219" s="26" t="n">
        <v>27</v>
      </c>
      <c r="L219" s="27" t="n">
        <v>0.18</v>
      </c>
      <c r="M219" s="26" t="n">
        <v>127.35</v>
      </c>
      <c r="N219" s="28" t="n">
        <v>3.4</v>
      </c>
      <c r="O219" s="28" t="n">
        <v>38.6</v>
      </c>
      <c r="P219" s="25" t="inlineStr">
        <is>
          <t>Credit Card</t>
        </is>
      </c>
      <c r="Q219" s="25" t="inlineStr">
        <is>
          <t>Delivered</t>
        </is>
      </c>
      <c r="R219" s="25" t="n">
        <v>3</v>
      </c>
      <c r="S219" s="25">
        <f>TEXT(B219,"yyyy-mm")</f>
        <v/>
      </c>
      <c r="T219" s="25">
        <f>VLOOKUP(D219,Customers!A:D,4,FALSE)</f>
        <v/>
      </c>
      <c r="U219" s="25">
        <f>CONCATENATE(A219,"-",G219)</f>
        <v/>
      </c>
      <c r="V219" s="25">
        <f>IF(N219="","",IF(N219&lt;=30,"Fast (&lt;30m)",IF(N219&lt;=45,"Moderate (30-45m)","Delayed (&gt;45m)")))</f>
        <v/>
      </c>
      <c r="W219" s="25">
        <f>IF(AND(I219&gt;600,P219="Delivered"),"High Value Delivered","Standard")</f>
        <v/>
      </c>
      <c r="X219" s="25">
        <f>IF(OR(N219&gt;50,Q219&lt;=2),"High Risk / Delayed","Normal")</f>
        <v/>
      </c>
      <c r="Y219" s="25">
        <f>IF(NOT(P219="Cancelled"),"Fulfilled","Cancelled")</f>
        <v/>
      </c>
      <c r="Z219" s="25">
        <f>IFERROR(Q219,0)</f>
        <v/>
      </c>
    </row>
    <row r="220">
      <c r="A220" s="17" t="inlineStr">
        <is>
          <t>ORD1219</t>
        </is>
      </c>
      <c r="B220" s="17" t="inlineStr">
        <is>
          <t>2025-02-14</t>
        </is>
      </c>
      <c r="C220" s="17" t="inlineStr">
        <is>
          <t>13:57:06</t>
        </is>
      </c>
      <c r="D220" s="17" t="n">
        <v>1118</v>
      </c>
      <c r="E220" s="17" t="n">
        <v>118</v>
      </c>
      <c r="F220" s="17" t="n">
        <v>212</v>
      </c>
      <c r="G220" s="17" t="inlineStr">
        <is>
          <t>Delhi NCR</t>
        </is>
      </c>
      <c r="H220" s="17" t="inlineStr">
        <is>
          <t>North Indian</t>
        </is>
      </c>
      <c r="I220" s="22" t="n">
        <v>363</v>
      </c>
      <c r="J220" s="22" t="n">
        <v>17.12</v>
      </c>
      <c r="K220" s="22" t="n">
        <v>25</v>
      </c>
      <c r="L220" s="23" t="n">
        <v>0.2</v>
      </c>
      <c r="M220" s="22" t="n">
        <v>78.84999999999999</v>
      </c>
      <c r="N220" s="24" t="n">
        <v>2.3</v>
      </c>
      <c r="O220" s="24" t="n">
        <v>24.9</v>
      </c>
      <c r="P220" s="17" t="inlineStr">
        <is>
          <t>Cash on Delivery</t>
        </is>
      </c>
      <c r="Q220" s="17" t="inlineStr">
        <is>
          <t>Delivered</t>
        </is>
      </c>
      <c r="R220" s="17" t="n">
        <v>4</v>
      </c>
      <c r="S220" s="17">
        <f>TEXT(B220,"yyyy-mm")</f>
        <v/>
      </c>
      <c r="T220" s="17">
        <f>VLOOKUP(D220,Customers!A:D,4,FALSE)</f>
        <v/>
      </c>
      <c r="U220" s="17">
        <f>CONCATENATE(A220,"-",G220)</f>
        <v/>
      </c>
      <c r="V220" s="17">
        <f>IF(N220="","",IF(N220&lt;=30,"Fast (&lt;30m)",IF(N220&lt;=45,"Moderate (30-45m)","Delayed (&gt;45m)")))</f>
        <v/>
      </c>
      <c r="W220" s="17">
        <f>IF(AND(I220&gt;600,P220="Delivered"),"High Value Delivered","Standard")</f>
        <v/>
      </c>
      <c r="X220" s="17">
        <f>IF(OR(N220&gt;50,Q220&lt;=2),"High Risk / Delayed","Normal")</f>
        <v/>
      </c>
      <c r="Y220" s="17">
        <f>IF(NOT(P220="Cancelled"),"Fulfilled","Cancelled")</f>
        <v/>
      </c>
      <c r="Z220" s="17">
        <f>IFERROR(Q220,0)</f>
        <v/>
      </c>
    </row>
    <row r="221">
      <c r="A221" s="25" t="inlineStr">
        <is>
          <t>ORD1220</t>
        </is>
      </c>
      <c r="B221" s="25" t="inlineStr">
        <is>
          <t>2025-05-22</t>
        </is>
      </c>
      <c r="C221" s="25" t="inlineStr">
        <is>
          <t>13:41:05</t>
        </is>
      </c>
      <c r="D221" s="25" t="n">
        <v>1224</v>
      </c>
      <c r="E221" s="25" t="n">
        <v>104</v>
      </c>
      <c r="F221" s="25" t="n">
        <v>211</v>
      </c>
      <c r="G221" s="25" t="inlineStr">
        <is>
          <t>Delhi NCR</t>
        </is>
      </c>
      <c r="H221" s="25" t="inlineStr">
        <is>
          <t>Fast Food</t>
        </is>
      </c>
      <c r="I221" s="26" t="n">
        <v>474</v>
      </c>
      <c r="J221" s="26" t="n">
        <v>22.75</v>
      </c>
      <c r="K221" s="26" t="n">
        <v>31.5</v>
      </c>
      <c r="L221" s="27" t="n">
        <v>0.18</v>
      </c>
      <c r="M221" s="26" t="n">
        <v>93.2</v>
      </c>
      <c r="N221" s="28" t="n">
        <v>4.3</v>
      </c>
      <c r="O221" s="28" t="n">
        <v>35.2</v>
      </c>
      <c r="P221" s="25" t="inlineStr">
        <is>
          <t>UPI</t>
        </is>
      </c>
      <c r="Q221" s="25" t="inlineStr">
        <is>
          <t>Delivered</t>
        </is>
      </c>
      <c r="R221" s="25" t="n">
        <v>4</v>
      </c>
      <c r="S221" s="25">
        <f>TEXT(B221,"yyyy-mm")</f>
        <v/>
      </c>
      <c r="T221" s="25">
        <f>VLOOKUP(D221,Customers!A:D,4,FALSE)</f>
        <v/>
      </c>
      <c r="U221" s="25">
        <f>CONCATENATE(A221,"-",G221)</f>
        <v/>
      </c>
      <c r="V221" s="25">
        <f>IF(N221="","",IF(N221&lt;=30,"Fast (&lt;30m)",IF(N221&lt;=45,"Moderate (30-45m)","Delayed (&gt;45m)")))</f>
        <v/>
      </c>
      <c r="W221" s="25">
        <f>IF(AND(I221&gt;600,P221="Delivered"),"High Value Delivered","Standard")</f>
        <v/>
      </c>
      <c r="X221" s="25">
        <f>IF(OR(N221&gt;50,Q221&lt;=2),"High Risk / Delayed","Normal")</f>
        <v/>
      </c>
      <c r="Y221" s="25">
        <f>IF(NOT(P221="Cancelled"),"Fulfilled","Cancelled")</f>
        <v/>
      </c>
      <c r="Z221" s="25">
        <f>IFERROR(Q221,0)</f>
        <v/>
      </c>
    </row>
    <row r="222">
      <c r="A222" s="17" t="inlineStr">
        <is>
          <t>ORD1221</t>
        </is>
      </c>
      <c r="B222" s="17" t="inlineStr">
        <is>
          <t>2025-07-20</t>
        </is>
      </c>
      <c r="C222" s="17" t="inlineStr">
        <is>
          <t>21:18:41</t>
        </is>
      </c>
      <c r="D222" s="17" t="n">
        <v>1252</v>
      </c>
      <c r="E222" s="17" t="n">
        <v>103</v>
      </c>
      <c r="F222" s="17" t="n">
        <v>206</v>
      </c>
      <c r="G222" s="17" t="inlineStr">
        <is>
          <t>Mumbai</t>
        </is>
      </c>
      <c r="H222" s="17" t="inlineStr">
        <is>
          <t>Italian</t>
        </is>
      </c>
      <c r="I222" s="22" t="n">
        <v>275</v>
      </c>
      <c r="J222" s="22" t="n">
        <v>17.46</v>
      </c>
      <c r="K222" s="22" t="n">
        <v>25</v>
      </c>
      <c r="L222" s="23" t="n">
        <v>0.18</v>
      </c>
      <c r="M222" s="22" t="n">
        <v>55.75</v>
      </c>
      <c r="N222" s="24" t="n">
        <v>3</v>
      </c>
      <c r="O222" s="24" t="n">
        <v>26.9</v>
      </c>
      <c r="P222" s="17" t="inlineStr">
        <is>
          <t>Cash on Delivery</t>
        </is>
      </c>
      <c r="Q222" s="17" t="inlineStr">
        <is>
          <t>Delivered</t>
        </is>
      </c>
      <c r="R222" s="17" t="n">
        <v>5</v>
      </c>
      <c r="S222" s="17">
        <f>TEXT(B222,"yyyy-mm")</f>
        <v/>
      </c>
      <c r="T222" s="17">
        <f>VLOOKUP(D222,Customers!A:D,4,FALSE)</f>
        <v/>
      </c>
      <c r="U222" s="17">
        <f>CONCATENATE(A222,"-",G222)</f>
        <v/>
      </c>
      <c r="V222" s="17">
        <f>IF(N222="","",IF(N222&lt;=30,"Fast (&lt;30m)",IF(N222&lt;=45,"Moderate (30-45m)","Delayed (&gt;45m)")))</f>
        <v/>
      </c>
      <c r="W222" s="17">
        <f>IF(AND(I222&gt;600,P222="Delivered"),"High Value Delivered","Standard")</f>
        <v/>
      </c>
      <c r="X222" s="17">
        <f>IF(OR(N222&gt;50,Q222&lt;=2),"High Risk / Delayed","Normal")</f>
        <v/>
      </c>
      <c r="Y222" s="17">
        <f>IF(NOT(P222="Cancelled"),"Fulfilled","Cancelled")</f>
        <v/>
      </c>
      <c r="Z222" s="17">
        <f>IFERROR(Q222,0)</f>
        <v/>
      </c>
    </row>
    <row r="223">
      <c r="A223" s="25" t="inlineStr">
        <is>
          <t>ORD1222</t>
        </is>
      </c>
      <c r="B223" s="25" t="inlineStr">
        <is>
          <t>2025-09-13</t>
        </is>
      </c>
      <c r="C223" s="25" t="inlineStr">
        <is>
          <t>12:40:38</t>
        </is>
      </c>
      <c r="D223" s="25" t="n">
        <v>1079</v>
      </c>
      <c r="E223" s="25" t="n">
        <v>111</v>
      </c>
      <c r="F223" s="25" t="n">
        <v>227</v>
      </c>
      <c r="G223" s="25" t="inlineStr">
        <is>
          <t>Bangalore</t>
        </is>
      </c>
      <c r="H223" s="25" t="inlineStr">
        <is>
          <t>South Indian</t>
        </is>
      </c>
      <c r="I223" s="26" t="n">
        <v>292</v>
      </c>
      <c r="J223" s="26" t="n">
        <v>22.84</v>
      </c>
      <c r="K223" s="26" t="n">
        <v>25</v>
      </c>
      <c r="L223" s="27" t="n">
        <v>0.15</v>
      </c>
      <c r="M223" s="26" t="n">
        <v>50.05</v>
      </c>
      <c r="N223" s="28" t="n">
        <v>2.3</v>
      </c>
      <c r="O223" s="28" t="n">
        <v>40.2</v>
      </c>
      <c r="P223" s="25" t="inlineStr">
        <is>
          <t>Debit Card</t>
        </is>
      </c>
      <c r="Q223" s="25" t="inlineStr">
        <is>
          <t>Delivered</t>
        </is>
      </c>
      <c r="R223" s="25" t="n">
        <v>2</v>
      </c>
      <c r="S223" s="25">
        <f>TEXT(B223,"yyyy-mm")</f>
        <v/>
      </c>
      <c r="T223" s="25">
        <f>VLOOKUP(D223,Customers!A:D,4,FALSE)</f>
        <v/>
      </c>
      <c r="U223" s="25">
        <f>CONCATENATE(A223,"-",G223)</f>
        <v/>
      </c>
      <c r="V223" s="25">
        <f>IF(N223="","",IF(N223&lt;=30,"Fast (&lt;30m)",IF(N223&lt;=45,"Moderate (30-45m)","Delayed (&gt;45m)")))</f>
        <v/>
      </c>
      <c r="W223" s="25">
        <f>IF(AND(I223&gt;600,P223="Delivered"),"High Value Delivered","Standard")</f>
        <v/>
      </c>
      <c r="X223" s="25">
        <f>IF(OR(N223&gt;50,Q223&lt;=2),"High Risk / Delayed","Normal")</f>
        <v/>
      </c>
      <c r="Y223" s="25">
        <f>IF(NOT(P223="Cancelled"),"Fulfilled","Cancelled")</f>
        <v/>
      </c>
      <c r="Z223" s="25">
        <f>IFERROR(Q223,0)</f>
        <v/>
      </c>
    </row>
    <row r="224">
      <c r="A224" s="17" t="inlineStr">
        <is>
          <t>ORD1223</t>
        </is>
      </c>
      <c r="B224" s="17" t="inlineStr">
        <is>
          <t>2025-10-19</t>
        </is>
      </c>
      <c r="C224" s="17" t="inlineStr">
        <is>
          <t>20:26:23</t>
        </is>
      </c>
      <c r="D224" s="17" t="n">
        <v>1017</v>
      </c>
      <c r="E224" s="17" t="n">
        <v>113</v>
      </c>
      <c r="F224" s="17" t="n">
        <v>206</v>
      </c>
      <c r="G224" s="17" t="inlineStr">
        <is>
          <t>Mumbai</t>
        </is>
      </c>
      <c r="H224" s="17" t="inlineStr">
        <is>
          <t>Fast Food</t>
        </is>
      </c>
      <c r="I224" s="22" t="n">
        <v>779</v>
      </c>
      <c r="J224" s="22" t="n">
        <v>47.53</v>
      </c>
      <c r="K224" s="22" t="n">
        <v>31</v>
      </c>
      <c r="L224" s="23" t="n">
        <v>0.18</v>
      </c>
      <c r="M224" s="22" t="n">
        <v>147.97</v>
      </c>
      <c r="N224" s="24" t="n">
        <v>4.2</v>
      </c>
      <c r="O224" s="24" t="n">
        <v>41.9</v>
      </c>
      <c r="P224" s="17" t="inlineStr">
        <is>
          <t>UPI</t>
        </is>
      </c>
      <c r="Q224" s="17" t="inlineStr">
        <is>
          <t>Delivered</t>
        </is>
      </c>
      <c r="R224" s="17" t="n">
        <v>3</v>
      </c>
      <c r="S224" s="17">
        <f>TEXT(B224,"yyyy-mm")</f>
        <v/>
      </c>
      <c r="T224" s="17">
        <f>VLOOKUP(D224,Customers!A:D,4,FALSE)</f>
        <v/>
      </c>
      <c r="U224" s="17">
        <f>CONCATENATE(A224,"-",G224)</f>
        <v/>
      </c>
      <c r="V224" s="17">
        <f>IF(N224="","",IF(N224&lt;=30,"Fast (&lt;30m)",IF(N224&lt;=45,"Moderate (30-45m)","Delayed (&gt;45m)")))</f>
        <v/>
      </c>
      <c r="W224" s="17">
        <f>IF(AND(I224&gt;600,P224="Delivered"),"High Value Delivered","Standard")</f>
        <v/>
      </c>
      <c r="X224" s="17">
        <f>IF(OR(N224&gt;50,Q224&lt;=2),"High Risk / Delayed","Normal")</f>
        <v/>
      </c>
      <c r="Y224" s="17">
        <f>IF(NOT(P224="Cancelled"),"Fulfilled","Cancelled")</f>
        <v/>
      </c>
      <c r="Z224" s="17">
        <f>IFERROR(Q224,0)</f>
        <v/>
      </c>
    </row>
    <row r="225">
      <c r="A225" s="25" t="inlineStr">
        <is>
          <t>ORD1224</t>
        </is>
      </c>
      <c r="B225" s="25" t="inlineStr">
        <is>
          <t>2025-01-08</t>
        </is>
      </c>
      <c r="C225" s="25" t="inlineStr">
        <is>
          <t>19:16:13</t>
        </is>
      </c>
      <c r="D225" s="25" t="n">
        <v>1040</v>
      </c>
      <c r="E225" s="25" t="n">
        <v>110</v>
      </c>
      <c r="F225" s="25" t="n">
        <v>224</v>
      </c>
      <c r="G225" s="25" t="inlineStr">
        <is>
          <t>Pune</t>
        </is>
      </c>
      <c r="H225" s="25" t="inlineStr">
        <is>
          <t>North Indian</t>
        </is>
      </c>
      <c r="I225" s="26" t="n">
        <v>260</v>
      </c>
      <c r="J225" s="26" t="n">
        <v>19.73</v>
      </c>
      <c r="K225" s="26" t="n">
        <v>56.5</v>
      </c>
      <c r="L225" s="27" t="n">
        <v>0.18</v>
      </c>
      <c r="M225" s="26" t="n">
        <v>60.92</v>
      </c>
      <c r="N225" s="28" t="n">
        <v>9.300000000000001</v>
      </c>
      <c r="O225" s="28" t="n">
        <v>58.7</v>
      </c>
      <c r="P225" s="25" t="inlineStr">
        <is>
          <t>Debit Card</t>
        </is>
      </c>
      <c r="Q225" s="25" t="inlineStr">
        <is>
          <t>Delivered</t>
        </is>
      </c>
      <c r="R225" s="25" t="n">
        <v>4</v>
      </c>
      <c r="S225" s="25">
        <f>TEXT(B225,"yyyy-mm")</f>
        <v/>
      </c>
      <c r="T225" s="25">
        <f>VLOOKUP(D225,Customers!A:D,4,FALSE)</f>
        <v/>
      </c>
      <c r="U225" s="25">
        <f>CONCATENATE(A225,"-",G225)</f>
        <v/>
      </c>
      <c r="V225" s="25">
        <f>IF(N225="","",IF(N225&lt;=30,"Fast (&lt;30m)",IF(N225&lt;=45,"Moderate (30-45m)","Delayed (&gt;45m)")))</f>
        <v/>
      </c>
      <c r="W225" s="25">
        <f>IF(AND(I225&gt;600,P225="Delivered"),"High Value Delivered","Standard")</f>
        <v/>
      </c>
      <c r="X225" s="25">
        <f>IF(OR(N225&gt;50,Q225&lt;=2),"High Risk / Delayed","Normal")</f>
        <v/>
      </c>
      <c r="Y225" s="25">
        <f>IF(NOT(P225="Cancelled"),"Fulfilled","Cancelled")</f>
        <v/>
      </c>
      <c r="Z225" s="25">
        <f>IFERROR(Q225,0)</f>
        <v/>
      </c>
    </row>
    <row r="226">
      <c r="A226" s="17" t="inlineStr">
        <is>
          <t>ORD1225</t>
        </is>
      </c>
      <c r="B226" s="17" t="inlineStr">
        <is>
          <t>2025-02-12</t>
        </is>
      </c>
      <c r="C226" s="17" t="inlineStr">
        <is>
          <t>01:40:34</t>
        </is>
      </c>
      <c r="D226" s="17" t="n">
        <v>1010</v>
      </c>
      <c r="E226" s="17" t="n">
        <v>119</v>
      </c>
      <c r="F226" s="17" t="n">
        <v>216</v>
      </c>
      <c r="G226" s="17" t="inlineStr">
        <is>
          <t>Hyderabad</t>
        </is>
      </c>
      <c r="H226" s="17" t="inlineStr">
        <is>
          <t>Biryani</t>
        </is>
      </c>
      <c r="I226" s="22" t="n">
        <v>770</v>
      </c>
      <c r="J226" s="22" t="n">
        <v>71.7</v>
      </c>
      <c r="K226" s="22" t="n">
        <v>50</v>
      </c>
      <c r="L226" s="23" t="n">
        <v>0.2</v>
      </c>
      <c r="M226" s="22" t="n">
        <v>166.5</v>
      </c>
      <c r="N226" s="24" t="n">
        <v>8</v>
      </c>
      <c r="O226" s="24" t="n">
        <v>40.1</v>
      </c>
      <c r="P226" s="17" t="inlineStr">
        <is>
          <t>Debit Card</t>
        </is>
      </c>
      <c r="Q226" s="17" t="inlineStr">
        <is>
          <t>Delivered</t>
        </is>
      </c>
      <c r="R226" s="17" t="n">
        <v>3</v>
      </c>
      <c r="S226" s="17">
        <f>TEXT(B226,"yyyy-mm")</f>
        <v/>
      </c>
      <c r="T226" s="17">
        <f>VLOOKUP(D226,Customers!A:D,4,FALSE)</f>
        <v/>
      </c>
      <c r="U226" s="17">
        <f>CONCATENATE(A226,"-",G226)</f>
        <v/>
      </c>
      <c r="V226" s="17">
        <f>IF(N226="","",IF(N226&lt;=30,"Fast (&lt;30m)",IF(N226&lt;=45,"Moderate (30-45m)","Delayed (&gt;45m)")))</f>
        <v/>
      </c>
      <c r="W226" s="17">
        <f>IF(AND(I226&gt;600,P226="Delivered"),"High Value Delivered","Standard")</f>
        <v/>
      </c>
      <c r="X226" s="17">
        <f>IF(OR(N226&gt;50,Q226&lt;=2),"High Risk / Delayed","Normal")</f>
        <v/>
      </c>
      <c r="Y226" s="17">
        <f>IF(NOT(P226="Cancelled"),"Fulfilled","Cancelled")</f>
        <v/>
      </c>
      <c r="Z226" s="17">
        <f>IFERROR(Q226,0)</f>
        <v/>
      </c>
    </row>
    <row r="227">
      <c r="A227" s="25" t="inlineStr">
        <is>
          <t>ORD1226</t>
        </is>
      </c>
      <c r="B227" s="25" t="inlineStr">
        <is>
          <t>2025-03-21</t>
        </is>
      </c>
      <c r="C227" s="25" t="inlineStr">
        <is>
          <t>12:34:20</t>
        </is>
      </c>
      <c r="D227" s="25" t="n">
        <v>1285</v>
      </c>
      <c r="E227" s="25" t="n">
        <v>101</v>
      </c>
      <c r="F227" s="25" t="n">
        <v>203</v>
      </c>
      <c r="G227" s="25" t="inlineStr">
        <is>
          <t>Bangalore</t>
        </is>
      </c>
      <c r="H227" s="25" t="inlineStr">
        <is>
          <t>North Indian</t>
        </is>
      </c>
      <c r="I227" s="26" t="n">
        <v>620</v>
      </c>
      <c r="J227" s="26" t="n">
        <v>37.86</v>
      </c>
      <c r="K227" s="26" t="n">
        <v>27</v>
      </c>
      <c r="L227" s="27" t="n">
        <v>0.2</v>
      </c>
      <c r="M227" s="26" t="n">
        <v>130.75</v>
      </c>
      <c r="N227" s="28" t="n">
        <v>3.4</v>
      </c>
      <c r="O227" s="28" t="n">
        <v>31.9</v>
      </c>
      <c r="P227" s="25" t="inlineStr">
        <is>
          <t>UPI</t>
        </is>
      </c>
      <c r="Q227" s="25" t="inlineStr">
        <is>
          <t>Delivered</t>
        </is>
      </c>
      <c r="R227" s="25" t="n">
        <v>4</v>
      </c>
      <c r="S227" s="25">
        <f>TEXT(B227,"yyyy-mm")</f>
        <v/>
      </c>
      <c r="T227" s="25">
        <f>VLOOKUP(D227,Customers!A:D,4,FALSE)</f>
        <v/>
      </c>
      <c r="U227" s="25">
        <f>CONCATENATE(A227,"-",G227)</f>
        <v/>
      </c>
      <c r="V227" s="25">
        <f>IF(N227="","",IF(N227&lt;=30,"Fast (&lt;30m)",IF(N227&lt;=45,"Moderate (30-45m)","Delayed (&gt;45m)")))</f>
        <v/>
      </c>
      <c r="W227" s="25">
        <f>IF(AND(I227&gt;600,P227="Delivered"),"High Value Delivered","Standard")</f>
        <v/>
      </c>
      <c r="X227" s="25">
        <f>IF(OR(N227&gt;50,Q227&lt;=2),"High Risk / Delayed","Normal")</f>
        <v/>
      </c>
      <c r="Y227" s="25">
        <f>IF(NOT(P227="Cancelled"),"Fulfilled","Cancelled")</f>
        <v/>
      </c>
      <c r="Z227" s="25">
        <f>IFERROR(Q227,0)</f>
        <v/>
      </c>
    </row>
    <row r="228">
      <c r="A228" s="17" t="inlineStr">
        <is>
          <t>ORD1227</t>
        </is>
      </c>
      <c r="B228" s="17" t="inlineStr">
        <is>
          <t>2025-01-30</t>
        </is>
      </c>
      <c r="C228" s="17" t="inlineStr">
        <is>
          <t>12:15:05</t>
        </is>
      </c>
      <c r="D228" s="17" t="n">
        <v>1266</v>
      </c>
      <c r="E228" s="17" t="n">
        <v>107</v>
      </c>
      <c r="F228" s="17" t="n">
        <v>222</v>
      </c>
      <c r="G228" s="17" t="inlineStr">
        <is>
          <t>Mumbai</t>
        </is>
      </c>
      <c r="H228" s="17" t="inlineStr">
        <is>
          <t>Desserts</t>
        </is>
      </c>
      <c r="I228" s="22" t="n">
        <v>664</v>
      </c>
      <c r="J228" s="22" t="n">
        <v>38.59</v>
      </c>
      <c r="K228" s="22" t="n">
        <v>25</v>
      </c>
      <c r="L228" s="23" t="n">
        <v>0.25</v>
      </c>
      <c r="M228" s="22" t="n">
        <v>172.25</v>
      </c>
      <c r="N228" s="24" t="n">
        <v>1.7</v>
      </c>
      <c r="O228" s="24" t="n">
        <v>25.6</v>
      </c>
      <c r="P228" s="17" t="inlineStr">
        <is>
          <t>UPI</t>
        </is>
      </c>
      <c r="Q228" s="17" t="inlineStr">
        <is>
          <t>Delivered</t>
        </is>
      </c>
      <c r="R228" s="17" t="n">
        <v>4</v>
      </c>
      <c r="S228" s="17">
        <f>TEXT(B228,"yyyy-mm")</f>
        <v/>
      </c>
      <c r="T228" s="17">
        <f>VLOOKUP(D228,Customers!A:D,4,FALSE)</f>
        <v/>
      </c>
      <c r="U228" s="17">
        <f>CONCATENATE(A228,"-",G228)</f>
        <v/>
      </c>
      <c r="V228" s="17">
        <f>IF(N228="","",IF(N228&lt;=30,"Fast (&lt;30m)",IF(N228&lt;=45,"Moderate (30-45m)","Delayed (&gt;45m)")))</f>
        <v/>
      </c>
      <c r="W228" s="17">
        <f>IF(AND(I228&gt;600,P228="Delivered"),"High Value Delivered","Standard")</f>
        <v/>
      </c>
      <c r="X228" s="17">
        <f>IF(OR(N228&gt;50,Q228&lt;=2),"High Risk / Delayed","Normal")</f>
        <v/>
      </c>
      <c r="Y228" s="17">
        <f>IF(NOT(P228="Cancelled"),"Fulfilled","Cancelled")</f>
        <v/>
      </c>
      <c r="Z228" s="17">
        <f>IFERROR(Q228,0)</f>
        <v/>
      </c>
    </row>
    <row r="229">
      <c r="A229" s="25" t="inlineStr">
        <is>
          <t>ORD1228</t>
        </is>
      </c>
      <c r="B229" s="25" t="inlineStr">
        <is>
          <t>2025-01-07</t>
        </is>
      </c>
      <c r="C229" s="25" t="inlineStr">
        <is>
          <t>09:45:08</t>
        </is>
      </c>
      <c r="D229" s="25" t="n">
        <v>1083</v>
      </c>
      <c r="E229" s="25" t="n">
        <v>112</v>
      </c>
      <c r="F229" s="25" t="n">
        <v>230</v>
      </c>
      <c r="G229" s="25" t="inlineStr">
        <is>
          <t>Delhi NCR</t>
        </is>
      </c>
      <c r="H229" s="25" t="inlineStr">
        <is>
          <t>North Indian</t>
        </is>
      </c>
      <c r="I229" s="26" t="n">
        <v>938</v>
      </c>
      <c r="J229" s="26" t="n">
        <v>0</v>
      </c>
      <c r="K229" s="26" t="n">
        <v>40</v>
      </c>
      <c r="L229" s="27" t="n">
        <v>0.22</v>
      </c>
      <c r="M229" s="26" t="n">
        <v>216.36</v>
      </c>
      <c r="N229" s="28" t="n">
        <v>6</v>
      </c>
      <c r="O229" s="28" t="n">
        <v>39.7</v>
      </c>
      <c r="P229" s="25" t="inlineStr">
        <is>
          <t>Debit Card</t>
        </is>
      </c>
      <c r="Q229" s="25" t="inlineStr">
        <is>
          <t>Delivered</t>
        </is>
      </c>
      <c r="R229" s="25" t="n">
        <v>2</v>
      </c>
      <c r="S229" s="25">
        <f>TEXT(B229,"yyyy-mm")</f>
        <v/>
      </c>
      <c r="T229" s="25">
        <f>VLOOKUP(D229,Customers!A:D,4,FALSE)</f>
        <v/>
      </c>
      <c r="U229" s="25">
        <f>CONCATENATE(A229,"-",G229)</f>
        <v/>
      </c>
      <c r="V229" s="25">
        <f>IF(N229="","",IF(N229&lt;=30,"Fast (&lt;30m)",IF(N229&lt;=45,"Moderate (30-45m)","Delayed (&gt;45m)")))</f>
        <v/>
      </c>
      <c r="W229" s="25">
        <f>IF(AND(I229&gt;600,P229="Delivered"),"High Value Delivered","Standard")</f>
        <v/>
      </c>
      <c r="X229" s="25">
        <f>IF(OR(N229&gt;50,Q229&lt;=2),"High Risk / Delayed","Normal")</f>
        <v/>
      </c>
      <c r="Y229" s="25">
        <f>IF(NOT(P229="Cancelled"),"Fulfilled","Cancelled")</f>
        <v/>
      </c>
      <c r="Z229" s="25">
        <f>IFERROR(Q229,0)</f>
        <v/>
      </c>
    </row>
    <row r="230">
      <c r="A230" s="17" t="inlineStr">
        <is>
          <t>ORD1229</t>
        </is>
      </c>
      <c r="B230" s="17" t="inlineStr">
        <is>
          <t>2025-03-06</t>
        </is>
      </c>
      <c r="C230" s="17" t="inlineStr">
        <is>
          <t>21:47:49</t>
        </is>
      </c>
      <c r="D230" s="17" t="n">
        <v>1017</v>
      </c>
      <c r="E230" s="17" t="n">
        <v>117</v>
      </c>
      <c r="F230" s="17" t="n">
        <v>229</v>
      </c>
      <c r="G230" s="17" t="inlineStr">
        <is>
          <t>Mumbai</t>
        </is>
      </c>
      <c r="H230" s="17" t="inlineStr">
        <is>
          <t>Chinese</t>
        </is>
      </c>
      <c r="I230" s="22" t="n">
        <v>495</v>
      </c>
      <c r="J230" s="22" t="n">
        <v>4.68</v>
      </c>
      <c r="K230" s="22" t="n">
        <v>32.5</v>
      </c>
      <c r="L230" s="23" t="n">
        <v>0.2</v>
      </c>
      <c r="M230" s="22" t="n">
        <v>107.12</v>
      </c>
      <c r="N230" s="24" t="n">
        <v>4.5</v>
      </c>
      <c r="O230" s="24" t="n">
        <v>40.1</v>
      </c>
      <c r="P230" s="17" t="inlineStr">
        <is>
          <t>Debit Card</t>
        </is>
      </c>
      <c r="Q230" s="17" t="inlineStr">
        <is>
          <t>Delivered</t>
        </is>
      </c>
      <c r="R230" s="17" t="n">
        <v>3</v>
      </c>
      <c r="S230" s="17">
        <f>TEXT(B230,"yyyy-mm")</f>
        <v/>
      </c>
      <c r="T230" s="17">
        <f>VLOOKUP(D230,Customers!A:D,4,FALSE)</f>
        <v/>
      </c>
      <c r="U230" s="17">
        <f>CONCATENATE(A230,"-",G230)</f>
        <v/>
      </c>
      <c r="V230" s="17">
        <f>IF(N230="","",IF(N230&lt;=30,"Fast (&lt;30m)",IF(N230&lt;=45,"Moderate (30-45m)","Delayed (&gt;45m)")))</f>
        <v/>
      </c>
      <c r="W230" s="17">
        <f>IF(AND(I230&gt;600,P230="Delivered"),"High Value Delivered","Standard")</f>
        <v/>
      </c>
      <c r="X230" s="17">
        <f>IF(OR(N230&gt;50,Q230&lt;=2),"High Risk / Delayed","Normal")</f>
        <v/>
      </c>
      <c r="Y230" s="17">
        <f>IF(NOT(P230="Cancelled"),"Fulfilled","Cancelled")</f>
        <v/>
      </c>
      <c r="Z230" s="17">
        <f>IFERROR(Q230,0)</f>
        <v/>
      </c>
    </row>
    <row r="231">
      <c r="A231" s="25" t="inlineStr">
        <is>
          <t>ORD1230</t>
        </is>
      </c>
      <c r="B231" s="25" t="inlineStr">
        <is>
          <t>2025-05-15</t>
        </is>
      </c>
      <c r="C231" s="25" t="inlineStr">
        <is>
          <t>22:45:36</t>
        </is>
      </c>
      <c r="D231" s="25" t="n">
        <v>1007</v>
      </c>
      <c r="E231" s="25" t="n">
        <v>115</v>
      </c>
      <c r="F231" s="25" t="n">
        <v>223</v>
      </c>
      <c r="G231" s="25" t="inlineStr">
        <is>
          <t>Bangalore</t>
        </is>
      </c>
      <c r="H231" s="25" t="inlineStr">
        <is>
          <t>Italian</t>
        </is>
      </c>
      <c r="I231" s="26" t="n">
        <v>862</v>
      </c>
      <c r="J231" s="26" t="n">
        <v>0</v>
      </c>
      <c r="K231" s="26" t="n">
        <v>25</v>
      </c>
      <c r="L231" s="27" t="n">
        <v>0.2</v>
      </c>
      <c r="M231" s="26" t="n">
        <v>178.65</v>
      </c>
      <c r="N231" s="28" t="n">
        <v>2.7</v>
      </c>
      <c r="O231" s="28" t="n">
        <v>26</v>
      </c>
      <c r="P231" s="25" t="inlineStr">
        <is>
          <t>Debit Card</t>
        </is>
      </c>
      <c r="Q231" s="25" t="inlineStr">
        <is>
          <t>Delivered</t>
        </is>
      </c>
      <c r="R231" s="25" t="n">
        <v>4</v>
      </c>
      <c r="S231" s="25">
        <f>TEXT(B231,"yyyy-mm")</f>
        <v/>
      </c>
      <c r="T231" s="25">
        <f>VLOOKUP(D231,Customers!A:D,4,FALSE)</f>
        <v/>
      </c>
      <c r="U231" s="25">
        <f>CONCATENATE(A231,"-",G231)</f>
        <v/>
      </c>
      <c r="V231" s="25">
        <f>IF(N231="","",IF(N231&lt;=30,"Fast (&lt;30m)",IF(N231&lt;=45,"Moderate (30-45m)","Delayed (&gt;45m)")))</f>
        <v/>
      </c>
      <c r="W231" s="25">
        <f>IF(AND(I231&gt;600,P231="Delivered"),"High Value Delivered","Standard")</f>
        <v/>
      </c>
      <c r="X231" s="25">
        <f>IF(OR(N231&gt;50,Q231&lt;=2),"High Risk / Delayed","Normal")</f>
        <v/>
      </c>
      <c r="Y231" s="25">
        <f>IF(NOT(P231="Cancelled"),"Fulfilled","Cancelled")</f>
        <v/>
      </c>
      <c r="Z231" s="25">
        <f>IFERROR(Q231,0)</f>
        <v/>
      </c>
    </row>
    <row r="232">
      <c r="A232" s="17" t="inlineStr">
        <is>
          <t>ORD1231</t>
        </is>
      </c>
      <c r="B232" s="17" t="inlineStr">
        <is>
          <t>2025-10-18</t>
        </is>
      </c>
      <c r="C232" s="17" t="inlineStr">
        <is>
          <t>08:10:23</t>
        </is>
      </c>
      <c r="D232" s="17" t="n">
        <v>1066</v>
      </c>
      <c r="E232" s="17" t="n">
        <v>106</v>
      </c>
      <c r="F232" s="17" t="n">
        <v>214</v>
      </c>
      <c r="G232" s="17" t="inlineStr">
        <is>
          <t>Pune</t>
        </is>
      </c>
      <c r="H232" s="17" t="inlineStr">
        <is>
          <t>South Indian</t>
        </is>
      </c>
      <c r="I232" s="22" t="n">
        <v>381</v>
      </c>
      <c r="J232" s="22" t="n">
        <v>0</v>
      </c>
      <c r="K232" s="22" t="n">
        <v>42.5</v>
      </c>
      <c r="L232" s="23" t="n">
        <v>0.15</v>
      </c>
      <c r="M232" s="22" t="n">
        <v>67.78</v>
      </c>
      <c r="N232" s="24" t="n">
        <v>6.5</v>
      </c>
      <c r="O232" s="24" t="n">
        <v>33.7</v>
      </c>
      <c r="P232" s="17" t="inlineStr">
        <is>
          <t>Digital Wallet</t>
        </is>
      </c>
      <c r="Q232" s="17" t="inlineStr">
        <is>
          <t>Delivered</t>
        </is>
      </c>
      <c r="R232" s="17" t="n">
        <v>5</v>
      </c>
      <c r="S232" s="17">
        <f>TEXT(B232,"yyyy-mm")</f>
        <v/>
      </c>
      <c r="T232" s="17">
        <f>VLOOKUP(D232,Customers!A:D,4,FALSE)</f>
        <v/>
      </c>
      <c r="U232" s="17">
        <f>CONCATENATE(A232,"-",G232)</f>
        <v/>
      </c>
      <c r="V232" s="17">
        <f>IF(N232="","",IF(N232&lt;=30,"Fast (&lt;30m)",IF(N232&lt;=45,"Moderate (30-45m)","Delayed (&gt;45m)")))</f>
        <v/>
      </c>
      <c r="W232" s="17">
        <f>IF(AND(I232&gt;600,P232="Delivered"),"High Value Delivered","Standard")</f>
        <v/>
      </c>
      <c r="X232" s="17">
        <f>IF(OR(N232&gt;50,Q232&lt;=2),"High Risk / Delayed","Normal")</f>
        <v/>
      </c>
      <c r="Y232" s="17">
        <f>IF(NOT(P232="Cancelled"),"Fulfilled","Cancelled")</f>
        <v/>
      </c>
      <c r="Z232" s="17">
        <f>IFERROR(Q232,0)</f>
        <v/>
      </c>
    </row>
    <row r="233">
      <c r="A233" s="25" t="inlineStr">
        <is>
          <t>ORD1232</t>
        </is>
      </c>
      <c r="B233" s="25" t="inlineStr">
        <is>
          <t>2025-01-23</t>
        </is>
      </c>
      <c r="C233" s="25" t="inlineStr">
        <is>
          <t>12:54:55</t>
        </is>
      </c>
      <c r="D233" s="25" t="n">
        <v>1003</v>
      </c>
      <c r="E233" s="25" t="n">
        <v>116</v>
      </c>
      <c r="F233" s="25" t="n">
        <v>208</v>
      </c>
      <c r="G233" s="25" t="inlineStr">
        <is>
          <t>Pune</t>
        </is>
      </c>
      <c r="H233" s="25" t="inlineStr">
        <is>
          <t>Desserts</t>
        </is>
      </c>
      <c r="I233" s="26" t="n">
        <v>232</v>
      </c>
      <c r="J233" s="26" t="n">
        <v>15.57</v>
      </c>
      <c r="K233" s="26" t="n">
        <v>31.5</v>
      </c>
      <c r="L233" s="27" t="n">
        <v>0.25</v>
      </c>
      <c r="M233" s="26" t="n">
        <v>65.88</v>
      </c>
      <c r="N233" s="28" t="n">
        <v>4.3</v>
      </c>
      <c r="O233" s="28" t="n">
        <v>41.6</v>
      </c>
      <c r="P233" s="25" t="inlineStr">
        <is>
          <t>Cash on Delivery</t>
        </is>
      </c>
      <c r="Q233" s="25" t="inlineStr">
        <is>
          <t>Delivered</t>
        </is>
      </c>
      <c r="R233" s="25" t="n">
        <v>4</v>
      </c>
      <c r="S233" s="25">
        <f>TEXT(B233,"yyyy-mm")</f>
        <v/>
      </c>
      <c r="T233" s="25">
        <f>VLOOKUP(D233,Customers!A:D,4,FALSE)</f>
        <v/>
      </c>
      <c r="U233" s="25">
        <f>CONCATENATE(A233,"-",G233)</f>
        <v/>
      </c>
      <c r="V233" s="25">
        <f>IF(N233="","",IF(N233&lt;=30,"Fast (&lt;30m)",IF(N233&lt;=45,"Moderate (30-45m)","Delayed (&gt;45m)")))</f>
        <v/>
      </c>
      <c r="W233" s="25">
        <f>IF(AND(I233&gt;600,P233="Delivered"),"High Value Delivered","Standard")</f>
        <v/>
      </c>
      <c r="X233" s="25">
        <f>IF(OR(N233&gt;50,Q233&lt;=2),"High Risk / Delayed","Normal")</f>
        <v/>
      </c>
      <c r="Y233" s="25">
        <f>IF(NOT(P233="Cancelled"),"Fulfilled","Cancelled")</f>
        <v/>
      </c>
      <c r="Z233" s="25">
        <f>IFERROR(Q233,0)</f>
        <v/>
      </c>
    </row>
    <row r="234">
      <c r="A234" s="17" t="inlineStr">
        <is>
          <t>ORD1233</t>
        </is>
      </c>
      <c r="B234" s="17" t="inlineStr">
        <is>
          <t>2025-01-19</t>
        </is>
      </c>
      <c r="C234" s="17" t="inlineStr">
        <is>
          <t>20:35:51</t>
        </is>
      </c>
      <c r="D234" s="17" t="n">
        <v>1247</v>
      </c>
      <c r="E234" s="17" t="n">
        <v>101</v>
      </c>
      <c r="F234" s="17" t="n">
        <v>218</v>
      </c>
      <c r="G234" s="17" t="inlineStr">
        <is>
          <t>Bangalore</t>
        </is>
      </c>
      <c r="H234" s="17" t="inlineStr">
        <is>
          <t>North Indian</t>
        </is>
      </c>
      <c r="I234" s="22" t="n">
        <v>891</v>
      </c>
      <c r="J234" s="22" t="n">
        <v>0</v>
      </c>
      <c r="K234" s="22" t="n">
        <v>25</v>
      </c>
      <c r="L234" s="23" t="n">
        <v>0.2</v>
      </c>
      <c r="M234" s="22" t="n">
        <v>184.45</v>
      </c>
      <c r="N234" s="24" t="n">
        <v>1.9</v>
      </c>
      <c r="O234" s="24" t="n">
        <v>22.5</v>
      </c>
      <c r="P234" s="17" t="inlineStr">
        <is>
          <t>Cash on Delivery</t>
        </is>
      </c>
      <c r="Q234" s="17" t="inlineStr">
        <is>
          <t>Delivered</t>
        </is>
      </c>
      <c r="R234" s="17" t="n">
        <v>4</v>
      </c>
      <c r="S234" s="17">
        <f>TEXT(B234,"yyyy-mm")</f>
        <v/>
      </c>
      <c r="T234" s="17">
        <f>VLOOKUP(D234,Customers!A:D,4,FALSE)</f>
        <v/>
      </c>
      <c r="U234" s="17">
        <f>CONCATENATE(A234,"-",G234)</f>
        <v/>
      </c>
      <c r="V234" s="17">
        <f>IF(N234="","",IF(N234&lt;=30,"Fast (&lt;30m)",IF(N234&lt;=45,"Moderate (30-45m)","Delayed (&gt;45m)")))</f>
        <v/>
      </c>
      <c r="W234" s="17">
        <f>IF(AND(I234&gt;600,P234="Delivered"),"High Value Delivered","Standard")</f>
        <v/>
      </c>
      <c r="X234" s="17">
        <f>IF(OR(N234&gt;50,Q234&lt;=2),"High Risk / Delayed","Normal")</f>
        <v/>
      </c>
      <c r="Y234" s="17">
        <f>IF(NOT(P234="Cancelled"),"Fulfilled","Cancelled")</f>
        <v/>
      </c>
      <c r="Z234" s="17">
        <f>IFERROR(Q234,0)</f>
        <v/>
      </c>
    </row>
    <row r="235">
      <c r="A235" s="25" t="inlineStr">
        <is>
          <t>ORD1234</t>
        </is>
      </c>
      <c r="B235" s="25" t="inlineStr">
        <is>
          <t>2025-10-20</t>
        </is>
      </c>
      <c r="C235" s="25" t="inlineStr">
        <is>
          <t>00:23:07</t>
        </is>
      </c>
      <c r="D235" s="25" t="n">
        <v>1072</v>
      </c>
      <c r="E235" s="25" t="n">
        <v>120</v>
      </c>
      <c r="F235" s="25" t="n">
        <v>204</v>
      </c>
      <c r="G235" s="25" t="inlineStr">
        <is>
          <t>Pune</t>
        </is>
      </c>
      <c r="H235" s="25" t="inlineStr">
        <is>
          <t>Fast Food</t>
        </is>
      </c>
      <c r="I235" s="26" t="n">
        <v>734</v>
      </c>
      <c r="J235" s="26" t="n">
        <v>3.09</v>
      </c>
      <c r="K235" s="26" t="n">
        <v>34</v>
      </c>
      <c r="L235" s="27" t="n">
        <v>0.18</v>
      </c>
      <c r="M235" s="26" t="n">
        <v>140.62</v>
      </c>
      <c r="N235" s="28" t="n">
        <v>4.8</v>
      </c>
      <c r="O235" s="28" t="n">
        <v>28.5</v>
      </c>
      <c r="P235" s="25" t="inlineStr">
        <is>
          <t>Digital Wallet</t>
        </is>
      </c>
      <c r="Q235" s="25" t="inlineStr">
        <is>
          <t>Delivered</t>
        </is>
      </c>
      <c r="R235" s="25" t="n">
        <v>4</v>
      </c>
      <c r="S235" s="25">
        <f>TEXT(B235,"yyyy-mm")</f>
        <v/>
      </c>
      <c r="T235" s="25">
        <f>VLOOKUP(D235,Customers!A:D,4,FALSE)</f>
        <v/>
      </c>
      <c r="U235" s="25">
        <f>CONCATENATE(A235,"-",G235)</f>
        <v/>
      </c>
      <c r="V235" s="25">
        <f>IF(N235="","",IF(N235&lt;=30,"Fast (&lt;30m)",IF(N235&lt;=45,"Moderate (30-45m)","Delayed (&gt;45m)")))</f>
        <v/>
      </c>
      <c r="W235" s="25">
        <f>IF(AND(I235&gt;600,P235="Delivered"),"High Value Delivered","Standard")</f>
        <v/>
      </c>
      <c r="X235" s="25">
        <f>IF(OR(N235&gt;50,Q235&lt;=2),"High Risk / Delayed","Normal")</f>
        <v/>
      </c>
      <c r="Y235" s="25">
        <f>IF(NOT(P235="Cancelled"),"Fulfilled","Cancelled")</f>
        <v/>
      </c>
      <c r="Z235" s="25">
        <f>IFERROR(Q235,0)</f>
        <v/>
      </c>
    </row>
    <row r="236">
      <c r="A236" s="17" t="inlineStr">
        <is>
          <t>ORD1235</t>
        </is>
      </c>
      <c r="B236" s="17" t="inlineStr">
        <is>
          <t>2025-02-05</t>
        </is>
      </c>
      <c r="C236" s="17" t="inlineStr">
        <is>
          <t>14:56:29</t>
        </is>
      </c>
      <c r="D236" s="17" t="n">
        <v>1105</v>
      </c>
      <c r="E236" s="17" t="n">
        <v>101</v>
      </c>
      <c r="F236" s="17" t="n">
        <v>213</v>
      </c>
      <c r="G236" s="17" t="inlineStr">
        <is>
          <t>Bangalore</t>
        </is>
      </c>
      <c r="H236" s="17" t="inlineStr">
        <is>
          <t>North Indian</t>
        </is>
      </c>
      <c r="I236" s="22" t="n">
        <v>807</v>
      </c>
      <c r="J236" s="22" t="n">
        <v>148.88</v>
      </c>
      <c r="K236" s="22" t="n">
        <v>0</v>
      </c>
      <c r="L236" s="23" t="n">
        <v>0.2</v>
      </c>
      <c r="M236" s="22" t="n">
        <v>161.4</v>
      </c>
      <c r="N236" s="24" t="n">
        <v>5.5</v>
      </c>
      <c r="O236" s="24" t="n">
        <v>38.3</v>
      </c>
      <c r="P236" s="17" t="inlineStr">
        <is>
          <t>Digital Wallet</t>
        </is>
      </c>
      <c r="Q236" s="17" t="inlineStr">
        <is>
          <t>Delivered</t>
        </is>
      </c>
      <c r="R236" s="17" t="n">
        <v>5</v>
      </c>
      <c r="S236" s="17">
        <f>TEXT(B236,"yyyy-mm")</f>
        <v/>
      </c>
      <c r="T236" s="17">
        <f>VLOOKUP(D236,Customers!A:D,4,FALSE)</f>
        <v/>
      </c>
      <c r="U236" s="17">
        <f>CONCATENATE(A236,"-",G236)</f>
        <v/>
      </c>
      <c r="V236" s="17">
        <f>IF(N236="","",IF(N236&lt;=30,"Fast (&lt;30m)",IF(N236&lt;=45,"Moderate (30-45m)","Delayed (&gt;45m)")))</f>
        <v/>
      </c>
      <c r="W236" s="17">
        <f>IF(AND(I236&gt;600,P236="Delivered"),"High Value Delivered","Standard")</f>
        <v/>
      </c>
      <c r="X236" s="17">
        <f>IF(OR(N236&gt;50,Q236&lt;=2),"High Risk / Delayed","Normal")</f>
        <v/>
      </c>
      <c r="Y236" s="17">
        <f>IF(NOT(P236="Cancelled"),"Fulfilled","Cancelled")</f>
        <v/>
      </c>
      <c r="Z236" s="17">
        <f>IFERROR(Q236,0)</f>
        <v/>
      </c>
    </row>
    <row r="237">
      <c r="A237" s="25" t="inlineStr">
        <is>
          <t>ORD1236</t>
        </is>
      </c>
      <c r="B237" s="25" t="inlineStr">
        <is>
          <t>2025-04-13</t>
        </is>
      </c>
      <c r="C237" s="25" t="inlineStr">
        <is>
          <t>12:18:36</t>
        </is>
      </c>
      <c r="D237" s="25" t="n">
        <v>1297</v>
      </c>
      <c r="E237" s="25" t="n">
        <v>119</v>
      </c>
      <c r="F237" s="25" t="n">
        <v>215</v>
      </c>
      <c r="G237" s="25" t="inlineStr">
        <is>
          <t>Hyderabad</t>
        </is>
      </c>
      <c r="H237" s="25" t="inlineStr">
        <is>
          <t>Biryani</t>
        </is>
      </c>
      <c r="I237" s="26" t="n">
        <v>531</v>
      </c>
      <c r="J237" s="26" t="n">
        <v>54.04</v>
      </c>
      <c r="K237" s="26" t="n">
        <v>32</v>
      </c>
      <c r="L237" s="27" t="n">
        <v>0.2</v>
      </c>
      <c r="M237" s="26" t="n">
        <v>114.2</v>
      </c>
      <c r="N237" s="28" t="n">
        <v>4.4</v>
      </c>
      <c r="O237" s="28" t="n">
        <v>42.8</v>
      </c>
      <c r="P237" s="25" t="inlineStr">
        <is>
          <t>Debit Card</t>
        </is>
      </c>
      <c r="Q237" s="25" t="inlineStr">
        <is>
          <t>Delivered</t>
        </is>
      </c>
      <c r="R237" s="25" t="n">
        <v>3</v>
      </c>
      <c r="S237" s="25">
        <f>TEXT(B237,"yyyy-mm")</f>
        <v/>
      </c>
      <c r="T237" s="25">
        <f>VLOOKUP(D237,Customers!A:D,4,FALSE)</f>
        <v/>
      </c>
      <c r="U237" s="25">
        <f>CONCATENATE(A237,"-",G237)</f>
        <v/>
      </c>
      <c r="V237" s="25">
        <f>IF(N237="","",IF(N237&lt;=30,"Fast (&lt;30m)",IF(N237&lt;=45,"Moderate (30-45m)","Delayed (&gt;45m)")))</f>
        <v/>
      </c>
      <c r="W237" s="25">
        <f>IF(AND(I237&gt;600,P237="Delivered"),"High Value Delivered","Standard")</f>
        <v/>
      </c>
      <c r="X237" s="25">
        <f>IF(OR(N237&gt;50,Q237&lt;=2),"High Risk / Delayed","Normal")</f>
        <v/>
      </c>
      <c r="Y237" s="25">
        <f>IF(NOT(P237="Cancelled"),"Fulfilled","Cancelled")</f>
        <v/>
      </c>
      <c r="Z237" s="25">
        <f>IFERROR(Q237,0)</f>
        <v/>
      </c>
    </row>
    <row r="238">
      <c r="A238" s="17" t="inlineStr">
        <is>
          <t>ORD1237</t>
        </is>
      </c>
      <c r="B238" s="17" t="inlineStr">
        <is>
          <t>2025-03-19</t>
        </is>
      </c>
      <c r="C238" s="17" t="inlineStr">
        <is>
          <t>10:00:59</t>
        </is>
      </c>
      <c r="D238" s="17" t="n">
        <v>1021</v>
      </c>
      <c r="E238" s="17" t="n">
        <v>116</v>
      </c>
      <c r="F238" s="17" t="n">
        <v>207</v>
      </c>
      <c r="G238" s="17" t="inlineStr">
        <is>
          <t>Pune</t>
        </is>
      </c>
      <c r="H238" s="17" t="inlineStr">
        <is>
          <t>Desserts</t>
        </is>
      </c>
      <c r="I238" s="22" t="n">
        <v>639</v>
      </c>
      <c r="J238" s="22" t="n">
        <v>33.02</v>
      </c>
      <c r="K238" s="22" t="n">
        <v>32</v>
      </c>
      <c r="L238" s="23" t="n">
        <v>0.25</v>
      </c>
      <c r="M238" s="22" t="n">
        <v>167.75</v>
      </c>
      <c r="N238" s="24" t="n">
        <v>4.4</v>
      </c>
      <c r="O238" s="24" t="n">
        <v>32.3</v>
      </c>
      <c r="P238" s="17" t="inlineStr">
        <is>
          <t>UPI</t>
        </is>
      </c>
      <c r="Q238" s="17" t="inlineStr">
        <is>
          <t>Delivered</t>
        </is>
      </c>
      <c r="R238" s="17" t="n">
        <v>5</v>
      </c>
      <c r="S238" s="17">
        <f>TEXT(B238,"yyyy-mm")</f>
        <v/>
      </c>
      <c r="T238" s="17">
        <f>VLOOKUP(D238,Customers!A:D,4,FALSE)</f>
        <v/>
      </c>
      <c r="U238" s="17">
        <f>CONCATENATE(A238,"-",G238)</f>
        <v/>
      </c>
      <c r="V238" s="17">
        <f>IF(N238="","",IF(N238&lt;=30,"Fast (&lt;30m)",IF(N238&lt;=45,"Moderate (30-45m)","Delayed (&gt;45m)")))</f>
        <v/>
      </c>
      <c r="W238" s="17">
        <f>IF(AND(I238&gt;600,P238="Delivered"),"High Value Delivered","Standard")</f>
        <v/>
      </c>
      <c r="X238" s="17">
        <f>IF(OR(N238&gt;50,Q238&lt;=2),"High Risk / Delayed","Normal")</f>
        <v/>
      </c>
      <c r="Y238" s="17">
        <f>IF(NOT(P238="Cancelled"),"Fulfilled","Cancelled")</f>
        <v/>
      </c>
      <c r="Z238" s="17">
        <f>IFERROR(Q238,0)</f>
        <v/>
      </c>
    </row>
    <row r="239">
      <c r="A239" s="25" t="inlineStr">
        <is>
          <t>ORD1238</t>
        </is>
      </c>
      <c r="B239" s="25" t="inlineStr">
        <is>
          <t>2025-06-07</t>
        </is>
      </c>
      <c r="C239" s="25" t="inlineStr">
        <is>
          <t>19:06:13</t>
        </is>
      </c>
      <c r="D239" s="25" t="n">
        <v>1021</v>
      </c>
      <c r="E239" s="25" t="n">
        <v>116</v>
      </c>
      <c r="F239" s="25" t="n">
        <v>207</v>
      </c>
      <c r="G239" s="25" t="inlineStr">
        <is>
          <t>Pune</t>
        </is>
      </c>
      <c r="H239" s="25" t="inlineStr">
        <is>
          <t>Desserts</t>
        </is>
      </c>
      <c r="I239" s="26" t="n">
        <v>762</v>
      </c>
      <c r="J239" s="26" t="n">
        <v>90.54000000000001</v>
      </c>
      <c r="K239" s="26" t="n">
        <v>46</v>
      </c>
      <c r="L239" s="27" t="n">
        <v>0.25</v>
      </c>
      <c r="M239" s="26" t="n">
        <v>202</v>
      </c>
      <c r="N239" s="28" t="n">
        <v>7.2</v>
      </c>
      <c r="O239" s="28" t="n">
        <v>46.6</v>
      </c>
      <c r="P239" s="25" t="inlineStr">
        <is>
          <t>UPI</t>
        </is>
      </c>
      <c r="Q239" s="25" t="inlineStr">
        <is>
          <t>Delivered</t>
        </is>
      </c>
      <c r="R239" s="25" t="n">
        <v>3</v>
      </c>
      <c r="S239" s="25">
        <f>TEXT(B239,"yyyy-mm")</f>
        <v/>
      </c>
      <c r="T239" s="25">
        <f>VLOOKUP(D239,Customers!A:D,4,FALSE)</f>
        <v/>
      </c>
      <c r="U239" s="25">
        <f>CONCATENATE(A239,"-",G239)</f>
        <v/>
      </c>
      <c r="V239" s="25">
        <f>IF(N239="","",IF(N239&lt;=30,"Fast (&lt;30m)",IF(N239&lt;=45,"Moderate (30-45m)","Delayed (&gt;45m)")))</f>
        <v/>
      </c>
      <c r="W239" s="25">
        <f>IF(AND(I239&gt;600,P239="Delivered"),"High Value Delivered","Standard")</f>
        <v/>
      </c>
      <c r="X239" s="25">
        <f>IF(OR(N239&gt;50,Q239&lt;=2),"High Risk / Delayed","Normal")</f>
        <v/>
      </c>
      <c r="Y239" s="25">
        <f>IF(NOT(P239="Cancelled"),"Fulfilled","Cancelled")</f>
        <v/>
      </c>
      <c r="Z239" s="25">
        <f>IFERROR(Q239,0)</f>
        <v/>
      </c>
    </row>
    <row r="240">
      <c r="A240" s="17" t="inlineStr">
        <is>
          <t>ORD1239</t>
        </is>
      </c>
      <c r="B240" s="17" t="inlineStr">
        <is>
          <t>2025-02-17</t>
        </is>
      </c>
      <c r="C240" s="17" t="inlineStr">
        <is>
          <t>16:02:58</t>
        </is>
      </c>
      <c r="D240" s="17" t="n">
        <v>1269</v>
      </c>
      <c r="E240" s="17" t="n">
        <v>103</v>
      </c>
      <c r="F240" s="17" t="n">
        <v>202</v>
      </c>
      <c r="G240" s="17" t="inlineStr">
        <is>
          <t>Mumbai</t>
        </is>
      </c>
      <c r="H240" s="17" t="inlineStr">
        <is>
          <t>Italian</t>
        </is>
      </c>
      <c r="I240" s="22" t="n">
        <v>457</v>
      </c>
      <c r="J240" s="22" t="n">
        <v>19</v>
      </c>
      <c r="K240" s="22" t="n">
        <v>44</v>
      </c>
      <c r="L240" s="23" t="n">
        <v>0.18</v>
      </c>
      <c r="M240" s="22" t="n">
        <v>93.26000000000001</v>
      </c>
      <c r="N240" s="24" t="n">
        <v>6.8</v>
      </c>
      <c r="O240" s="24" t="n">
        <v>51.3</v>
      </c>
      <c r="P240" s="17" t="inlineStr">
        <is>
          <t>Debit Card</t>
        </is>
      </c>
      <c r="Q240" s="17" t="inlineStr">
        <is>
          <t>Delivered</t>
        </is>
      </c>
      <c r="R240" s="17" t="n">
        <v>1</v>
      </c>
      <c r="S240" s="17">
        <f>TEXT(B240,"yyyy-mm")</f>
        <v/>
      </c>
      <c r="T240" s="17">
        <f>VLOOKUP(D240,Customers!A:D,4,FALSE)</f>
        <v/>
      </c>
      <c r="U240" s="17">
        <f>CONCATENATE(A240,"-",G240)</f>
        <v/>
      </c>
      <c r="V240" s="17">
        <f>IF(N240="","",IF(N240&lt;=30,"Fast (&lt;30m)",IF(N240&lt;=45,"Moderate (30-45m)","Delayed (&gt;45m)")))</f>
        <v/>
      </c>
      <c r="W240" s="17">
        <f>IF(AND(I240&gt;600,P240="Delivered"),"High Value Delivered","Standard")</f>
        <v/>
      </c>
      <c r="X240" s="17">
        <f>IF(OR(N240&gt;50,Q240&lt;=2),"High Risk / Delayed","Normal")</f>
        <v/>
      </c>
      <c r="Y240" s="17">
        <f>IF(NOT(P240="Cancelled"),"Fulfilled","Cancelled")</f>
        <v/>
      </c>
      <c r="Z240" s="17">
        <f>IFERROR(Q240,0)</f>
        <v/>
      </c>
    </row>
    <row r="241">
      <c r="A241" s="25" t="inlineStr">
        <is>
          <t>ORD1240</t>
        </is>
      </c>
      <c r="B241" s="25" t="inlineStr">
        <is>
          <t>2025-09-16</t>
        </is>
      </c>
      <c r="C241" s="25" t="inlineStr">
        <is>
          <t>21:08:40</t>
        </is>
      </c>
      <c r="D241" s="25" t="n">
        <v>1066</v>
      </c>
      <c r="E241" s="25" t="n">
        <v>106</v>
      </c>
      <c r="F241" s="25" t="n">
        <v>204</v>
      </c>
      <c r="G241" s="25" t="inlineStr">
        <is>
          <t>Pune</t>
        </is>
      </c>
      <c r="H241" s="25" t="inlineStr">
        <is>
          <t>South Indian</t>
        </is>
      </c>
      <c r="I241" s="26" t="n">
        <v>623</v>
      </c>
      <c r="J241" s="26" t="n">
        <v>0</v>
      </c>
      <c r="K241" s="26" t="n">
        <v>34.5</v>
      </c>
      <c r="L241" s="27" t="n">
        <v>0.15</v>
      </c>
      <c r="M241" s="26" t="n">
        <v>102.08</v>
      </c>
      <c r="N241" s="28" t="n">
        <v>4.9</v>
      </c>
      <c r="O241" s="28" t="n">
        <v>52</v>
      </c>
      <c r="P241" s="25" t="inlineStr">
        <is>
          <t>Cash on Delivery</t>
        </is>
      </c>
      <c r="Q241" s="25" t="inlineStr">
        <is>
          <t>Delivered</t>
        </is>
      </c>
      <c r="R241" s="25" t="n">
        <v>1</v>
      </c>
      <c r="S241" s="25">
        <f>TEXT(B241,"yyyy-mm")</f>
        <v/>
      </c>
      <c r="T241" s="25">
        <f>VLOOKUP(D241,Customers!A:D,4,FALSE)</f>
        <v/>
      </c>
      <c r="U241" s="25">
        <f>CONCATENATE(A241,"-",G241)</f>
        <v/>
      </c>
      <c r="V241" s="25">
        <f>IF(N241="","",IF(N241&lt;=30,"Fast (&lt;30m)",IF(N241&lt;=45,"Moderate (30-45m)","Delayed (&gt;45m)")))</f>
        <v/>
      </c>
      <c r="W241" s="25">
        <f>IF(AND(I241&gt;600,P241="Delivered"),"High Value Delivered","Standard")</f>
        <v/>
      </c>
      <c r="X241" s="25">
        <f>IF(OR(N241&gt;50,Q241&lt;=2),"High Risk / Delayed","Normal")</f>
        <v/>
      </c>
      <c r="Y241" s="25">
        <f>IF(NOT(P241="Cancelled"),"Fulfilled","Cancelled")</f>
        <v/>
      </c>
      <c r="Z241" s="25">
        <f>IFERROR(Q241,0)</f>
        <v/>
      </c>
    </row>
    <row r="242">
      <c r="A242" s="17" t="inlineStr">
        <is>
          <t>ORD1241</t>
        </is>
      </c>
      <c r="B242" s="17" t="inlineStr">
        <is>
          <t>2025-05-14</t>
        </is>
      </c>
      <c r="C242" s="17" t="inlineStr">
        <is>
          <t>14:54:20</t>
        </is>
      </c>
      <c r="D242" s="17" t="n">
        <v>1068</v>
      </c>
      <c r="E242" s="17" t="n">
        <v>120</v>
      </c>
      <c r="F242" s="17" t="n">
        <v>209</v>
      </c>
      <c r="G242" s="17" t="inlineStr">
        <is>
          <t>Pune</t>
        </is>
      </c>
      <c r="H242" s="17" t="inlineStr">
        <is>
          <t>Fast Food</t>
        </is>
      </c>
      <c r="I242" s="22" t="n">
        <v>622</v>
      </c>
      <c r="J242" s="22" t="n">
        <v>61.61</v>
      </c>
      <c r="K242" s="22" t="n">
        <v>25</v>
      </c>
      <c r="L242" s="23" t="n">
        <v>0.18</v>
      </c>
      <c r="M242" s="22" t="n">
        <v>118.21</v>
      </c>
      <c r="N242" s="24" t="n">
        <v>1.6</v>
      </c>
      <c r="O242" s="24" t="n">
        <v>26.1</v>
      </c>
      <c r="P242" s="17" t="inlineStr">
        <is>
          <t>Debit Card</t>
        </is>
      </c>
      <c r="Q242" s="17" t="inlineStr">
        <is>
          <t>Delivered</t>
        </is>
      </c>
      <c r="R242" s="17" t="n">
        <v>3</v>
      </c>
      <c r="S242" s="17">
        <f>TEXT(B242,"yyyy-mm")</f>
        <v/>
      </c>
      <c r="T242" s="17">
        <f>VLOOKUP(D242,Customers!A:D,4,FALSE)</f>
        <v/>
      </c>
      <c r="U242" s="17">
        <f>CONCATENATE(A242,"-",G242)</f>
        <v/>
      </c>
      <c r="V242" s="17">
        <f>IF(N242="","",IF(N242&lt;=30,"Fast (&lt;30m)",IF(N242&lt;=45,"Moderate (30-45m)","Delayed (&gt;45m)")))</f>
        <v/>
      </c>
      <c r="W242" s="17">
        <f>IF(AND(I242&gt;600,P242="Delivered"),"High Value Delivered","Standard")</f>
        <v/>
      </c>
      <c r="X242" s="17">
        <f>IF(OR(N242&gt;50,Q242&lt;=2),"High Risk / Delayed","Normal")</f>
        <v/>
      </c>
      <c r="Y242" s="17">
        <f>IF(NOT(P242="Cancelled"),"Fulfilled","Cancelled")</f>
        <v/>
      </c>
      <c r="Z242" s="17">
        <f>IFERROR(Q242,0)</f>
        <v/>
      </c>
    </row>
    <row r="243">
      <c r="A243" s="25" t="inlineStr">
        <is>
          <t>ORD1242</t>
        </is>
      </c>
      <c r="B243" s="25" t="inlineStr">
        <is>
          <t>2025-02-08</t>
        </is>
      </c>
      <c r="C243" s="25" t="inlineStr">
        <is>
          <t>21:12:08</t>
        </is>
      </c>
      <c r="D243" s="25" t="n">
        <v>1041</v>
      </c>
      <c r="E243" s="25" t="n">
        <v>109</v>
      </c>
      <c r="F243" s="25" t="n">
        <v>215</v>
      </c>
      <c r="G243" s="25" t="inlineStr">
        <is>
          <t>Hyderabad</t>
        </is>
      </c>
      <c r="H243" s="25" t="inlineStr">
        <is>
          <t>Biryani</t>
        </is>
      </c>
      <c r="I243" s="26" t="n">
        <v>818</v>
      </c>
      <c r="J243" s="26" t="n">
        <v>0</v>
      </c>
      <c r="K243" s="26" t="n">
        <v>32.5</v>
      </c>
      <c r="L243" s="27" t="n">
        <v>0.2</v>
      </c>
      <c r="M243" s="26" t="n">
        <v>171.73</v>
      </c>
      <c r="N243" s="28" t="n">
        <v>4.5</v>
      </c>
      <c r="O243" s="28" t="n">
        <v>31.5</v>
      </c>
      <c r="P243" s="25" t="inlineStr">
        <is>
          <t>Cash on Delivery</t>
        </is>
      </c>
      <c r="Q243" s="25" t="inlineStr">
        <is>
          <t>Delivered</t>
        </is>
      </c>
      <c r="R243" s="25" t="n">
        <v>4</v>
      </c>
      <c r="S243" s="25">
        <f>TEXT(B243,"yyyy-mm")</f>
        <v/>
      </c>
      <c r="T243" s="25">
        <f>VLOOKUP(D243,Customers!A:D,4,FALSE)</f>
        <v/>
      </c>
      <c r="U243" s="25">
        <f>CONCATENATE(A243,"-",G243)</f>
        <v/>
      </c>
      <c r="V243" s="25">
        <f>IF(N243="","",IF(N243&lt;=30,"Fast (&lt;30m)",IF(N243&lt;=45,"Moderate (30-45m)","Delayed (&gt;45m)")))</f>
        <v/>
      </c>
      <c r="W243" s="25">
        <f>IF(AND(I243&gt;600,P243="Delivered"),"High Value Delivered","Standard")</f>
        <v/>
      </c>
      <c r="X243" s="25">
        <f>IF(OR(N243&gt;50,Q243&lt;=2),"High Risk / Delayed","Normal")</f>
        <v/>
      </c>
      <c r="Y243" s="25">
        <f>IF(NOT(P243="Cancelled"),"Fulfilled","Cancelled")</f>
        <v/>
      </c>
      <c r="Z243" s="25">
        <f>IFERROR(Q243,0)</f>
        <v/>
      </c>
    </row>
    <row r="244">
      <c r="A244" s="17" t="inlineStr">
        <is>
          <t>ORD1243</t>
        </is>
      </c>
      <c r="B244" s="17" t="inlineStr">
        <is>
          <t>2025-03-03</t>
        </is>
      </c>
      <c r="C244" s="17" t="inlineStr">
        <is>
          <t>12:34:22</t>
        </is>
      </c>
      <c r="D244" s="17" t="n">
        <v>1051</v>
      </c>
      <c r="E244" s="17" t="n">
        <v>102</v>
      </c>
      <c r="F244" s="17" t="n">
        <v>216</v>
      </c>
      <c r="G244" s="17" t="inlineStr">
        <is>
          <t>Hyderabad</t>
        </is>
      </c>
      <c r="H244" s="17" t="inlineStr">
        <is>
          <t>Biryani</t>
        </is>
      </c>
      <c r="I244" s="22" t="n">
        <v>647</v>
      </c>
      <c r="J244" s="22" t="n">
        <v>84.65000000000001</v>
      </c>
      <c r="K244" s="22" t="n">
        <v>0</v>
      </c>
      <c r="L244" s="23" t="n">
        <v>0.22</v>
      </c>
      <c r="M244" s="22" t="n">
        <v>142.34</v>
      </c>
      <c r="N244" s="24" t="n">
        <v>4.6</v>
      </c>
      <c r="O244" s="24" t="n">
        <v>42.2</v>
      </c>
      <c r="P244" s="17" t="inlineStr">
        <is>
          <t>UPI</t>
        </is>
      </c>
      <c r="Q244" s="17" t="inlineStr">
        <is>
          <t>Delivered</t>
        </is>
      </c>
      <c r="R244" s="17" t="n">
        <v>2</v>
      </c>
      <c r="S244" s="17">
        <f>TEXT(B244,"yyyy-mm")</f>
        <v/>
      </c>
      <c r="T244" s="17">
        <f>VLOOKUP(D244,Customers!A:D,4,FALSE)</f>
        <v/>
      </c>
      <c r="U244" s="17">
        <f>CONCATENATE(A244,"-",G244)</f>
        <v/>
      </c>
      <c r="V244" s="17">
        <f>IF(N244="","",IF(N244&lt;=30,"Fast (&lt;30m)",IF(N244&lt;=45,"Moderate (30-45m)","Delayed (&gt;45m)")))</f>
        <v/>
      </c>
      <c r="W244" s="17">
        <f>IF(AND(I244&gt;600,P244="Delivered"),"High Value Delivered","Standard")</f>
        <v/>
      </c>
      <c r="X244" s="17">
        <f>IF(OR(N244&gt;50,Q244&lt;=2),"High Risk / Delayed","Normal")</f>
        <v/>
      </c>
      <c r="Y244" s="17">
        <f>IF(NOT(P244="Cancelled"),"Fulfilled","Cancelled")</f>
        <v/>
      </c>
      <c r="Z244" s="17">
        <f>IFERROR(Q244,0)</f>
        <v/>
      </c>
    </row>
    <row r="245">
      <c r="A245" s="25" t="inlineStr">
        <is>
          <t>ORD1244</t>
        </is>
      </c>
      <c r="B245" s="25" t="inlineStr">
        <is>
          <t>2025-12-18</t>
        </is>
      </c>
      <c r="C245" s="25" t="inlineStr">
        <is>
          <t>08:19:52</t>
        </is>
      </c>
      <c r="D245" s="25" t="n">
        <v>1019</v>
      </c>
      <c r="E245" s="25" t="n">
        <v>110</v>
      </c>
      <c r="F245" s="25" t="n">
        <v>224</v>
      </c>
      <c r="G245" s="25" t="inlineStr">
        <is>
          <t>Pune</t>
        </is>
      </c>
      <c r="H245" s="25" t="inlineStr">
        <is>
          <t>North Indian</t>
        </is>
      </c>
      <c r="I245" s="26" t="n">
        <v>941</v>
      </c>
      <c r="J245" s="26" t="n">
        <v>3.04</v>
      </c>
      <c r="K245" s="26" t="n">
        <v>37</v>
      </c>
      <c r="L245" s="27" t="n">
        <v>0.18</v>
      </c>
      <c r="M245" s="26" t="n">
        <v>178.63</v>
      </c>
      <c r="N245" s="28" t="n">
        <v>5.4</v>
      </c>
      <c r="O245" s="28" t="n">
        <v>39.3</v>
      </c>
      <c r="P245" s="25" t="inlineStr">
        <is>
          <t>Debit Card</t>
        </is>
      </c>
      <c r="Q245" s="25" t="inlineStr">
        <is>
          <t>Delivered</t>
        </is>
      </c>
      <c r="R245" s="25" t="n">
        <v>5</v>
      </c>
      <c r="S245" s="25">
        <f>TEXT(B245,"yyyy-mm")</f>
        <v/>
      </c>
      <c r="T245" s="25">
        <f>VLOOKUP(D245,Customers!A:D,4,FALSE)</f>
        <v/>
      </c>
      <c r="U245" s="25">
        <f>CONCATENATE(A245,"-",G245)</f>
        <v/>
      </c>
      <c r="V245" s="25">
        <f>IF(N245="","",IF(N245&lt;=30,"Fast (&lt;30m)",IF(N245&lt;=45,"Moderate (30-45m)","Delayed (&gt;45m)")))</f>
        <v/>
      </c>
      <c r="W245" s="25">
        <f>IF(AND(I245&gt;600,P245="Delivered"),"High Value Delivered","Standard")</f>
        <v/>
      </c>
      <c r="X245" s="25">
        <f>IF(OR(N245&gt;50,Q245&lt;=2),"High Risk / Delayed","Normal")</f>
        <v/>
      </c>
      <c r="Y245" s="25">
        <f>IF(NOT(P245="Cancelled"),"Fulfilled","Cancelled")</f>
        <v/>
      </c>
      <c r="Z245" s="25">
        <f>IFERROR(Q245,0)</f>
        <v/>
      </c>
    </row>
    <row r="246">
      <c r="A246" s="17" t="inlineStr">
        <is>
          <t>ORD1245</t>
        </is>
      </c>
      <c r="B246" s="17" t="inlineStr">
        <is>
          <t>2025-12-31</t>
        </is>
      </c>
      <c r="C246" s="17" t="inlineStr">
        <is>
          <t>19:15:22</t>
        </is>
      </c>
      <c r="D246" s="17" t="n">
        <v>1288</v>
      </c>
      <c r="E246" s="17" t="n">
        <v>110</v>
      </c>
      <c r="F246" s="17" t="n">
        <v>209</v>
      </c>
      <c r="G246" s="17" t="inlineStr">
        <is>
          <t>Pune</t>
        </is>
      </c>
      <c r="H246" s="17" t="inlineStr">
        <is>
          <t>North Indian</t>
        </is>
      </c>
      <c r="I246" s="22" t="n">
        <v>625</v>
      </c>
      <c r="J246" s="22" t="n">
        <v>33.86</v>
      </c>
      <c r="K246" s="22" t="n">
        <v>25</v>
      </c>
      <c r="L246" s="23" t="n">
        <v>0.18</v>
      </c>
      <c r="M246" s="22" t="n">
        <v>118.75</v>
      </c>
      <c r="N246" s="24" t="n">
        <v>2.5</v>
      </c>
      <c r="O246" s="24" t="n">
        <v>27.3</v>
      </c>
      <c r="P246" s="17" t="inlineStr">
        <is>
          <t>Credit Card</t>
        </is>
      </c>
      <c r="Q246" s="17" t="inlineStr">
        <is>
          <t>Delivered</t>
        </is>
      </c>
      <c r="R246" s="17" t="n">
        <v>3</v>
      </c>
      <c r="S246" s="17">
        <f>TEXT(B246,"yyyy-mm")</f>
        <v/>
      </c>
      <c r="T246" s="17">
        <f>VLOOKUP(D246,Customers!A:D,4,FALSE)</f>
        <v/>
      </c>
      <c r="U246" s="17">
        <f>CONCATENATE(A246,"-",G246)</f>
        <v/>
      </c>
      <c r="V246" s="17">
        <f>IF(N246="","",IF(N246&lt;=30,"Fast (&lt;30m)",IF(N246&lt;=45,"Moderate (30-45m)","Delayed (&gt;45m)")))</f>
        <v/>
      </c>
      <c r="W246" s="17">
        <f>IF(AND(I246&gt;600,P246="Delivered"),"High Value Delivered","Standard")</f>
        <v/>
      </c>
      <c r="X246" s="17">
        <f>IF(OR(N246&gt;50,Q246&lt;=2),"High Risk / Delayed","Normal")</f>
        <v/>
      </c>
      <c r="Y246" s="17">
        <f>IF(NOT(P246="Cancelled"),"Fulfilled","Cancelled")</f>
        <v/>
      </c>
      <c r="Z246" s="17">
        <f>IFERROR(Q246,0)</f>
        <v/>
      </c>
    </row>
    <row r="247">
      <c r="A247" s="25" t="inlineStr">
        <is>
          <t>ORD1246</t>
        </is>
      </c>
      <c r="B247" s="25" t="inlineStr">
        <is>
          <t>2025-08-20</t>
        </is>
      </c>
      <c r="C247" s="25" t="inlineStr">
        <is>
          <t>19:35:47</t>
        </is>
      </c>
      <c r="D247" s="25" t="n">
        <v>1094</v>
      </c>
      <c r="E247" s="25" t="n">
        <v>118</v>
      </c>
      <c r="F247" s="25" t="n">
        <v>212</v>
      </c>
      <c r="G247" s="25" t="inlineStr">
        <is>
          <t>Delhi NCR</t>
        </is>
      </c>
      <c r="H247" s="25" t="inlineStr">
        <is>
          <t>North Indian</t>
        </is>
      </c>
      <c r="I247" s="26" t="n">
        <v>783</v>
      </c>
      <c r="J247" s="26" t="n">
        <v>0</v>
      </c>
      <c r="K247" s="26" t="n">
        <v>39</v>
      </c>
      <c r="L247" s="27" t="n">
        <v>0.2</v>
      </c>
      <c r="M247" s="26" t="n">
        <v>166.35</v>
      </c>
      <c r="N247" s="28" t="n">
        <v>5.8</v>
      </c>
      <c r="O247" s="28" t="n">
        <v>40.7</v>
      </c>
      <c r="P247" s="25" t="inlineStr">
        <is>
          <t>Credit Card</t>
        </is>
      </c>
      <c r="Q247" s="25" t="inlineStr">
        <is>
          <t>Delivered</t>
        </is>
      </c>
      <c r="R247" s="25" t="n">
        <v>3</v>
      </c>
      <c r="S247" s="25">
        <f>TEXT(B247,"yyyy-mm")</f>
        <v/>
      </c>
      <c r="T247" s="25">
        <f>VLOOKUP(D247,Customers!A:D,4,FALSE)</f>
        <v/>
      </c>
      <c r="U247" s="25">
        <f>CONCATENATE(A247,"-",G247)</f>
        <v/>
      </c>
      <c r="V247" s="25">
        <f>IF(N247="","",IF(N247&lt;=30,"Fast (&lt;30m)",IF(N247&lt;=45,"Moderate (30-45m)","Delayed (&gt;45m)")))</f>
        <v/>
      </c>
      <c r="W247" s="25">
        <f>IF(AND(I247&gt;600,P247="Delivered"),"High Value Delivered","Standard")</f>
        <v/>
      </c>
      <c r="X247" s="25">
        <f>IF(OR(N247&gt;50,Q247&lt;=2),"High Risk / Delayed","Normal")</f>
        <v/>
      </c>
      <c r="Y247" s="25">
        <f>IF(NOT(P247="Cancelled"),"Fulfilled","Cancelled")</f>
        <v/>
      </c>
      <c r="Z247" s="25">
        <f>IFERROR(Q247,0)</f>
        <v/>
      </c>
    </row>
    <row r="248">
      <c r="A248" s="17" t="inlineStr">
        <is>
          <t>ORD1247</t>
        </is>
      </c>
      <c r="B248" s="17" t="inlineStr">
        <is>
          <t>2025-02-01</t>
        </is>
      </c>
      <c r="C248" s="17" t="inlineStr">
        <is>
          <t>14:53:49</t>
        </is>
      </c>
      <c r="D248" s="17" t="n">
        <v>1102</v>
      </c>
      <c r="E248" s="17" t="n">
        <v>107</v>
      </c>
      <c r="F248" s="17" t="n">
        <v>222</v>
      </c>
      <c r="G248" s="17" t="inlineStr">
        <is>
          <t>Mumbai</t>
        </is>
      </c>
      <c r="H248" s="17" t="inlineStr">
        <is>
          <t>Desserts</t>
        </is>
      </c>
      <c r="I248" s="22" t="n">
        <v>447</v>
      </c>
      <c r="J248" s="22" t="n">
        <v>26.44</v>
      </c>
      <c r="K248" s="22" t="n">
        <v>25</v>
      </c>
      <c r="L248" s="23" t="n">
        <v>0.25</v>
      </c>
      <c r="M248" s="22" t="n">
        <v>118</v>
      </c>
      <c r="N248" s="24" t="n">
        <v>2.7</v>
      </c>
      <c r="O248" s="24" t="n">
        <v>30.5</v>
      </c>
      <c r="P248" s="17" t="inlineStr">
        <is>
          <t>Debit Card</t>
        </is>
      </c>
      <c r="Q248" s="17" t="inlineStr">
        <is>
          <t>Delivered</t>
        </is>
      </c>
      <c r="R248" s="17" t="n">
        <v>4</v>
      </c>
      <c r="S248" s="17">
        <f>TEXT(B248,"yyyy-mm")</f>
        <v/>
      </c>
      <c r="T248" s="17">
        <f>VLOOKUP(D248,Customers!A:D,4,FALSE)</f>
        <v/>
      </c>
      <c r="U248" s="17">
        <f>CONCATENATE(A248,"-",G248)</f>
        <v/>
      </c>
      <c r="V248" s="17">
        <f>IF(N248="","",IF(N248&lt;=30,"Fast (&lt;30m)",IF(N248&lt;=45,"Moderate (30-45m)","Delayed (&gt;45m)")))</f>
        <v/>
      </c>
      <c r="W248" s="17">
        <f>IF(AND(I248&gt;600,P248="Delivered"),"High Value Delivered","Standard")</f>
        <v/>
      </c>
      <c r="X248" s="17">
        <f>IF(OR(N248&gt;50,Q248&lt;=2),"High Risk / Delayed","Normal")</f>
        <v/>
      </c>
      <c r="Y248" s="17">
        <f>IF(NOT(P248="Cancelled"),"Fulfilled","Cancelled")</f>
        <v/>
      </c>
      <c r="Z248" s="17">
        <f>IFERROR(Q248,0)</f>
        <v/>
      </c>
    </row>
    <row r="249">
      <c r="A249" s="25" t="inlineStr">
        <is>
          <t>ORD1248</t>
        </is>
      </c>
      <c r="B249" s="25" t="inlineStr">
        <is>
          <t>2025-01-12</t>
        </is>
      </c>
      <c r="C249" s="25" t="inlineStr">
        <is>
          <t>20:04:12</t>
        </is>
      </c>
      <c r="D249" s="25" t="n">
        <v>1093</v>
      </c>
      <c r="E249" s="25" t="n">
        <v>112</v>
      </c>
      <c r="F249" s="25" t="n">
        <v>211</v>
      </c>
      <c r="G249" s="25" t="inlineStr">
        <is>
          <t>Delhi NCR</t>
        </is>
      </c>
      <c r="H249" s="25" t="inlineStr">
        <is>
          <t>North Indian</t>
        </is>
      </c>
      <c r="I249" s="26" t="n">
        <v>881</v>
      </c>
      <c r="J249" s="26" t="n">
        <v>71.40000000000001</v>
      </c>
      <c r="K249" s="26" t="n">
        <v>25</v>
      </c>
      <c r="L249" s="27" t="n">
        <v>0.22</v>
      </c>
      <c r="M249" s="26" t="n">
        <v>200.07</v>
      </c>
      <c r="N249" s="28" t="n">
        <v>2.7</v>
      </c>
      <c r="O249" s="28" t="n">
        <v>32</v>
      </c>
      <c r="P249" s="25" t="inlineStr">
        <is>
          <t>Debit Card</t>
        </is>
      </c>
      <c r="Q249" s="25" t="inlineStr">
        <is>
          <t>Delivered</t>
        </is>
      </c>
      <c r="R249" s="25" t="n">
        <v>4</v>
      </c>
      <c r="S249" s="25">
        <f>TEXT(B249,"yyyy-mm")</f>
        <v/>
      </c>
      <c r="T249" s="25">
        <f>VLOOKUP(D249,Customers!A:D,4,FALSE)</f>
        <v/>
      </c>
      <c r="U249" s="25">
        <f>CONCATENATE(A249,"-",G249)</f>
        <v/>
      </c>
      <c r="V249" s="25">
        <f>IF(N249="","",IF(N249&lt;=30,"Fast (&lt;30m)",IF(N249&lt;=45,"Moderate (30-45m)","Delayed (&gt;45m)")))</f>
        <v/>
      </c>
      <c r="W249" s="25">
        <f>IF(AND(I249&gt;600,P249="Delivered"),"High Value Delivered","Standard")</f>
        <v/>
      </c>
      <c r="X249" s="25">
        <f>IF(OR(N249&gt;50,Q249&lt;=2),"High Risk / Delayed","Normal")</f>
        <v/>
      </c>
      <c r="Y249" s="25">
        <f>IF(NOT(P249="Cancelled"),"Fulfilled","Cancelled")</f>
        <v/>
      </c>
      <c r="Z249" s="25">
        <f>IFERROR(Q249,0)</f>
        <v/>
      </c>
    </row>
    <row r="250">
      <c r="A250" s="17" t="inlineStr">
        <is>
          <t>ORD1249</t>
        </is>
      </c>
      <c r="B250" s="17" t="inlineStr">
        <is>
          <t>2025-08-25</t>
        </is>
      </c>
      <c r="C250" s="17" t="inlineStr">
        <is>
          <t>14:03:10</t>
        </is>
      </c>
      <c r="D250" s="17" t="n">
        <v>1101</v>
      </c>
      <c r="E250" s="17" t="n">
        <v>101</v>
      </c>
      <c r="F250" s="17" t="n">
        <v>227</v>
      </c>
      <c r="G250" s="17" t="inlineStr">
        <is>
          <t>Bangalore</t>
        </is>
      </c>
      <c r="H250" s="17" t="inlineStr">
        <is>
          <t>North Indian</t>
        </is>
      </c>
      <c r="I250" s="22" t="n">
        <v>807</v>
      </c>
      <c r="J250" s="22" t="n">
        <v>0</v>
      </c>
      <c r="K250" s="22" t="n">
        <v>30.5</v>
      </c>
      <c r="L250" s="23" t="n">
        <v>0.2</v>
      </c>
      <c r="M250" s="22" t="n">
        <v>169.02</v>
      </c>
      <c r="N250" s="24" t="n">
        <v>4.1</v>
      </c>
      <c r="O250" s="24" t="n">
        <v>40.3</v>
      </c>
      <c r="P250" s="17" t="inlineStr">
        <is>
          <t>Cash on Delivery</t>
        </is>
      </c>
      <c r="Q250" s="17" t="inlineStr">
        <is>
          <t>Delivered</t>
        </is>
      </c>
      <c r="R250" s="17" t="n">
        <v>3</v>
      </c>
      <c r="S250" s="17">
        <f>TEXT(B250,"yyyy-mm")</f>
        <v/>
      </c>
      <c r="T250" s="17">
        <f>VLOOKUP(D250,Customers!A:D,4,FALSE)</f>
        <v/>
      </c>
      <c r="U250" s="17">
        <f>CONCATENATE(A250,"-",G250)</f>
        <v/>
      </c>
      <c r="V250" s="17">
        <f>IF(N250="","",IF(N250&lt;=30,"Fast (&lt;30m)",IF(N250&lt;=45,"Moderate (30-45m)","Delayed (&gt;45m)")))</f>
        <v/>
      </c>
      <c r="W250" s="17">
        <f>IF(AND(I250&gt;600,P250="Delivered"),"High Value Delivered","Standard")</f>
        <v/>
      </c>
      <c r="X250" s="17">
        <f>IF(OR(N250&gt;50,Q250&lt;=2),"High Risk / Delayed","Normal")</f>
        <v/>
      </c>
      <c r="Y250" s="17">
        <f>IF(NOT(P250="Cancelled"),"Fulfilled","Cancelled")</f>
        <v/>
      </c>
      <c r="Z250" s="17">
        <f>IFERROR(Q250,0)</f>
        <v/>
      </c>
    </row>
    <row r="251">
      <c r="A251" s="25" t="inlineStr">
        <is>
          <t>ORD1250</t>
        </is>
      </c>
      <c r="B251" s="25" t="inlineStr">
        <is>
          <t>2025-12-16</t>
        </is>
      </c>
      <c r="C251" s="25" t="inlineStr">
        <is>
          <t>07:27:11</t>
        </is>
      </c>
      <c r="D251" s="25" t="n">
        <v>1166</v>
      </c>
      <c r="E251" s="25" t="n">
        <v>111</v>
      </c>
      <c r="F251" s="25" t="n">
        <v>203</v>
      </c>
      <c r="G251" s="25" t="inlineStr">
        <is>
          <t>Bangalore</t>
        </is>
      </c>
      <c r="H251" s="25" t="inlineStr">
        <is>
          <t>South Indian</t>
        </is>
      </c>
      <c r="I251" s="26" t="n">
        <v>582</v>
      </c>
      <c r="J251" s="26" t="n">
        <v>37.85</v>
      </c>
      <c r="K251" s="26" t="n">
        <v>29.5</v>
      </c>
      <c r="L251" s="27" t="n">
        <v>0.15</v>
      </c>
      <c r="M251" s="26" t="n">
        <v>94.68000000000001</v>
      </c>
      <c r="N251" s="28" t="n">
        <v>3.9</v>
      </c>
      <c r="O251" s="28" t="n">
        <v>25.9</v>
      </c>
      <c r="P251" s="25" t="inlineStr">
        <is>
          <t>Debit Card</t>
        </is>
      </c>
      <c r="Q251" s="25" t="inlineStr">
        <is>
          <t>Delivered</t>
        </is>
      </c>
      <c r="R251" s="25" t="n">
        <v>5</v>
      </c>
      <c r="S251" s="25">
        <f>TEXT(B251,"yyyy-mm")</f>
        <v/>
      </c>
      <c r="T251" s="25">
        <f>VLOOKUP(D251,Customers!A:D,4,FALSE)</f>
        <v/>
      </c>
      <c r="U251" s="25">
        <f>CONCATENATE(A251,"-",G251)</f>
        <v/>
      </c>
      <c r="V251" s="25">
        <f>IF(N251="","",IF(N251&lt;=30,"Fast (&lt;30m)",IF(N251&lt;=45,"Moderate (30-45m)","Delayed (&gt;45m)")))</f>
        <v/>
      </c>
      <c r="W251" s="25">
        <f>IF(AND(I251&gt;600,P251="Delivered"),"High Value Delivered","Standard")</f>
        <v/>
      </c>
      <c r="X251" s="25">
        <f>IF(OR(N251&gt;50,Q251&lt;=2),"High Risk / Delayed","Normal")</f>
        <v/>
      </c>
      <c r="Y251" s="25">
        <f>IF(NOT(P251="Cancelled"),"Fulfilled","Cancelled")</f>
        <v/>
      </c>
      <c r="Z251" s="25">
        <f>IFERROR(Q251,0)</f>
        <v/>
      </c>
    </row>
    <row r="252">
      <c r="A252" s="17" t="inlineStr">
        <is>
          <t>ORD1251</t>
        </is>
      </c>
      <c r="B252" s="17" t="inlineStr">
        <is>
          <t>2025-11-11</t>
        </is>
      </c>
      <c r="C252" s="17" t="inlineStr">
        <is>
          <t>22:39:39</t>
        </is>
      </c>
      <c r="D252" s="17" t="n">
        <v>1018</v>
      </c>
      <c r="E252" s="17" t="n">
        <v>112</v>
      </c>
      <c r="F252" s="17" t="n">
        <v>211</v>
      </c>
      <c r="G252" s="17" t="inlineStr">
        <is>
          <t>Delhi NCR</t>
        </is>
      </c>
      <c r="H252" s="17" t="inlineStr">
        <is>
          <t>North Indian</t>
        </is>
      </c>
      <c r="I252" s="22" t="n">
        <v>471</v>
      </c>
      <c r="J252" s="22" t="n">
        <v>18.8</v>
      </c>
      <c r="K252" s="22" t="n">
        <v>25</v>
      </c>
      <c r="L252" s="23" t="n">
        <v>0.22</v>
      </c>
      <c r="M252" s="22" t="n">
        <v>109.87</v>
      </c>
      <c r="N252" s="24" t="n">
        <v>2.4</v>
      </c>
      <c r="O252" s="24" t="n">
        <v>29.8</v>
      </c>
      <c r="P252" s="17" t="inlineStr">
        <is>
          <t>Cash on Delivery</t>
        </is>
      </c>
      <c r="Q252" s="17" t="inlineStr">
        <is>
          <t>Delivered</t>
        </is>
      </c>
      <c r="R252" s="17" t="n">
        <v>3</v>
      </c>
      <c r="S252" s="17">
        <f>TEXT(B252,"yyyy-mm")</f>
        <v/>
      </c>
      <c r="T252" s="17">
        <f>VLOOKUP(D252,Customers!A:D,4,FALSE)</f>
        <v/>
      </c>
      <c r="U252" s="17">
        <f>CONCATENATE(A252,"-",G252)</f>
        <v/>
      </c>
      <c r="V252" s="17">
        <f>IF(N252="","",IF(N252&lt;=30,"Fast (&lt;30m)",IF(N252&lt;=45,"Moderate (30-45m)","Delayed (&gt;45m)")))</f>
        <v/>
      </c>
      <c r="W252" s="17">
        <f>IF(AND(I252&gt;600,P252="Delivered"),"High Value Delivered","Standard")</f>
        <v/>
      </c>
      <c r="X252" s="17">
        <f>IF(OR(N252&gt;50,Q252&lt;=2),"High Risk / Delayed","Normal")</f>
        <v/>
      </c>
      <c r="Y252" s="17">
        <f>IF(NOT(P252="Cancelled"),"Fulfilled","Cancelled")</f>
        <v/>
      </c>
      <c r="Z252" s="17">
        <f>IFERROR(Q252,0)</f>
        <v/>
      </c>
    </row>
    <row r="253">
      <c r="A253" s="25" t="inlineStr">
        <is>
          <t>ORD1252</t>
        </is>
      </c>
      <c r="B253" s="25" t="inlineStr">
        <is>
          <t>2025-05-24</t>
        </is>
      </c>
      <c r="C253" s="25" t="inlineStr">
        <is>
          <t>11:24:08</t>
        </is>
      </c>
      <c r="D253" s="25" t="n">
        <v>1179</v>
      </c>
      <c r="E253" s="25" t="n">
        <v>103</v>
      </c>
      <c r="F253" s="25" t="n">
        <v>229</v>
      </c>
      <c r="G253" s="25" t="inlineStr">
        <is>
          <t>Mumbai</t>
        </is>
      </c>
      <c r="H253" s="25" t="inlineStr">
        <is>
          <t>Italian</t>
        </is>
      </c>
      <c r="I253" s="26" t="n">
        <v>800</v>
      </c>
      <c r="J253" s="26" t="n">
        <v>131.41</v>
      </c>
      <c r="K253" s="26" t="n">
        <v>0</v>
      </c>
      <c r="L253" s="27" t="n">
        <v>0.18</v>
      </c>
      <c r="M253" s="26" t="n">
        <v>144</v>
      </c>
      <c r="N253" s="28" t="n">
        <v>4.1</v>
      </c>
      <c r="O253" s="28" t="n">
        <v>38.7</v>
      </c>
      <c r="P253" s="25" t="inlineStr">
        <is>
          <t>Credit Card</t>
        </is>
      </c>
      <c r="Q253" s="25" t="inlineStr">
        <is>
          <t>Delivered</t>
        </is>
      </c>
      <c r="R253" s="25" t="n">
        <v>5</v>
      </c>
      <c r="S253" s="25">
        <f>TEXT(B253,"yyyy-mm")</f>
        <v/>
      </c>
      <c r="T253" s="25">
        <f>VLOOKUP(D253,Customers!A:D,4,FALSE)</f>
        <v/>
      </c>
      <c r="U253" s="25">
        <f>CONCATENATE(A253,"-",G253)</f>
        <v/>
      </c>
      <c r="V253" s="25">
        <f>IF(N253="","",IF(N253&lt;=30,"Fast (&lt;30m)",IF(N253&lt;=45,"Moderate (30-45m)","Delayed (&gt;45m)")))</f>
        <v/>
      </c>
      <c r="W253" s="25">
        <f>IF(AND(I253&gt;600,P253="Delivered"),"High Value Delivered","Standard")</f>
        <v/>
      </c>
      <c r="X253" s="25">
        <f>IF(OR(N253&gt;50,Q253&lt;=2),"High Risk / Delayed","Normal")</f>
        <v/>
      </c>
      <c r="Y253" s="25">
        <f>IF(NOT(P253="Cancelled"),"Fulfilled","Cancelled")</f>
        <v/>
      </c>
      <c r="Z253" s="25">
        <f>IFERROR(Q253,0)</f>
        <v/>
      </c>
    </row>
    <row r="254">
      <c r="A254" s="17" t="inlineStr">
        <is>
          <t>ORD1253</t>
        </is>
      </c>
      <c r="B254" s="17" t="inlineStr">
        <is>
          <t>2025-09-03</t>
        </is>
      </c>
      <c r="C254" s="17" t="inlineStr">
        <is>
          <t>08:34:50</t>
        </is>
      </c>
      <c r="D254" s="17" t="n">
        <v>1195</v>
      </c>
      <c r="E254" s="17" t="n">
        <v>107</v>
      </c>
      <c r="F254" s="17" t="n">
        <v>206</v>
      </c>
      <c r="G254" s="17" t="inlineStr">
        <is>
          <t>Mumbai</t>
        </is>
      </c>
      <c r="H254" s="17" t="inlineStr">
        <is>
          <t>Desserts</t>
        </is>
      </c>
      <c r="I254" s="22" t="n">
        <v>716</v>
      </c>
      <c r="J254" s="22" t="n">
        <v>0</v>
      </c>
      <c r="K254" s="22" t="n">
        <v>25.5</v>
      </c>
      <c r="L254" s="23" t="n">
        <v>0.25</v>
      </c>
      <c r="M254" s="22" t="n">
        <v>185.38</v>
      </c>
      <c r="N254" s="24" t="n">
        <v>3.1</v>
      </c>
      <c r="O254" s="24" t="n">
        <v>39.6</v>
      </c>
      <c r="P254" s="17" t="inlineStr">
        <is>
          <t>Debit Card</t>
        </is>
      </c>
      <c r="Q254" s="17" t="inlineStr">
        <is>
          <t>Delivered</t>
        </is>
      </c>
      <c r="R254" s="17" t="n">
        <v>4</v>
      </c>
      <c r="S254" s="17">
        <f>TEXT(B254,"yyyy-mm")</f>
        <v/>
      </c>
      <c r="T254" s="17">
        <f>VLOOKUP(D254,Customers!A:D,4,FALSE)</f>
        <v/>
      </c>
      <c r="U254" s="17">
        <f>CONCATENATE(A254,"-",G254)</f>
        <v/>
      </c>
      <c r="V254" s="17">
        <f>IF(N254="","",IF(N254&lt;=30,"Fast (&lt;30m)",IF(N254&lt;=45,"Moderate (30-45m)","Delayed (&gt;45m)")))</f>
        <v/>
      </c>
      <c r="W254" s="17">
        <f>IF(AND(I254&gt;600,P254="Delivered"),"High Value Delivered","Standard")</f>
        <v/>
      </c>
      <c r="X254" s="17">
        <f>IF(OR(N254&gt;50,Q254&lt;=2),"High Risk / Delayed","Normal")</f>
        <v/>
      </c>
      <c r="Y254" s="17">
        <f>IF(NOT(P254="Cancelled"),"Fulfilled","Cancelled")</f>
        <v/>
      </c>
      <c r="Z254" s="17">
        <f>IFERROR(Q254,0)</f>
        <v/>
      </c>
    </row>
    <row r="255">
      <c r="A255" s="25" t="inlineStr">
        <is>
          <t>ORD1254</t>
        </is>
      </c>
      <c r="B255" s="25" t="inlineStr">
        <is>
          <t>2025-01-14</t>
        </is>
      </c>
      <c r="C255" s="25" t="inlineStr">
        <is>
          <t>14:20:38</t>
        </is>
      </c>
      <c r="D255" s="25" t="n">
        <v>1035</v>
      </c>
      <c r="E255" s="25" t="n">
        <v>105</v>
      </c>
      <c r="F255" s="25" t="n">
        <v>201</v>
      </c>
      <c r="G255" s="25" t="inlineStr">
        <is>
          <t>Bangalore</t>
        </is>
      </c>
      <c r="H255" s="25" t="inlineStr">
        <is>
          <t>Chinese</t>
        </is>
      </c>
      <c r="I255" s="26" t="n">
        <v>551</v>
      </c>
      <c r="J255" s="26" t="n">
        <v>104.46</v>
      </c>
      <c r="K255" s="26" t="n">
        <v>0</v>
      </c>
      <c r="L255" s="27" t="n">
        <v>0.2</v>
      </c>
      <c r="M255" s="26" t="n">
        <v>110.2</v>
      </c>
      <c r="N255" s="28" t="n">
        <v>4.5</v>
      </c>
      <c r="O255" s="28" t="n">
        <v>37.5</v>
      </c>
      <c r="P255" s="25" t="inlineStr">
        <is>
          <t>UPI</t>
        </is>
      </c>
      <c r="Q255" s="25" t="inlineStr">
        <is>
          <t>Delivered</t>
        </is>
      </c>
      <c r="R255" s="25" t="n">
        <v>4</v>
      </c>
      <c r="S255" s="25">
        <f>TEXT(B255,"yyyy-mm")</f>
        <v/>
      </c>
      <c r="T255" s="25">
        <f>VLOOKUP(D255,Customers!A:D,4,FALSE)</f>
        <v/>
      </c>
      <c r="U255" s="25">
        <f>CONCATENATE(A255,"-",G255)</f>
        <v/>
      </c>
      <c r="V255" s="25">
        <f>IF(N255="","",IF(N255&lt;=30,"Fast (&lt;30m)",IF(N255&lt;=45,"Moderate (30-45m)","Delayed (&gt;45m)")))</f>
        <v/>
      </c>
      <c r="W255" s="25">
        <f>IF(AND(I255&gt;600,P255="Delivered"),"High Value Delivered","Standard")</f>
        <v/>
      </c>
      <c r="X255" s="25">
        <f>IF(OR(N255&gt;50,Q255&lt;=2),"High Risk / Delayed","Normal")</f>
        <v/>
      </c>
      <c r="Y255" s="25">
        <f>IF(NOT(P255="Cancelled"),"Fulfilled","Cancelled")</f>
        <v/>
      </c>
      <c r="Z255" s="25">
        <f>IFERROR(Q255,0)</f>
        <v/>
      </c>
    </row>
    <row r="256">
      <c r="A256" s="17" t="inlineStr">
        <is>
          <t>ORD1255</t>
        </is>
      </c>
      <c r="B256" s="17" t="inlineStr">
        <is>
          <t>2025-03-23</t>
        </is>
      </c>
      <c r="C256" s="17" t="inlineStr">
        <is>
          <t>07:06:15</t>
        </is>
      </c>
      <c r="D256" s="17" t="n">
        <v>1058</v>
      </c>
      <c r="E256" s="17" t="n">
        <v>103</v>
      </c>
      <c r="F256" s="17" t="n">
        <v>206</v>
      </c>
      <c r="G256" s="17" t="inlineStr">
        <is>
          <t>Mumbai</t>
        </is>
      </c>
      <c r="H256" s="17" t="inlineStr">
        <is>
          <t>Italian</t>
        </is>
      </c>
      <c r="I256" s="22" t="n">
        <v>892</v>
      </c>
      <c r="J256" s="22" t="n">
        <v>0</v>
      </c>
      <c r="K256" s="22" t="n">
        <v>25</v>
      </c>
      <c r="L256" s="23" t="n">
        <v>0.18</v>
      </c>
      <c r="M256" s="22" t="n">
        <v>166.81</v>
      </c>
      <c r="N256" s="24" t="n">
        <v>2.5</v>
      </c>
      <c r="O256" s="24" t="n">
        <v>31.7</v>
      </c>
      <c r="P256" s="17" t="inlineStr">
        <is>
          <t>UPI</t>
        </is>
      </c>
      <c r="Q256" s="17" t="inlineStr">
        <is>
          <t>Delivered</t>
        </is>
      </c>
      <c r="R256" s="17" t="n">
        <v>4</v>
      </c>
      <c r="S256" s="17">
        <f>TEXT(B256,"yyyy-mm")</f>
        <v/>
      </c>
      <c r="T256" s="17">
        <f>VLOOKUP(D256,Customers!A:D,4,FALSE)</f>
        <v/>
      </c>
      <c r="U256" s="17">
        <f>CONCATENATE(A256,"-",G256)</f>
        <v/>
      </c>
      <c r="V256" s="17">
        <f>IF(N256="","",IF(N256&lt;=30,"Fast (&lt;30m)",IF(N256&lt;=45,"Moderate (30-45m)","Delayed (&gt;45m)")))</f>
        <v/>
      </c>
      <c r="W256" s="17">
        <f>IF(AND(I256&gt;600,P256="Delivered"),"High Value Delivered","Standard")</f>
        <v/>
      </c>
      <c r="X256" s="17">
        <f>IF(OR(N256&gt;50,Q256&lt;=2),"High Risk / Delayed","Normal")</f>
        <v/>
      </c>
      <c r="Y256" s="17">
        <f>IF(NOT(P256="Cancelled"),"Fulfilled","Cancelled")</f>
        <v/>
      </c>
      <c r="Z256" s="17">
        <f>IFERROR(Q256,0)</f>
        <v/>
      </c>
    </row>
    <row r="257">
      <c r="A257" s="25" t="inlineStr">
        <is>
          <t>ORD1256</t>
        </is>
      </c>
      <c r="B257" s="25" t="inlineStr">
        <is>
          <t>2025-07-01</t>
        </is>
      </c>
      <c r="C257" s="25" t="inlineStr">
        <is>
          <t>09:59:53</t>
        </is>
      </c>
      <c r="D257" s="25" t="n">
        <v>1261</v>
      </c>
      <c r="E257" s="25" t="n">
        <v>119</v>
      </c>
      <c r="F257" s="25" t="n">
        <v>215</v>
      </c>
      <c r="G257" s="25" t="inlineStr">
        <is>
          <t>Hyderabad</t>
        </is>
      </c>
      <c r="H257" s="25" t="inlineStr">
        <is>
          <t>Biryani</t>
        </is>
      </c>
      <c r="I257" s="26" t="n">
        <v>397</v>
      </c>
      <c r="J257" s="26" t="n">
        <v>24.74</v>
      </c>
      <c r="K257" s="26" t="n">
        <v>25</v>
      </c>
      <c r="L257" s="27" t="n">
        <v>0.2</v>
      </c>
      <c r="M257" s="26" t="n">
        <v>85.65000000000001</v>
      </c>
      <c r="N257" s="28" t="n">
        <v>2.7</v>
      </c>
      <c r="O257" s="28" t="n">
        <v>28.9</v>
      </c>
      <c r="P257" s="25" t="inlineStr">
        <is>
          <t>Debit Card</t>
        </is>
      </c>
      <c r="Q257" s="25" t="inlineStr">
        <is>
          <t>Delivered</t>
        </is>
      </c>
      <c r="R257" s="25" t="n">
        <v>5</v>
      </c>
      <c r="S257" s="25">
        <f>TEXT(B257,"yyyy-mm")</f>
        <v/>
      </c>
      <c r="T257" s="25">
        <f>VLOOKUP(D257,Customers!A:D,4,FALSE)</f>
        <v/>
      </c>
      <c r="U257" s="25">
        <f>CONCATENATE(A257,"-",G257)</f>
        <v/>
      </c>
      <c r="V257" s="25">
        <f>IF(N257="","",IF(N257&lt;=30,"Fast (&lt;30m)",IF(N257&lt;=45,"Moderate (30-45m)","Delayed (&gt;45m)")))</f>
        <v/>
      </c>
      <c r="W257" s="25">
        <f>IF(AND(I257&gt;600,P257="Delivered"),"High Value Delivered","Standard")</f>
        <v/>
      </c>
      <c r="X257" s="25">
        <f>IF(OR(N257&gt;50,Q257&lt;=2),"High Risk / Delayed","Normal")</f>
        <v/>
      </c>
      <c r="Y257" s="25">
        <f>IF(NOT(P257="Cancelled"),"Fulfilled","Cancelled")</f>
        <v/>
      </c>
      <c r="Z257" s="25">
        <f>IFERROR(Q257,0)</f>
        <v/>
      </c>
    </row>
    <row r="258">
      <c r="A258" s="17" t="inlineStr">
        <is>
          <t>ORD1257</t>
        </is>
      </c>
      <c r="B258" s="17" t="inlineStr">
        <is>
          <t>2025-10-16</t>
        </is>
      </c>
      <c r="C258" s="17" t="inlineStr">
        <is>
          <t>19:12:53</t>
        </is>
      </c>
      <c r="D258" s="17" t="n">
        <v>1127</v>
      </c>
      <c r="E258" s="17" t="n">
        <v>104</v>
      </c>
      <c r="F258" s="17" t="n">
        <v>228</v>
      </c>
      <c r="G258" s="17" t="inlineStr">
        <is>
          <t>Delhi NCR</t>
        </is>
      </c>
      <c r="H258" s="17" t="inlineStr">
        <is>
          <t>Fast Food</t>
        </is>
      </c>
      <c r="I258" s="22" t="n">
        <v>724</v>
      </c>
      <c r="J258" s="22" t="n">
        <v>63.67</v>
      </c>
      <c r="K258" s="22" t="n">
        <v>25</v>
      </c>
      <c r="L258" s="23" t="n">
        <v>0.18</v>
      </c>
      <c r="M258" s="22" t="n">
        <v>136.57</v>
      </c>
      <c r="N258" s="24" t="n">
        <v>2.5</v>
      </c>
      <c r="O258" s="24" t="n">
        <v/>
      </c>
      <c r="P258" s="17" t="inlineStr">
        <is>
          <t>UPI</t>
        </is>
      </c>
      <c r="Q258" s="17" t="inlineStr">
        <is>
          <t>Cancelled</t>
        </is>
      </c>
      <c r="R258" s="17" t="n">
        <v/>
      </c>
      <c r="S258" s="17">
        <f>TEXT(B258,"yyyy-mm")</f>
        <v/>
      </c>
      <c r="T258" s="17">
        <f>VLOOKUP(D258,Customers!A:D,4,FALSE)</f>
        <v/>
      </c>
      <c r="U258" s="17">
        <f>CONCATENATE(A258,"-",G258)</f>
        <v/>
      </c>
      <c r="V258" s="17">
        <f>IF(N258="","",IF(N258&lt;=30,"Fast (&lt;30m)",IF(N258&lt;=45,"Moderate (30-45m)","Delayed (&gt;45m)")))</f>
        <v/>
      </c>
      <c r="W258" s="17">
        <f>IF(AND(I258&gt;600,P258="Delivered"),"High Value Delivered","Standard")</f>
        <v/>
      </c>
      <c r="X258" s="17">
        <f>IF(OR(N258&gt;50,Q258&lt;=2),"High Risk / Delayed","Normal")</f>
        <v/>
      </c>
      <c r="Y258" s="17">
        <f>IF(NOT(P258="Cancelled"),"Fulfilled","Cancelled")</f>
        <v/>
      </c>
      <c r="Z258" s="17">
        <f>IFERROR(Q258,0)</f>
        <v/>
      </c>
    </row>
    <row r="259">
      <c r="A259" s="25" t="inlineStr">
        <is>
          <t>ORD1258</t>
        </is>
      </c>
      <c r="B259" s="25" t="inlineStr">
        <is>
          <t>2025-04-30</t>
        </is>
      </c>
      <c r="C259" s="25" t="inlineStr">
        <is>
          <t>21:38:14</t>
        </is>
      </c>
      <c r="D259" s="25" t="n">
        <v>1217</v>
      </c>
      <c r="E259" s="25" t="n">
        <v>114</v>
      </c>
      <c r="F259" s="25" t="n">
        <v>225</v>
      </c>
      <c r="G259" s="25" t="inlineStr">
        <is>
          <t>Hyderabad</t>
        </is>
      </c>
      <c r="H259" s="25" t="inlineStr">
        <is>
          <t>Biryani</t>
        </is>
      </c>
      <c r="I259" s="26" t="n">
        <v>240</v>
      </c>
      <c r="J259" s="26" t="n">
        <v>0.01</v>
      </c>
      <c r="K259" s="26" t="n">
        <v>37.5</v>
      </c>
      <c r="L259" s="27" t="n">
        <v>0.22</v>
      </c>
      <c r="M259" s="26" t="n">
        <v>62.18</v>
      </c>
      <c r="N259" s="28" t="n">
        <v>5.5</v>
      </c>
      <c r="O259" s="28" t="n">
        <v>42.8</v>
      </c>
      <c r="P259" s="25" t="inlineStr">
        <is>
          <t>Credit Card</t>
        </is>
      </c>
      <c r="Q259" s="25" t="inlineStr">
        <is>
          <t>Delivered</t>
        </is>
      </c>
      <c r="R259" s="25" t="n">
        <v>3</v>
      </c>
      <c r="S259" s="25">
        <f>TEXT(B259,"yyyy-mm")</f>
        <v/>
      </c>
      <c r="T259" s="25">
        <f>VLOOKUP(D259,Customers!A:D,4,FALSE)</f>
        <v/>
      </c>
      <c r="U259" s="25">
        <f>CONCATENATE(A259,"-",G259)</f>
        <v/>
      </c>
      <c r="V259" s="25">
        <f>IF(N259="","",IF(N259&lt;=30,"Fast (&lt;30m)",IF(N259&lt;=45,"Moderate (30-45m)","Delayed (&gt;45m)")))</f>
        <v/>
      </c>
      <c r="W259" s="25">
        <f>IF(AND(I259&gt;600,P259="Delivered"),"High Value Delivered","Standard")</f>
        <v/>
      </c>
      <c r="X259" s="25">
        <f>IF(OR(N259&gt;50,Q259&lt;=2),"High Risk / Delayed","Normal")</f>
        <v/>
      </c>
      <c r="Y259" s="25">
        <f>IF(NOT(P259="Cancelled"),"Fulfilled","Cancelled")</f>
        <v/>
      </c>
      <c r="Z259" s="25">
        <f>IFERROR(Q259,0)</f>
        <v/>
      </c>
    </row>
    <row r="260">
      <c r="A260" s="17" t="inlineStr">
        <is>
          <t>ORD1259</t>
        </is>
      </c>
      <c r="B260" s="17" t="inlineStr">
        <is>
          <t>2025-04-01</t>
        </is>
      </c>
      <c r="C260" s="17" t="inlineStr">
        <is>
          <t>14:58:51</t>
        </is>
      </c>
      <c r="D260" s="17" t="n">
        <v>1070</v>
      </c>
      <c r="E260" s="17" t="n">
        <v>107</v>
      </c>
      <c r="F260" s="17" t="n">
        <v>202</v>
      </c>
      <c r="G260" s="17" t="inlineStr">
        <is>
          <t>Mumbai</t>
        </is>
      </c>
      <c r="H260" s="17" t="inlineStr">
        <is>
          <t>Desserts</t>
        </is>
      </c>
      <c r="I260" s="22" t="n">
        <v>666</v>
      </c>
      <c r="J260" s="22" t="n">
        <v>68.06</v>
      </c>
      <c r="K260" s="22" t="n">
        <v>0</v>
      </c>
      <c r="L260" s="23" t="n">
        <v>0.25</v>
      </c>
      <c r="M260" s="22" t="n">
        <v>166.5</v>
      </c>
      <c r="N260" s="24" t="n">
        <v>4.5</v>
      </c>
      <c r="O260" s="24" t="n">
        <v>38.8</v>
      </c>
      <c r="P260" s="17" t="inlineStr">
        <is>
          <t>Credit Card</t>
        </is>
      </c>
      <c r="Q260" s="17" t="inlineStr">
        <is>
          <t>Delivered</t>
        </is>
      </c>
      <c r="R260" s="17" t="n">
        <v>4</v>
      </c>
      <c r="S260" s="17">
        <f>TEXT(B260,"yyyy-mm")</f>
        <v/>
      </c>
      <c r="T260" s="17">
        <f>VLOOKUP(D260,Customers!A:D,4,FALSE)</f>
        <v/>
      </c>
      <c r="U260" s="17">
        <f>CONCATENATE(A260,"-",G260)</f>
        <v/>
      </c>
      <c r="V260" s="17">
        <f>IF(N260="","",IF(N260&lt;=30,"Fast (&lt;30m)",IF(N260&lt;=45,"Moderate (30-45m)","Delayed (&gt;45m)")))</f>
        <v/>
      </c>
      <c r="W260" s="17">
        <f>IF(AND(I260&gt;600,P260="Delivered"),"High Value Delivered","Standard")</f>
        <v/>
      </c>
      <c r="X260" s="17">
        <f>IF(OR(N260&gt;50,Q260&lt;=2),"High Risk / Delayed","Normal")</f>
        <v/>
      </c>
      <c r="Y260" s="17">
        <f>IF(NOT(P260="Cancelled"),"Fulfilled","Cancelled")</f>
        <v/>
      </c>
      <c r="Z260" s="17">
        <f>IFERROR(Q260,0)</f>
        <v/>
      </c>
    </row>
    <row r="261">
      <c r="A261" s="25" t="inlineStr">
        <is>
          <t>ORD1260</t>
        </is>
      </c>
      <c r="B261" s="25" t="inlineStr">
        <is>
          <t>2025-02-07</t>
        </is>
      </c>
      <c r="C261" s="25" t="inlineStr">
        <is>
          <t>20:23:45</t>
        </is>
      </c>
      <c r="D261" s="25" t="n">
        <v>1134</v>
      </c>
      <c r="E261" s="25" t="n">
        <v>119</v>
      </c>
      <c r="F261" s="25" t="n">
        <v>225</v>
      </c>
      <c r="G261" s="25" t="inlineStr">
        <is>
          <t>Hyderabad</t>
        </is>
      </c>
      <c r="H261" s="25" t="inlineStr">
        <is>
          <t>Biryani</t>
        </is>
      </c>
      <c r="I261" s="26" t="n">
        <v>898</v>
      </c>
      <c r="J261" s="26" t="n">
        <v>0</v>
      </c>
      <c r="K261" s="26" t="n">
        <v>26.5</v>
      </c>
      <c r="L261" s="27" t="n">
        <v>0.2</v>
      </c>
      <c r="M261" s="26" t="n">
        <v>186.23</v>
      </c>
      <c r="N261" s="28" t="n">
        <v>3.3</v>
      </c>
      <c r="O261" s="28" t="n">
        <v>31.5</v>
      </c>
      <c r="P261" s="25" t="inlineStr">
        <is>
          <t>Debit Card</t>
        </is>
      </c>
      <c r="Q261" s="25" t="inlineStr">
        <is>
          <t>Delivered</t>
        </is>
      </c>
      <c r="R261" s="25" t="n">
        <v>4</v>
      </c>
      <c r="S261" s="25">
        <f>TEXT(B261,"yyyy-mm")</f>
        <v/>
      </c>
      <c r="T261" s="25">
        <f>VLOOKUP(D261,Customers!A:D,4,FALSE)</f>
        <v/>
      </c>
      <c r="U261" s="25">
        <f>CONCATENATE(A261,"-",G261)</f>
        <v/>
      </c>
      <c r="V261" s="25">
        <f>IF(N261="","",IF(N261&lt;=30,"Fast (&lt;30m)",IF(N261&lt;=45,"Moderate (30-45m)","Delayed (&gt;45m)")))</f>
        <v/>
      </c>
      <c r="W261" s="25">
        <f>IF(AND(I261&gt;600,P261="Delivered"),"High Value Delivered","Standard")</f>
        <v/>
      </c>
      <c r="X261" s="25">
        <f>IF(OR(N261&gt;50,Q261&lt;=2),"High Risk / Delayed","Normal")</f>
        <v/>
      </c>
      <c r="Y261" s="25">
        <f>IF(NOT(P261="Cancelled"),"Fulfilled","Cancelled")</f>
        <v/>
      </c>
      <c r="Z261" s="25">
        <f>IFERROR(Q261,0)</f>
        <v/>
      </c>
    </row>
    <row r="262">
      <c r="A262" s="17" t="inlineStr">
        <is>
          <t>ORD1261</t>
        </is>
      </c>
      <c r="B262" s="17" t="inlineStr">
        <is>
          <t>2025-08-12</t>
        </is>
      </c>
      <c r="C262" s="17" t="inlineStr">
        <is>
          <t>13:50:40</t>
        </is>
      </c>
      <c r="D262" s="17" t="n">
        <v>1111</v>
      </c>
      <c r="E262" s="17" t="n">
        <v>117</v>
      </c>
      <c r="F262" s="17" t="n">
        <v>222</v>
      </c>
      <c r="G262" s="17" t="inlineStr">
        <is>
          <t>Mumbai</t>
        </is>
      </c>
      <c r="H262" s="17" t="inlineStr">
        <is>
          <t>Chinese</t>
        </is>
      </c>
      <c r="I262" s="22" t="n">
        <v>718</v>
      </c>
      <c r="J262" s="22" t="n">
        <v>10.01</v>
      </c>
      <c r="K262" s="22" t="n">
        <v>41</v>
      </c>
      <c r="L262" s="23" t="n">
        <v>0.2</v>
      </c>
      <c r="M262" s="22" t="n">
        <v>153.85</v>
      </c>
      <c r="N262" s="24" t="n">
        <v>6.2</v>
      </c>
      <c r="O262" s="24" t="n">
        <v>60</v>
      </c>
      <c r="P262" s="17" t="inlineStr">
        <is>
          <t>Digital Wallet</t>
        </is>
      </c>
      <c r="Q262" s="17" t="inlineStr">
        <is>
          <t>Delivered</t>
        </is>
      </c>
      <c r="R262" s="17" t="n">
        <v>2</v>
      </c>
      <c r="S262" s="17">
        <f>TEXT(B262,"yyyy-mm")</f>
        <v/>
      </c>
      <c r="T262" s="17">
        <f>VLOOKUP(D262,Customers!A:D,4,FALSE)</f>
        <v/>
      </c>
      <c r="U262" s="17">
        <f>CONCATENATE(A262,"-",G262)</f>
        <v/>
      </c>
      <c r="V262" s="17">
        <f>IF(N262="","",IF(N262&lt;=30,"Fast (&lt;30m)",IF(N262&lt;=45,"Moderate (30-45m)","Delayed (&gt;45m)")))</f>
        <v/>
      </c>
      <c r="W262" s="17">
        <f>IF(AND(I262&gt;600,P262="Delivered"),"High Value Delivered","Standard")</f>
        <v/>
      </c>
      <c r="X262" s="17">
        <f>IF(OR(N262&gt;50,Q262&lt;=2),"High Risk / Delayed","Normal")</f>
        <v/>
      </c>
      <c r="Y262" s="17">
        <f>IF(NOT(P262="Cancelled"),"Fulfilled","Cancelled")</f>
        <v/>
      </c>
      <c r="Z262" s="17">
        <f>IFERROR(Q262,0)</f>
        <v/>
      </c>
    </row>
    <row r="263">
      <c r="A263" s="25" t="inlineStr">
        <is>
          <t>ORD1262</t>
        </is>
      </c>
      <c r="B263" s="25" t="inlineStr">
        <is>
          <t>2025-07-13</t>
        </is>
      </c>
      <c r="C263" s="25" t="inlineStr">
        <is>
          <t>15:19:46</t>
        </is>
      </c>
      <c r="D263" s="25" t="n">
        <v>1105</v>
      </c>
      <c r="E263" s="25" t="n">
        <v>111</v>
      </c>
      <c r="F263" s="25" t="n">
        <v>203</v>
      </c>
      <c r="G263" s="25" t="inlineStr">
        <is>
          <t>Bangalore</t>
        </is>
      </c>
      <c r="H263" s="25" t="inlineStr">
        <is>
          <t>South Indian</t>
        </is>
      </c>
      <c r="I263" s="26" t="n">
        <v>1100</v>
      </c>
      <c r="J263" s="26" t="n">
        <v>124.01</v>
      </c>
      <c r="K263" s="26" t="n">
        <v>0</v>
      </c>
      <c r="L263" s="27" t="n">
        <v>0.15</v>
      </c>
      <c r="M263" s="26" t="n">
        <v>165</v>
      </c>
      <c r="N263" s="28" t="n">
        <v>7.1</v>
      </c>
      <c r="O263" s="28" t="n">
        <v>41.8</v>
      </c>
      <c r="P263" s="25" t="inlineStr">
        <is>
          <t>Digital Wallet</t>
        </is>
      </c>
      <c r="Q263" s="25" t="inlineStr">
        <is>
          <t>Delivered</t>
        </is>
      </c>
      <c r="R263" s="25" t="n">
        <v>4</v>
      </c>
      <c r="S263" s="25">
        <f>TEXT(B263,"yyyy-mm")</f>
        <v/>
      </c>
      <c r="T263" s="25">
        <f>VLOOKUP(D263,Customers!A:D,4,FALSE)</f>
        <v/>
      </c>
      <c r="U263" s="25">
        <f>CONCATENATE(A263,"-",G263)</f>
        <v/>
      </c>
      <c r="V263" s="25">
        <f>IF(N263="","",IF(N263&lt;=30,"Fast (&lt;30m)",IF(N263&lt;=45,"Moderate (30-45m)","Delayed (&gt;45m)")))</f>
        <v/>
      </c>
      <c r="W263" s="25">
        <f>IF(AND(I263&gt;600,P263="Delivered"),"High Value Delivered","Standard")</f>
        <v/>
      </c>
      <c r="X263" s="25">
        <f>IF(OR(N263&gt;50,Q263&lt;=2),"High Risk / Delayed","Normal")</f>
        <v/>
      </c>
      <c r="Y263" s="25">
        <f>IF(NOT(P263="Cancelled"),"Fulfilled","Cancelled")</f>
        <v/>
      </c>
      <c r="Z263" s="25">
        <f>IFERROR(Q263,0)</f>
        <v/>
      </c>
    </row>
    <row r="264">
      <c r="A264" s="17" t="inlineStr">
        <is>
          <t>ORD1263</t>
        </is>
      </c>
      <c r="B264" s="17" t="inlineStr">
        <is>
          <t>2025-11-05</t>
        </is>
      </c>
      <c r="C264" s="17" t="inlineStr">
        <is>
          <t>20:20:58</t>
        </is>
      </c>
      <c r="D264" s="17" t="n">
        <v>1053</v>
      </c>
      <c r="E264" s="17" t="n">
        <v>102</v>
      </c>
      <c r="F264" s="17" t="n">
        <v>215</v>
      </c>
      <c r="G264" s="17" t="inlineStr">
        <is>
          <t>Hyderabad</t>
        </is>
      </c>
      <c r="H264" s="17" t="inlineStr">
        <is>
          <t>Biryani</t>
        </is>
      </c>
      <c r="I264" s="22" t="n">
        <v>1002</v>
      </c>
      <c r="J264" s="22" t="n">
        <v>164.29</v>
      </c>
      <c r="K264" s="22" t="n">
        <v>0</v>
      </c>
      <c r="L264" s="23" t="n">
        <v>0.22</v>
      </c>
      <c r="M264" s="22" t="n">
        <v>220.44</v>
      </c>
      <c r="N264" s="24" t="n">
        <v>4.4</v>
      </c>
      <c r="O264" s="24" t="n">
        <v>34.1</v>
      </c>
      <c r="P264" s="17" t="inlineStr">
        <is>
          <t>Cash on Delivery</t>
        </is>
      </c>
      <c r="Q264" s="17" t="inlineStr">
        <is>
          <t>Delivered</t>
        </is>
      </c>
      <c r="R264" s="17" t="n">
        <v>5</v>
      </c>
      <c r="S264" s="17">
        <f>TEXT(B264,"yyyy-mm")</f>
        <v/>
      </c>
      <c r="T264" s="17">
        <f>VLOOKUP(D264,Customers!A:D,4,FALSE)</f>
        <v/>
      </c>
      <c r="U264" s="17">
        <f>CONCATENATE(A264,"-",G264)</f>
        <v/>
      </c>
      <c r="V264" s="17">
        <f>IF(N264="","",IF(N264&lt;=30,"Fast (&lt;30m)",IF(N264&lt;=45,"Moderate (30-45m)","Delayed (&gt;45m)")))</f>
        <v/>
      </c>
      <c r="W264" s="17">
        <f>IF(AND(I264&gt;600,P264="Delivered"),"High Value Delivered","Standard")</f>
        <v/>
      </c>
      <c r="X264" s="17">
        <f>IF(OR(N264&gt;50,Q264&lt;=2),"High Risk / Delayed","Normal")</f>
        <v/>
      </c>
      <c r="Y264" s="17">
        <f>IF(NOT(P264="Cancelled"),"Fulfilled","Cancelled")</f>
        <v/>
      </c>
      <c r="Z264" s="17">
        <f>IFERROR(Q264,0)</f>
        <v/>
      </c>
    </row>
    <row r="265">
      <c r="A265" s="25" t="inlineStr">
        <is>
          <t>ORD1264</t>
        </is>
      </c>
      <c r="B265" s="25" t="inlineStr">
        <is>
          <t>2025-02-09</t>
        </is>
      </c>
      <c r="C265" s="25" t="inlineStr">
        <is>
          <t>18:15:22</t>
        </is>
      </c>
      <c r="D265" s="25" t="n">
        <v>1229</v>
      </c>
      <c r="E265" s="25" t="n">
        <v>107</v>
      </c>
      <c r="F265" s="25" t="n">
        <v>206</v>
      </c>
      <c r="G265" s="25" t="inlineStr">
        <is>
          <t>Mumbai</t>
        </is>
      </c>
      <c r="H265" s="25" t="inlineStr">
        <is>
          <t>Desserts</t>
        </is>
      </c>
      <c r="I265" s="26" t="n">
        <v>689</v>
      </c>
      <c r="J265" s="26" t="n">
        <v>112.73</v>
      </c>
      <c r="K265" s="26" t="n">
        <v>0</v>
      </c>
      <c r="L265" s="27" t="n">
        <v>0.25</v>
      </c>
      <c r="M265" s="26" t="n">
        <v>172.25</v>
      </c>
      <c r="N265" s="28" t="n">
        <v>8.1</v>
      </c>
      <c r="O265" s="28" t="n">
        <v>45.2</v>
      </c>
      <c r="P265" s="25" t="inlineStr">
        <is>
          <t>Debit Card</t>
        </is>
      </c>
      <c r="Q265" s="25" t="inlineStr">
        <is>
          <t>Delivered</t>
        </is>
      </c>
      <c r="R265" s="25" t="n">
        <v>3</v>
      </c>
      <c r="S265" s="25">
        <f>TEXT(B265,"yyyy-mm")</f>
        <v/>
      </c>
      <c r="T265" s="25">
        <f>VLOOKUP(D265,Customers!A:D,4,FALSE)</f>
        <v/>
      </c>
      <c r="U265" s="25">
        <f>CONCATENATE(A265,"-",G265)</f>
        <v/>
      </c>
      <c r="V265" s="25">
        <f>IF(N265="","",IF(N265&lt;=30,"Fast (&lt;30m)",IF(N265&lt;=45,"Moderate (30-45m)","Delayed (&gt;45m)")))</f>
        <v/>
      </c>
      <c r="W265" s="25">
        <f>IF(AND(I265&gt;600,P265="Delivered"),"High Value Delivered","Standard")</f>
        <v/>
      </c>
      <c r="X265" s="25">
        <f>IF(OR(N265&gt;50,Q265&lt;=2),"High Risk / Delayed","Normal")</f>
        <v/>
      </c>
      <c r="Y265" s="25">
        <f>IF(NOT(P265="Cancelled"),"Fulfilled","Cancelled")</f>
        <v/>
      </c>
      <c r="Z265" s="25">
        <f>IFERROR(Q265,0)</f>
        <v/>
      </c>
    </row>
    <row r="266">
      <c r="A266" s="17" t="inlineStr">
        <is>
          <t>ORD1265</t>
        </is>
      </c>
      <c r="B266" s="17" t="inlineStr">
        <is>
          <t>2025-04-18</t>
        </is>
      </c>
      <c r="C266" s="17" t="inlineStr">
        <is>
          <t>12:15:44</t>
        </is>
      </c>
      <c r="D266" s="17" t="n">
        <v>1070</v>
      </c>
      <c r="E266" s="17" t="n">
        <v>113</v>
      </c>
      <c r="F266" s="17" t="n">
        <v>229</v>
      </c>
      <c r="G266" s="17" t="inlineStr">
        <is>
          <t>Mumbai</t>
        </is>
      </c>
      <c r="H266" s="17" t="inlineStr">
        <is>
          <t>Fast Food</t>
        </is>
      </c>
      <c r="I266" s="22" t="n">
        <v>478</v>
      </c>
      <c r="J266" s="22" t="n">
        <v>60.07</v>
      </c>
      <c r="K266" s="22" t="n">
        <v>25</v>
      </c>
      <c r="L266" s="23" t="n">
        <v>0.18</v>
      </c>
      <c r="M266" s="22" t="n">
        <v>92.29000000000001</v>
      </c>
      <c r="N266" s="24" t="n">
        <v>1.4</v>
      </c>
      <c r="O266" s="24" t="n">
        <v>22</v>
      </c>
      <c r="P266" s="17" t="inlineStr">
        <is>
          <t>UPI</t>
        </is>
      </c>
      <c r="Q266" s="17" t="inlineStr">
        <is>
          <t>Delivered</t>
        </is>
      </c>
      <c r="R266" s="17" t="n">
        <v>5</v>
      </c>
      <c r="S266" s="17">
        <f>TEXT(B266,"yyyy-mm")</f>
        <v/>
      </c>
      <c r="T266" s="17">
        <f>VLOOKUP(D266,Customers!A:D,4,FALSE)</f>
        <v/>
      </c>
      <c r="U266" s="17">
        <f>CONCATENATE(A266,"-",G266)</f>
        <v/>
      </c>
      <c r="V266" s="17">
        <f>IF(N266="","",IF(N266&lt;=30,"Fast (&lt;30m)",IF(N266&lt;=45,"Moderate (30-45m)","Delayed (&gt;45m)")))</f>
        <v/>
      </c>
      <c r="W266" s="17">
        <f>IF(AND(I266&gt;600,P266="Delivered"),"High Value Delivered","Standard")</f>
        <v/>
      </c>
      <c r="X266" s="17">
        <f>IF(OR(N266&gt;50,Q266&lt;=2),"High Risk / Delayed","Normal")</f>
        <v/>
      </c>
      <c r="Y266" s="17">
        <f>IF(NOT(P266="Cancelled"),"Fulfilled","Cancelled")</f>
        <v/>
      </c>
      <c r="Z266" s="17">
        <f>IFERROR(Q266,0)</f>
        <v/>
      </c>
    </row>
    <row r="267">
      <c r="A267" s="25" t="inlineStr">
        <is>
          <t>ORD1266</t>
        </is>
      </c>
      <c r="B267" s="25" t="inlineStr">
        <is>
          <t>2025-08-13</t>
        </is>
      </c>
      <c r="C267" s="25" t="inlineStr">
        <is>
          <t>07:46:26</t>
        </is>
      </c>
      <c r="D267" s="25" t="n">
        <v>1275</v>
      </c>
      <c r="E267" s="25" t="n">
        <v>106</v>
      </c>
      <c r="F267" s="25" t="n">
        <v>209</v>
      </c>
      <c r="G267" s="25" t="inlineStr">
        <is>
          <t>Pune</t>
        </is>
      </c>
      <c r="H267" s="25" t="inlineStr">
        <is>
          <t>South Indian</t>
        </is>
      </c>
      <c r="I267" s="26" t="n">
        <v>390</v>
      </c>
      <c r="J267" s="26" t="n">
        <v>15.38</v>
      </c>
      <c r="K267" s="26" t="n">
        <v>75</v>
      </c>
      <c r="L267" s="27" t="n">
        <v>0.15</v>
      </c>
      <c r="M267" s="26" t="n">
        <v>77.25</v>
      </c>
      <c r="N267" s="28" t="n">
        <v>13</v>
      </c>
      <c r="O267" s="28" t="n">
        <v>57.6</v>
      </c>
      <c r="P267" s="25" t="inlineStr">
        <is>
          <t>Digital Wallet</t>
        </is>
      </c>
      <c r="Q267" s="25" t="inlineStr">
        <is>
          <t>Delivered</t>
        </is>
      </c>
      <c r="R267" s="25" t="n">
        <v>4</v>
      </c>
      <c r="S267" s="25">
        <f>TEXT(B267,"yyyy-mm")</f>
        <v/>
      </c>
      <c r="T267" s="25">
        <f>VLOOKUP(D267,Customers!A:D,4,FALSE)</f>
        <v/>
      </c>
      <c r="U267" s="25">
        <f>CONCATENATE(A267,"-",G267)</f>
        <v/>
      </c>
      <c r="V267" s="25">
        <f>IF(N267="","",IF(N267&lt;=30,"Fast (&lt;30m)",IF(N267&lt;=45,"Moderate (30-45m)","Delayed (&gt;45m)")))</f>
        <v/>
      </c>
      <c r="W267" s="25">
        <f>IF(AND(I267&gt;600,P267="Delivered"),"High Value Delivered","Standard")</f>
        <v/>
      </c>
      <c r="X267" s="25">
        <f>IF(OR(N267&gt;50,Q267&lt;=2),"High Risk / Delayed","Normal")</f>
        <v/>
      </c>
      <c r="Y267" s="25">
        <f>IF(NOT(P267="Cancelled"),"Fulfilled","Cancelled")</f>
        <v/>
      </c>
      <c r="Z267" s="25">
        <f>IFERROR(Q267,0)</f>
        <v/>
      </c>
    </row>
    <row r="268">
      <c r="A268" s="17" t="inlineStr">
        <is>
          <t>ORD1267</t>
        </is>
      </c>
      <c r="B268" s="17" t="inlineStr">
        <is>
          <t>2025-10-23</t>
        </is>
      </c>
      <c r="C268" s="17" t="inlineStr">
        <is>
          <t>11:41:48</t>
        </is>
      </c>
      <c r="D268" s="17" t="n">
        <v>1024</v>
      </c>
      <c r="E268" s="17" t="n">
        <v>117</v>
      </c>
      <c r="F268" s="17" t="n">
        <v>222</v>
      </c>
      <c r="G268" s="17" t="inlineStr">
        <is>
          <t>Mumbai</t>
        </is>
      </c>
      <c r="H268" s="17" t="inlineStr">
        <is>
          <t>Chinese</t>
        </is>
      </c>
      <c r="I268" s="22" t="n">
        <v>923</v>
      </c>
      <c r="J268" s="22" t="n">
        <v>0</v>
      </c>
      <c r="K268" s="22" t="n">
        <v>25</v>
      </c>
      <c r="L268" s="23" t="n">
        <v>0.2</v>
      </c>
      <c r="M268" s="22" t="n">
        <v>190.85</v>
      </c>
      <c r="N268" s="24" t="n">
        <v>1.4</v>
      </c>
      <c r="O268" s="24" t="n">
        <v>28.8</v>
      </c>
      <c r="P268" s="17" t="inlineStr">
        <is>
          <t>UPI</t>
        </is>
      </c>
      <c r="Q268" s="17" t="inlineStr">
        <is>
          <t>Delivered</t>
        </is>
      </c>
      <c r="R268" s="17" t="n">
        <v>4</v>
      </c>
      <c r="S268" s="17">
        <f>TEXT(B268,"yyyy-mm")</f>
        <v/>
      </c>
      <c r="T268" s="17">
        <f>VLOOKUP(D268,Customers!A:D,4,FALSE)</f>
        <v/>
      </c>
      <c r="U268" s="17">
        <f>CONCATENATE(A268,"-",G268)</f>
        <v/>
      </c>
      <c r="V268" s="17">
        <f>IF(N268="","",IF(N268&lt;=30,"Fast (&lt;30m)",IF(N268&lt;=45,"Moderate (30-45m)","Delayed (&gt;45m)")))</f>
        <v/>
      </c>
      <c r="W268" s="17">
        <f>IF(AND(I268&gt;600,P268="Delivered"),"High Value Delivered","Standard")</f>
        <v/>
      </c>
      <c r="X268" s="17">
        <f>IF(OR(N268&gt;50,Q268&lt;=2),"High Risk / Delayed","Normal")</f>
        <v/>
      </c>
      <c r="Y268" s="17">
        <f>IF(NOT(P268="Cancelled"),"Fulfilled","Cancelled")</f>
        <v/>
      </c>
      <c r="Z268" s="17">
        <f>IFERROR(Q268,0)</f>
        <v/>
      </c>
    </row>
    <row r="269">
      <c r="A269" s="25" t="inlineStr">
        <is>
          <t>ORD1268</t>
        </is>
      </c>
      <c r="B269" s="25" t="inlineStr">
        <is>
          <t>2025-05-14</t>
        </is>
      </c>
      <c r="C269" s="25" t="inlineStr">
        <is>
          <t>18:06:04</t>
        </is>
      </c>
      <c r="D269" s="25" t="n">
        <v>1256</v>
      </c>
      <c r="E269" s="25" t="n">
        <v>101</v>
      </c>
      <c r="F269" s="25" t="n">
        <v>210</v>
      </c>
      <c r="G269" s="25" t="inlineStr">
        <is>
          <t>Bangalore</t>
        </is>
      </c>
      <c r="H269" s="25" t="inlineStr">
        <is>
          <t>North Indian</t>
        </is>
      </c>
      <c r="I269" s="26" t="n">
        <v>570</v>
      </c>
      <c r="J269" s="26" t="n">
        <v>0</v>
      </c>
      <c r="K269" s="26" t="n">
        <v>25</v>
      </c>
      <c r="L269" s="27" t="n">
        <v>0.2</v>
      </c>
      <c r="M269" s="26" t="n">
        <v>120.25</v>
      </c>
      <c r="N269" s="28" t="n">
        <v>2.2</v>
      </c>
      <c r="O269" s="28" t="n">
        <v>22.2</v>
      </c>
      <c r="P269" s="25" t="inlineStr">
        <is>
          <t>UPI</t>
        </is>
      </c>
      <c r="Q269" s="25" t="inlineStr">
        <is>
          <t>Delivered</t>
        </is>
      </c>
      <c r="R269" s="25" t="n">
        <v>4</v>
      </c>
      <c r="S269" s="25">
        <f>TEXT(B269,"yyyy-mm")</f>
        <v/>
      </c>
      <c r="T269" s="25">
        <f>VLOOKUP(D269,Customers!A:D,4,FALSE)</f>
        <v/>
      </c>
      <c r="U269" s="25">
        <f>CONCATENATE(A269,"-",G269)</f>
        <v/>
      </c>
      <c r="V269" s="25">
        <f>IF(N269="","",IF(N269&lt;=30,"Fast (&lt;30m)",IF(N269&lt;=45,"Moderate (30-45m)","Delayed (&gt;45m)")))</f>
        <v/>
      </c>
      <c r="W269" s="25">
        <f>IF(AND(I269&gt;600,P269="Delivered"),"High Value Delivered","Standard")</f>
        <v/>
      </c>
      <c r="X269" s="25">
        <f>IF(OR(N269&gt;50,Q269&lt;=2),"High Risk / Delayed","Normal")</f>
        <v/>
      </c>
      <c r="Y269" s="25">
        <f>IF(NOT(P269="Cancelled"),"Fulfilled","Cancelled")</f>
        <v/>
      </c>
      <c r="Z269" s="25">
        <f>IFERROR(Q269,0)</f>
        <v/>
      </c>
    </row>
    <row r="270">
      <c r="A270" s="17" t="inlineStr">
        <is>
          <t>ORD1269</t>
        </is>
      </c>
      <c r="B270" s="17" t="inlineStr">
        <is>
          <t>2025-12-27</t>
        </is>
      </c>
      <c r="C270" s="17" t="inlineStr">
        <is>
          <t>21:01:27</t>
        </is>
      </c>
      <c r="D270" s="17" t="n">
        <v>1185</v>
      </c>
      <c r="E270" s="17" t="n">
        <v>106</v>
      </c>
      <c r="F270" s="17" t="n">
        <v>209</v>
      </c>
      <c r="G270" s="17" t="inlineStr">
        <is>
          <t>Pune</t>
        </is>
      </c>
      <c r="H270" s="17" t="inlineStr">
        <is>
          <t>South Indian</t>
        </is>
      </c>
      <c r="I270" s="22" t="n">
        <v>889</v>
      </c>
      <c r="J270" s="22" t="n">
        <v>0</v>
      </c>
      <c r="K270" s="22" t="n">
        <v>28</v>
      </c>
      <c r="L270" s="23" t="n">
        <v>0.15</v>
      </c>
      <c r="M270" s="22" t="n">
        <v>140.35</v>
      </c>
      <c r="N270" s="24" t="n">
        <v>3.6</v>
      </c>
      <c r="O270" s="24" t="n">
        <v>39.2</v>
      </c>
      <c r="P270" s="17" t="inlineStr">
        <is>
          <t>Credit Card</t>
        </is>
      </c>
      <c r="Q270" s="17" t="inlineStr">
        <is>
          <t>Delivered</t>
        </is>
      </c>
      <c r="R270" s="17" t="n">
        <v>5</v>
      </c>
      <c r="S270" s="17">
        <f>TEXT(B270,"yyyy-mm")</f>
        <v/>
      </c>
      <c r="T270" s="17">
        <f>VLOOKUP(D270,Customers!A:D,4,FALSE)</f>
        <v/>
      </c>
      <c r="U270" s="17">
        <f>CONCATENATE(A270,"-",G270)</f>
        <v/>
      </c>
      <c r="V270" s="17">
        <f>IF(N270="","",IF(N270&lt;=30,"Fast (&lt;30m)",IF(N270&lt;=45,"Moderate (30-45m)","Delayed (&gt;45m)")))</f>
        <v/>
      </c>
      <c r="W270" s="17">
        <f>IF(AND(I270&gt;600,P270="Delivered"),"High Value Delivered","Standard")</f>
        <v/>
      </c>
      <c r="X270" s="17">
        <f>IF(OR(N270&gt;50,Q270&lt;=2),"High Risk / Delayed","Normal")</f>
        <v/>
      </c>
      <c r="Y270" s="17">
        <f>IF(NOT(P270="Cancelled"),"Fulfilled","Cancelled")</f>
        <v/>
      </c>
      <c r="Z270" s="17">
        <f>IFERROR(Q270,0)</f>
        <v/>
      </c>
    </row>
    <row r="271">
      <c r="A271" s="25" t="inlineStr">
        <is>
          <t>ORD1270</t>
        </is>
      </c>
      <c r="B271" s="25" t="inlineStr">
        <is>
          <t>2025-06-19</t>
        </is>
      </c>
      <c r="C271" s="25" t="inlineStr">
        <is>
          <t>22:13:12</t>
        </is>
      </c>
      <c r="D271" s="25" t="n">
        <v>1257</v>
      </c>
      <c r="E271" s="25" t="n">
        <v>116</v>
      </c>
      <c r="F271" s="25" t="n">
        <v>224</v>
      </c>
      <c r="G271" s="25" t="inlineStr">
        <is>
          <t>Pune</t>
        </is>
      </c>
      <c r="H271" s="25" t="inlineStr">
        <is>
          <t>Desserts</t>
        </is>
      </c>
      <c r="I271" s="26" t="n">
        <v>917</v>
      </c>
      <c r="J271" s="26" t="n">
        <v>142.51</v>
      </c>
      <c r="K271" s="26" t="n">
        <v>0</v>
      </c>
      <c r="L271" s="27" t="n">
        <v>0.25</v>
      </c>
      <c r="M271" s="26" t="n">
        <v>229.25</v>
      </c>
      <c r="N271" s="28" t="n">
        <v>2.6</v>
      </c>
      <c r="O271" s="28" t="n">
        <v>30.2</v>
      </c>
      <c r="P271" s="25" t="inlineStr">
        <is>
          <t>Digital Wallet</t>
        </is>
      </c>
      <c r="Q271" s="25" t="inlineStr">
        <is>
          <t>Delivered</t>
        </is>
      </c>
      <c r="R271" s="25" t="n">
        <v>5</v>
      </c>
      <c r="S271" s="25">
        <f>TEXT(B271,"yyyy-mm")</f>
        <v/>
      </c>
      <c r="T271" s="25">
        <f>VLOOKUP(D271,Customers!A:D,4,FALSE)</f>
        <v/>
      </c>
      <c r="U271" s="25">
        <f>CONCATENATE(A271,"-",G271)</f>
        <v/>
      </c>
      <c r="V271" s="25">
        <f>IF(N271="","",IF(N271&lt;=30,"Fast (&lt;30m)",IF(N271&lt;=45,"Moderate (30-45m)","Delayed (&gt;45m)")))</f>
        <v/>
      </c>
      <c r="W271" s="25">
        <f>IF(AND(I271&gt;600,P271="Delivered"),"High Value Delivered","Standard")</f>
        <v/>
      </c>
      <c r="X271" s="25">
        <f>IF(OR(N271&gt;50,Q271&lt;=2),"High Risk / Delayed","Normal")</f>
        <v/>
      </c>
      <c r="Y271" s="25">
        <f>IF(NOT(P271="Cancelled"),"Fulfilled","Cancelled")</f>
        <v/>
      </c>
      <c r="Z271" s="25">
        <f>IFERROR(Q271,0)</f>
        <v/>
      </c>
    </row>
    <row r="272">
      <c r="A272" s="17" t="inlineStr">
        <is>
          <t>ORD1271</t>
        </is>
      </c>
      <c r="B272" s="17" t="inlineStr">
        <is>
          <t>2025-05-02</t>
        </is>
      </c>
      <c r="C272" s="17" t="inlineStr">
        <is>
          <t>20:06:03</t>
        </is>
      </c>
      <c r="D272" s="17" t="n">
        <v>1029</v>
      </c>
      <c r="E272" s="17" t="n">
        <v>108</v>
      </c>
      <c r="F272" s="17" t="n">
        <v>221</v>
      </c>
      <c r="G272" s="17" t="inlineStr">
        <is>
          <t>Delhi NCR</t>
        </is>
      </c>
      <c r="H272" s="17" t="inlineStr">
        <is>
          <t>Fast Food</t>
        </is>
      </c>
      <c r="I272" s="22" t="n">
        <v>622</v>
      </c>
      <c r="J272" s="22" t="n">
        <v>41.79</v>
      </c>
      <c r="K272" s="22" t="n">
        <v>35</v>
      </c>
      <c r="L272" s="23" t="n">
        <v>0.18</v>
      </c>
      <c r="M272" s="22" t="n">
        <v>120.71</v>
      </c>
      <c r="N272" s="24" t="n">
        <v>5</v>
      </c>
      <c r="O272" s="24" t="n">
        <v>33.4</v>
      </c>
      <c r="P272" s="17" t="inlineStr">
        <is>
          <t>Debit Card</t>
        </is>
      </c>
      <c r="Q272" s="17" t="inlineStr">
        <is>
          <t>Delivered</t>
        </is>
      </c>
      <c r="R272" s="17" t="n">
        <v>5</v>
      </c>
      <c r="S272" s="17">
        <f>TEXT(B272,"yyyy-mm")</f>
        <v/>
      </c>
      <c r="T272" s="17">
        <f>VLOOKUP(D272,Customers!A:D,4,FALSE)</f>
        <v/>
      </c>
      <c r="U272" s="17">
        <f>CONCATENATE(A272,"-",G272)</f>
        <v/>
      </c>
      <c r="V272" s="17">
        <f>IF(N272="","",IF(N272&lt;=30,"Fast (&lt;30m)",IF(N272&lt;=45,"Moderate (30-45m)","Delayed (&gt;45m)")))</f>
        <v/>
      </c>
      <c r="W272" s="17">
        <f>IF(AND(I272&gt;600,P272="Delivered"),"High Value Delivered","Standard")</f>
        <v/>
      </c>
      <c r="X272" s="17">
        <f>IF(OR(N272&gt;50,Q272&lt;=2),"High Risk / Delayed","Normal")</f>
        <v/>
      </c>
      <c r="Y272" s="17">
        <f>IF(NOT(P272="Cancelled"),"Fulfilled","Cancelled")</f>
        <v/>
      </c>
      <c r="Z272" s="17">
        <f>IFERROR(Q272,0)</f>
        <v/>
      </c>
    </row>
    <row r="273">
      <c r="A273" s="25" t="inlineStr">
        <is>
          <t>ORD1272</t>
        </is>
      </c>
      <c r="B273" s="25" t="inlineStr">
        <is>
          <t>2025-02-14</t>
        </is>
      </c>
      <c r="C273" s="25" t="inlineStr">
        <is>
          <t>13:18:52</t>
        </is>
      </c>
      <c r="D273" s="25" t="n">
        <v>1174</v>
      </c>
      <c r="E273" s="25" t="n">
        <v>114</v>
      </c>
      <c r="F273" s="25" t="n">
        <v>216</v>
      </c>
      <c r="G273" s="25" t="inlineStr">
        <is>
          <t>Hyderabad</t>
        </is>
      </c>
      <c r="H273" s="25" t="inlineStr">
        <is>
          <t>Biryani</t>
        </is>
      </c>
      <c r="I273" s="26" t="n">
        <v>897</v>
      </c>
      <c r="J273" s="26" t="n">
        <v>34.47</v>
      </c>
      <c r="K273" s="26" t="n">
        <v>25</v>
      </c>
      <c r="L273" s="27" t="n">
        <v>0.22</v>
      </c>
      <c r="M273" s="26" t="n">
        <v>203.59</v>
      </c>
      <c r="N273" s="28" t="n">
        <v>2.9</v>
      </c>
      <c r="O273" s="28" t="n">
        <v>24.6</v>
      </c>
      <c r="P273" s="25" t="inlineStr">
        <is>
          <t>Credit Card</t>
        </is>
      </c>
      <c r="Q273" s="25" t="inlineStr">
        <is>
          <t>Delivered</t>
        </is>
      </c>
      <c r="R273" s="25" t="n">
        <v>5</v>
      </c>
      <c r="S273" s="25">
        <f>TEXT(B273,"yyyy-mm")</f>
        <v/>
      </c>
      <c r="T273" s="25">
        <f>VLOOKUP(D273,Customers!A:D,4,FALSE)</f>
        <v/>
      </c>
      <c r="U273" s="25">
        <f>CONCATENATE(A273,"-",G273)</f>
        <v/>
      </c>
      <c r="V273" s="25">
        <f>IF(N273="","",IF(N273&lt;=30,"Fast (&lt;30m)",IF(N273&lt;=45,"Moderate (30-45m)","Delayed (&gt;45m)")))</f>
        <v/>
      </c>
      <c r="W273" s="25">
        <f>IF(AND(I273&gt;600,P273="Delivered"),"High Value Delivered","Standard")</f>
        <v/>
      </c>
      <c r="X273" s="25">
        <f>IF(OR(N273&gt;50,Q273&lt;=2),"High Risk / Delayed","Normal")</f>
        <v/>
      </c>
      <c r="Y273" s="25">
        <f>IF(NOT(P273="Cancelled"),"Fulfilled","Cancelled")</f>
        <v/>
      </c>
      <c r="Z273" s="25">
        <f>IFERROR(Q273,0)</f>
        <v/>
      </c>
    </row>
    <row r="274">
      <c r="A274" s="17" t="inlineStr">
        <is>
          <t>ORD1273</t>
        </is>
      </c>
      <c r="B274" s="17" t="inlineStr">
        <is>
          <t>2025-02-11</t>
        </is>
      </c>
      <c r="C274" s="17" t="inlineStr">
        <is>
          <t>11:30:54</t>
        </is>
      </c>
      <c r="D274" s="17" t="n">
        <v>1294</v>
      </c>
      <c r="E274" s="17" t="n">
        <v>108</v>
      </c>
      <c r="F274" s="17" t="n">
        <v>219</v>
      </c>
      <c r="G274" s="17" t="inlineStr">
        <is>
          <t>Delhi NCR</t>
        </is>
      </c>
      <c r="H274" s="17" t="inlineStr">
        <is>
          <t>Fast Food</t>
        </is>
      </c>
      <c r="I274" s="22" t="n">
        <v>338</v>
      </c>
      <c r="J274" s="22" t="n">
        <v>0</v>
      </c>
      <c r="K274" s="22" t="n">
        <v>31</v>
      </c>
      <c r="L274" s="23" t="n">
        <v>0.18</v>
      </c>
      <c r="M274" s="22" t="n">
        <v>68.59</v>
      </c>
      <c r="N274" s="24" t="n">
        <v>4.2</v>
      </c>
      <c r="O274" s="24" t="n">
        <v>36.7</v>
      </c>
      <c r="P274" s="17" t="inlineStr">
        <is>
          <t>Cash on Delivery</t>
        </is>
      </c>
      <c r="Q274" s="17" t="inlineStr">
        <is>
          <t>Delivered</t>
        </is>
      </c>
      <c r="R274" s="17" t="n">
        <v>5</v>
      </c>
      <c r="S274" s="17">
        <f>TEXT(B274,"yyyy-mm")</f>
        <v/>
      </c>
      <c r="T274" s="17">
        <f>VLOOKUP(D274,Customers!A:D,4,FALSE)</f>
        <v/>
      </c>
      <c r="U274" s="17">
        <f>CONCATENATE(A274,"-",G274)</f>
        <v/>
      </c>
      <c r="V274" s="17">
        <f>IF(N274="","",IF(N274&lt;=30,"Fast (&lt;30m)",IF(N274&lt;=45,"Moderate (30-45m)","Delayed (&gt;45m)")))</f>
        <v/>
      </c>
      <c r="W274" s="17">
        <f>IF(AND(I274&gt;600,P274="Delivered"),"High Value Delivered","Standard")</f>
        <v/>
      </c>
      <c r="X274" s="17">
        <f>IF(OR(N274&gt;50,Q274&lt;=2),"High Risk / Delayed","Normal")</f>
        <v/>
      </c>
      <c r="Y274" s="17">
        <f>IF(NOT(P274="Cancelled"),"Fulfilled","Cancelled")</f>
        <v/>
      </c>
      <c r="Z274" s="17">
        <f>IFERROR(Q274,0)</f>
        <v/>
      </c>
    </row>
    <row r="275">
      <c r="A275" s="25" t="inlineStr">
        <is>
          <t>ORD1274</t>
        </is>
      </c>
      <c r="B275" s="25" t="inlineStr">
        <is>
          <t>2025-04-05</t>
        </is>
      </c>
      <c r="C275" s="25" t="inlineStr">
        <is>
          <t>19:23:56</t>
        </is>
      </c>
      <c r="D275" s="25" t="n">
        <v>1055</v>
      </c>
      <c r="E275" s="25" t="n">
        <v>115</v>
      </c>
      <c r="F275" s="25" t="n">
        <v>201</v>
      </c>
      <c r="G275" s="25" t="inlineStr">
        <is>
          <t>Bangalore</t>
        </is>
      </c>
      <c r="H275" s="25" t="inlineStr">
        <is>
          <t>Italian</t>
        </is>
      </c>
      <c r="I275" s="26" t="n">
        <v>610</v>
      </c>
      <c r="J275" s="26" t="n">
        <v>0</v>
      </c>
      <c r="K275" s="26" t="n">
        <v>29</v>
      </c>
      <c r="L275" s="27" t="n">
        <v>0.2</v>
      </c>
      <c r="M275" s="26" t="n">
        <v>129.25</v>
      </c>
      <c r="N275" s="28" t="n">
        <v>3.8</v>
      </c>
      <c r="O275" s="28" t="n">
        <v>30.8</v>
      </c>
      <c r="P275" s="25" t="inlineStr">
        <is>
          <t>Debit Card</t>
        </is>
      </c>
      <c r="Q275" s="25" t="inlineStr">
        <is>
          <t>Delivered</t>
        </is>
      </c>
      <c r="R275" s="25" t="n">
        <v>3</v>
      </c>
      <c r="S275" s="25">
        <f>TEXT(B275,"yyyy-mm")</f>
        <v/>
      </c>
      <c r="T275" s="25">
        <f>VLOOKUP(D275,Customers!A:D,4,FALSE)</f>
        <v/>
      </c>
      <c r="U275" s="25">
        <f>CONCATENATE(A275,"-",G275)</f>
        <v/>
      </c>
      <c r="V275" s="25">
        <f>IF(N275="","",IF(N275&lt;=30,"Fast (&lt;30m)",IF(N275&lt;=45,"Moderate (30-45m)","Delayed (&gt;45m)")))</f>
        <v/>
      </c>
      <c r="W275" s="25">
        <f>IF(AND(I275&gt;600,P275="Delivered"),"High Value Delivered","Standard")</f>
        <v/>
      </c>
      <c r="X275" s="25">
        <f>IF(OR(N275&gt;50,Q275&lt;=2),"High Risk / Delayed","Normal")</f>
        <v/>
      </c>
      <c r="Y275" s="25">
        <f>IF(NOT(P275="Cancelled"),"Fulfilled","Cancelled")</f>
        <v/>
      </c>
      <c r="Z275" s="25">
        <f>IFERROR(Q275,0)</f>
        <v/>
      </c>
    </row>
    <row r="276">
      <c r="A276" s="17" t="inlineStr">
        <is>
          <t>ORD1275</t>
        </is>
      </c>
      <c r="B276" s="17" t="inlineStr">
        <is>
          <t>2025-04-26</t>
        </is>
      </c>
      <c r="C276" s="17" t="inlineStr">
        <is>
          <t>19:53:17</t>
        </is>
      </c>
      <c r="D276" s="17" t="n">
        <v>1213</v>
      </c>
      <c r="E276" s="17" t="n">
        <v>112</v>
      </c>
      <c r="F276" s="17" t="n">
        <v>219</v>
      </c>
      <c r="G276" s="17" t="inlineStr">
        <is>
          <t>Delhi NCR</t>
        </is>
      </c>
      <c r="H276" s="17" t="inlineStr">
        <is>
          <t>North Indian</t>
        </is>
      </c>
      <c r="I276" s="22" t="n">
        <v>797</v>
      </c>
      <c r="J276" s="22" t="n">
        <v>43.29</v>
      </c>
      <c r="K276" s="22" t="n">
        <v>27.5</v>
      </c>
      <c r="L276" s="23" t="n">
        <v>0.22</v>
      </c>
      <c r="M276" s="22" t="n">
        <v>182.22</v>
      </c>
      <c r="N276" s="24" t="n">
        <v>3.5</v>
      </c>
      <c r="O276" s="24" t="n">
        <v>33.3</v>
      </c>
      <c r="P276" s="17" t="inlineStr">
        <is>
          <t>UPI</t>
        </is>
      </c>
      <c r="Q276" s="17" t="inlineStr">
        <is>
          <t>Delivered</t>
        </is>
      </c>
      <c r="R276" s="17" t="n">
        <v>5</v>
      </c>
      <c r="S276" s="17">
        <f>TEXT(B276,"yyyy-mm")</f>
        <v/>
      </c>
      <c r="T276" s="17">
        <f>VLOOKUP(D276,Customers!A:D,4,FALSE)</f>
        <v/>
      </c>
      <c r="U276" s="17">
        <f>CONCATENATE(A276,"-",G276)</f>
        <v/>
      </c>
      <c r="V276" s="17">
        <f>IF(N276="","",IF(N276&lt;=30,"Fast (&lt;30m)",IF(N276&lt;=45,"Moderate (30-45m)","Delayed (&gt;45m)")))</f>
        <v/>
      </c>
      <c r="W276" s="17">
        <f>IF(AND(I276&gt;600,P276="Delivered"),"High Value Delivered","Standard")</f>
        <v/>
      </c>
      <c r="X276" s="17">
        <f>IF(OR(N276&gt;50,Q276&lt;=2),"High Risk / Delayed","Normal")</f>
        <v/>
      </c>
      <c r="Y276" s="17">
        <f>IF(NOT(P276="Cancelled"),"Fulfilled","Cancelled")</f>
        <v/>
      </c>
      <c r="Z276" s="17">
        <f>IFERROR(Q276,0)</f>
        <v/>
      </c>
    </row>
    <row r="277">
      <c r="A277" s="25" t="inlineStr">
        <is>
          <t>ORD1276</t>
        </is>
      </c>
      <c r="B277" s="25" t="inlineStr">
        <is>
          <t>2025-10-05</t>
        </is>
      </c>
      <c r="C277" s="25" t="inlineStr">
        <is>
          <t>16:26:48</t>
        </is>
      </c>
      <c r="D277" s="25" t="n">
        <v>1057</v>
      </c>
      <c r="E277" s="25" t="n">
        <v>107</v>
      </c>
      <c r="F277" s="25" t="n">
        <v>202</v>
      </c>
      <c r="G277" s="25" t="inlineStr">
        <is>
          <t>Mumbai</t>
        </is>
      </c>
      <c r="H277" s="25" t="inlineStr">
        <is>
          <t>Desserts</t>
        </is>
      </c>
      <c r="I277" s="26" t="n">
        <v>823</v>
      </c>
      <c r="J277" s="26" t="n">
        <v>0</v>
      </c>
      <c r="K277" s="26" t="n">
        <v>56.5</v>
      </c>
      <c r="L277" s="27" t="n">
        <v>0.25</v>
      </c>
      <c r="M277" s="26" t="n">
        <v>219.88</v>
      </c>
      <c r="N277" s="28" t="n">
        <v>9.300000000000001</v>
      </c>
      <c r="O277" s="28" t="n">
        <v>40.9</v>
      </c>
      <c r="P277" s="25" t="inlineStr">
        <is>
          <t>Cash on Delivery</t>
        </is>
      </c>
      <c r="Q277" s="25" t="inlineStr">
        <is>
          <t>Delivered</t>
        </is>
      </c>
      <c r="R277" s="25" t="n">
        <v>3</v>
      </c>
      <c r="S277" s="25">
        <f>TEXT(B277,"yyyy-mm")</f>
        <v/>
      </c>
      <c r="T277" s="25">
        <f>VLOOKUP(D277,Customers!A:D,4,FALSE)</f>
        <v/>
      </c>
      <c r="U277" s="25">
        <f>CONCATENATE(A277,"-",G277)</f>
        <v/>
      </c>
      <c r="V277" s="25">
        <f>IF(N277="","",IF(N277&lt;=30,"Fast (&lt;30m)",IF(N277&lt;=45,"Moderate (30-45m)","Delayed (&gt;45m)")))</f>
        <v/>
      </c>
      <c r="W277" s="25">
        <f>IF(AND(I277&gt;600,P277="Delivered"),"High Value Delivered","Standard")</f>
        <v/>
      </c>
      <c r="X277" s="25">
        <f>IF(OR(N277&gt;50,Q277&lt;=2),"High Risk / Delayed","Normal")</f>
        <v/>
      </c>
      <c r="Y277" s="25">
        <f>IF(NOT(P277="Cancelled"),"Fulfilled","Cancelled")</f>
        <v/>
      </c>
      <c r="Z277" s="25">
        <f>IFERROR(Q277,0)</f>
        <v/>
      </c>
    </row>
    <row r="278">
      <c r="A278" s="17" t="inlineStr">
        <is>
          <t>ORD1277</t>
        </is>
      </c>
      <c r="B278" s="17" t="inlineStr">
        <is>
          <t>2025-09-01</t>
        </is>
      </c>
      <c r="C278" s="17" t="inlineStr">
        <is>
          <t>13:19:05</t>
        </is>
      </c>
      <c r="D278" s="17" t="n">
        <v>1159</v>
      </c>
      <c r="E278" s="17" t="n">
        <v>112</v>
      </c>
      <c r="F278" s="17" t="n">
        <v>221</v>
      </c>
      <c r="G278" s="17" t="inlineStr">
        <is>
          <t>Delhi NCR</t>
        </is>
      </c>
      <c r="H278" s="17" t="inlineStr">
        <is>
          <t>North Indian</t>
        </is>
      </c>
      <c r="I278" s="22" t="n">
        <v>624</v>
      </c>
      <c r="J278" s="22" t="n">
        <v>35.66</v>
      </c>
      <c r="K278" s="22" t="n">
        <v>25.5</v>
      </c>
      <c r="L278" s="23" t="n">
        <v>0.22</v>
      </c>
      <c r="M278" s="22" t="n">
        <v>143.66</v>
      </c>
      <c r="N278" s="24" t="n">
        <v>3.1</v>
      </c>
      <c r="O278" s="24" t="n">
        <v/>
      </c>
      <c r="P278" s="17" t="inlineStr">
        <is>
          <t>Digital Wallet</t>
        </is>
      </c>
      <c r="Q278" s="17" t="inlineStr">
        <is>
          <t>Cancelled</t>
        </is>
      </c>
      <c r="R278" s="17" t="n">
        <v/>
      </c>
      <c r="S278" s="17">
        <f>TEXT(B278,"yyyy-mm")</f>
        <v/>
      </c>
      <c r="T278" s="17">
        <f>VLOOKUP(D278,Customers!A:D,4,FALSE)</f>
        <v/>
      </c>
      <c r="U278" s="17">
        <f>CONCATENATE(A278,"-",G278)</f>
        <v/>
      </c>
      <c r="V278" s="17">
        <f>IF(N278="","",IF(N278&lt;=30,"Fast (&lt;30m)",IF(N278&lt;=45,"Moderate (30-45m)","Delayed (&gt;45m)")))</f>
        <v/>
      </c>
      <c r="W278" s="17">
        <f>IF(AND(I278&gt;600,P278="Delivered"),"High Value Delivered","Standard")</f>
        <v/>
      </c>
      <c r="X278" s="17">
        <f>IF(OR(N278&gt;50,Q278&lt;=2),"High Risk / Delayed","Normal")</f>
        <v/>
      </c>
      <c r="Y278" s="17">
        <f>IF(NOT(P278="Cancelled"),"Fulfilled","Cancelled")</f>
        <v/>
      </c>
      <c r="Z278" s="17">
        <f>IFERROR(Q278,0)</f>
        <v/>
      </c>
    </row>
    <row r="279">
      <c r="A279" s="25" t="inlineStr">
        <is>
          <t>ORD1278</t>
        </is>
      </c>
      <c r="B279" s="25" t="inlineStr">
        <is>
          <t>2025-03-30</t>
        </is>
      </c>
      <c r="C279" s="25" t="inlineStr">
        <is>
          <t>09:10:13</t>
        </is>
      </c>
      <c r="D279" s="25" t="n">
        <v>1167</v>
      </c>
      <c r="E279" s="25" t="n">
        <v>108</v>
      </c>
      <c r="F279" s="25" t="n">
        <v>211</v>
      </c>
      <c r="G279" s="25" t="inlineStr">
        <is>
          <t>Delhi NCR</t>
        </is>
      </c>
      <c r="H279" s="25" t="inlineStr">
        <is>
          <t>Fast Food</t>
        </is>
      </c>
      <c r="I279" s="26" t="n">
        <v>417</v>
      </c>
      <c r="J279" s="26" t="n">
        <v>0</v>
      </c>
      <c r="K279" s="26" t="n">
        <v>66.5</v>
      </c>
      <c r="L279" s="27" t="n">
        <v>0.18</v>
      </c>
      <c r="M279" s="26" t="n">
        <v>91.68000000000001</v>
      </c>
      <c r="N279" s="28" t="n">
        <v>11.3</v>
      </c>
      <c r="O279" s="28" t="n">
        <v>50.7</v>
      </c>
      <c r="P279" s="25" t="inlineStr">
        <is>
          <t>Cash on Delivery</t>
        </is>
      </c>
      <c r="Q279" s="25" t="inlineStr">
        <is>
          <t>Delivered</t>
        </is>
      </c>
      <c r="R279" s="25" t="n">
        <v>1</v>
      </c>
      <c r="S279" s="25">
        <f>TEXT(B279,"yyyy-mm")</f>
        <v/>
      </c>
      <c r="T279" s="25">
        <f>VLOOKUP(D279,Customers!A:D,4,FALSE)</f>
        <v/>
      </c>
      <c r="U279" s="25">
        <f>CONCATENATE(A279,"-",G279)</f>
        <v/>
      </c>
      <c r="V279" s="25">
        <f>IF(N279="","",IF(N279&lt;=30,"Fast (&lt;30m)",IF(N279&lt;=45,"Moderate (30-45m)","Delayed (&gt;45m)")))</f>
        <v/>
      </c>
      <c r="W279" s="25">
        <f>IF(AND(I279&gt;600,P279="Delivered"),"High Value Delivered","Standard")</f>
        <v/>
      </c>
      <c r="X279" s="25">
        <f>IF(OR(N279&gt;50,Q279&lt;=2),"High Risk / Delayed","Normal")</f>
        <v/>
      </c>
      <c r="Y279" s="25">
        <f>IF(NOT(P279="Cancelled"),"Fulfilled","Cancelled")</f>
        <v/>
      </c>
      <c r="Z279" s="25">
        <f>IFERROR(Q279,0)</f>
        <v/>
      </c>
    </row>
    <row r="280">
      <c r="A280" s="17" t="inlineStr">
        <is>
          <t>ORD1279</t>
        </is>
      </c>
      <c r="B280" s="17" t="inlineStr">
        <is>
          <t>2025-11-01</t>
        </is>
      </c>
      <c r="C280" s="17" t="inlineStr">
        <is>
          <t>13:16:20</t>
        </is>
      </c>
      <c r="D280" s="17" t="n">
        <v>1256</v>
      </c>
      <c r="E280" s="17" t="n">
        <v>101</v>
      </c>
      <c r="F280" s="17" t="n">
        <v>227</v>
      </c>
      <c r="G280" s="17" t="inlineStr">
        <is>
          <t>Bangalore</t>
        </is>
      </c>
      <c r="H280" s="17" t="inlineStr">
        <is>
          <t>North Indian</t>
        </is>
      </c>
      <c r="I280" s="22" t="n">
        <v>288</v>
      </c>
      <c r="J280" s="22" t="n">
        <v>0</v>
      </c>
      <c r="K280" s="22" t="n">
        <v>32</v>
      </c>
      <c r="L280" s="23" t="n">
        <v>0.2</v>
      </c>
      <c r="M280" s="22" t="n">
        <v>65.59999999999999</v>
      </c>
      <c r="N280" s="24" t="n">
        <v>4.4</v>
      </c>
      <c r="O280" s="24" t="n">
        <v>36.7</v>
      </c>
      <c r="P280" s="17" t="inlineStr">
        <is>
          <t>Digital Wallet</t>
        </is>
      </c>
      <c r="Q280" s="17" t="inlineStr">
        <is>
          <t>Delivered</t>
        </is>
      </c>
      <c r="R280" s="17" t="n">
        <v>5</v>
      </c>
      <c r="S280" s="17">
        <f>TEXT(B280,"yyyy-mm")</f>
        <v/>
      </c>
      <c r="T280" s="17">
        <f>VLOOKUP(D280,Customers!A:D,4,FALSE)</f>
        <v/>
      </c>
      <c r="U280" s="17">
        <f>CONCATENATE(A280,"-",G280)</f>
        <v/>
      </c>
      <c r="V280" s="17">
        <f>IF(N280="","",IF(N280&lt;=30,"Fast (&lt;30m)",IF(N280&lt;=45,"Moderate (30-45m)","Delayed (&gt;45m)")))</f>
        <v/>
      </c>
      <c r="W280" s="17">
        <f>IF(AND(I280&gt;600,P280="Delivered"),"High Value Delivered","Standard")</f>
        <v/>
      </c>
      <c r="X280" s="17">
        <f>IF(OR(N280&gt;50,Q280&lt;=2),"High Risk / Delayed","Normal")</f>
        <v/>
      </c>
      <c r="Y280" s="17">
        <f>IF(NOT(P280="Cancelled"),"Fulfilled","Cancelled")</f>
        <v/>
      </c>
      <c r="Z280" s="17">
        <f>IFERROR(Q280,0)</f>
        <v/>
      </c>
    </row>
    <row r="281">
      <c r="A281" s="25" t="inlineStr">
        <is>
          <t>ORD1280</t>
        </is>
      </c>
      <c r="B281" s="25" t="inlineStr">
        <is>
          <t>2025-01-07</t>
        </is>
      </c>
      <c r="C281" s="25" t="inlineStr">
        <is>
          <t>09:50:44</t>
        </is>
      </c>
      <c r="D281" s="25" t="n">
        <v>1297</v>
      </c>
      <c r="E281" s="25" t="n">
        <v>102</v>
      </c>
      <c r="F281" s="25" t="n">
        <v>215</v>
      </c>
      <c r="G281" s="25" t="inlineStr">
        <is>
          <t>Hyderabad</t>
        </is>
      </c>
      <c r="H281" s="25" t="inlineStr">
        <is>
          <t>Biryani</t>
        </is>
      </c>
      <c r="I281" s="26" t="n">
        <v>858</v>
      </c>
      <c r="J281" s="26" t="n">
        <v>78.19</v>
      </c>
      <c r="K281" s="26" t="n">
        <v>25</v>
      </c>
      <c r="L281" s="27" t="n">
        <v>0.22</v>
      </c>
      <c r="M281" s="26" t="n">
        <v>195.01</v>
      </c>
      <c r="N281" s="28" t="n">
        <v>2.1</v>
      </c>
      <c r="O281" s="28" t="n">
        <v>32.3</v>
      </c>
      <c r="P281" s="25" t="inlineStr">
        <is>
          <t>UPI</t>
        </is>
      </c>
      <c r="Q281" s="25" t="inlineStr">
        <is>
          <t>Delivered</t>
        </is>
      </c>
      <c r="R281" s="25" t="n">
        <v>4</v>
      </c>
      <c r="S281" s="25">
        <f>TEXT(B281,"yyyy-mm")</f>
        <v/>
      </c>
      <c r="T281" s="25">
        <f>VLOOKUP(D281,Customers!A:D,4,FALSE)</f>
        <v/>
      </c>
      <c r="U281" s="25">
        <f>CONCATENATE(A281,"-",G281)</f>
        <v/>
      </c>
      <c r="V281" s="25">
        <f>IF(N281="","",IF(N281&lt;=30,"Fast (&lt;30m)",IF(N281&lt;=45,"Moderate (30-45m)","Delayed (&gt;45m)")))</f>
        <v/>
      </c>
      <c r="W281" s="25">
        <f>IF(AND(I281&gt;600,P281="Delivered"),"High Value Delivered","Standard")</f>
        <v/>
      </c>
      <c r="X281" s="25">
        <f>IF(OR(N281&gt;50,Q281&lt;=2),"High Risk / Delayed","Normal")</f>
        <v/>
      </c>
      <c r="Y281" s="25">
        <f>IF(NOT(P281="Cancelled"),"Fulfilled","Cancelled")</f>
        <v/>
      </c>
      <c r="Z281" s="25">
        <f>IFERROR(Q281,0)</f>
        <v/>
      </c>
    </row>
    <row r="282">
      <c r="A282" s="17" t="inlineStr">
        <is>
          <t>ORD1281</t>
        </is>
      </c>
      <c r="B282" s="17" t="inlineStr">
        <is>
          <t>2025-10-18</t>
        </is>
      </c>
      <c r="C282" s="17" t="inlineStr">
        <is>
          <t>09:37:37</t>
        </is>
      </c>
      <c r="D282" s="17" t="n">
        <v>1241</v>
      </c>
      <c r="E282" s="17" t="n">
        <v>114</v>
      </c>
      <c r="F282" s="17" t="n">
        <v>216</v>
      </c>
      <c r="G282" s="17" t="inlineStr">
        <is>
          <t>Hyderabad</t>
        </is>
      </c>
      <c r="H282" s="17" t="inlineStr">
        <is>
          <t>Biryani</t>
        </is>
      </c>
      <c r="I282" s="22" t="n">
        <v>658</v>
      </c>
      <c r="J282" s="22" t="n">
        <v>72.75</v>
      </c>
      <c r="K282" s="22" t="n">
        <v>0</v>
      </c>
      <c r="L282" s="23" t="n">
        <v>0.22</v>
      </c>
      <c r="M282" s="22" t="n">
        <v>144.76</v>
      </c>
      <c r="N282" s="24" t="n">
        <v>1.7</v>
      </c>
      <c r="O282" s="24" t="n">
        <v>30.9</v>
      </c>
      <c r="P282" s="17" t="inlineStr">
        <is>
          <t>Debit Card</t>
        </is>
      </c>
      <c r="Q282" s="17" t="inlineStr">
        <is>
          <t>Delivered</t>
        </is>
      </c>
      <c r="R282" s="17" t="n">
        <v>5</v>
      </c>
      <c r="S282" s="17">
        <f>TEXT(B282,"yyyy-mm")</f>
        <v/>
      </c>
      <c r="T282" s="17">
        <f>VLOOKUP(D282,Customers!A:D,4,FALSE)</f>
        <v/>
      </c>
      <c r="U282" s="17">
        <f>CONCATENATE(A282,"-",G282)</f>
        <v/>
      </c>
      <c r="V282" s="17">
        <f>IF(N282="","",IF(N282&lt;=30,"Fast (&lt;30m)",IF(N282&lt;=45,"Moderate (30-45m)","Delayed (&gt;45m)")))</f>
        <v/>
      </c>
      <c r="W282" s="17">
        <f>IF(AND(I282&gt;600,P282="Delivered"),"High Value Delivered","Standard")</f>
        <v/>
      </c>
      <c r="X282" s="17">
        <f>IF(OR(N282&gt;50,Q282&lt;=2),"High Risk / Delayed","Normal")</f>
        <v/>
      </c>
      <c r="Y282" s="17">
        <f>IF(NOT(P282="Cancelled"),"Fulfilled","Cancelled")</f>
        <v/>
      </c>
      <c r="Z282" s="17">
        <f>IFERROR(Q282,0)</f>
        <v/>
      </c>
    </row>
    <row r="283">
      <c r="A283" s="25" t="inlineStr">
        <is>
          <t>ORD1282</t>
        </is>
      </c>
      <c r="B283" s="25" t="inlineStr">
        <is>
          <t>2025-07-16</t>
        </is>
      </c>
      <c r="C283" s="25" t="inlineStr">
        <is>
          <t>20:41:31</t>
        </is>
      </c>
      <c r="D283" s="25" t="n">
        <v>1234</v>
      </c>
      <c r="E283" s="25" t="n">
        <v>110</v>
      </c>
      <c r="F283" s="25" t="n">
        <v>224</v>
      </c>
      <c r="G283" s="25" t="inlineStr">
        <is>
          <t>Pune</t>
        </is>
      </c>
      <c r="H283" s="25" t="inlineStr">
        <is>
          <t>North Indian</t>
        </is>
      </c>
      <c r="I283" s="26" t="n">
        <v>805</v>
      </c>
      <c r="J283" s="26" t="n">
        <v>2.41</v>
      </c>
      <c r="K283" s="26" t="n">
        <v>25</v>
      </c>
      <c r="L283" s="27" t="n">
        <v>0.18</v>
      </c>
      <c r="M283" s="26" t="n">
        <v>151.15</v>
      </c>
      <c r="N283" s="28" t="n">
        <v>2.2</v>
      </c>
      <c r="O283" s="28" t="n">
        <v>23.5</v>
      </c>
      <c r="P283" s="25" t="inlineStr">
        <is>
          <t>Credit Card</t>
        </is>
      </c>
      <c r="Q283" s="25" t="inlineStr">
        <is>
          <t>Delivered</t>
        </is>
      </c>
      <c r="R283" s="25" t="n">
        <v>3</v>
      </c>
      <c r="S283" s="25">
        <f>TEXT(B283,"yyyy-mm")</f>
        <v/>
      </c>
      <c r="T283" s="25">
        <f>VLOOKUP(D283,Customers!A:D,4,FALSE)</f>
        <v/>
      </c>
      <c r="U283" s="25">
        <f>CONCATENATE(A283,"-",G283)</f>
        <v/>
      </c>
      <c r="V283" s="25">
        <f>IF(N283="","",IF(N283&lt;=30,"Fast (&lt;30m)",IF(N283&lt;=45,"Moderate (30-45m)","Delayed (&gt;45m)")))</f>
        <v/>
      </c>
      <c r="W283" s="25">
        <f>IF(AND(I283&gt;600,P283="Delivered"),"High Value Delivered","Standard")</f>
        <v/>
      </c>
      <c r="X283" s="25">
        <f>IF(OR(N283&gt;50,Q283&lt;=2),"High Risk / Delayed","Normal")</f>
        <v/>
      </c>
      <c r="Y283" s="25">
        <f>IF(NOT(P283="Cancelled"),"Fulfilled","Cancelled")</f>
        <v/>
      </c>
      <c r="Z283" s="25">
        <f>IFERROR(Q283,0)</f>
        <v/>
      </c>
    </row>
    <row r="284">
      <c r="A284" s="17" t="inlineStr">
        <is>
          <t>ORD1283</t>
        </is>
      </c>
      <c r="B284" s="17" t="inlineStr">
        <is>
          <t>2025-06-19</t>
        </is>
      </c>
      <c r="C284" s="17" t="inlineStr">
        <is>
          <t>10:44:15</t>
        </is>
      </c>
      <c r="D284" s="17" t="n">
        <v>1292</v>
      </c>
      <c r="E284" s="17" t="n">
        <v>106</v>
      </c>
      <c r="F284" s="17" t="n">
        <v>204</v>
      </c>
      <c r="G284" s="17" t="inlineStr">
        <is>
          <t>Pune</t>
        </is>
      </c>
      <c r="H284" s="17" t="inlineStr">
        <is>
          <t>South Indian</t>
        </is>
      </c>
      <c r="I284" s="22" t="n">
        <v>270</v>
      </c>
      <c r="J284" s="22" t="n">
        <v>19.89</v>
      </c>
      <c r="K284" s="22" t="n">
        <v>25</v>
      </c>
      <c r="L284" s="23" t="n">
        <v>0.15</v>
      </c>
      <c r="M284" s="22" t="n">
        <v>46.75</v>
      </c>
      <c r="N284" s="24" t="n">
        <v>2.5</v>
      </c>
      <c r="O284" s="24" t="n">
        <v>28.2</v>
      </c>
      <c r="P284" s="17" t="inlineStr">
        <is>
          <t>UPI</t>
        </is>
      </c>
      <c r="Q284" s="17" t="inlineStr">
        <is>
          <t>Delivered</t>
        </is>
      </c>
      <c r="R284" s="17" t="n">
        <v>4</v>
      </c>
      <c r="S284" s="17">
        <f>TEXT(B284,"yyyy-mm")</f>
        <v/>
      </c>
      <c r="T284" s="17">
        <f>VLOOKUP(D284,Customers!A:D,4,FALSE)</f>
        <v/>
      </c>
      <c r="U284" s="17">
        <f>CONCATENATE(A284,"-",G284)</f>
        <v/>
      </c>
      <c r="V284" s="17">
        <f>IF(N284="","",IF(N284&lt;=30,"Fast (&lt;30m)",IF(N284&lt;=45,"Moderate (30-45m)","Delayed (&gt;45m)")))</f>
        <v/>
      </c>
      <c r="W284" s="17">
        <f>IF(AND(I284&gt;600,P284="Delivered"),"High Value Delivered","Standard")</f>
        <v/>
      </c>
      <c r="X284" s="17">
        <f>IF(OR(N284&gt;50,Q284&lt;=2),"High Risk / Delayed","Normal")</f>
        <v/>
      </c>
      <c r="Y284" s="17">
        <f>IF(NOT(P284="Cancelled"),"Fulfilled","Cancelled")</f>
        <v/>
      </c>
      <c r="Z284" s="17">
        <f>IFERROR(Q284,0)</f>
        <v/>
      </c>
    </row>
    <row r="285">
      <c r="A285" s="25" t="inlineStr">
        <is>
          <t>ORD1284</t>
        </is>
      </c>
      <c r="B285" s="25" t="inlineStr">
        <is>
          <t>2025-05-24</t>
        </is>
      </c>
      <c r="C285" s="25" t="inlineStr">
        <is>
          <t>19:53:31</t>
        </is>
      </c>
      <c r="D285" s="25" t="n">
        <v>1094</v>
      </c>
      <c r="E285" s="25" t="n">
        <v>112</v>
      </c>
      <c r="F285" s="25" t="n">
        <v>212</v>
      </c>
      <c r="G285" s="25" t="inlineStr">
        <is>
          <t>Delhi NCR</t>
        </is>
      </c>
      <c r="H285" s="25" t="inlineStr">
        <is>
          <t>North Indian</t>
        </is>
      </c>
      <c r="I285" s="26" t="n">
        <v>932</v>
      </c>
      <c r="J285" s="26" t="n">
        <v>72.51000000000001</v>
      </c>
      <c r="K285" s="26" t="n">
        <v>25</v>
      </c>
      <c r="L285" s="27" t="n">
        <v>0.22</v>
      </c>
      <c r="M285" s="26" t="n">
        <v>211.29</v>
      </c>
      <c r="N285" s="28" t="n">
        <v>1.7</v>
      </c>
      <c r="O285" s="28" t="n">
        <v>22.5</v>
      </c>
      <c r="P285" s="25" t="inlineStr">
        <is>
          <t>Debit Card</t>
        </is>
      </c>
      <c r="Q285" s="25" t="inlineStr">
        <is>
          <t>Delivered</t>
        </is>
      </c>
      <c r="R285" s="25" t="n">
        <v>3</v>
      </c>
      <c r="S285" s="25">
        <f>TEXT(B285,"yyyy-mm")</f>
        <v/>
      </c>
      <c r="T285" s="25">
        <f>VLOOKUP(D285,Customers!A:D,4,FALSE)</f>
        <v/>
      </c>
      <c r="U285" s="25">
        <f>CONCATENATE(A285,"-",G285)</f>
        <v/>
      </c>
      <c r="V285" s="25">
        <f>IF(N285="","",IF(N285&lt;=30,"Fast (&lt;30m)",IF(N285&lt;=45,"Moderate (30-45m)","Delayed (&gt;45m)")))</f>
        <v/>
      </c>
      <c r="W285" s="25">
        <f>IF(AND(I285&gt;600,P285="Delivered"),"High Value Delivered","Standard")</f>
        <v/>
      </c>
      <c r="X285" s="25">
        <f>IF(OR(N285&gt;50,Q285&lt;=2),"High Risk / Delayed","Normal")</f>
        <v/>
      </c>
      <c r="Y285" s="25">
        <f>IF(NOT(P285="Cancelled"),"Fulfilled","Cancelled")</f>
        <v/>
      </c>
      <c r="Z285" s="25">
        <f>IFERROR(Q285,0)</f>
        <v/>
      </c>
    </row>
    <row r="286">
      <c r="A286" s="17" t="inlineStr">
        <is>
          <t>ORD1285</t>
        </is>
      </c>
      <c r="B286" s="17" t="inlineStr">
        <is>
          <t>2025-08-02</t>
        </is>
      </c>
      <c r="C286" s="17" t="inlineStr">
        <is>
          <t>17:38:41</t>
        </is>
      </c>
      <c r="D286" s="17" t="n">
        <v>1083</v>
      </c>
      <c r="E286" s="17" t="n">
        <v>112</v>
      </c>
      <c r="F286" s="17" t="n">
        <v>228</v>
      </c>
      <c r="G286" s="17" t="inlineStr">
        <is>
          <t>Delhi NCR</t>
        </is>
      </c>
      <c r="H286" s="17" t="inlineStr">
        <is>
          <t>North Indian</t>
        </is>
      </c>
      <c r="I286" s="22" t="n">
        <v>311</v>
      </c>
      <c r="J286" s="22" t="n">
        <v>0</v>
      </c>
      <c r="K286" s="22" t="n">
        <v>33.5</v>
      </c>
      <c r="L286" s="23" t="n">
        <v>0.22</v>
      </c>
      <c r="M286" s="22" t="n">
        <v>76.8</v>
      </c>
      <c r="N286" s="24" t="n">
        <v>4.7</v>
      </c>
      <c r="O286" s="24" t="n">
        <v>30.4</v>
      </c>
      <c r="P286" s="17" t="inlineStr">
        <is>
          <t>Cash on Delivery</t>
        </is>
      </c>
      <c r="Q286" s="17" t="inlineStr">
        <is>
          <t>Delivered</t>
        </is>
      </c>
      <c r="R286" s="17" t="n">
        <v>4</v>
      </c>
      <c r="S286" s="17">
        <f>TEXT(B286,"yyyy-mm")</f>
        <v/>
      </c>
      <c r="T286" s="17">
        <f>VLOOKUP(D286,Customers!A:D,4,FALSE)</f>
        <v/>
      </c>
      <c r="U286" s="17">
        <f>CONCATENATE(A286,"-",G286)</f>
        <v/>
      </c>
      <c r="V286" s="17">
        <f>IF(N286="","",IF(N286&lt;=30,"Fast (&lt;30m)",IF(N286&lt;=45,"Moderate (30-45m)","Delayed (&gt;45m)")))</f>
        <v/>
      </c>
      <c r="W286" s="17">
        <f>IF(AND(I286&gt;600,P286="Delivered"),"High Value Delivered","Standard")</f>
        <v/>
      </c>
      <c r="X286" s="17">
        <f>IF(OR(N286&gt;50,Q286&lt;=2),"High Risk / Delayed","Normal")</f>
        <v/>
      </c>
      <c r="Y286" s="17">
        <f>IF(NOT(P286="Cancelled"),"Fulfilled","Cancelled")</f>
        <v/>
      </c>
      <c r="Z286" s="17">
        <f>IFERROR(Q286,0)</f>
        <v/>
      </c>
    </row>
    <row r="287">
      <c r="A287" s="25" t="inlineStr">
        <is>
          <t>ORD1286</t>
        </is>
      </c>
      <c r="B287" s="25" t="inlineStr">
        <is>
          <t>2025-09-21</t>
        </is>
      </c>
      <c r="C287" s="25" t="inlineStr">
        <is>
          <t>20:50:10</t>
        </is>
      </c>
      <c r="D287" s="25" t="n">
        <v>1077</v>
      </c>
      <c r="E287" s="25" t="n">
        <v>114</v>
      </c>
      <c r="F287" s="25" t="n">
        <v>216</v>
      </c>
      <c r="G287" s="25" t="inlineStr">
        <is>
          <t>Hyderabad</t>
        </is>
      </c>
      <c r="H287" s="25" t="inlineStr">
        <is>
          <t>Biryani</t>
        </is>
      </c>
      <c r="I287" s="26" t="n">
        <v>287</v>
      </c>
      <c r="J287" s="26" t="n">
        <v>20.6</v>
      </c>
      <c r="K287" s="26" t="n">
        <v>38</v>
      </c>
      <c r="L287" s="27" t="n">
        <v>0.22</v>
      </c>
      <c r="M287" s="26" t="n">
        <v>72.64</v>
      </c>
      <c r="N287" s="28" t="n">
        <v>5.6</v>
      </c>
      <c r="O287" s="28" t="n">
        <v>42.6</v>
      </c>
      <c r="P287" s="25" t="inlineStr">
        <is>
          <t>Credit Card</t>
        </is>
      </c>
      <c r="Q287" s="25" t="inlineStr">
        <is>
          <t>Delivered</t>
        </is>
      </c>
      <c r="R287" s="25" t="n">
        <v>3</v>
      </c>
      <c r="S287" s="25">
        <f>TEXT(B287,"yyyy-mm")</f>
        <v/>
      </c>
      <c r="T287" s="25">
        <f>VLOOKUP(D287,Customers!A:D,4,FALSE)</f>
        <v/>
      </c>
      <c r="U287" s="25">
        <f>CONCATENATE(A287,"-",G287)</f>
        <v/>
      </c>
      <c r="V287" s="25">
        <f>IF(N287="","",IF(N287&lt;=30,"Fast (&lt;30m)",IF(N287&lt;=45,"Moderate (30-45m)","Delayed (&gt;45m)")))</f>
        <v/>
      </c>
      <c r="W287" s="25">
        <f>IF(AND(I287&gt;600,P287="Delivered"),"High Value Delivered","Standard")</f>
        <v/>
      </c>
      <c r="X287" s="25">
        <f>IF(OR(N287&gt;50,Q287&lt;=2),"High Risk / Delayed","Normal")</f>
        <v/>
      </c>
      <c r="Y287" s="25">
        <f>IF(NOT(P287="Cancelled"),"Fulfilled","Cancelled")</f>
        <v/>
      </c>
      <c r="Z287" s="25">
        <f>IFERROR(Q287,0)</f>
        <v/>
      </c>
    </row>
    <row r="288">
      <c r="A288" s="17" t="inlineStr">
        <is>
          <t>ORD1287</t>
        </is>
      </c>
      <c r="B288" s="17" t="inlineStr">
        <is>
          <t>2025-04-13</t>
        </is>
      </c>
      <c r="C288" s="17" t="inlineStr">
        <is>
          <t>09:53:03</t>
        </is>
      </c>
      <c r="D288" s="17" t="n">
        <v>1003</v>
      </c>
      <c r="E288" s="17" t="n">
        <v>110</v>
      </c>
      <c r="F288" s="17" t="n">
        <v>208</v>
      </c>
      <c r="G288" s="17" t="inlineStr">
        <is>
          <t>Pune</t>
        </is>
      </c>
      <c r="H288" s="17" t="inlineStr">
        <is>
          <t>North Indian</t>
        </is>
      </c>
      <c r="I288" s="22" t="n">
        <v>475</v>
      </c>
      <c r="J288" s="22" t="n">
        <v>24.85</v>
      </c>
      <c r="K288" s="22" t="n">
        <v>46.5</v>
      </c>
      <c r="L288" s="23" t="n">
        <v>0.18</v>
      </c>
      <c r="M288" s="22" t="n">
        <v>97.12</v>
      </c>
      <c r="N288" s="24" t="n">
        <v>7.3</v>
      </c>
      <c r="O288" s="24" t="n">
        <v>34.4</v>
      </c>
      <c r="P288" s="17" t="inlineStr">
        <is>
          <t>Debit Card</t>
        </is>
      </c>
      <c r="Q288" s="17" t="inlineStr">
        <is>
          <t>Delivered</t>
        </is>
      </c>
      <c r="R288" s="17" t="n">
        <v>3</v>
      </c>
      <c r="S288" s="17">
        <f>TEXT(B288,"yyyy-mm")</f>
        <v/>
      </c>
      <c r="T288" s="17">
        <f>VLOOKUP(D288,Customers!A:D,4,FALSE)</f>
        <v/>
      </c>
      <c r="U288" s="17">
        <f>CONCATENATE(A288,"-",G288)</f>
        <v/>
      </c>
      <c r="V288" s="17">
        <f>IF(N288="","",IF(N288&lt;=30,"Fast (&lt;30m)",IF(N288&lt;=45,"Moderate (30-45m)","Delayed (&gt;45m)")))</f>
        <v/>
      </c>
      <c r="W288" s="17">
        <f>IF(AND(I288&gt;600,P288="Delivered"),"High Value Delivered","Standard")</f>
        <v/>
      </c>
      <c r="X288" s="17">
        <f>IF(OR(N288&gt;50,Q288&lt;=2),"High Risk / Delayed","Normal")</f>
        <v/>
      </c>
      <c r="Y288" s="17">
        <f>IF(NOT(P288="Cancelled"),"Fulfilled","Cancelled")</f>
        <v/>
      </c>
      <c r="Z288" s="17">
        <f>IFERROR(Q288,0)</f>
        <v/>
      </c>
    </row>
    <row r="289">
      <c r="A289" s="25" t="inlineStr">
        <is>
          <t>ORD1288</t>
        </is>
      </c>
      <c r="B289" s="25" t="inlineStr">
        <is>
          <t>2025-08-26</t>
        </is>
      </c>
      <c r="C289" s="25" t="inlineStr">
        <is>
          <t>09:32:25</t>
        </is>
      </c>
      <c r="D289" s="25" t="n">
        <v>1070</v>
      </c>
      <c r="E289" s="25" t="n">
        <v>113</v>
      </c>
      <c r="F289" s="25" t="n">
        <v>222</v>
      </c>
      <c r="G289" s="25" t="inlineStr">
        <is>
          <t>Mumbai</t>
        </is>
      </c>
      <c r="H289" s="25" t="inlineStr">
        <is>
          <t>Fast Food</t>
        </is>
      </c>
      <c r="I289" s="26" t="n">
        <v>1206</v>
      </c>
      <c r="J289" s="26" t="n">
        <v>135.54</v>
      </c>
      <c r="K289" s="26" t="n">
        <v>0</v>
      </c>
      <c r="L289" s="27" t="n">
        <v>0.18</v>
      </c>
      <c r="M289" s="26" t="n">
        <v>217.08</v>
      </c>
      <c r="N289" s="28" t="n">
        <v>3.8</v>
      </c>
      <c r="O289" s="28" t="n">
        <v>25.4</v>
      </c>
      <c r="P289" s="25" t="inlineStr">
        <is>
          <t>Debit Card</t>
        </is>
      </c>
      <c r="Q289" s="25" t="inlineStr">
        <is>
          <t>Delivered</t>
        </is>
      </c>
      <c r="R289" s="25" t="n">
        <v>4</v>
      </c>
      <c r="S289" s="25">
        <f>TEXT(B289,"yyyy-mm")</f>
        <v/>
      </c>
      <c r="T289" s="25">
        <f>VLOOKUP(D289,Customers!A:D,4,FALSE)</f>
        <v/>
      </c>
      <c r="U289" s="25">
        <f>CONCATENATE(A289,"-",G289)</f>
        <v/>
      </c>
      <c r="V289" s="25">
        <f>IF(N289="","",IF(N289&lt;=30,"Fast (&lt;30m)",IF(N289&lt;=45,"Moderate (30-45m)","Delayed (&gt;45m)")))</f>
        <v/>
      </c>
      <c r="W289" s="25">
        <f>IF(AND(I289&gt;600,P289="Delivered"),"High Value Delivered","Standard")</f>
        <v/>
      </c>
      <c r="X289" s="25">
        <f>IF(OR(N289&gt;50,Q289&lt;=2),"High Risk / Delayed","Normal")</f>
        <v/>
      </c>
      <c r="Y289" s="25">
        <f>IF(NOT(P289="Cancelled"),"Fulfilled","Cancelled")</f>
        <v/>
      </c>
      <c r="Z289" s="25">
        <f>IFERROR(Q289,0)</f>
        <v/>
      </c>
    </row>
    <row r="290">
      <c r="A290" s="17" t="inlineStr">
        <is>
          <t>ORD1289</t>
        </is>
      </c>
      <c r="B290" s="17" t="inlineStr">
        <is>
          <t>2025-08-31</t>
        </is>
      </c>
      <c r="C290" s="17" t="inlineStr">
        <is>
          <t>18:37:35</t>
        </is>
      </c>
      <c r="D290" s="17" t="n">
        <v>1199</v>
      </c>
      <c r="E290" s="17" t="n">
        <v>109</v>
      </c>
      <c r="F290" s="17" t="n">
        <v>216</v>
      </c>
      <c r="G290" s="17" t="inlineStr">
        <is>
          <t>Hyderabad</t>
        </is>
      </c>
      <c r="H290" s="17" t="inlineStr">
        <is>
          <t>Biryani</t>
        </is>
      </c>
      <c r="I290" s="22" t="n">
        <v>766</v>
      </c>
      <c r="J290" s="22" t="n">
        <v>89.13</v>
      </c>
      <c r="K290" s="22" t="n">
        <v>0</v>
      </c>
      <c r="L290" s="23" t="n">
        <v>0.2</v>
      </c>
      <c r="M290" s="22" t="n">
        <v>153.2</v>
      </c>
      <c r="N290" s="24" t="n">
        <v>6.1</v>
      </c>
      <c r="O290" s="24" t="n">
        <v>38.2</v>
      </c>
      <c r="P290" s="17" t="inlineStr">
        <is>
          <t>UPI</t>
        </is>
      </c>
      <c r="Q290" s="17" t="inlineStr">
        <is>
          <t>Delivered</t>
        </is>
      </c>
      <c r="R290" s="17" t="n">
        <v>4</v>
      </c>
      <c r="S290" s="17">
        <f>TEXT(B290,"yyyy-mm")</f>
        <v/>
      </c>
      <c r="T290" s="17">
        <f>VLOOKUP(D290,Customers!A:D,4,FALSE)</f>
        <v/>
      </c>
      <c r="U290" s="17">
        <f>CONCATENATE(A290,"-",G290)</f>
        <v/>
      </c>
      <c r="V290" s="17">
        <f>IF(N290="","",IF(N290&lt;=30,"Fast (&lt;30m)",IF(N290&lt;=45,"Moderate (30-45m)","Delayed (&gt;45m)")))</f>
        <v/>
      </c>
      <c r="W290" s="17">
        <f>IF(AND(I290&gt;600,P290="Delivered"),"High Value Delivered","Standard")</f>
        <v/>
      </c>
      <c r="X290" s="17">
        <f>IF(OR(N290&gt;50,Q290&lt;=2),"High Risk / Delayed","Normal")</f>
        <v/>
      </c>
      <c r="Y290" s="17">
        <f>IF(NOT(P290="Cancelled"),"Fulfilled","Cancelled")</f>
        <v/>
      </c>
      <c r="Z290" s="17">
        <f>IFERROR(Q290,0)</f>
        <v/>
      </c>
    </row>
    <row r="291">
      <c r="A291" s="25" t="inlineStr">
        <is>
          <t>ORD1290</t>
        </is>
      </c>
      <c r="B291" s="25" t="inlineStr">
        <is>
          <t>2025-01-26</t>
        </is>
      </c>
      <c r="C291" s="25" t="inlineStr">
        <is>
          <t>19:10:54</t>
        </is>
      </c>
      <c r="D291" s="25" t="n">
        <v>1287</v>
      </c>
      <c r="E291" s="25" t="n">
        <v>105</v>
      </c>
      <c r="F291" s="25" t="n">
        <v>201</v>
      </c>
      <c r="G291" s="25" t="inlineStr">
        <is>
          <t>Bangalore</t>
        </is>
      </c>
      <c r="H291" s="25" t="inlineStr">
        <is>
          <t>Chinese</t>
        </is>
      </c>
      <c r="I291" s="26" t="n">
        <v>805</v>
      </c>
      <c r="J291" s="26" t="n">
        <v>13.8</v>
      </c>
      <c r="K291" s="26" t="n">
        <v>30</v>
      </c>
      <c r="L291" s="27" t="n">
        <v>0.2</v>
      </c>
      <c r="M291" s="26" t="n">
        <v>168.5</v>
      </c>
      <c r="N291" s="28" t="n">
        <v>4</v>
      </c>
      <c r="O291" s="28" t="n">
        <v>31.7</v>
      </c>
      <c r="P291" s="25" t="inlineStr">
        <is>
          <t>Credit Card</t>
        </is>
      </c>
      <c r="Q291" s="25" t="inlineStr">
        <is>
          <t>Delivered</t>
        </is>
      </c>
      <c r="R291" s="25" t="n">
        <v>5</v>
      </c>
      <c r="S291" s="25">
        <f>TEXT(B291,"yyyy-mm")</f>
        <v/>
      </c>
      <c r="T291" s="25">
        <f>VLOOKUP(D291,Customers!A:D,4,FALSE)</f>
        <v/>
      </c>
      <c r="U291" s="25">
        <f>CONCATENATE(A291,"-",G291)</f>
        <v/>
      </c>
      <c r="V291" s="25">
        <f>IF(N291="","",IF(N291&lt;=30,"Fast (&lt;30m)",IF(N291&lt;=45,"Moderate (30-45m)","Delayed (&gt;45m)")))</f>
        <v/>
      </c>
      <c r="W291" s="25">
        <f>IF(AND(I291&gt;600,P291="Delivered"),"High Value Delivered","Standard")</f>
        <v/>
      </c>
      <c r="X291" s="25">
        <f>IF(OR(N291&gt;50,Q291&lt;=2),"High Risk / Delayed","Normal")</f>
        <v/>
      </c>
      <c r="Y291" s="25">
        <f>IF(NOT(P291="Cancelled"),"Fulfilled","Cancelled")</f>
        <v/>
      </c>
      <c r="Z291" s="25">
        <f>IFERROR(Q291,0)</f>
        <v/>
      </c>
    </row>
    <row r="292">
      <c r="A292" s="17" t="inlineStr">
        <is>
          <t>ORD1291</t>
        </is>
      </c>
      <c r="B292" s="17" t="inlineStr">
        <is>
          <t>2025-09-20</t>
        </is>
      </c>
      <c r="C292" s="17" t="inlineStr">
        <is>
          <t>08:01:55</t>
        </is>
      </c>
      <c r="D292" s="17" t="n">
        <v>1229</v>
      </c>
      <c r="E292" s="17" t="n">
        <v>107</v>
      </c>
      <c r="F292" s="17" t="n">
        <v>229</v>
      </c>
      <c r="G292" s="17" t="inlineStr">
        <is>
          <t>Mumbai</t>
        </is>
      </c>
      <c r="H292" s="17" t="inlineStr">
        <is>
          <t>Desserts</t>
        </is>
      </c>
      <c r="I292" s="22" t="n">
        <v>1020</v>
      </c>
      <c r="J292" s="22" t="n">
        <v>150.36</v>
      </c>
      <c r="K292" s="22" t="n">
        <v>0</v>
      </c>
      <c r="L292" s="23" t="n">
        <v>0.25</v>
      </c>
      <c r="M292" s="22" t="n">
        <v>255</v>
      </c>
      <c r="N292" s="24" t="n">
        <v>6.1</v>
      </c>
      <c r="O292" s="24" t="n">
        <v>34.5</v>
      </c>
      <c r="P292" s="17" t="inlineStr">
        <is>
          <t>Credit Card</t>
        </is>
      </c>
      <c r="Q292" s="17" t="inlineStr">
        <is>
          <t>Delivered</t>
        </is>
      </c>
      <c r="R292" s="17" t="n">
        <v>3</v>
      </c>
      <c r="S292" s="17">
        <f>TEXT(B292,"yyyy-mm")</f>
        <v/>
      </c>
      <c r="T292" s="17">
        <f>VLOOKUP(D292,Customers!A:D,4,FALSE)</f>
        <v/>
      </c>
      <c r="U292" s="17">
        <f>CONCATENATE(A292,"-",G292)</f>
        <v/>
      </c>
      <c r="V292" s="17">
        <f>IF(N292="","",IF(N292&lt;=30,"Fast (&lt;30m)",IF(N292&lt;=45,"Moderate (30-45m)","Delayed (&gt;45m)")))</f>
        <v/>
      </c>
      <c r="W292" s="17">
        <f>IF(AND(I292&gt;600,P292="Delivered"),"High Value Delivered","Standard")</f>
        <v/>
      </c>
      <c r="X292" s="17">
        <f>IF(OR(N292&gt;50,Q292&lt;=2),"High Risk / Delayed","Normal")</f>
        <v/>
      </c>
      <c r="Y292" s="17">
        <f>IF(NOT(P292="Cancelled"),"Fulfilled","Cancelled")</f>
        <v/>
      </c>
      <c r="Z292" s="17">
        <f>IFERROR(Q292,0)</f>
        <v/>
      </c>
    </row>
    <row r="293">
      <c r="A293" s="25" t="inlineStr">
        <is>
          <t>ORD1292</t>
        </is>
      </c>
      <c r="B293" s="25" t="inlineStr">
        <is>
          <t>2025-11-08</t>
        </is>
      </c>
      <c r="C293" s="25" t="inlineStr">
        <is>
          <t>17:51:19</t>
        </is>
      </c>
      <c r="D293" s="25" t="n">
        <v>1222</v>
      </c>
      <c r="E293" s="25" t="n">
        <v>119</v>
      </c>
      <c r="F293" s="25" t="n">
        <v>225</v>
      </c>
      <c r="G293" s="25" t="inlineStr">
        <is>
          <t>Hyderabad</t>
        </is>
      </c>
      <c r="H293" s="25" t="inlineStr">
        <is>
          <t>Biryani</t>
        </is>
      </c>
      <c r="I293" s="26" t="n">
        <v>949</v>
      </c>
      <c r="J293" s="26" t="n">
        <v>48.8</v>
      </c>
      <c r="K293" s="26" t="n">
        <v>34.5</v>
      </c>
      <c r="L293" s="27" t="n">
        <v>0.2</v>
      </c>
      <c r="M293" s="26" t="n">
        <v>198.42</v>
      </c>
      <c r="N293" s="28" t="n">
        <v>4.9</v>
      </c>
      <c r="O293" s="28" t="n">
        <v>31.7</v>
      </c>
      <c r="P293" s="25" t="inlineStr">
        <is>
          <t>Cash on Delivery</t>
        </is>
      </c>
      <c r="Q293" s="25" t="inlineStr">
        <is>
          <t>Delivered</t>
        </is>
      </c>
      <c r="R293" s="25" t="n">
        <v>5</v>
      </c>
      <c r="S293" s="25">
        <f>TEXT(B293,"yyyy-mm")</f>
        <v/>
      </c>
      <c r="T293" s="25">
        <f>VLOOKUP(D293,Customers!A:D,4,FALSE)</f>
        <v/>
      </c>
      <c r="U293" s="25">
        <f>CONCATENATE(A293,"-",G293)</f>
        <v/>
      </c>
      <c r="V293" s="25">
        <f>IF(N293="","",IF(N293&lt;=30,"Fast (&lt;30m)",IF(N293&lt;=45,"Moderate (30-45m)","Delayed (&gt;45m)")))</f>
        <v/>
      </c>
      <c r="W293" s="25">
        <f>IF(AND(I293&gt;600,P293="Delivered"),"High Value Delivered","Standard")</f>
        <v/>
      </c>
      <c r="X293" s="25">
        <f>IF(OR(N293&gt;50,Q293&lt;=2),"High Risk / Delayed","Normal")</f>
        <v/>
      </c>
      <c r="Y293" s="25">
        <f>IF(NOT(P293="Cancelled"),"Fulfilled","Cancelled")</f>
        <v/>
      </c>
      <c r="Z293" s="25">
        <f>IFERROR(Q293,0)</f>
        <v/>
      </c>
    </row>
    <row r="294">
      <c r="A294" s="17" t="inlineStr">
        <is>
          <t>ORD1293</t>
        </is>
      </c>
      <c r="B294" s="17" t="inlineStr">
        <is>
          <t>2025-04-22</t>
        </is>
      </c>
      <c r="C294" s="17" t="inlineStr">
        <is>
          <t>20:29:19</t>
        </is>
      </c>
      <c r="D294" s="17" t="n">
        <v>1215</v>
      </c>
      <c r="E294" s="17" t="n">
        <v>120</v>
      </c>
      <c r="F294" s="17" t="n">
        <v>224</v>
      </c>
      <c r="G294" s="17" t="inlineStr">
        <is>
          <t>Pune</t>
        </is>
      </c>
      <c r="H294" s="17" t="inlineStr">
        <is>
          <t>Fast Food</t>
        </is>
      </c>
      <c r="I294" s="22" t="n">
        <v>913</v>
      </c>
      <c r="J294" s="22" t="n">
        <v>78.92</v>
      </c>
      <c r="K294" s="22" t="n">
        <v>29.5</v>
      </c>
      <c r="L294" s="23" t="n">
        <v>0.18</v>
      </c>
      <c r="M294" s="22" t="n">
        <v>171.72</v>
      </c>
      <c r="N294" s="24" t="n">
        <v>3.9</v>
      </c>
      <c r="O294" s="24" t="n">
        <v>42.5</v>
      </c>
      <c r="P294" s="17" t="inlineStr">
        <is>
          <t>Digital Wallet</t>
        </is>
      </c>
      <c r="Q294" s="17" t="inlineStr">
        <is>
          <t>Delivered</t>
        </is>
      </c>
      <c r="R294" s="17" t="n">
        <v>4</v>
      </c>
      <c r="S294" s="17">
        <f>TEXT(B294,"yyyy-mm")</f>
        <v/>
      </c>
      <c r="T294" s="17">
        <f>VLOOKUP(D294,Customers!A:D,4,FALSE)</f>
        <v/>
      </c>
      <c r="U294" s="17">
        <f>CONCATENATE(A294,"-",G294)</f>
        <v/>
      </c>
      <c r="V294" s="17">
        <f>IF(N294="","",IF(N294&lt;=30,"Fast (&lt;30m)",IF(N294&lt;=45,"Moderate (30-45m)","Delayed (&gt;45m)")))</f>
        <v/>
      </c>
      <c r="W294" s="17">
        <f>IF(AND(I294&gt;600,P294="Delivered"),"High Value Delivered","Standard")</f>
        <v/>
      </c>
      <c r="X294" s="17">
        <f>IF(OR(N294&gt;50,Q294&lt;=2),"High Risk / Delayed","Normal")</f>
        <v/>
      </c>
      <c r="Y294" s="17">
        <f>IF(NOT(P294="Cancelled"),"Fulfilled","Cancelled")</f>
        <v/>
      </c>
      <c r="Z294" s="17">
        <f>IFERROR(Q294,0)</f>
        <v/>
      </c>
    </row>
    <row r="295">
      <c r="A295" s="25" t="inlineStr">
        <is>
          <t>ORD1294</t>
        </is>
      </c>
      <c r="B295" s="25" t="inlineStr">
        <is>
          <t>2025-09-19</t>
        </is>
      </c>
      <c r="C295" s="25" t="inlineStr">
        <is>
          <t>22:42:53</t>
        </is>
      </c>
      <c r="D295" s="25" t="n">
        <v>1062</v>
      </c>
      <c r="E295" s="25" t="n">
        <v>103</v>
      </c>
      <c r="F295" s="25" t="n">
        <v>202</v>
      </c>
      <c r="G295" s="25" t="inlineStr">
        <is>
          <t>Mumbai</t>
        </is>
      </c>
      <c r="H295" s="25" t="inlineStr">
        <is>
          <t>Italian</t>
        </is>
      </c>
      <c r="I295" s="26" t="n">
        <v>603</v>
      </c>
      <c r="J295" s="26" t="n">
        <v>28.64</v>
      </c>
      <c r="K295" s="26" t="n">
        <v>25</v>
      </c>
      <c r="L295" s="27" t="n">
        <v>0.18</v>
      </c>
      <c r="M295" s="26" t="n">
        <v>114.79</v>
      </c>
      <c r="N295" s="28" t="n">
        <v>2.1</v>
      </c>
      <c r="O295" s="28" t="n">
        <v>24</v>
      </c>
      <c r="P295" s="25" t="inlineStr">
        <is>
          <t>UPI</t>
        </is>
      </c>
      <c r="Q295" s="25" t="inlineStr">
        <is>
          <t>Delivered</t>
        </is>
      </c>
      <c r="R295" s="25" t="n">
        <v>3</v>
      </c>
      <c r="S295" s="25">
        <f>TEXT(B295,"yyyy-mm")</f>
        <v/>
      </c>
      <c r="T295" s="25">
        <f>VLOOKUP(D295,Customers!A:D,4,FALSE)</f>
        <v/>
      </c>
      <c r="U295" s="25">
        <f>CONCATENATE(A295,"-",G295)</f>
        <v/>
      </c>
      <c r="V295" s="25">
        <f>IF(N295="","",IF(N295&lt;=30,"Fast (&lt;30m)",IF(N295&lt;=45,"Moderate (30-45m)","Delayed (&gt;45m)")))</f>
        <v/>
      </c>
      <c r="W295" s="25">
        <f>IF(AND(I295&gt;600,P295="Delivered"),"High Value Delivered","Standard")</f>
        <v/>
      </c>
      <c r="X295" s="25">
        <f>IF(OR(N295&gt;50,Q295&lt;=2),"High Risk / Delayed","Normal")</f>
        <v/>
      </c>
      <c r="Y295" s="25">
        <f>IF(NOT(P295="Cancelled"),"Fulfilled","Cancelled")</f>
        <v/>
      </c>
      <c r="Z295" s="25">
        <f>IFERROR(Q295,0)</f>
        <v/>
      </c>
    </row>
    <row r="296">
      <c r="A296" s="17" t="inlineStr">
        <is>
          <t>ORD1295</t>
        </is>
      </c>
      <c r="B296" s="17" t="inlineStr">
        <is>
          <t>2025-05-22</t>
        </is>
      </c>
      <c r="C296" s="17" t="inlineStr">
        <is>
          <t>20:40:20</t>
        </is>
      </c>
      <c r="D296" s="17" t="n">
        <v>1156</v>
      </c>
      <c r="E296" s="17" t="n">
        <v>120</v>
      </c>
      <c r="F296" s="17" t="n">
        <v>224</v>
      </c>
      <c r="G296" s="17" t="inlineStr">
        <is>
          <t>Pune</t>
        </is>
      </c>
      <c r="H296" s="17" t="inlineStr">
        <is>
          <t>Fast Food</t>
        </is>
      </c>
      <c r="I296" s="22" t="n">
        <v>503</v>
      </c>
      <c r="J296" s="22" t="n">
        <v>0</v>
      </c>
      <c r="K296" s="22" t="n">
        <v>25</v>
      </c>
      <c r="L296" s="23" t="n">
        <v>0.18</v>
      </c>
      <c r="M296" s="22" t="n">
        <v>96.79000000000001</v>
      </c>
      <c r="N296" s="24" t="n">
        <v>2</v>
      </c>
      <c r="O296" s="24" t="n">
        <v>27</v>
      </c>
      <c r="P296" s="17" t="inlineStr">
        <is>
          <t>Debit Card</t>
        </is>
      </c>
      <c r="Q296" s="17" t="inlineStr">
        <is>
          <t>Delivered</t>
        </is>
      </c>
      <c r="R296" s="17" t="n">
        <v>5</v>
      </c>
      <c r="S296" s="17">
        <f>TEXT(B296,"yyyy-mm")</f>
        <v/>
      </c>
      <c r="T296" s="17">
        <f>VLOOKUP(D296,Customers!A:D,4,FALSE)</f>
        <v/>
      </c>
      <c r="U296" s="17">
        <f>CONCATENATE(A296,"-",G296)</f>
        <v/>
      </c>
      <c r="V296" s="17">
        <f>IF(N296="","",IF(N296&lt;=30,"Fast (&lt;30m)",IF(N296&lt;=45,"Moderate (30-45m)","Delayed (&gt;45m)")))</f>
        <v/>
      </c>
      <c r="W296" s="17">
        <f>IF(AND(I296&gt;600,P296="Delivered"),"High Value Delivered","Standard")</f>
        <v/>
      </c>
      <c r="X296" s="17">
        <f>IF(OR(N296&gt;50,Q296&lt;=2),"High Risk / Delayed","Normal")</f>
        <v/>
      </c>
      <c r="Y296" s="17">
        <f>IF(NOT(P296="Cancelled"),"Fulfilled","Cancelled")</f>
        <v/>
      </c>
      <c r="Z296" s="17">
        <f>IFERROR(Q296,0)</f>
        <v/>
      </c>
    </row>
    <row r="297">
      <c r="A297" s="25" t="inlineStr">
        <is>
          <t>ORD1296</t>
        </is>
      </c>
      <c r="B297" s="25" t="inlineStr">
        <is>
          <t>2025-09-22</t>
        </is>
      </c>
      <c r="C297" s="25" t="inlineStr">
        <is>
          <t>20:48:15</t>
        </is>
      </c>
      <c r="D297" s="25" t="n">
        <v>1042</v>
      </c>
      <c r="E297" s="25" t="n">
        <v>113</v>
      </c>
      <c r="F297" s="25" t="n">
        <v>222</v>
      </c>
      <c r="G297" s="25" t="inlineStr">
        <is>
          <t>Mumbai</t>
        </is>
      </c>
      <c r="H297" s="25" t="inlineStr">
        <is>
          <t>Fast Food</t>
        </is>
      </c>
      <c r="I297" s="26" t="n">
        <v>278</v>
      </c>
      <c r="J297" s="26" t="n">
        <v>17.84</v>
      </c>
      <c r="K297" s="26" t="n">
        <v>34</v>
      </c>
      <c r="L297" s="27" t="n">
        <v>0.18</v>
      </c>
      <c r="M297" s="26" t="n">
        <v>58.54</v>
      </c>
      <c r="N297" s="28" t="n">
        <v>4.8</v>
      </c>
      <c r="O297" s="28" t="n">
        <v>37</v>
      </c>
      <c r="P297" s="25" t="inlineStr">
        <is>
          <t>Debit Card</t>
        </is>
      </c>
      <c r="Q297" s="25" t="inlineStr">
        <is>
          <t>Delivered</t>
        </is>
      </c>
      <c r="R297" s="25" t="n">
        <v>2</v>
      </c>
      <c r="S297" s="25">
        <f>TEXT(B297,"yyyy-mm")</f>
        <v/>
      </c>
      <c r="T297" s="25">
        <f>VLOOKUP(D297,Customers!A:D,4,FALSE)</f>
        <v/>
      </c>
      <c r="U297" s="25">
        <f>CONCATENATE(A297,"-",G297)</f>
        <v/>
      </c>
      <c r="V297" s="25">
        <f>IF(N297="","",IF(N297&lt;=30,"Fast (&lt;30m)",IF(N297&lt;=45,"Moderate (30-45m)","Delayed (&gt;45m)")))</f>
        <v/>
      </c>
      <c r="W297" s="25">
        <f>IF(AND(I297&gt;600,P297="Delivered"),"High Value Delivered","Standard")</f>
        <v/>
      </c>
      <c r="X297" s="25">
        <f>IF(OR(N297&gt;50,Q297&lt;=2),"High Risk / Delayed","Normal")</f>
        <v/>
      </c>
      <c r="Y297" s="25">
        <f>IF(NOT(P297="Cancelled"),"Fulfilled","Cancelled")</f>
        <v/>
      </c>
      <c r="Z297" s="25">
        <f>IFERROR(Q297,0)</f>
        <v/>
      </c>
    </row>
    <row r="298">
      <c r="A298" s="17" t="inlineStr">
        <is>
          <t>ORD1297</t>
        </is>
      </c>
      <c r="B298" s="17" t="inlineStr">
        <is>
          <t>2025-06-01</t>
        </is>
      </c>
      <c r="C298" s="17" t="inlineStr">
        <is>
          <t>20:16:58</t>
        </is>
      </c>
      <c r="D298" s="17" t="n">
        <v>1042</v>
      </c>
      <c r="E298" s="17" t="n">
        <v>107</v>
      </c>
      <c r="F298" s="17" t="n">
        <v>229</v>
      </c>
      <c r="G298" s="17" t="inlineStr">
        <is>
          <t>Mumbai</t>
        </is>
      </c>
      <c r="H298" s="17" t="inlineStr">
        <is>
          <t>Desserts</t>
        </is>
      </c>
      <c r="I298" s="22" t="n">
        <v>648</v>
      </c>
      <c r="J298" s="22" t="n">
        <v>0</v>
      </c>
      <c r="K298" s="22" t="n">
        <v>41.5</v>
      </c>
      <c r="L298" s="23" t="n">
        <v>0.25</v>
      </c>
      <c r="M298" s="22" t="n">
        <v>172.38</v>
      </c>
      <c r="N298" s="24" t="n">
        <v>6.3</v>
      </c>
      <c r="O298" s="24" t="n">
        <v>45.3</v>
      </c>
      <c r="P298" s="17" t="inlineStr">
        <is>
          <t>Digital Wallet</t>
        </is>
      </c>
      <c r="Q298" s="17" t="inlineStr">
        <is>
          <t>Delivered</t>
        </is>
      </c>
      <c r="R298" s="17" t="n">
        <v>4</v>
      </c>
      <c r="S298" s="17">
        <f>TEXT(B298,"yyyy-mm")</f>
        <v/>
      </c>
      <c r="T298" s="17">
        <f>VLOOKUP(D298,Customers!A:D,4,FALSE)</f>
        <v/>
      </c>
      <c r="U298" s="17">
        <f>CONCATENATE(A298,"-",G298)</f>
        <v/>
      </c>
      <c r="V298" s="17">
        <f>IF(N298="","",IF(N298&lt;=30,"Fast (&lt;30m)",IF(N298&lt;=45,"Moderate (30-45m)","Delayed (&gt;45m)")))</f>
        <v/>
      </c>
      <c r="W298" s="17">
        <f>IF(AND(I298&gt;600,P298="Delivered"),"High Value Delivered","Standard")</f>
        <v/>
      </c>
      <c r="X298" s="17">
        <f>IF(OR(N298&gt;50,Q298&lt;=2),"High Risk / Delayed","Normal")</f>
        <v/>
      </c>
      <c r="Y298" s="17">
        <f>IF(NOT(P298="Cancelled"),"Fulfilled","Cancelled")</f>
        <v/>
      </c>
      <c r="Z298" s="17">
        <f>IFERROR(Q298,0)</f>
        <v/>
      </c>
    </row>
    <row r="299">
      <c r="A299" s="25" t="inlineStr">
        <is>
          <t>ORD1298</t>
        </is>
      </c>
      <c r="B299" s="25" t="inlineStr">
        <is>
          <t>2025-12-18</t>
        </is>
      </c>
      <c r="C299" s="25" t="inlineStr">
        <is>
          <t>20:34:40</t>
        </is>
      </c>
      <c r="D299" s="25" t="n">
        <v>1068</v>
      </c>
      <c r="E299" s="25" t="n">
        <v>106</v>
      </c>
      <c r="F299" s="25" t="n">
        <v>207</v>
      </c>
      <c r="G299" s="25" t="inlineStr">
        <is>
          <t>Pune</t>
        </is>
      </c>
      <c r="H299" s="25" t="inlineStr">
        <is>
          <t>South Indian</t>
        </is>
      </c>
      <c r="I299" s="26" t="n">
        <v>707</v>
      </c>
      <c r="J299" s="26" t="n">
        <v>80.20999999999999</v>
      </c>
      <c r="K299" s="26" t="n">
        <v>37.5</v>
      </c>
      <c r="L299" s="27" t="n">
        <v>0.15</v>
      </c>
      <c r="M299" s="26" t="n">
        <v>115.42</v>
      </c>
      <c r="N299" s="28" t="n">
        <v>5.5</v>
      </c>
      <c r="O299" s="28" t="n">
        <v>40.9</v>
      </c>
      <c r="P299" s="25" t="inlineStr">
        <is>
          <t>Digital Wallet</t>
        </is>
      </c>
      <c r="Q299" s="25" t="inlineStr">
        <is>
          <t>Delivered</t>
        </is>
      </c>
      <c r="R299" s="25" t="n">
        <v>3</v>
      </c>
      <c r="S299" s="25">
        <f>TEXT(B299,"yyyy-mm")</f>
        <v/>
      </c>
      <c r="T299" s="25">
        <f>VLOOKUP(D299,Customers!A:D,4,FALSE)</f>
        <v/>
      </c>
      <c r="U299" s="25">
        <f>CONCATENATE(A299,"-",G299)</f>
        <v/>
      </c>
      <c r="V299" s="25">
        <f>IF(N299="","",IF(N299&lt;=30,"Fast (&lt;30m)",IF(N299&lt;=45,"Moderate (30-45m)","Delayed (&gt;45m)")))</f>
        <v/>
      </c>
      <c r="W299" s="25">
        <f>IF(AND(I299&gt;600,P299="Delivered"),"High Value Delivered","Standard")</f>
        <v/>
      </c>
      <c r="X299" s="25">
        <f>IF(OR(N299&gt;50,Q299&lt;=2),"High Risk / Delayed","Normal")</f>
        <v/>
      </c>
      <c r="Y299" s="25">
        <f>IF(NOT(P299="Cancelled"),"Fulfilled","Cancelled")</f>
        <v/>
      </c>
      <c r="Z299" s="25">
        <f>IFERROR(Q299,0)</f>
        <v/>
      </c>
    </row>
    <row r="300">
      <c r="A300" s="17" t="inlineStr">
        <is>
          <t>ORD1299</t>
        </is>
      </c>
      <c r="B300" s="17" t="inlineStr">
        <is>
          <t>2025-05-31</t>
        </is>
      </c>
      <c r="C300" s="17" t="inlineStr">
        <is>
          <t>19:06:30</t>
        </is>
      </c>
      <c r="D300" s="17" t="n">
        <v>1238</v>
      </c>
      <c r="E300" s="17" t="n">
        <v>111</v>
      </c>
      <c r="F300" s="17" t="n">
        <v>201</v>
      </c>
      <c r="G300" s="17" t="inlineStr">
        <is>
          <t>Bangalore</t>
        </is>
      </c>
      <c r="H300" s="17" t="inlineStr">
        <is>
          <t>South Indian</t>
        </is>
      </c>
      <c r="I300" s="22" t="n">
        <v>351</v>
      </c>
      <c r="J300" s="22" t="n">
        <v>20.36</v>
      </c>
      <c r="K300" s="22" t="n">
        <v>64</v>
      </c>
      <c r="L300" s="23" t="n">
        <v>0.15</v>
      </c>
      <c r="M300" s="22" t="n">
        <v>68.65000000000001</v>
      </c>
      <c r="N300" s="24" t="n">
        <v>10.8</v>
      </c>
      <c r="O300" s="24" t="n">
        <v>63.6</v>
      </c>
      <c r="P300" s="17" t="inlineStr">
        <is>
          <t>Credit Card</t>
        </is>
      </c>
      <c r="Q300" s="17" t="inlineStr">
        <is>
          <t>Delivered</t>
        </is>
      </c>
      <c r="R300" s="17" t="n">
        <v>1</v>
      </c>
      <c r="S300" s="17">
        <f>TEXT(B300,"yyyy-mm")</f>
        <v/>
      </c>
      <c r="T300" s="17">
        <f>VLOOKUP(D300,Customers!A:D,4,FALSE)</f>
        <v/>
      </c>
      <c r="U300" s="17">
        <f>CONCATENATE(A300,"-",G300)</f>
        <v/>
      </c>
      <c r="V300" s="17">
        <f>IF(N300="","",IF(N300&lt;=30,"Fast (&lt;30m)",IF(N300&lt;=45,"Moderate (30-45m)","Delayed (&gt;45m)")))</f>
        <v/>
      </c>
      <c r="W300" s="17">
        <f>IF(AND(I300&gt;600,P300="Delivered"),"High Value Delivered","Standard")</f>
        <v/>
      </c>
      <c r="X300" s="17">
        <f>IF(OR(N300&gt;50,Q300&lt;=2),"High Risk / Delayed","Normal")</f>
        <v/>
      </c>
      <c r="Y300" s="17">
        <f>IF(NOT(P300="Cancelled"),"Fulfilled","Cancelled")</f>
        <v/>
      </c>
      <c r="Z300" s="17">
        <f>IFERROR(Q300,0)</f>
        <v/>
      </c>
    </row>
    <row r="301">
      <c r="A301" s="25" t="inlineStr">
        <is>
          <t>ORD1300</t>
        </is>
      </c>
      <c r="B301" s="25" t="inlineStr">
        <is>
          <t>2025-07-01</t>
        </is>
      </c>
      <c r="C301" s="25" t="inlineStr">
        <is>
          <t>18:14:47</t>
        </is>
      </c>
      <c r="D301" s="25" t="n">
        <v>1008</v>
      </c>
      <c r="E301" s="25" t="n">
        <v>117</v>
      </c>
      <c r="F301" s="25" t="n">
        <v>206</v>
      </c>
      <c r="G301" s="25" t="inlineStr">
        <is>
          <t>Mumbai</t>
        </is>
      </c>
      <c r="H301" s="25" t="inlineStr">
        <is>
          <t>Chinese</t>
        </is>
      </c>
      <c r="I301" s="26" t="n">
        <v>741</v>
      </c>
      <c r="J301" s="26" t="n">
        <v>132.5</v>
      </c>
      <c r="K301" s="26" t="n">
        <v>0</v>
      </c>
      <c r="L301" s="27" t="n">
        <v>0.2</v>
      </c>
      <c r="M301" s="26" t="n">
        <v>148.2</v>
      </c>
      <c r="N301" s="28" t="n">
        <v>4.1</v>
      </c>
      <c r="O301" s="28" t="n">
        <v>28.3</v>
      </c>
      <c r="P301" s="25" t="inlineStr">
        <is>
          <t>Debit Card</t>
        </is>
      </c>
      <c r="Q301" s="25" t="inlineStr">
        <is>
          <t>Delivered</t>
        </is>
      </c>
      <c r="R301" s="25" t="n">
        <v>4</v>
      </c>
      <c r="S301" s="25">
        <f>TEXT(B301,"yyyy-mm")</f>
        <v/>
      </c>
      <c r="T301" s="25">
        <f>VLOOKUP(D301,Customers!A:D,4,FALSE)</f>
        <v/>
      </c>
      <c r="U301" s="25">
        <f>CONCATENATE(A301,"-",G301)</f>
        <v/>
      </c>
      <c r="V301" s="25">
        <f>IF(N301="","",IF(N301&lt;=30,"Fast (&lt;30m)",IF(N301&lt;=45,"Moderate (30-45m)","Delayed (&gt;45m)")))</f>
        <v/>
      </c>
      <c r="W301" s="25">
        <f>IF(AND(I301&gt;600,P301="Delivered"),"High Value Delivered","Standard")</f>
        <v/>
      </c>
      <c r="X301" s="25">
        <f>IF(OR(N301&gt;50,Q301&lt;=2),"High Risk / Delayed","Normal")</f>
        <v/>
      </c>
      <c r="Y301" s="25">
        <f>IF(NOT(P301="Cancelled"),"Fulfilled","Cancelled")</f>
        <v/>
      </c>
      <c r="Z301" s="25">
        <f>IFERROR(Q301,0)</f>
        <v/>
      </c>
    </row>
    <row r="302">
      <c r="A302" s="17" t="inlineStr">
        <is>
          <t>ORD1301</t>
        </is>
      </c>
      <c r="B302" s="17" t="inlineStr">
        <is>
          <t>2025-08-29</t>
        </is>
      </c>
      <c r="C302" s="17" t="inlineStr">
        <is>
          <t>07:03:55</t>
        </is>
      </c>
      <c r="D302" s="17" t="n">
        <v>1183</v>
      </c>
      <c r="E302" s="17" t="n">
        <v>107</v>
      </c>
      <c r="F302" s="17" t="n">
        <v>222</v>
      </c>
      <c r="G302" s="17" t="inlineStr">
        <is>
          <t>Mumbai</t>
        </is>
      </c>
      <c r="H302" s="17" t="inlineStr">
        <is>
          <t>Desserts</t>
        </is>
      </c>
      <c r="I302" s="22" t="n">
        <v>1118</v>
      </c>
      <c r="J302" s="22" t="n">
        <v>176.68</v>
      </c>
      <c r="K302" s="22" t="n">
        <v>0</v>
      </c>
      <c r="L302" s="23" t="n">
        <v>0.25</v>
      </c>
      <c r="M302" s="22" t="n">
        <v>279.5</v>
      </c>
      <c r="N302" s="24" t="n">
        <v>9.4</v>
      </c>
      <c r="O302" s="24" t="n">
        <v>48.1</v>
      </c>
      <c r="P302" s="17" t="inlineStr">
        <is>
          <t>Cash on Delivery</t>
        </is>
      </c>
      <c r="Q302" s="17" t="inlineStr">
        <is>
          <t>Delivered</t>
        </is>
      </c>
      <c r="R302" s="17" t="n">
        <v>2</v>
      </c>
      <c r="S302" s="17">
        <f>TEXT(B302,"yyyy-mm")</f>
        <v/>
      </c>
      <c r="T302" s="17">
        <f>VLOOKUP(D302,Customers!A:D,4,FALSE)</f>
        <v/>
      </c>
      <c r="U302" s="17">
        <f>CONCATENATE(A302,"-",G302)</f>
        <v/>
      </c>
      <c r="V302" s="17">
        <f>IF(N302="","",IF(N302&lt;=30,"Fast (&lt;30m)",IF(N302&lt;=45,"Moderate (30-45m)","Delayed (&gt;45m)")))</f>
        <v/>
      </c>
      <c r="W302" s="17">
        <f>IF(AND(I302&gt;600,P302="Delivered"),"High Value Delivered","Standard")</f>
        <v/>
      </c>
      <c r="X302" s="17">
        <f>IF(OR(N302&gt;50,Q302&lt;=2),"High Risk / Delayed","Normal")</f>
        <v/>
      </c>
      <c r="Y302" s="17">
        <f>IF(NOT(P302="Cancelled"),"Fulfilled","Cancelled")</f>
        <v/>
      </c>
      <c r="Z302" s="17">
        <f>IFERROR(Q302,0)</f>
        <v/>
      </c>
    </row>
    <row r="303">
      <c r="A303" s="25" t="inlineStr">
        <is>
          <t>ORD1302</t>
        </is>
      </c>
      <c r="B303" s="25" t="inlineStr">
        <is>
          <t>2025-12-15</t>
        </is>
      </c>
      <c r="C303" s="25" t="inlineStr">
        <is>
          <t>22:24:33</t>
        </is>
      </c>
      <c r="D303" s="25" t="n">
        <v>1177</v>
      </c>
      <c r="E303" s="25" t="n">
        <v>118</v>
      </c>
      <c r="F303" s="25" t="n">
        <v>211</v>
      </c>
      <c r="G303" s="25" t="inlineStr">
        <is>
          <t>Delhi NCR</t>
        </is>
      </c>
      <c r="H303" s="25" t="inlineStr">
        <is>
          <t>North Indian</t>
        </is>
      </c>
      <c r="I303" s="26" t="n">
        <v>525</v>
      </c>
      <c r="J303" s="26" t="n">
        <v>41.43</v>
      </c>
      <c r="K303" s="26" t="n">
        <v>26</v>
      </c>
      <c r="L303" s="27" t="n">
        <v>0.2</v>
      </c>
      <c r="M303" s="26" t="n">
        <v>111.5</v>
      </c>
      <c r="N303" s="28" t="n">
        <v>3.2</v>
      </c>
      <c r="O303" s="28" t="n">
        <v>30.9</v>
      </c>
      <c r="P303" s="25" t="inlineStr">
        <is>
          <t>Credit Card</t>
        </is>
      </c>
      <c r="Q303" s="25" t="inlineStr">
        <is>
          <t>Delivered</t>
        </is>
      </c>
      <c r="R303" s="25" t="n">
        <v>4</v>
      </c>
      <c r="S303" s="25">
        <f>TEXT(B303,"yyyy-mm")</f>
        <v/>
      </c>
      <c r="T303" s="25">
        <f>VLOOKUP(D303,Customers!A:D,4,FALSE)</f>
        <v/>
      </c>
      <c r="U303" s="25">
        <f>CONCATENATE(A303,"-",G303)</f>
        <v/>
      </c>
      <c r="V303" s="25">
        <f>IF(N303="","",IF(N303&lt;=30,"Fast (&lt;30m)",IF(N303&lt;=45,"Moderate (30-45m)","Delayed (&gt;45m)")))</f>
        <v/>
      </c>
      <c r="W303" s="25">
        <f>IF(AND(I303&gt;600,P303="Delivered"),"High Value Delivered","Standard")</f>
        <v/>
      </c>
      <c r="X303" s="25">
        <f>IF(OR(N303&gt;50,Q303&lt;=2),"High Risk / Delayed","Normal")</f>
        <v/>
      </c>
      <c r="Y303" s="25">
        <f>IF(NOT(P303="Cancelled"),"Fulfilled","Cancelled")</f>
        <v/>
      </c>
      <c r="Z303" s="25">
        <f>IFERROR(Q303,0)</f>
        <v/>
      </c>
    </row>
    <row r="304">
      <c r="A304" s="17" t="inlineStr">
        <is>
          <t>ORD1303</t>
        </is>
      </c>
      <c r="B304" s="17" t="inlineStr">
        <is>
          <t>2025-06-25</t>
        </is>
      </c>
      <c r="C304" s="17" t="inlineStr">
        <is>
          <t>22:26:36</t>
        </is>
      </c>
      <c r="D304" s="17" t="n">
        <v>1054</v>
      </c>
      <c r="E304" s="17" t="n">
        <v>111</v>
      </c>
      <c r="F304" s="17" t="n">
        <v>210</v>
      </c>
      <c r="G304" s="17" t="inlineStr">
        <is>
          <t>Bangalore</t>
        </is>
      </c>
      <c r="H304" s="17" t="inlineStr">
        <is>
          <t>South Indian</t>
        </is>
      </c>
      <c r="I304" s="22" t="n">
        <v>824</v>
      </c>
      <c r="J304" s="22" t="n">
        <v>108.47</v>
      </c>
      <c r="K304" s="22" t="n">
        <v>0</v>
      </c>
      <c r="L304" s="23" t="n">
        <v>0.15</v>
      </c>
      <c r="M304" s="22" t="n">
        <v>123.6</v>
      </c>
      <c r="N304" s="24" t="n">
        <v>1.3</v>
      </c>
      <c r="O304" s="24" t="n">
        <v>26.5</v>
      </c>
      <c r="P304" s="17" t="inlineStr">
        <is>
          <t>UPI</t>
        </is>
      </c>
      <c r="Q304" s="17" t="inlineStr">
        <is>
          <t>Delivered</t>
        </is>
      </c>
      <c r="R304" s="17" t="n">
        <v>4</v>
      </c>
      <c r="S304" s="17">
        <f>TEXT(B304,"yyyy-mm")</f>
        <v/>
      </c>
      <c r="T304" s="17">
        <f>VLOOKUP(D304,Customers!A:D,4,FALSE)</f>
        <v/>
      </c>
      <c r="U304" s="17">
        <f>CONCATENATE(A304,"-",G304)</f>
        <v/>
      </c>
      <c r="V304" s="17">
        <f>IF(N304="","",IF(N304&lt;=30,"Fast (&lt;30m)",IF(N304&lt;=45,"Moderate (30-45m)","Delayed (&gt;45m)")))</f>
        <v/>
      </c>
      <c r="W304" s="17">
        <f>IF(AND(I304&gt;600,P304="Delivered"),"High Value Delivered","Standard")</f>
        <v/>
      </c>
      <c r="X304" s="17">
        <f>IF(OR(N304&gt;50,Q304&lt;=2),"High Risk / Delayed","Normal")</f>
        <v/>
      </c>
      <c r="Y304" s="17">
        <f>IF(NOT(P304="Cancelled"),"Fulfilled","Cancelled")</f>
        <v/>
      </c>
      <c r="Z304" s="17">
        <f>IFERROR(Q304,0)</f>
        <v/>
      </c>
    </row>
    <row r="305">
      <c r="A305" s="25" t="inlineStr">
        <is>
          <t>ORD1304</t>
        </is>
      </c>
      <c r="B305" s="25" t="inlineStr">
        <is>
          <t>2025-06-10</t>
        </is>
      </c>
      <c r="C305" s="25" t="inlineStr">
        <is>
          <t>22:40:03</t>
        </is>
      </c>
      <c r="D305" s="25" t="n">
        <v>1099</v>
      </c>
      <c r="E305" s="25" t="n">
        <v>119</v>
      </c>
      <c r="F305" s="25" t="n">
        <v>216</v>
      </c>
      <c r="G305" s="25" t="inlineStr">
        <is>
          <t>Hyderabad</t>
        </is>
      </c>
      <c r="H305" s="25" t="inlineStr">
        <is>
          <t>Biryani</t>
        </is>
      </c>
      <c r="I305" s="26" t="n">
        <v>224</v>
      </c>
      <c r="J305" s="26" t="n">
        <v>0</v>
      </c>
      <c r="K305" s="26" t="n">
        <v>37</v>
      </c>
      <c r="L305" s="27" t="n">
        <v>0.2</v>
      </c>
      <c r="M305" s="26" t="n">
        <v>54.05</v>
      </c>
      <c r="N305" s="28" t="n">
        <v>5.4</v>
      </c>
      <c r="O305" s="28" t="n">
        <v>36.2</v>
      </c>
      <c r="P305" s="25" t="inlineStr">
        <is>
          <t>Credit Card</t>
        </is>
      </c>
      <c r="Q305" s="25" t="inlineStr">
        <is>
          <t>Delivered</t>
        </is>
      </c>
      <c r="R305" s="25" t="n">
        <v>5</v>
      </c>
      <c r="S305" s="25">
        <f>TEXT(B305,"yyyy-mm")</f>
        <v/>
      </c>
      <c r="T305" s="25">
        <f>VLOOKUP(D305,Customers!A:D,4,FALSE)</f>
        <v/>
      </c>
      <c r="U305" s="25">
        <f>CONCATENATE(A305,"-",G305)</f>
        <v/>
      </c>
      <c r="V305" s="25">
        <f>IF(N305="","",IF(N305&lt;=30,"Fast (&lt;30m)",IF(N305&lt;=45,"Moderate (30-45m)","Delayed (&gt;45m)")))</f>
        <v/>
      </c>
      <c r="W305" s="25">
        <f>IF(AND(I305&gt;600,P305="Delivered"),"High Value Delivered","Standard")</f>
        <v/>
      </c>
      <c r="X305" s="25">
        <f>IF(OR(N305&gt;50,Q305&lt;=2),"High Risk / Delayed","Normal")</f>
        <v/>
      </c>
      <c r="Y305" s="25">
        <f>IF(NOT(P305="Cancelled"),"Fulfilled","Cancelled")</f>
        <v/>
      </c>
      <c r="Z305" s="25">
        <f>IFERROR(Q305,0)</f>
        <v/>
      </c>
    </row>
    <row r="306">
      <c r="A306" s="17" t="inlineStr">
        <is>
          <t>ORD1305</t>
        </is>
      </c>
      <c r="B306" s="17" t="inlineStr">
        <is>
          <t>2025-03-08</t>
        </is>
      </c>
      <c r="C306" s="17" t="inlineStr">
        <is>
          <t>21:39:27</t>
        </is>
      </c>
      <c r="D306" s="17" t="n">
        <v>1104</v>
      </c>
      <c r="E306" s="17" t="n">
        <v>113</v>
      </c>
      <c r="F306" s="17" t="n">
        <v>202</v>
      </c>
      <c r="G306" s="17" t="inlineStr">
        <is>
          <t>Mumbai</t>
        </is>
      </c>
      <c r="H306" s="17" t="inlineStr">
        <is>
          <t>Fast Food</t>
        </is>
      </c>
      <c r="I306" s="22" t="n">
        <v>868</v>
      </c>
      <c r="J306" s="22" t="n">
        <v>0</v>
      </c>
      <c r="K306" s="22" t="n">
        <v>49</v>
      </c>
      <c r="L306" s="23" t="n">
        <v>0.18</v>
      </c>
      <c r="M306" s="22" t="n">
        <v>168.49</v>
      </c>
      <c r="N306" s="24" t="n">
        <v>7.8</v>
      </c>
      <c r="O306" s="24" t="n">
        <v>49.3</v>
      </c>
      <c r="P306" s="17" t="inlineStr">
        <is>
          <t>Cash on Delivery</t>
        </is>
      </c>
      <c r="Q306" s="17" t="inlineStr">
        <is>
          <t>Delivered</t>
        </is>
      </c>
      <c r="R306" s="17" t="n">
        <v>1</v>
      </c>
      <c r="S306" s="17">
        <f>TEXT(B306,"yyyy-mm")</f>
        <v/>
      </c>
      <c r="T306" s="17">
        <f>VLOOKUP(D306,Customers!A:D,4,FALSE)</f>
        <v/>
      </c>
      <c r="U306" s="17">
        <f>CONCATENATE(A306,"-",G306)</f>
        <v/>
      </c>
      <c r="V306" s="17">
        <f>IF(N306="","",IF(N306&lt;=30,"Fast (&lt;30m)",IF(N306&lt;=45,"Moderate (30-45m)","Delayed (&gt;45m)")))</f>
        <v/>
      </c>
      <c r="W306" s="17">
        <f>IF(AND(I306&gt;600,P306="Delivered"),"High Value Delivered","Standard")</f>
        <v/>
      </c>
      <c r="X306" s="17">
        <f>IF(OR(N306&gt;50,Q306&lt;=2),"High Risk / Delayed","Normal")</f>
        <v/>
      </c>
      <c r="Y306" s="17">
        <f>IF(NOT(P306="Cancelled"),"Fulfilled","Cancelled")</f>
        <v/>
      </c>
      <c r="Z306" s="17">
        <f>IFERROR(Q306,0)</f>
        <v/>
      </c>
    </row>
    <row r="307">
      <c r="A307" s="25" t="inlineStr">
        <is>
          <t>ORD1306</t>
        </is>
      </c>
      <c r="B307" s="25" t="inlineStr">
        <is>
          <t>2025-10-01</t>
        </is>
      </c>
      <c r="C307" s="25" t="inlineStr">
        <is>
          <t>16:12:46</t>
        </is>
      </c>
      <c r="D307" s="25" t="n">
        <v>1178</v>
      </c>
      <c r="E307" s="25" t="n">
        <v>116</v>
      </c>
      <c r="F307" s="25" t="n">
        <v>208</v>
      </c>
      <c r="G307" s="25" t="inlineStr">
        <is>
          <t>Pune</t>
        </is>
      </c>
      <c r="H307" s="25" t="inlineStr">
        <is>
          <t>Desserts</t>
        </is>
      </c>
      <c r="I307" s="26" t="n">
        <v>602</v>
      </c>
      <c r="J307" s="26" t="n">
        <v>42.96</v>
      </c>
      <c r="K307" s="26" t="n">
        <v>31.5</v>
      </c>
      <c r="L307" s="27" t="n">
        <v>0.25</v>
      </c>
      <c r="M307" s="26" t="n">
        <v>158.38</v>
      </c>
      <c r="N307" s="28" t="n">
        <v>4.3</v>
      </c>
      <c r="O307" s="28" t="n">
        <v>40.6</v>
      </c>
      <c r="P307" s="25" t="inlineStr">
        <is>
          <t>Digital Wallet</t>
        </is>
      </c>
      <c r="Q307" s="25" t="inlineStr">
        <is>
          <t>Delivered</t>
        </is>
      </c>
      <c r="R307" s="25" t="n">
        <v>1</v>
      </c>
      <c r="S307" s="25">
        <f>TEXT(B307,"yyyy-mm")</f>
        <v/>
      </c>
      <c r="T307" s="25">
        <f>VLOOKUP(D307,Customers!A:D,4,FALSE)</f>
        <v/>
      </c>
      <c r="U307" s="25">
        <f>CONCATENATE(A307,"-",G307)</f>
        <v/>
      </c>
      <c r="V307" s="25">
        <f>IF(N307="","",IF(N307&lt;=30,"Fast (&lt;30m)",IF(N307&lt;=45,"Moderate (30-45m)","Delayed (&gt;45m)")))</f>
        <v/>
      </c>
      <c r="W307" s="25">
        <f>IF(AND(I307&gt;600,P307="Delivered"),"High Value Delivered","Standard")</f>
        <v/>
      </c>
      <c r="X307" s="25">
        <f>IF(OR(N307&gt;50,Q307&lt;=2),"High Risk / Delayed","Normal")</f>
        <v/>
      </c>
      <c r="Y307" s="25">
        <f>IF(NOT(P307="Cancelled"),"Fulfilled","Cancelled")</f>
        <v/>
      </c>
      <c r="Z307" s="25">
        <f>IFERROR(Q307,0)</f>
        <v/>
      </c>
    </row>
    <row r="308">
      <c r="A308" s="17" t="inlineStr">
        <is>
          <t>ORD1307</t>
        </is>
      </c>
      <c r="B308" s="17" t="inlineStr">
        <is>
          <t>2025-12-13</t>
        </is>
      </c>
      <c r="C308" s="17" t="inlineStr">
        <is>
          <t>14:00:40</t>
        </is>
      </c>
      <c r="D308" s="17" t="n">
        <v>1095</v>
      </c>
      <c r="E308" s="17" t="n">
        <v>108</v>
      </c>
      <c r="F308" s="17" t="n">
        <v>219</v>
      </c>
      <c r="G308" s="17" t="inlineStr">
        <is>
          <t>Delhi NCR</t>
        </is>
      </c>
      <c r="H308" s="17" t="inlineStr">
        <is>
          <t>Fast Food</t>
        </is>
      </c>
      <c r="I308" s="22" t="n">
        <v>474</v>
      </c>
      <c r="J308" s="22" t="n">
        <v>31.21</v>
      </c>
      <c r="K308" s="22" t="n">
        <v>25</v>
      </c>
      <c r="L308" s="23" t="n">
        <v>0.18</v>
      </c>
      <c r="M308" s="22" t="n">
        <v>91.56999999999999</v>
      </c>
      <c r="N308" s="24" t="n">
        <v>2.6</v>
      </c>
      <c r="O308" s="24" t="n">
        <v>33.7</v>
      </c>
      <c r="P308" s="17" t="inlineStr">
        <is>
          <t>Debit Card</t>
        </is>
      </c>
      <c r="Q308" s="17" t="inlineStr">
        <is>
          <t>Delivered</t>
        </is>
      </c>
      <c r="R308" s="17" t="n">
        <v>4</v>
      </c>
      <c r="S308" s="17">
        <f>TEXT(B308,"yyyy-mm")</f>
        <v/>
      </c>
      <c r="T308" s="17">
        <f>VLOOKUP(D308,Customers!A:D,4,FALSE)</f>
        <v/>
      </c>
      <c r="U308" s="17">
        <f>CONCATENATE(A308,"-",G308)</f>
        <v/>
      </c>
      <c r="V308" s="17">
        <f>IF(N308="","",IF(N308&lt;=30,"Fast (&lt;30m)",IF(N308&lt;=45,"Moderate (30-45m)","Delayed (&gt;45m)")))</f>
        <v/>
      </c>
      <c r="W308" s="17">
        <f>IF(AND(I308&gt;600,P308="Delivered"),"High Value Delivered","Standard")</f>
        <v/>
      </c>
      <c r="X308" s="17">
        <f>IF(OR(N308&gt;50,Q308&lt;=2),"High Risk / Delayed","Normal")</f>
        <v/>
      </c>
      <c r="Y308" s="17">
        <f>IF(NOT(P308="Cancelled"),"Fulfilled","Cancelled")</f>
        <v/>
      </c>
      <c r="Z308" s="17">
        <f>IFERROR(Q308,0)</f>
        <v/>
      </c>
    </row>
    <row r="309">
      <c r="A309" s="25" t="inlineStr">
        <is>
          <t>ORD1308</t>
        </is>
      </c>
      <c r="B309" s="25" t="inlineStr">
        <is>
          <t>2025-07-16</t>
        </is>
      </c>
      <c r="C309" s="25" t="inlineStr">
        <is>
          <t>19:32:37</t>
        </is>
      </c>
      <c r="D309" s="25" t="n">
        <v>1028</v>
      </c>
      <c r="E309" s="25" t="n">
        <v>114</v>
      </c>
      <c r="F309" s="25" t="n">
        <v>215</v>
      </c>
      <c r="G309" s="25" t="inlineStr">
        <is>
          <t>Hyderabad</t>
        </is>
      </c>
      <c r="H309" s="25" t="inlineStr">
        <is>
          <t>Biryani</t>
        </is>
      </c>
      <c r="I309" s="26" t="n">
        <v>533</v>
      </c>
      <c r="J309" s="26" t="n">
        <v>0</v>
      </c>
      <c r="K309" s="26" t="n">
        <v>31</v>
      </c>
      <c r="L309" s="27" t="n">
        <v>0.22</v>
      </c>
      <c r="M309" s="26" t="n">
        <v>125.01</v>
      </c>
      <c r="N309" s="28" t="n">
        <v>4.2</v>
      </c>
      <c r="O309" s="28" t="n">
        <v>42</v>
      </c>
      <c r="P309" s="25" t="inlineStr">
        <is>
          <t>Debit Card</t>
        </is>
      </c>
      <c r="Q309" s="25" t="inlineStr">
        <is>
          <t>Delivered</t>
        </is>
      </c>
      <c r="R309" s="25" t="n">
        <v>1</v>
      </c>
      <c r="S309" s="25">
        <f>TEXT(B309,"yyyy-mm")</f>
        <v/>
      </c>
      <c r="T309" s="25">
        <f>VLOOKUP(D309,Customers!A:D,4,FALSE)</f>
        <v/>
      </c>
      <c r="U309" s="25">
        <f>CONCATENATE(A309,"-",G309)</f>
        <v/>
      </c>
      <c r="V309" s="25">
        <f>IF(N309="","",IF(N309&lt;=30,"Fast (&lt;30m)",IF(N309&lt;=45,"Moderate (30-45m)","Delayed (&gt;45m)")))</f>
        <v/>
      </c>
      <c r="W309" s="25">
        <f>IF(AND(I309&gt;600,P309="Delivered"),"High Value Delivered","Standard")</f>
        <v/>
      </c>
      <c r="X309" s="25">
        <f>IF(OR(N309&gt;50,Q309&lt;=2),"High Risk / Delayed","Normal")</f>
        <v/>
      </c>
      <c r="Y309" s="25">
        <f>IF(NOT(P309="Cancelled"),"Fulfilled","Cancelled")</f>
        <v/>
      </c>
      <c r="Z309" s="25">
        <f>IFERROR(Q309,0)</f>
        <v/>
      </c>
    </row>
    <row r="310">
      <c r="A310" s="17" t="inlineStr">
        <is>
          <t>ORD1309</t>
        </is>
      </c>
      <c r="B310" s="17" t="inlineStr">
        <is>
          <t>2025-08-11</t>
        </is>
      </c>
      <c r="C310" s="17" t="inlineStr">
        <is>
          <t>17:56:43</t>
        </is>
      </c>
      <c r="D310" s="17" t="n">
        <v>1264</v>
      </c>
      <c r="E310" s="17" t="n">
        <v>105</v>
      </c>
      <c r="F310" s="17" t="n">
        <v>205</v>
      </c>
      <c r="G310" s="17" t="inlineStr">
        <is>
          <t>Bangalore</t>
        </is>
      </c>
      <c r="H310" s="17" t="inlineStr">
        <is>
          <t>Chinese</t>
        </is>
      </c>
      <c r="I310" s="22" t="n">
        <v>357</v>
      </c>
      <c r="J310" s="22" t="n">
        <v>0</v>
      </c>
      <c r="K310" s="22" t="n">
        <v>26.5</v>
      </c>
      <c r="L310" s="23" t="n">
        <v>0.2</v>
      </c>
      <c r="M310" s="22" t="n">
        <v>78.03</v>
      </c>
      <c r="N310" s="24" t="n">
        <v>3.3</v>
      </c>
      <c r="O310" s="24" t="n">
        <v>31.9</v>
      </c>
      <c r="P310" s="17" t="inlineStr">
        <is>
          <t>Debit Card</t>
        </is>
      </c>
      <c r="Q310" s="17" t="inlineStr">
        <is>
          <t>Delivered</t>
        </is>
      </c>
      <c r="R310" s="17" t="n">
        <v>5</v>
      </c>
      <c r="S310" s="17">
        <f>TEXT(B310,"yyyy-mm")</f>
        <v/>
      </c>
      <c r="T310" s="17">
        <f>VLOOKUP(D310,Customers!A:D,4,FALSE)</f>
        <v/>
      </c>
      <c r="U310" s="17">
        <f>CONCATENATE(A310,"-",G310)</f>
        <v/>
      </c>
      <c r="V310" s="17">
        <f>IF(N310="","",IF(N310&lt;=30,"Fast (&lt;30m)",IF(N310&lt;=45,"Moderate (30-45m)","Delayed (&gt;45m)")))</f>
        <v/>
      </c>
      <c r="W310" s="17">
        <f>IF(AND(I310&gt;600,P310="Delivered"),"High Value Delivered","Standard")</f>
        <v/>
      </c>
      <c r="X310" s="17">
        <f>IF(OR(N310&gt;50,Q310&lt;=2),"High Risk / Delayed","Normal")</f>
        <v/>
      </c>
      <c r="Y310" s="17">
        <f>IF(NOT(P310="Cancelled"),"Fulfilled","Cancelled")</f>
        <v/>
      </c>
      <c r="Z310" s="17">
        <f>IFERROR(Q310,0)</f>
        <v/>
      </c>
    </row>
    <row r="311">
      <c r="A311" s="25" t="inlineStr">
        <is>
          <t>ORD1310</t>
        </is>
      </c>
      <c r="B311" s="25" t="inlineStr">
        <is>
          <t>2025-07-26</t>
        </is>
      </c>
      <c r="C311" s="25" t="inlineStr">
        <is>
          <t>20:01:14</t>
        </is>
      </c>
      <c r="D311" s="25" t="n">
        <v>1127</v>
      </c>
      <c r="E311" s="25" t="n">
        <v>112</v>
      </c>
      <c r="F311" s="25" t="n">
        <v>219</v>
      </c>
      <c r="G311" s="25" t="inlineStr">
        <is>
          <t>Delhi NCR</t>
        </is>
      </c>
      <c r="H311" s="25" t="inlineStr">
        <is>
          <t>North Indian</t>
        </is>
      </c>
      <c r="I311" s="26" t="n">
        <v>449</v>
      </c>
      <c r="J311" s="26" t="n">
        <v>45.3</v>
      </c>
      <c r="K311" s="26" t="n">
        <v>74.5</v>
      </c>
      <c r="L311" s="27" t="n">
        <v>0.22</v>
      </c>
      <c r="M311" s="26" t="n">
        <v>117.4</v>
      </c>
      <c r="N311" s="28" t="n">
        <v>12.9</v>
      </c>
      <c r="O311" s="28" t="n">
        <v>63.1</v>
      </c>
      <c r="P311" s="25" t="inlineStr">
        <is>
          <t>UPI</t>
        </is>
      </c>
      <c r="Q311" s="25" t="inlineStr">
        <is>
          <t>Delivered</t>
        </is>
      </c>
      <c r="R311" s="25" t="n">
        <v>1</v>
      </c>
      <c r="S311" s="25">
        <f>TEXT(B311,"yyyy-mm")</f>
        <v/>
      </c>
      <c r="T311" s="25">
        <f>VLOOKUP(D311,Customers!A:D,4,FALSE)</f>
        <v/>
      </c>
      <c r="U311" s="25">
        <f>CONCATENATE(A311,"-",G311)</f>
        <v/>
      </c>
      <c r="V311" s="25">
        <f>IF(N311="","",IF(N311&lt;=30,"Fast (&lt;30m)",IF(N311&lt;=45,"Moderate (30-45m)","Delayed (&gt;45m)")))</f>
        <v/>
      </c>
      <c r="W311" s="25">
        <f>IF(AND(I311&gt;600,P311="Delivered"),"High Value Delivered","Standard")</f>
        <v/>
      </c>
      <c r="X311" s="25">
        <f>IF(OR(N311&gt;50,Q311&lt;=2),"High Risk / Delayed","Normal")</f>
        <v/>
      </c>
      <c r="Y311" s="25">
        <f>IF(NOT(P311="Cancelled"),"Fulfilled","Cancelled")</f>
        <v/>
      </c>
      <c r="Z311" s="25">
        <f>IFERROR(Q311,0)</f>
        <v/>
      </c>
    </row>
    <row r="312">
      <c r="A312" s="17" t="inlineStr">
        <is>
          <t>ORD1311</t>
        </is>
      </c>
      <c r="B312" s="17" t="inlineStr">
        <is>
          <t>2025-12-31</t>
        </is>
      </c>
      <c r="C312" s="17" t="inlineStr">
        <is>
          <t>18:41:50</t>
        </is>
      </c>
      <c r="D312" s="17" t="n">
        <v>1216</v>
      </c>
      <c r="E312" s="17" t="n">
        <v>106</v>
      </c>
      <c r="F312" s="17" t="n">
        <v>217</v>
      </c>
      <c r="G312" s="17" t="inlineStr">
        <is>
          <t>Pune</t>
        </is>
      </c>
      <c r="H312" s="17" t="inlineStr">
        <is>
          <t>South Indian</t>
        </is>
      </c>
      <c r="I312" s="22" t="n">
        <v>258</v>
      </c>
      <c r="J312" s="22" t="n">
        <v>0</v>
      </c>
      <c r="K312" s="22" t="n">
        <v>48.5</v>
      </c>
      <c r="L312" s="23" t="n">
        <v>0.15</v>
      </c>
      <c r="M312" s="22" t="n">
        <v>50.82</v>
      </c>
      <c r="N312" s="24" t="n">
        <v>7.7</v>
      </c>
      <c r="O312" s="24" t="n">
        <v>42</v>
      </c>
      <c r="P312" s="17" t="inlineStr">
        <is>
          <t>Digital Wallet</t>
        </is>
      </c>
      <c r="Q312" s="17" t="inlineStr">
        <is>
          <t>Delivered</t>
        </is>
      </c>
      <c r="R312" s="17" t="n">
        <v>3</v>
      </c>
      <c r="S312" s="17">
        <f>TEXT(B312,"yyyy-mm")</f>
        <v/>
      </c>
      <c r="T312" s="17">
        <f>VLOOKUP(D312,Customers!A:D,4,FALSE)</f>
        <v/>
      </c>
      <c r="U312" s="17">
        <f>CONCATENATE(A312,"-",G312)</f>
        <v/>
      </c>
      <c r="V312" s="17">
        <f>IF(N312="","",IF(N312&lt;=30,"Fast (&lt;30m)",IF(N312&lt;=45,"Moderate (30-45m)","Delayed (&gt;45m)")))</f>
        <v/>
      </c>
      <c r="W312" s="17">
        <f>IF(AND(I312&gt;600,P312="Delivered"),"High Value Delivered","Standard")</f>
        <v/>
      </c>
      <c r="X312" s="17">
        <f>IF(OR(N312&gt;50,Q312&lt;=2),"High Risk / Delayed","Normal")</f>
        <v/>
      </c>
      <c r="Y312" s="17">
        <f>IF(NOT(P312="Cancelled"),"Fulfilled","Cancelled")</f>
        <v/>
      </c>
      <c r="Z312" s="17">
        <f>IFERROR(Q312,0)</f>
        <v/>
      </c>
    </row>
    <row r="313">
      <c r="A313" s="25" t="inlineStr">
        <is>
          <t>ORD1312</t>
        </is>
      </c>
      <c r="B313" s="25" t="inlineStr">
        <is>
          <t>2025-12-01</t>
        </is>
      </c>
      <c r="C313" s="25" t="inlineStr">
        <is>
          <t>19:53:01</t>
        </is>
      </c>
      <c r="D313" s="25" t="n">
        <v>1087</v>
      </c>
      <c r="E313" s="25" t="n">
        <v>106</v>
      </c>
      <c r="F313" s="25" t="n">
        <v>217</v>
      </c>
      <c r="G313" s="25" t="inlineStr">
        <is>
          <t>Pune</t>
        </is>
      </c>
      <c r="H313" s="25" t="inlineStr">
        <is>
          <t>South Indian</t>
        </is>
      </c>
      <c r="I313" s="26" t="n">
        <v>269</v>
      </c>
      <c r="J313" s="26" t="n">
        <v>26.44</v>
      </c>
      <c r="K313" s="26" t="n">
        <v>25</v>
      </c>
      <c r="L313" s="27" t="n">
        <v>0.15</v>
      </c>
      <c r="M313" s="26" t="n">
        <v>46.6</v>
      </c>
      <c r="N313" s="28" t="n">
        <v>2.3</v>
      </c>
      <c r="O313" s="28" t="n">
        <v>25.7</v>
      </c>
      <c r="P313" s="25" t="inlineStr">
        <is>
          <t>Cash on Delivery</t>
        </is>
      </c>
      <c r="Q313" s="25" t="inlineStr">
        <is>
          <t>Delivered</t>
        </is>
      </c>
      <c r="R313" s="25" t="n">
        <v>4</v>
      </c>
      <c r="S313" s="25">
        <f>TEXT(B313,"yyyy-mm")</f>
        <v/>
      </c>
      <c r="T313" s="25">
        <f>VLOOKUP(D313,Customers!A:D,4,FALSE)</f>
        <v/>
      </c>
      <c r="U313" s="25">
        <f>CONCATENATE(A313,"-",G313)</f>
        <v/>
      </c>
      <c r="V313" s="25">
        <f>IF(N313="","",IF(N313&lt;=30,"Fast (&lt;30m)",IF(N313&lt;=45,"Moderate (30-45m)","Delayed (&gt;45m)")))</f>
        <v/>
      </c>
      <c r="W313" s="25">
        <f>IF(AND(I313&gt;600,P313="Delivered"),"High Value Delivered","Standard")</f>
        <v/>
      </c>
      <c r="X313" s="25">
        <f>IF(OR(N313&gt;50,Q313&lt;=2),"High Risk / Delayed","Normal")</f>
        <v/>
      </c>
      <c r="Y313" s="25">
        <f>IF(NOT(P313="Cancelled"),"Fulfilled","Cancelled")</f>
        <v/>
      </c>
      <c r="Z313" s="25">
        <f>IFERROR(Q313,0)</f>
        <v/>
      </c>
    </row>
    <row r="314">
      <c r="A314" s="17" t="inlineStr">
        <is>
          <t>ORD1313</t>
        </is>
      </c>
      <c r="B314" s="17" t="inlineStr">
        <is>
          <t>2025-08-31</t>
        </is>
      </c>
      <c r="C314" s="17" t="inlineStr">
        <is>
          <t>21:44:09</t>
        </is>
      </c>
      <c r="D314" s="17" t="n">
        <v>1023</v>
      </c>
      <c r="E314" s="17" t="n">
        <v>115</v>
      </c>
      <c r="F314" s="17" t="n">
        <v>203</v>
      </c>
      <c r="G314" s="17" t="inlineStr">
        <is>
          <t>Bangalore</t>
        </is>
      </c>
      <c r="H314" s="17" t="inlineStr">
        <is>
          <t>Italian</t>
        </is>
      </c>
      <c r="I314" s="22" t="n">
        <v>430</v>
      </c>
      <c r="J314" s="22" t="n">
        <v>21.68</v>
      </c>
      <c r="K314" s="22" t="n">
        <v>35</v>
      </c>
      <c r="L314" s="23" t="n">
        <v>0.2</v>
      </c>
      <c r="M314" s="22" t="n">
        <v>94.75</v>
      </c>
      <c r="N314" s="24" t="n">
        <v>5</v>
      </c>
      <c r="O314" s="24" t="n">
        <v>34.8</v>
      </c>
      <c r="P314" s="17" t="inlineStr">
        <is>
          <t>UPI</t>
        </is>
      </c>
      <c r="Q314" s="17" t="inlineStr">
        <is>
          <t>Delivered</t>
        </is>
      </c>
      <c r="R314" s="17" t="n">
        <v>5</v>
      </c>
      <c r="S314" s="17">
        <f>TEXT(B314,"yyyy-mm")</f>
        <v/>
      </c>
      <c r="T314" s="17">
        <f>VLOOKUP(D314,Customers!A:D,4,FALSE)</f>
        <v/>
      </c>
      <c r="U314" s="17">
        <f>CONCATENATE(A314,"-",G314)</f>
        <v/>
      </c>
      <c r="V314" s="17">
        <f>IF(N314="","",IF(N314&lt;=30,"Fast (&lt;30m)",IF(N314&lt;=45,"Moderate (30-45m)","Delayed (&gt;45m)")))</f>
        <v/>
      </c>
      <c r="W314" s="17">
        <f>IF(AND(I314&gt;600,P314="Delivered"),"High Value Delivered","Standard")</f>
        <v/>
      </c>
      <c r="X314" s="17">
        <f>IF(OR(N314&gt;50,Q314&lt;=2),"High Risk / Delayed","Normal")</f>
        <v/>
      </c>
      <c r="Y314" s="17">
        <f>IF(NOT(P314="Cancelled"),"Fulfilled","Cancelled")</f>
        <v/>
      </c>
      <c r="Z314" s="17">
        <f>IFERROR(Q314,0)</f>
        <v/>
      </c>
    </row>
    <row r="315">
      <c r="A315" s="25" t="inlineStr">
        <is>
          <t>ORD1314</t>
        </is>
      </c>
      <c r="B315" s="25" t="inlineStr">
        <is>
          <t>2025-02-23</t>
        </is>
      </c>
      <c r="C315" s="25" t="inlineStr">
        <is>
          <t>10:32:46</t>
        </is>
      </c>
      <c r="D315" s="25" t="n">
        <v>1231</v>
      </c>
      <c r="E315" s="25" t="n">
        <v>111</v>
      </c>
      <c r="F315" s="25" t="n">
        <v>201</v>
      </c>
      <c r="G315" s="25" t="inlineStr">
        <is>
          <t>Bangalore</t>
        </is>
      </c>
      <c r="H315" s="25" t="inlineStr">
        <is>
          <t>South Indian</t>
        </is>
      </c>
      <c r="I315" s="26" t="n">
        <v>852</v>
      </c>
      <c r="J315" s="26" t="n">
        <v>49.62</v>
      </c>
      <c r="K315" s="26" t="n">
        <v>38</v>
      </c>
      <c r="L315" s="27" t="n">
        <v>0.15</v>
      </c>
      <c r="M315" s="26" t="n">
        <v>137.3</v>
      </c>
      <c r="N315" s="28" t="n">
        <v>5.6</v>
      </c>
      <c r="O315" s="28" t="n">
        <v>43.4</v>
      </c>
      <c r="P315" s="25" t="inlineStr">
        <is>
          <t>UPI</t>
        </is>
      </c>
      <c r="Q315" s="25" t="inlineStr">
        <is>
          <t>Delivered</t>
        </is>
      </c>
      <c r="R315" s="25" t="n">
        <v>4</v>
      </c>
      <c r="S315" s="25">
        <f>TEXT(B315,"yyyy-mm")</f>
        <v/>
      </c>
      <c r="T315" s="25">
        <f>VLOOKUP(D315,Customers!A:D,4,FALSE)</f>
        <v/>
      </c>
      <c r="U315" s="25">
        <f>CONCATENATE(A315,"-",G315)</f>
        <v/>
      </c>
      <c r="V315" s="25">
        <f>IF(N315="","",IF(N315&lt;=30,"Fast (&lt;30m)",IF(N315&lt;=45,"Moderate (30-45m)","Delayed (&gt;45m)")))</f>
        <v/>
      </c>
      <c r="W315" s="25">
        <f>IF(AND(I315&gt;600,P315="Delivered"),"High Value Delivered","Standard")</f>
        <v/>
      </c>
      <c r="X315" s="25">
        <f>IF(OR(N315&gt;50,Q315&lt;=2),"High Risk / Delayed","Normal")</f>
        <v/>
      </c>
      <c r="Y315" s="25">
        <f>IF(NOT(P315="Cancelled"),"Fulfilled","Cancelled")</f>
        <v/>
      </c>
      <c r="Z315" s="25">
        <f>IFERROR(Q315,0)</f>
        <v/>
      </c>
    </row>
    <row r="316">
      <c r="A316" s="17" t="inlineStr">
        <is>
          <t>ORD1315</t>
        </is>
      </c>
      <c r="B316" s="17" t="inlineStr">
        <is>
          <t>2025-05-15</t>
        </is>
      </c>
      <c r="C316" s="17" t="inlineStr">
        <is>
          <t>11:53:33</t>
        </is>
      </c>
      <c r="D316" s="17" t="n">
        <v>1247</v>
      </c>
      <c r="E316" s="17" t="n">
        <v>115</v>
      </c>
      <c r="F316" s="17" t="n">
        <v>220</v>
      </c>
      <c r="G316" s="17" t="inlineStr">
        <is>
          <t>Bangalore</t>
        </is>
      </c>
      <c r="H316" s="17" t="inlineStr">
        <is>
          <t>Italian</t>
        </is>
      </c>
      <c r="I316" s="22" t="n">
        <v>426</v>
      </c>
      <c r="J316" s="22" t="n">
        <v>0</v>
      </c>
      <c r="K316" s="22" t="n">
        <v>25</v>
      </c>
      <c r="L316" s="23" t="n">
        <v>0.2</v>
      </c>
      <c r="M316" s="22" t="n">
        <v>91.45</v>
      </c>
      <c r="N316" s="24" t="n">
        <v>2.1</v>
      </c>
      <c r="O316" s="24" t="n">
        <v>22.1</v>
      </c>
      <c r="P316" s="17" t="inlineStr">
        <is>
          <t>Credit Card</t>
        </is>
      </c>
      <c r="Q316" s="17" t="inlineStr">
        <is>
          <t>Delivered</t>
        </is>
      </c>
      <c r="R316" s="17" t="n">
        <v>4</v>
      </c>
      <c r="S316" s="17">
        <f>TEXT(B316,"yyyy-mm")</f>
        <v/>
      </c>
      <c r="T316" s="17">
        <f>VLOOKUP(D316,Customers!A:D,4,FALSE)</f>
        <v/>
      </c>
      <c r="U316" s="17">
        <f>CONCATENATE(A316,"-",G316)</f>
        <v/>
      </c>
      <c r="V316" s="17">
        <f>IF(N316="","",IF(N316&lt;=30,"Fast (&lt;30m)",IF(N316&lt;=45,"Moderate (30-45m)","Delayed (&gt;45m)")))</f>
        <v/>
      </c>
      <c r="W316" s="17">
        <f>IF(AND(I316&gt;600,P316="Delivered"),"High Value Delivered","Standard")</f>
        <v/>
      </c>
      <c r="X316" s="17">
        <f>IF(OR(N316&gt;50,Q316&lt;=2),"High Risk / Delayed","Normal")</f>
        <v/>
      </c>
      <c r="Y316" s="17">
        <f>IF(NOT(P316="Cancelled"),"Fulfilled","Cancelled")</f>
        <v/>
      </c>
      <c r="Z316" s="17">
        <f>IFERROR(Q316,0)</f>
        <v/>
      </c>
    </row>
    <row r="317">
      <c r="A317" s="25" t="inlineStr">
        <is>
          <t>ORD1316</t>
        </is>
      </c>
      <c r="B317" s="25" t="inlineStr">
        <is>
          <t>2025-04-17</t>
        </is>
      </c>
      <c r="C317" s="25" t="inlineStr">
        <is>
          <t>23:44:59</t>
        </is>
      </c>
      <c r="D317" s="25" t="n">
        <v>1254</v>
      </c>
      <c r="E317" s="25" t="n">
        <v>119</v>
      </c>
      <c r="F317" s="25" t="n">
        <v>215</v>
      </c>
      <c r="G317" s="25" t="inlineStr">
        <is>
          <t>Hyderabad</t>
        </is>
      </c>
      <c r="H317" s="25" t="inlineStr">
        <is>
          <t>Biryani</t>
        </is>
      </c>
      <c r="I317" s="26" t="n">
        <v>712</v>
      </c>
      <c r="J317" s="26" t="n">
        <v>0</v>
      </c>
      <c r="K317" s="26" t="n">
        <v>30</v>
      </c>
      <c r="L317" s="27" t="n">
        <v>0.2</v>
      </c>
      <c r="M317" s="26" t="n">
        <v>149.9</v>
      </c>
      <c r="N317" s="28" t="n">
        <v>4</v>
      </c>
      <c r="O317" s="28" t="n">
        <v>24</v>
      </c>
      <c r="P317" s="25" t="inlineStr">
        <is>
          <t>UPI</t>
        </is>
      </c>
      <c r="Q317" s="25" t="inlineStr">
        <is>
          <t>Delivered</t>
        </is>
      </c>
      <c r="R317" s="25" t="n">
        <v>5</v>
      </c>
      <c r="S317" s="25">
        <f>TEXT(B317,"yyyy-mm")</f>
        <v/>
      </c>
      <c r="T317" s="25">
        <f>VLOOKUP(D317,Customers!A:D,4,FALSE)</f>
        <v/>
      </c>
      <c r="U317" s="25">
        <f>CONCATENATE(A317,"-",G317)</f>
        <v/>
      </c>
      <c r="V317" s="25">
        <f>IF(N317="","",IF(N317&lt;=30,"Fast (&lt;30m)",IF(N317&lt;=45,"Moderate (30-45m)","Delayed (&gt;45m)")))</f>
        <v/>
      </c>
      <c r="W317" s="25">
        <f>IF(AND(I317&gt;600,P317="Delivered"),"High Value Delivered","Standard")</f>
        <v/>
      </c>
      <c r="X317" s="25">
        <f>IF(OR(N317&gt;50,Q317&lt;=2),"High Risk / Delayed","Normal")</f>
        <v/>
      </c>
      <c r="Y317" s="25">
        <f>IF(NOT(P317="Cancelled"),"Fulfilled","Cancelled")</f>
        <v/>
      </c>
      <c r="Z317" s="25">
        <f>IFERROR(Q317,0)</f>
        <v/>
      </c>
    </row>
    <row r="318">
      <c r="A318" s="17" t="inlineStr">
        <is>
          <t>ORD1317</t>
        </is>
      </c>
      <c r="B318" s="17" t="inlineStr">
        <is>
          <t>2025-03-18</t>
        </is>
      </c>
      <c r="C318" s="17" t="inlineStr">
        <is>
          <t>12:05:49</t>
        </is>
      </c>
      <c r="D318" s="17" t="n">
        <v>1255</v>
      </c>
      <c r="E318" s="17" t="n">
        <v>110</v>
      </c>
      <c r="F318" s="17" t="n">
        <v>208</v>
      </c>
      <c r="G318" s="17" t="inlineStr">
        <is>
          <t>Pune</t>
        </is>
      </c>
      <c r="H318" s="17" t="inlineStr">
        <is>
          <t>North Indian</t>
        </is>
      </c>
      <c r="I318" s="22" t="n">
        <v>743</v>
      </c>
      <c r="J318" s="22" t="n">
        <v>0</v>
      </c>
      <c r="K318" s="22" t="n">
        <v>47</v>
      </c>
      <c r="L318" s="23" t="n">
        <v>0.18</v>
      </c>
      <c r="M318" s="22" t="n">
        <v>145.49</v>
      </c>
      <c r="N318" s="24" t="n">
        <v>7.4</v>
      </c>
      <c r="O318" s="24" t="n">
        <v>52.5</v>
      </c>
      <c r="P318" s="17" t="inlineStr">
        <is>
          <t>Debit Card</t>
        </is>
      </c>
      <c r="Q318" s="17" t="inlineStr">
        <is>
          <t>Delivered</t>
        </is>
      </c>
      <c r="R318" s="17" t="n">
        <v>2</v>
      </c>
      <c r="S318" s="17">
        <f>TEXT(B318,"yyyy-mm")</f>
        <v/>
      </c>
      <c r="T318" s="17">
        <f>VLOOKUP(D318,Customers!A:D,4,FALSE)</f>
        <v/>
      </c>
      <c r="U318" s="17">
        <f>CONCATENATE(A318,"-",G318)</f>
        <v/>
      </c>
      <c r="V318" s="17">
        <f>IF(N318="","",IF(N318&lt;=30,"Fast (&lt;30m)",IF(N318&lt;=45,"Moderate (30-45m)","Delayed (&gt;45m)")))</f>
        <v/>
      </c>
      <c r="W318" s="17">
        <f>IF(AND(I318&gt;600,P318="Delivered"),"High Value Delivered","Standard")</f>
        <v/>
      </c>
      <c r="X318" s="17">
        <f>IF(OR(N318&gt;50,Q318&lt;=2),"High Risk / Delayed","Normal")</f>
        <v/>
      </c>
      <c r="Y318" s="17">
        <f>IF(NOT(P318="Cancelled"),"Fulfilled","Cancelled")</f>
        <v/>
      </c>
      <c r="Z318" s="17">
        <f>IFERROR(Q318,0)</f>
        <v/>
      </c>
    </row>
    <row r="319">
      <c r="A319" s="25" t="inlineStr">
        <is>
          <t>ORD1318</t>
        </is>
      </c>
      <c r="B319" s="25" t="inlineStr">
        <is>
          <t>2025-05-16</t>
        </is>
      </c>
      <c r="C319" s="25" t="inlineStr">
        <is>
          <t>10:29:03</t>
        </is>
      </c>
      <c r="D319" s="25" t="n">
        <v>1089</v>
      </c>
      <c r="E319" s="25" t="n">
        <v>111</v>
      </c>
      <c r="F319" s="25" t="n">
        <v>223</v>
      </c>
      <c r="G319" s="25" t="inlineStr">
        <is>
          <t>Bangalore</t>
        </is>
      </c>
      <c r="H319" s="25" t="inlineStr">
        <is>
          <t>South Indian</t>
        </is>
      </c>
      <c r="I319" s="26" t="n">
        <v>630</v>
      </c>
      <c r="J319" s="26" t="n">
        <v>74.01000000000001</v>
      </c>
      <c r="K319" s="26" t="n">
        <v>0</v>
      </c>
      <c r="L319" s="27" t="n">
        <v>0.15</v>
      </c>
      <c r="M319" s="26" t="n">
        <v>94.5</v>
      </c>
      <c r="N319" s="28" t="n">
        <v>5.1</v>
      </c>
      <c r="O319" s="28" t="n">
        <v>28.8</v>
      </c>
      <c r="P319" s="25" t="inlineStr">
        <is>
          <t>Debit Card</t>
        </is>
      </c>
      <c r="Q319" s="25" t="inlineStr">
        <is>
          <t>Delivered</t>
        </is>
      </c>
      <c r="R319" s="25" t="n">
        <v>5</v>
      </c>
      <c r="S319" s="25">
        <f>TEXT(B319,"yyyy-mm")</f>
        <v/>
      </c>
      <c r="T319" s="25">
        <f>VLOOKUP(D319,Customers!A:D,4,FALSE)</f>
        <v/>
      </c>
      <c r="U319" s="25">
        <f>CONCATENATE(A319,"-",G319)</f>
        <v/>
      </c>
      <c r="V319" s="25">
        <f>IF(N319="","",IF(N319&lt;=30,"Fast (&lt;30m)",IF(N319&lt;=45,"Moderate (30-45m)","Delayed (&gt;45m)")))</f>
        <v/>
      </c>
      <c r="W319" s="25">
        <f>IF(AND(I319&gt;600,P319="Delivered"),"High Value Delivered","Standard")</f>
        <v/>
      </c>
      <c r="X319" s="25">
        <f>IF(OR(N319&gt;50,Q319&lt;=2),"High Risk / Delayed","Normal")</f>
        <v/>
      </c>
      <c r="Y319" s="25">
        <f>IF(NOT(P319="Cancelled"),"Fulfilled","Cancelled")</f>
        <v/>
      </c>
      <c r="Z319" s="25">
        <f>IFERROR(Q319,0)</f>
        <v/>
      </c>
    </row>
    <row r="320">
      <c r="A320" s="17" t="inlineStr">
        <is>
          <t>ORD1319</t>
        </is>
      </c>
      <c r="B320" s="17" t="inlineStr">
        <is>
          <t>2025-03-01</t>
        </is>
      </c>
      <c r="C320" s="17" t="inlineStr">
        <is>
          <t>19:06:54</t>
        </is>
      </c>
      <c r="D320" s="17" t="n">
        <v>1041</v>
      </c>
      <c r="E320" s="17" t="n">
        <v>109</v>
      </c>
      <c r="F320" s="17" t="n">
        <v>215</v>
      </c>
      <c r="G320" s="17" t="inlineStr">
        <is>
          <t>Hyderabad</t>
        </is>
      </c>
      <c r="H320" s="17" t="inlineStr">
        <is>
          <t>Biryani</t>
        </is>
      </c>
      <c r="I320" s="22" t="n">
        <v>266</v>
      </c>
      <c r="J320" s="22" t="n">
        <v>0</v>
      </c>
      <c r="K320" s="22" t="n">
        <v>25</v>
      </c>
      <c r="L320" s="23" t="n">
        <v>0.2</v>
      </c>
      <c r="M320" s="22" t="n">
        <v>59.45</v>
      </c>
      <c r="N320" s="24" t="n">
        <v>2.9</v>
      </c>
      <c r="O320" s="24" t="n">
        <v>24.9</v>
      </c>
      <c r="P320" s="17" t="inlineStr">
        <is>
          <t>Credit Card</t>
        </is>
      </c>
      <c r="Q320" s="17" t="inlineStr">
        <is>
          <t>Delivered</t>
        </is>
      </c>
      <c r="R320" s="17" t="n">
        <v>5</v>
      </c>
      <c r="S320" s="17">
        <f>TEXT(B320,"yyyy-mm")</f>
        <v/>
      </c>
      <c r="T320" s="17">
        <f>VLOOKUP(D320,Customers!A:D,4,FALSE)</f>
        <v/>
      </c>
      <c r="U320" s="17">
        <f>CONCATENATE(A320,"-",G320)</f>
        <v/>
      </c>
      <c r="V320" s="17">
        <f>IF(N320="","",IF(N320&lt;=30,"Fast (&lt;30m)",IF(N320&lt;=45,"Moderate (30-45m)","Delayed (&gt;45m)")))</f>
        <v/>
      </c>
      <c r="W320" s="17">
        <f>IF(AND(I320&gt;600,P320="Delivered"),"High Value Delivered","Standard")</f>
        <v/>
      </c>
      <c r="X320" s="17">
        <f>IF(OR(N320&gt;50,Q320&lt;=2),"High Risk / Delayed","Normal")</f>
        <v/>
      </c>
      <c r="Y320" s="17">
        <f>IF(NOT(P320="Cancelled"),"Fulfilled","Cancelled")</f>
        <v/>
      </c>
      <c r="Z320" s="17">
        <f>IFERROR(Q320,0)</f>
        <v/>
      </c>
    </row>
    <row r="321">
      <c r="A321" s="25" t="inlineStr">
        <is>
          <t>ORD1320</t>
        </is>
      </c>
      <c r="B321" s="25" t="inlineStr">
        <is>
          <t>2025-11-15</t>
        </is>
      </c>
      <c r="C321" s="25" t="inlineStr">
        <is>
          <t>15:17:56</t>
        </is>
      </c>
      <c r="D321" s="25" t="n">
        <v>1295</v>
      </c>
      <c r="E321" s="25" t="n">
        <v>104</v>
      </c>
      <c r="F321" s="25" t="n">
        <v>221</v>
      </c>
      <c r="G321" s="25" t="inlineStr">
        <is>
          <t>Delhi NCR</t>
        </is>
      </c>
      <c r="H321" s="25" t="inlineStr">
        <is>
          <t>Fast Food</t>
        </is>
      </c>
      <c r="I321" s="26" t="n">
        <v>315</v>
      </c>
      <c r="J321" s="26" t="n">
        <v>0</v>
      </c>
      <c r="K321" s="26" t="n">
        <v>34.5</v>
      </c>
      <c r="L321" s="27" t="n">
        <v>0.18</v>
      </c>
      <c r="M321" s="26" t="n">
        <v>65.31999999999999</v>
      </c>
      <c r="N321" s="28" t="n">
        <v>4.9</v>
      </c>
      <c r="O321" s="28" t="n">
        <v>31.9</v>
      </c>
      <c r="P321" s="25" t="inlineStr">
        <is>
          <t>UPI</t>
        </is>
      </c>
      <c r="Q321" s="25" t="inlineStr">
        <is>
          <t>Delivered</t>
        </is>
      </c>
      <c r="R321" s="25" t="n">
        <v>4</v>
      </c>
      <c r="S321" s="25">
        <f>TEXT(B321,"yyyy-mm")</f>
        <v/>
      </c>
      <c r="T321" s="25">
        <f>VLOOKUP(D321,Customers!A:D,4,FALSE)</f>
        <v/>
      </c>
      <c r="U321" s="25">
        <f>CONCATENATE(A321,"-",G321)</f>
        <v/>
      </c>
      <c r="V321" s="25">
        <f>IF(N321="","",IF(N321&lt;=30,"Fast (&lt;30m)",IF(N321&lt;=45,"Moderate (30-45m)","Delayed (&gt;45m)")))</f>
        <v/>
      </c>
      <c r="W321" s="25">
        <f>IF(AND(I321&gt;600,P321="Delivered"),"High Value Delivered","Standard")</f>
        <v/>
      </c>
      <c r="X321" s="25">
        <f>IF(OR(N321&gt;50,Q321&lt;=2),"High Risk / Delayed","Normal")</f>
        <v/>
      </c>
      <c r="Y321" s="25">
        <f>IF(NOT(P321="Cancelled"),"Fulfilled","Cancelled")</f>
        <v/>
      </c>
      <c r="Z321" s="25">
        <f>IFERROR(Q321,0)</f>
        <v/>
      </c>
    </row>
    <row r="322">
      <c r="A322" s="17" t="inlineStr">
        <is>
          <t>ORD1321</t>
        </is>
      </c>
      <c r="B322" s="17" t="inlineStr">
        <is>
          <t>2025-05-20</t>
        </is>
      </c>
      <c r="C322" s="17" t="inlineStr">
        <is>
          <t>20:53:24</t>
        </is>
      </c>
      <c r="D322" s="17" t="n">
        <v>1171</v>
      </c>
      <c r="E322" s="17" t="n">
        <v>102</v>
      </c>
      <c r="F322" s="17" t="n">
        <v>215</v>
      </c>
      <c r="G322" s="17" t="inlineStr">
        <is>
          <t>Hyderabad</t>
        </is>
      </c>
      <c r="H322" s="17" t="inlineStr">
        <is>
          <t>Biryani</t>
        </is>
      </c>
      <c r="I322" s="22" t="n">
        <v>926</v>
      </c>
      <c r="J322" s="22" t="n">
        <v>101.44</v>
      </c>
      <c r="K322" s="22" t="n">
        <v>38.5</v>
      </c>
      <c r="L322" s="23" t="n">
        <v>0.22</v>
      </c>
      <c r="M322" s="22" t="n">
        <v>213.34</v>
      </c>
      <c r="N322" s="24" t="n">
        <v>5.7</v>
      </c>
      <c r="O322" s="24" t="n">
        <v>41.7</v>
      </c>
      <c r="P322" s="17" t="inlineStr">
        <is>
          <t>Credit Card</t>
        </is>
      </c>
      <c r="Q322" s="17" t="inlineStr">
        <is>
          <t>Delivered</t>
        </is>
      </c>
      <c r="R322" s="17" t="n">
        <v>3</v>
      </c>
      <c r="S322" s="17">
        <f>TEXT(B322,"yyyy-mm")</f>
        <v/>
      </c>
      <c r="T322" s="17">
        <f>VLOOKUP(D322,Customers!A:D,4,FALSE)</f>
        <v/>
      </c>
      <c r="U322" s="17">
        <f>CONCATENATE(A322,"-",G322)</f>
        <v/>
      </c>
      <c r="V322" s="17">
        <f>IF(N322="","",IF(N322&lt;=30,"Fast (&lt;30m)",IF(N322&lt;=45,"Moderate (30-45m)","Delayed (&gt;45m)")))</f>
        <v/>
      </c>
      <c r="W322" s="17">
        <f>IF(AND(I322&gt;600,P322="Delivered"),"High Value Delivered","Standard")</f>
        <v/>
      </c>
      <c r="X322" s="17">
        <f>IF(OR(N322&gt;50,Q322&lt;=2),"High Risk / Delayed","Normal")</f>
        <v/>
      </c>
      <c r="Y322" s="17">
        <f>IF(NOT(P322="Cancelled"),"Fulfilled","Cancelled")</f>
        <v/>
      </c>
      <c r="Z322" s="17">
        <f>IFERROR(Q322,0)</f>
        <v/>
      </c>
    </row>
    <row r="323">
      <c r="A323" s="25" t="inlineStr">
        <is>
          <t>ORD1322</t>
        </is>
      </c>
      <c r="B323" s="25" t="inlineStr">
        <is>
          <t>2025-12-23</t>
        </is>
      </c>
      <c r="C323" s="25" t="inlineStr">
        <is>
          <t>07:46:03</t>
        </is>
      </c>
      <c r="D323" s="25" t="n">
        <v>1040</v>
      </c>
      <c r="E323" s="25" t="n">
        <v>120</v>
      </c>
      <c r="F323" s="25" t="n">
        <v>217</v>
      </c>
      <c r="G323" s="25" t="inlineStr">
        <is>
          <t>Pune</t>
        </is>
      </c>
      <c r="H323" s="25" t="inlineStr">
        <is>
          <t>Fast Food</t>
        </is>
      </c>
      <c r="I323" s="26" t="n">
        <v>383</v>
      </c>
      <c r="J323" s="26" t="n">
        <v>0</v>
      </c>
      <c r="K323" s="26" t="n">
        <v>35</v>
      </c>
      <c r="L323" s="27" t="n">
        <v>0.18</v>
      </c>
      <c r="M323" s="26" t="n">
        <v>77.69</v>
      </c>
      <c r="N323" s="28" t="n">
        <v>5</v>
      </c>
      <c r="O323" s="28" t="n">
        <v>43.2</v>
      </c>
      <c r="P323" s="25" t="inlineStr">
        <is>
          <t>Cash on Delivery</t>
        </is>
      </c>
      <c r="Q323" s="25" t="inlineStr">
        <is>
          <t>Delivered</t>
        </is>
      </c>
      <c r="R323" s="25" t="n">
        <v>1</v>
      </c>
      <c r="S323" s="25">
        <f>TEXT(B323,"yyyy-mm")</f>
        <v/>
      </c>
      <c r="T323" s="25">
        <f>VLOOKUP(D323,Customers!A:D,4,FALSE)</f>
        <v/>
      </c>
      <c r="U323" s="25">
        <f>CONCATENATE(A323,"-",G323)</f>
        <v/>
      </c>
      <c r="V323" s="25">
        <f>IF(N323="","",IF(N323&lt;=30,"Fast (&lt;30m)",IF(N323&lt;=45,"Moderate (30-45m)","Delayed (&gt;45m)")))</f>
        <v/>
      </c>
      <c r="W323" s="25">
        <f>IF(AND(I323&gt;600,P323="Delivered"),"High Value Delivered","Standard")</f>
        <v/>
      </c>
      <c r="X323" s="25">
        <f>IF(OR(N323&gt;50,Q323&lt;=2),"High Risk / Delayed","Normal")</f>
        <v/>
      </c>
      <c r="Y323" s="25">
        <f>IF(NOT(P323="Cancelled"),"Fulfilled","Cancelled")</f>
        <v/>
      </c>
      <c r="Z323" s="25">
        <f>IFERROR(Q323,0)</f>
        <v/>
      </c>
    </row>
    <row r="324">
      <c r="A324" s="17" t="inlineStr">
        <is>
          <t>ORD1323</t>
        </is>
      </c>
      <c r="B324" s="17" t="inlineStr">
        <is>
          <t>2025-07-03</t>
        </is>
      </c>
      <c r="C324" s="17" t="inlineStr">
        <is>
          <t>20:39:01</t>
        </is>
      </c>
      <c r="D324" s="17" t="n">
        <v>1056</v>
      </c>
      <c r="E324" s="17" t="n">
        <v>114</v>
      </c>
      <c r="F324" s="17" t="n">
        <v>215</v>
      </c>
      <c r="G324" s="17" t="inlineStr">
        <is>
          <t>Hyderabad</t>
        </is>
      </c>
      <c r="H324" s="17" t="inlineStr">
        <is>
          <t>Biryani</t>
        </is>
      </c>
      <c r="I324" s="22" t="n">
        <v>1245</v>
      </c>
      <c r="J324" s="22" t="n">
        <v>228.9</v>
      </c>
      <c r="K324" s="22" t="n">
        <v>0</v>
      </c>
      <c r="L324" s="23" t="n">
        <v>0.22</v>
      </c>
      <c r="M324" s="22" t="n">
        <v>273.9</v>
      </c>
      <c r="N324" s="24" t="n">
        <v>1.1</v>
      </c>
      <c r="O324" s="24" t="n">
        <v>27.9</v>
      </c>
      <c r="P324" s="17" t="inlineStr">
        <is>
          <t>Credit Card</t>
        </is>
      </c>
      <c r="Q324" s="17" t="inlineStr">
        <is>
          <t>Delivered</t>
        </is>
      </c>
      <c r="R324" s="17" t="n">
        <v>5</v>
      </c>
      <c r="S324" s="17">
        <f>TEXT(B324,"yyyy-mm")</f>
        <v/>
      </c>
      <c r="T324" s="17">
        <f>VLOOKUP(D324,Customers!A:D,4,FALSE)</f>
        <v/>
      </c>
      <c r="U324" s="17">
        <f>CONCATENATE(A324,"-",G324)</f>
        <v/>
      </c>
      <c r="V324" s="17">
        <f>IF(N324="","",IF(N324&lt;=30,"Fast (&lt;30m)",IF(N324&lt;=45,"Moderate (30-45m)","Delayed (&gt;45m)")))</f>
        <v/>
      </c>
      <c r="W324" s="17">
        <f>IF(AND(I324&gt;600,P324="Delivered"),"High Value Delivered","Standard")</f>
        <v/>
      </c>
      <c r="X324" s="17">
        <f>IF(OR(N324&gt;50,Q324&lt;=2),"High Risk / Delayed","Normal")</f>
        <v/>
      </c>
      <c r="Y324" s="17">
        <f>IF(NOT(P324="Cancelled"),"Fulfilled","Cancelled")</f>
        <v/>
      </c>
      <c r="Z324" s="17">
        <f>IFERROR(Q324,0)</f>
        <v/>
      </c>
    </row>
    <row r="325">
      <c r="A325" s="25" t="inlineStr">
        <is>
          <t>ORD1324</t>
        </is>
      </c>
      <c r="B325" s="25" t="inlineStr">
        <is>
          <t>2025-07-30</t>
        </is>
      </c>
      <c r="C325" s="25" t="inlineStr">
        <is>
          <t>13:28:02</t>
        </is>
      </c>
      <c r="D325" s="25" t="n">
        <v>1096</v>
      </c>
      <c r="E325" s="25" t="n">
        <v>102</v>
      </c>
      <c r="F325" s="25" t="n">
        <v>215</v>
      </c>
      <c r="G325" s="25" t="inlineStr">
        <is>
          <t>Hyderabad</t>
        </is>
      </c>
      <c r="H325" s="25" t="inlineStr">
        <is>
          <t>Biryani</t>
        </is>
      </c>
      <c r="I325" s="26" t="n">
        <v>284</v>
      </c>
      <c r="J325" s="26" t="n">
        <v>0</v>
      </c>
      <c r="K325" s="26" t="n">
        <v>51.5</v>
      </c>
      <c r="L325" s="27" t="n">
        <v>0.22</v>
      </c>
      <c r="M325" s="26" t="n">
        <v>75.34999999999999</v>
      </c>
      <c r="N325" s="28" t="n">
        <v>8.300000000000001</v>
      </c>
      <c r="O325" s="28" t="n">
        <v>54.9</v>
      </c>
      <c r="P325" s="25" t="inlineStr">
        <is>
          <t>Digital Wallet</t>
        </is>
      </c>
      <c r="Q325" s="25" t="inlineStr">
        <is>
          <t>Delivered</t>
        </is>
      </c>
      <c r="R325" s="25" t="n">
        <v>1</v>
      </c>
      <c r="S325" s="25">
        <f>TEXT(B325,"yyyy-mm")</f>
        <v/>
      </c>
      <c r="T325" s="25">
        <f>VLOOKUP(D325,Customers!A:D,4,FALSE)</f>
        <v/>
      </c>
      <c r="U325" s="25">
        <f>CONCATENATE(A325,"-",G325)</f>
        <v/>
      </c>
      <c r="V325" s="25">
        <f>IF(N325="","",IF(N325&lt;=30,"Fast (&lt;30m)",IF(N325&lt;=45,"Moderate (30-45m)","Delayed (&gt;45m)")))</f>
        <v/>
      </c>
      <c r="W325" s="25">
        <f>IF(AND(I325&gt;600,P325="Delivered"),"High Value Delivered","Standard")</f>
        <v/>
      </c>
      <c r="X325" s="25">
        <f>IF(OR(N325&gt;50,Q325&lt;=2),"High Risk / Delayed","Normal")</f>
        <v/>
      </c>
      <c r="Y325" s="25">
        <f>IF(NOT(P325="Cancelled"),"Fulfilled","Cancelled")</f>
        <v/>
      </c>
      <c r="Z325" s="25">
        <f>IFERROR(Q325,0)</f>
        <v/>
      </c>
    </row>
    <row r="326">
      <c r="A326" s="17" t="inlineStr">
        <is>
          <t>ORD1325</t>
        </is>
      </c>
      <c r="B326" s="17" t="inlineStr">
        <is>
          <t>2025-08-10</t>
        </is>
      </c>
      <c r="C326" s="17" t="inlineStr">
        <is>
          <t>11:42:46</t>
        </is>
      </c>
      <c r="D326" s="17" t="n">
        <v>1143</v>
      </c>
      <c r="E326" s="17" t="n">
        <v>114</v>
      </c>
      <c r="F326" s="17" t="n">
        <v>216</v>
      </c>
      <c r="G326" s="17" t="inlineStr">
        <is>
          <t>Hyderabad</t>
        </is>
      </c>
      <c r="H326" s="17" t="inlineStr">
        <is>
          <t>Biryani</t>
        </is>
      </c>
      <c r="I326" s="22" t="n">
        <v>474</v>
      </c>
      <c r="J326" s="22" t="n">
        <v>0</v>
      </c>
      <c r="K326" s="22" t="n">
        <v>35.5</v>
      </c>
      <c r="L326" s="23" t="n">
        <v>0.22</v>
      </c>
      <c r="M326" s="22" t="n">
        <v>113.16</v>
      </c>
      <c r="N326" s="24" t="n">
        <v>5.1</v>
      </c>
      <c r="O326" s="24" t="n">
        <v>36</v>
      </c>
      <c r="P326" s="17" t="inlineStr">
        <is>
          <t>Cash on Delivery</t>
        </is>
      </c>
      <c r="Q326" s="17" t="inlineStr">
        <is>
          <t>Delivered</t>
        </is>
      </c>
      <c r="R326" s="17" t="n">
        <v>5</v>
      </c>
      <c r="S326" s="17">
        <f>TEXT(B326,"yyyy-mm")</f>
        <v/>
      </c>
      <c r="T326" s="17">
        <f>VLOOKUP(D326,Customers!A:D,4,FALSE)</f>
        <v/>
      </c>
      <c r="U326" s="17">
        <f>CONCATENATE(A326,"-",G326)</f>
        <v/>
      </c>
      <c r="V326" s="17">
        <f>IF(N326="","",IF(N326&lt;=30,"Fast (&lt;30m)",IF(N326&lt;=45,"Moderate (30-45m)","Delayed (&gt;45m)")))</f>
        <v/>
      </c>
      <c r="W326" s="17">
        <f>IF(AND(I326&gt;600,P326="Delivered"),"High Value Delivered","Standard")</f>
        <v/>
      </c>
      <c r="X326" s="17">
        <f>IF(OR(N326&gt;50,Q326&lt;=2),"High Risk / Delayed","Normal")</f>
        <v/>
      </c>
      <c r="Y326" s="17">
        <f>IF(NOT(P326="Cancelled"),"Fulfilled","Cancelled")</f>
        <v/>
      </c>
      <c r="Z326" s="17">
        <f>IFERROR(Q326,0)</f>
        <v/>
      </c>
    </row>
    <row r="327">
      <c r="A327" s="25" t="inlineStr">
        <is>
          <t>ORD1326</t>
        </is>
      </c>
      <c r="B327" s="25" t="inlineStr">
        <is>
          <t>2025-01-06</t>
        </is>
      </c>
      <c r="C327" s="25" t="inlineStr">
        <is>
          <t>18:41:59</t>
        </is>
      </c>
      <c r="D327" s="25" t="n">
        <v>1190</v>
      </c>
      <c r="E327" s="25" t="n">
        <v>109</v>
      </c>
      <c r="F327" s="25" t="n">
        <v>215</v>
      </c>
      <c r="G327" s="25" t="inlineStr">
        <is>
          <t>Hyderabad</t>
        </is>
      </c>
      <c r="H327" s="25" t="inlineStr">
        <is>
          <t>Biryani</t>
        </is>
      </c>
      <c r="I327" s="26" t="n">
        <v>380</v>
      </c>
      <c r="J327" s="26" t="n">
        <v>14.27</v>
      </c>
      <c r="K327" s="26" t="n">
        <v>52.5</v>
      </c>
      <c r="L327" s="27" t="n">
        <v>0.2</v>
      </c>
      <c r="M327" s="26" t="n">
        <v>89.12</v>
      </c>
      <c r="N327" s="28" t="n">
        <v>8.5</v>
      </c>
      <c r="O327" s="28" t="n">
        <v>41.4</v>
      </c>
      <c r="P327" s="25" t="inlineStr">
        <is>
          <t>Credit Card</t>
        </is>
      </c>
      <c r="Q327" s="25" t="inlineStr">
        <is>
          <t>Delivered</t>
        </is>
      </c>
      <c r="R327" s="25" t="n">
        <v>2</v>
      </c>
      <c r="S327" s="25">
        <f>TEXT(B327,"yyyy-mm")</f>
        <v/>
      </c>
      <c r="T327" s="25">
        <f>VLOOKUP(D327,Customers!A:D,4,FALSE)</f>
        <v/>
      </c>
      <c r="U327" s="25">
        <f>CONCATENATE(A327,"-",G327)</f>
        <v/>
      </c>
      <c r="V327" s="25">
        <f>IF(N327="","",IF(N327&lt;=30,"Fast (&lt;30m)",IF(N327&lt;=45,"Moderate (30-45m)","Delayed (&gt;45m)")))</f>
        <v/>
      </c>
      <c r="W327" s="25">
        <f>IF(AND(I327&gt;600,P327="Delivered"),"High Value Delivered","Standard")</f>
        <v/>
      </c>
      <c r="X327" s="25">
        <f>IF(OR(N327&gt;50,Q327&lt;=2),"High Risk / Delayed","Normal")</f>
        <v/>
      </c>
      <c r="Y327" s="25">
        <f>IF(NOT(P327="Cancelled"),"Fulfilled","Cancelled")</f>
        <v/>
      </c>
      <c r="Z327" s="25">
        <f>IFERROR(Q327,0)</f>
        <v/>
      </c>
    </row>
    <row r="328">
      <c r="A328" s="17" t="inlineStr">
        <is>
          <t>ORD1327</t>
        </is>
      </c>
      <c r="B328" s="17" t="inlineStr">
        <is>
          <t>2025-06-14</t>
        </is>
      </c>
      <c r="C328" s="17" t="inlineStr">
        <is>
          <t>18:15:21</t>
        </is>
      </c>
      <c r="D328" s="17" t="n">
        <v>1098</v>
      </c>
      <c r="E328" s="17" t="n">
        <v>118</v>
      </c>
      <c r="F328" s="17" t="n">
        <v>211</v>
      </c>
      <c r="G328" s="17" t="inlineStr">
        <is>
          <t>Delhi NCR</t>
        </is>
      </c>
      <c r="H328" s="17" t="inlineStr">
        <is>
          <t>North Indian</t>
        </is>
      </c>
      <c r="I328" s="22" t="n">
        <v>504</v>
      </c>
      <c r="J328" s="22" t="n">
        <v>0</v>
      </c>
      <c r="K328" s="22" t="n">
        <v>33</v>
      </c>
      <c r="L328" s="23" t="n">
        <v>0.2</v>
      </c>
      <c r="M328" s="22" t="n">
        <v>109.05</v>
      </c>
      <c r="N328" s="24" t="n">
        <v>4.6</v>
      </c>
      <c r="O328" s="24" t="n">
        <v>34.8</v>
      </c>
      <c r="P328" s="17" t="inlineStr">
        <is>
          <t>Cash on Delivery</t>
        </is>
      </c>
      <c r="Q328" s="17" t="inlineStr">
        <is>
          <t>Delivered</t>
        </is>
      </c>
      <c r="R328" s="17" t="n">
        <v>3</v>
      </c>
      <c r="S328" s="17">
        <f>TEXT(B328,"yyyy-mm")</f>
        <v/>
      </c>
      <c r="T328" s="17">
        <f>VLOOKUP(D328,Customers!A:D,4,FALSE)</f>
        <v/>
      </c>
      <c r="U328" s="17">
        <f>CONCATENATE(A328,"-",G328)</f>
        <v/>
      </c>
      <c r="V328" s="17">
        <f>IF(N328="","",IF(N328&lt;=30,"Fast (&lt;30m)",IF(N328&lt;=45,"Moderate (30-45m)","Delayed (&gt;45m)")))</f>
        <v/>
      </c>
      <c r="W328" s="17">
        <f>IF(AND(I328&gt;600,P328="Delivered"),"High Value Delivered","Standard")</f>
        <v/>
      </c>
      <c r="X328" s="17">
        <f>IF(OR(N328&gt;50,Q328&lt;=2),"High Risk / Delayed","Normal")</f>
        <v/>
      </c>
      <c r="Y328" s="17">
        <f>IF(NOT(P328="Cancelled"),"Fulfilled","Cancelled")</f>
        <v/>
      </c>
      <c r="Z328" s="17">
        <f>IFERROR(Q328,0)</f>
        <v/>
      </c>
    </row>
    <row r="329">
      <c r="A329" s="25" t="inlineStr">
        <is>
          <t>ORD1328</t>
        </is>
      </c>
      <c r="B329" s="25" t="inlineStr">
        <is>
          <t>2025-08-24</t>
        </is>
      </c>
      <c r="C329" s="25" t="inlineStr">
        <is>
          <t>06:28:51</t>
        </is>
      </c>
      <c r="D329" s="25" t="n">
        <v>1102</v>
      </c>
      <c r="E329" s="25" t="n">
        <v>107</v>
      </c>
      <c r="F329" s="25" t="n">
        <v>202</v>
      </c>
      <c r="G329" s="25" t="inlineStr">
        <is>
          <t>Mumbai</t>
        </is>
      </c>
      <c r="H329" s="25" t="inlineStr">
        <is>
          <t>Desserts</t>
        </is>
      </c>
      <c r="I329" s="26" t="n">
        <v>806</v>
      </c>
      <c r="J329" s="26" t="n">
        <v>65.58</v>
      </c>
      <c r="K329" s="26" t="n">
        <v>25</v>
      </c>
      <c r="L329" s="27" t="n">
        <v>0.25</v>
      </c>
      <c r="M329" s="26" t="n">
        <v>207.75</v>
      </c>
      <c r="N329" s="28" t="n">
        <v>1.7</v>
      </c>
      <c r="O329" s="28" t="n">
        <v>28</v>
      </c>
      <c r="P329" s="25" t="inlineStr">
        <is>
          <t>Cash on Delivery</t>
        </is>
      </c>
      <c r="Q329" s="25" t="inlineStr">
        <is>
          <t>Delivered</t>
        </is>
      </c>
      <c r="R329" s="25" t="n">
        <v>5</v>
      </c>
      <c r="S329" s="25">
        <f>TEXT(B329,"yyyy-mm")</f>
        <v/>
      </c>
      <c r="T329" s="25">
        <f>VLOOKUP(D329,Customers!A:D,4,FALSE)</f>
        <v/>
      </c>
      <c r="U329" s="25">
        <f>CONCATENATE(A329,"-",G329)</f>
        <v/>
      </c>
      <c r="V329" s="25">
        <f>IF(N329="","",IF(N329&lt;=30,"Fast (&lt;30m)",IF(N329&lt;=45,"Moderate (30-45m)","Delayed (&gt;45m)")))</f>
        <v/>
      </c>
      <c r="W329" s="25">
        <f>IF(AND(I329&gt;600,P329="Delivered"),"High Value Delivered","Standard")</f>
        <v/>
      </c>
      <c r="X329" s="25">
        <f>IF(OR(N329&gt;50,Q329&lt;=2),"High Risk / Delayed","Normal")</f>
        <v/>
      </c>
      <c r="Y329" s="25">
        <f>IF(NOT(P329="Cancelled"),"Fulfilled","Cancelled")</f>
        <v/>
      </c>
      <c r="Z329" s="25">
        <f>IFERROR(Q329,0)</f>
        <v/>
      </c>
    </row>
    <row r="330">
      <c r="A330" s="17" t="inlineStr">
        <is>
          <t>ORD1329</t>
        </is>
      </c>
      <c r="B330" s="17" t="inlineStr">
        <is>
          <t>2025-12-01</t>
        </is>
      </c>
      <c r="C330" s="17" t="inlineStr">
        <is>
          <t>12:01:06</t>
        </is>
      </c>
      <c r="D330" s="17" t="n">
        <v>1037</v>
      </c>
      <c r="E330" s="17" t="n">
        <v>101</v>
      </c>
      <c r="F330" s="17" t="n">
        <v>210</v>
      </c>
      <c r="G330" s="17" t="inlineStr">
        <is>
          <t>Bangalore</t>
        </is>
      </c>
      <c r="H330" s="17" t="inlineStr">
        <is>
          <t>North Indian</t>
        </is>
      </c>
      <c r="I330" s="22" t="n">
        <v>633</v>
      </c>
      <c r="J330" s="22" t="n">
        <v>0</v>
      </c>
      <c r="K330" s="22" t="n">
        <v>47</v>
      </c>
      <c r="L330" s="23" t="n">
        <v>0.2</v>
      </c>
      <c r="M330" s="22" t="n">
        <v>138.35</v>
      </c>
      <c r="N330" s="24" t="n">
        <v>7.4</v>
      </c>
      <c r="O330" s="24" t="n">
        <v>48.4</v>
      </c>
      <c r="P330" s="17" t="inlineStr">
        <is>
          <t>UPI</t>
        </is>
      </c>
      <c r="Q330" s="17" t="inlineStr">
        <is>
          <t>Delivered</t>
        </is>
      </c>
      <c r="R330" s="17" t="n">
        <v>2</v>
      </c>
      <c r="S330" s="17">
        <f>TEXT(B330,"yyyy-mm")</f>
        <v/>
      </c>
      <c r="T330" s="17">
        <f>VLOOKUP(D330,Customers!A:D,4,FALSE)</f>
        <v/>
      </c>
      <c r="U330" s="17">
        <f>CONCATENATE(A330,"-",G330)</f>
        <v/>
      </c>
      <c r="V330" s="17">
        <f>IF(N330="","",IF(N330&lt;=30,"Fast (&lt;30m)",IF(N330&lt;=45,"Moderate (30-45m)","Delayed (&gt;45m)")))</f>
        <v/>
      </c>
      <c r="W330" s="17">
        <f>IF(AND(I330&gt;600,P330="Delivered"),"High Value Delivered","Standard")</f>
        <v/>
      </c>
      <c r="X330" s="17">
        <f>IF(OR(N330&gt;50,Q330&lt;=2),"High Risk / Delayed","Normal")</f>
        <v/>
      </c>
      <c r="Y330" s="17">
        <f>IF(NOT(P330="Cancelled"),"Fulfilled","Cancelled")</f>
        <v/>
      </c>
      <c r="Z330" s="17">
        <f>IFERROR(Q330,0)</f>
        <v/>
      </c>
    </row>
    <row r="331">
      <c r="A331" s="25" t="inlineStr">
        <is>
          <t>ORD1330</t>
        </is>
      </c>
      <c r="B331" s="25" t="inlineStr">
        <is>
          <t>2025-09-18</t>
        </is>
      </c>
      <c r="C331" s="25" t="inlineStr">
        <is>
          <t>19:35:13</t>
        </is>
      </c>
      <c r="D331" s="25" t="n">
        <v>1234</v>
      </c>
      <c r="E331" s="25" t="n">
        <v>120</v>
      </c>
      <c r="F331" s="25" t="n">
        <v>208</v>
      </c>
      <c r="G331" s="25" t="inlineStr">
        <is>
          <t>Pune</t>
        </is>
      </c>
      <c r="H331" s="25" t="inlineStr">
        <is>
          <t>Fast Food</t>
        </is>
      </c>
      <c r="I331" s="26" t="n">
        <v>890</v>
      </c>
      <c r="J331" s="26" t="n">
        <v>67.67</v>
      </c>
      <c r="K331" s="26" t="n">
        <v>29.5</v>
      </c>
      <c r="L331" s="27" t="n">
        <v>0.18</v>
      </c>
      <c r="M331" s="26" t="n">
        <v>167.58</v>
      </c>
      <c r="N331" s="28" t="n">
        <v>3.9</v>
      </c>
      <c r="O331" s="28" t="n">
        <v>31.5</v>
      </c>
      <c r="P331" s="25" t="inlineStr">
        <is>
          <t>UPI</t>
        </is>
      </c>
      <c r="Q331" s="25" t="inlineStr">
        <is>
          <t>Delivered</t>
        </is>
      </c>
      <c r="R331" s="25" t="n">
        <v>5</v>
      </c>
      <c r="S331" s="25">
        <f>TEXT(B331,"yyyy-mm")</f>
        <v/>
      </c>
      <c r="T331" s="25">
        <f>VLOOKUP(D331,Customers!A:D,4,FALSE)</f>
        <v/>
      </c>
      <c r="U331" s="25">
        <f>CONCATENATE(A331,"-",G331)</f>
        <v/>
      </c>
      <c r="V331" s="25">
        <f>IF(N331="","",IF(N331&lt;=30,"Fast (&lt;30m)",IF(N331&lt;=45,"Moderate (30-45m)","Delayed (&gt;45m)")))</f>
        <v/>
      </c>
      <c r="W331" s="25">
        <f>IF(AND(I331&gt;600,P331="Delivered"),"High Value Delivered","Standard")</f>
        <v/>
      </c>
      <c r="X331" s="25">
        <f>IF(OR(N331&gt;50,Q331&lt;=2),"High Risk / Delayed","Normal")</f>
        <v/>
      </c>
      <c r="Y331" s="25">
        <f>IF(NOT(P331="Cancelled"),"Fulfilled","Cancelled")</f>
        <v/>
      </c>
      <c r="Z331" s="25">
        <f>IFERROR(Q331,0)</f>
        <v/>
      </c>
    </row>
    <row r="332">
      <c r="A332" s="17" t="inlineStr">
        <is>
          <t>ORD1331</t>
        </is>
      </c>
      <c r="B332" s="17" t="inlineStr">
        <is>
          <t>2025-06-19</t>
        </is>
      </c>
      <c r="C332" s="17" t="inlineStr">
        <is>
          <t>17:35:49</t>
        </is>
      </c>
      <c r="D332" s="17" t="n">
        <v>1230</v>
      </c>
      <c r="E332" s="17" t="n">
        <v>114</v>
      </c>
      <c r="F332" s="17" t="n">
        <v>216</v>
      </c>
      <c r="G332" s="17" t="inlineStr">
        <is>
          <t>Hyderabad</t>
        </is>
      </c>
      <c r="H332" s="17" t="inlineStr">
        <is>
          <t>Biryani</t>
        </is>
      </c>
      <c r="I332" s="22" t="n">
        <v>854</v>
      </c>
      <c r="J332" s="22" t="n">
        <v>78.56999999999999</v>
      </c>
      <c r="K332" s="22" t="n">
        <v>25</v>
      </c>
      <c r="L332" s="23" t="n">
        <v>0.22</v>
      </c>
      <c r="M332" s="22" t="n">
        <v>194.13</v>
      </c>
      <c r="N332" s="24" t="n">
        <v>2.4</v>
      </c>
      <c r="O332" s="24" t="n">
        <v>36.6</v>
      </c>
      <c r="P332" s="17" t="inlineStr">
        <is>
          <t>Debit Card</t>
        </is>
      </c>
      <c r="Q332" s="17" t="inlineStr">
        <is>
          <t>Delivered</t>
        </is>
      </c>
      <c r="R332" s="17" t="n">
        <v>3</v>
      </c>
      <c r="S332" s="17">
        <f>TEXT(B332,"yyyy-mm")</f>
        <v/>
      </c>
      <c r="T332" s="17">
        <f>VLOOKUP(D332,Customers!A:D,4,FALSE)</f>
        <v/>
      </c>
      <c r="U332" s="17">
        <f>CONCATENATE(A332,"-",G332)</f>
        <v/>
      </c>
      <c r="V332" s="17">
        <f>IF(N332="","",IF(N332&lt;=30,"Fast (&lt;30m)",IF(N332&lt;=45,"Moderate (30-45m)","Delayed (&gt;45m)")))</f>
        <v/>
      </c>
      <c r="W332" s="17">
        <f>IF(AND(I332&gt;600,P332="Delivered"),"High Value Delivered","Standard")</f>
        <v/>
      </c>
      <c r="X332" s="17">
        <f>IF(OR(N332&gt;50,Q332&lt;=2),"High Risk / Delayed","Normal")</f>
        <v/>
      </c>
      <c r="Y332" s="17">
        <f>IF(NOT(P332="Cancelled"),"Fulfilled","Cancelled")</f>
        <v/>
      </c>
      <c r="Z332" s="17">
        <f>IFERROR(Q332,0)</f>
        <v/>
      </c>
    </row>
    <row r="333">
      <c r="A333" s="25" t="inlineStr">
        <is>
          <t>ORD1332</t>
        </is>
      </c>
      <c r="B333" s="25" t="inlineStr">
        <is>
          <t>2025-12-04</t>
        </is>
      </c>
      <c r="C333" s="25" t="inlineStr">
        <is>
          <t>17:14:00</t>
        </is>
      </c>
      <c r="D333" s="25" t="n">
        <v>1206</v>
      </c>
      <c r="E333" s="25" t="n">
        <v>107</v>
      </c>
      <c r="F333" s="25" t="n">
        <v>206</v>
      </c>
      <c r="G333" s="25" t="inlineStr">
        <is>
          <t>Mumbai</t>
        </is>
      </c>
      <c r="H333" s="25" t="inlineStr">
        <is>
          <t>Desserts</t>
        </is>
      </c>
      <c r="I333" s="26" t="n">
        <v>569</v>
      </c>
      <c r="J333" s="26" t="n">
        <v>0</v>
      </c>
      <c r="K333" s="26" t="n">
        <v>28.5</v>
      </c>
      <c r="L333" s="27" t="n">
        <v>0.25</v>
      </c>
      <c r="M333" s="26" t="n">
        <v>149.38</v>
      </c>
      <c r="N333" s="28" t="n">
        <v>3.7</v>
      </c>
      <c r="O333" s="28" t="n">
        <v>29.4</v>
      </c>
      <c r="P333" s="25" t="inlineStr">
        <is>
          <t>Debit Card</t>
        </is>
      </c>
      <c r="Q333" s="25" t="inlineStr">
        <is>
          <t>Delivered</t>
        </is>
      </c>
      <c r="R333" s="25" t="n">
        <v>2</v>
      </c>
      <c r="S333" s="25">
        <f>TEXT(B333,"yyyy-mm")</f>
        <v/>
      </c>
      <c r="T333" s="25">
        <f>VLOOKUP(D333,Customers!A:D,4,FALSE)</f>
        <v/>
      </c>
      <c r="U333" s="25">
        <f>CONCATENATE(A333,"-",G333)</f>
        <v/>
      </c>
      <c r="V333" s="25">
        <f>IF(N333="","",IF(N333&lt;=30,"Fast (&lt;30m)",IF(N333&lt;=45,"Moderate (30-45m)","Delayed (&gt;45m)")))</f>
        <v/>
      </c>
      <c r="W333" s="25">
        <f>IF(AND(I333&gt;600,P333="Delivered"),"High Value Delivered","Standard")</f>
        <v/>
      </c>
      <c r="X333" s="25">
        <f>IF(OR(N333&gt;50,Q333&lt;=2),"High Risk / Delayed","Normal")</f>
        <v/>
      </c>
      <c r="Y333" s="25">
        <f>IF(NOT(P333="Cancelled"),"Fulfilled","Cancelled")</f>
        <v/>
      </c>
      <c r="Z333" s="25">
        <f>IFERROR(Q333,0)</f>
        <v/>
      </c>
    </row>
    <row r="334">
      <c r="A334" s="17" t="inlineStr">
        <is>
          <t>ORD1333</t>
        </is>
      </c>
      <c r="B334" s="17" t="inlineStr">
        <is>
          <t>2025-03-26</t>
        </is>
      </c>
      <c r="C334" s="17" t="inlineStr">
        <is>
          <t>22:31:08</t>
        </is>
      </c>
      <c r="D334" s="17" t="n">
        <v>1206</v>
      </c>
      <c r="E334" s="17" t="n">
        <v>117</v>
      </c>
      <c r="F334" s="17" t="n">
        <v>222</v>
      </c>
      <c r="G334" s="17" t="inlineStr">
        <is>
          <t>Mumbai</t>
        </is>
      </c>
      <c r="H334" s="17" t="inlineStr">
        <is>
          <t>Chinese</t>
        </is>
      </c>
      <c r="I334" s="22" t="n">
        <v>639</v>
      </c>
      <c r="J334" s="22" t="n">
        <v>0</v>
      </c>
      <c r="K334" s="22" t="n">
        <v>29</v>
      </c>
      <c r="L334" s="23" t="n">
        <v>0.2</v>
      </c>
      <c r="M334" s="22" t="n">
        <v>135.05</v>
      </c>
      <c r="N334" s="24" t="n">
        <v>3.8</v>
      </c>
      <c r="O334" s="24" t="n">
        <v>30.5</v>
      </c>
      <c r="P334" s="17" t="inlineStr">
        <is>
          <t>Credit Card</t>
        </is>
      </c>
      <c r="Q334" s="17" t="inlineStr">
        <is>
          <t>Delivered</t>
        </is>
      </c>
      <c r="R334" s="17" t="n">
        <v>5</v>
      </c>
      <c r="S334" s="17">
        <f>TEXT(B334,"yyyy-mm")</f>
        <v/>
      </c>
      <c r="T334" s="17">
        <f>VLOOKUP(D334,Customers!A:D,4,FALSE)</f>
        <v/>
      </c>
      <c r="U334" s="17">
        <f>CONCATENATE(A334,"-",G334)</f>
        <v/>
      </c>
      <c r="V334" s="17">
        <f>IF(N334="","",IF(N334&lt;=30,"Fast (&lt;30m)",IF(N334&lt;=45,"Moderate (30-45m)","Delayed (&gt;45m)")))</f>
        <v/>
      </c>
      <c r="W334" s="17">
        <f>IF(AND(I334&gt;600,P334="Delivered"),"High Value Delivered","Standard")</f>
        <v/>
      </c>
      <c r="X334" s="17">
        <f>IF(OR(N334&gt;50,Q334&lt;=2),"High Risk / Delayed","Normal")</f>
        <v/>
      </c>
      <c r="Y334" s="17">
        <f>IF(NOT(P334="Cancelled"),"Fulfilled","Cancelled")</f>
        <v/>
      </c>
      <c r="Z334" s="17">
        <f>IFERROR(Q334,0)</f>
        <v/>
      </c>
    </row>
    <row r="335">
      <c r="A335" s="25" t="inlineStr">
        <is>
          <t>ORD1334</t>
        </is>
      </c>
      <c r="B335" s="25" t="inlineStr">
        <is>
          <t>2025-04-21</t>
        </is>
      </c>
      <c r="C335" s="25" t="inlineStr">
        <is>
          <t>15:29:52</t>
        </is>
      </c>
      <c r="D335" s="25" t="n">
        <v>1003</v>
      </c>
      <c r="E335" s="25" t="n">
        <v>116</v>
      </c>
      <c r="F335" s="25" t="n">
        <v>226</v>
      </c>
      <c r="G335" s="25" t="inlineStr">
        <is>
          <t>Pune</t>
        </is>
      </c>
      <c r="H335" s="25" t="inlineStr">
        <is>
          <t>Desserts</t>
        </is>
      </c>
      <c r="I335" s="26" t="n">
        <v>415</v>
      </c>
      <c r="J335" s="26" t="n">
        <v>41.57</v>
      </c>
      <c r="K335" s="26" t="n">
        <v>25</v>
      </c>
      <c r="L335" s="27" t="n">
        <v>0.25</v>
      </c>
      <c r="M335" s="26" t="n">
        <v>110</v>
      </c>
      <c r="N335" s="28" t="n">
        <v>1.9</v>
      </c>
      <c r="O335" s="28" t="n">
        <v>20</v>
      </c>
      <c r="P335" s="25" t="inlineStr">
        <is>
          <t>Cash on Delivery</t>
        </is>
      </c>
      <c r="Q335" s="25" t="inlineStr">
        <is>
          <t>Delivered</t>
        </is>
      </c>
      <c r="R335" s="25" t="n">
        <v>4</v>
      </c>
      <c r="S335" s="25">
        <f>TEXT(B335,"yyyy-mm")</f>
        <v/>
      </c>
      <c r="T335" s="25">
        <f>VLOOKUP(D335,Customers!A:D,4,FALSE)</f>
        <v/>
      </c>
      <c r="U335" s="25">
        <f>CONCATENATE(A335,"-",G335)</f>
        <v/>
      </c>
      <c r="V335" s="25">
        <f>IF(N335="","",IF(N335&lt;=30,"Fast (&lt;30m)",IF(N335&lt;=45,"Moderate (30-45m)","Delayed (&gt;45m)")))</f>
        <v/>
      </c>
      <c r="W335" s="25">
        <f>IF(AND(I335&gt;600,P335="Delivered"),"High Value Delivered","Standard")</f>
        <v/>
      </c>
      <c r="X335" s="25">
        <f>IF(OR(N335&gt;50,Q335&lt;=2),"High Risk / Delayed","Normal")</f>
        <v/>
      </c>
      <c r="Y335" s="25">
        <f>IF(NOT(P335="Cancelled"),"Fulfilled","Cancelled")</f>
        <v/>
      </c>
      <c r="Z335" s="25">
        <f>IFERROR(Q335,0)</f>
        <v/>
      </c>
    </row>
    <row r="336">
      <c r="A336" s="17" t="inlineStr">
        <is>
          <t>ORD1335</t>
        </is>
      </c>
      <c r="B336" s="17" t="inlineStr">
        <is>
          <t>2025-08-19</t>
        </is>
      </c>
      <c r="C336" s="17" t="inlineStr">
        <is>
          <t>09:29:42</t>
        </is>
      </c>
      <c r="D336" s="17" t="n">
        <v>1152</v>
      </c>
      <c r="E336" s="17" t="n">
        <v>102</v>
      </c>
      <c r="F336" s="17" t="n">
        <v>215</v>
      </c>
      <c r="G336" s="17" t="inlineStr">
        <is>
          <t>Hyderabad</t>
        </is>
      </c>
      <c r="H336" s="17" t="inlineStr">
        <is>
          <t>Biryani</t>
        </is>
      </c>
      <c r="I336" s="22" t="n">
        <v>823</v>
      </c>
      <c r="J336" s="22" t="n">
        <v>8.859999999999999</v>
      </c>
      <c r="K336" s="22" t="n">
        <v>44.5</v>
      </c>
      <c r="L336" s="23" t="n">
        <v>0.22</v>
      </c>
      <c r="M336" s="22" t="n">
        <v>192.18</v>
      </c>
      <c r="N336" s="24" t="n">
        <v>6.9</v>
      </c>
      <c r="O336" s="24" t="n">
        <v>38.2</v>
      </c>
      <c r="P336" s="17" t="inlineStr">
        <is>
          <t>Digital Wallet</t>
        </is>
      </c>
      <c r="Q336" s="17" t="inlineStr">
        <is>
          <t>Delivered</t>
        </is>
      </c>
      <c r="R336" s="17" t="n">
        <v>4</v>
      </c>
      <c r="S336" s="17">
        <f>TEXT(B336,"yyyy-mm")</f>
        <v/>
      </c>
      <c r="T336" s="17">
        <f>VLOOKUP(D336,Customers!A:D,4,FALSE)</f>
        <v/>
      </c>
      <c r="U336" s="17">
        <f>CONCATENATE(A336,"-",G336)</f>
        <v/>
      </c>
      <c r="V336" s="17">
        <f>IF(N336="","",IF(N336&lt;=30,"Fast (&lt;30m)",IF(N336&lt;=45,"Moderate (30-45m)","Delayed (&gt;45m)")))</f>
        <v/>
      </c>
      <c r="W336" s="17">
        <f>IF(AND(I336&gt;600,P336="Delivered"),"High Value Delivered","Standard")</f>
        <v/>
      </c>
      <c r="X336" s="17">
        <f>IF(OR(N336&gt;50,Q336&lt;=2),"High Risk / Delayed","Normal")</f>
        <v/>
      </c>
      <c r="Y336" s="17">
        <f>IF(NOT(P336="Cancelled"),"Fulfilled","Cancelled")</f>
        <v/>
      </c>
      <c r="Z336" s="17">
        <f>IFERROR(Q336,0)</f>
        <v/>
      </c>
    </row>
    <row r="337">
      <c r="A337" s="25" t="inlineStr">
        <is>
          <t>ORD1336</t>
        </is>
      </c>
      <c r="B337" s="25" t="inlineStr">
        <is>
          <t>2025-09-18</t>
        </is>
      </c>
      <c r="C337" s="25" t="inlineStr">
        <is>
          <t>21:49:58</t>
        </is>
      </c>
      <c r="D337" s="25" t="n">
        <v>1217</v>
      </c>
      <c r="E337" s="25" t="n">
        <v>119</v>
      </c>
      <c r="F337" s="25" t="n">
        <v>215</v>
      </c>
      <c r="G337" s="25" t="inlineStr">
        <is>
          <t>Hyderabad</t>
        </is>
      </c>
      <c r="H337" s="25" t="inlineStr">
        <is>
          <t>Biryani</t>
        </is>
      </c>
      <c r="I337" s="26" t="n">
        <v>401</v>
      </c>
      <c r="J337" s="26" t="n">
        <v>5.57</v>
      </c>
      <c r="K337" s="26" t="n">
        <v>40.5</v>
      </c>
      <c r="L337" s="27" t="n">
        <v>0.2</v>
      </c>
      <c r="M337" s="26" t="n">
        <v>90.31999999999999</v>
      </c>
      <c r="N337" s="28" t="n">
        <v>6.1</v>
      </c>
      <c r="O337" s="28" t="n">
        <v>44.5</v>
      </c>
      <c r="P337" s="25" t="inlineStr">
        <is>
          <t>UPI</t>
        </is>
      </c>
      <c r="Q337" s="25" t="inlineStr">
        <is>
          <t>Delivered</t>
        </is>
      </c>
      <c r="R337" s="25" t="n">
        <v>2</v>
      </c>
      <c r="S337" s="25">
        <f>TEXT(B337,"yyyy-mm")</f>
        <v/>
      </c>
      <c r="T337" s="25">
        <f>VLOOKUP(D337,Customers!A:D,4,FALSE)</f>
        <v/>
      </c>
      <c r="U337" s="25">
        <f>CONCATENATE(A337,"-",G337)</f>
        <v/>
      </c>
      <c r="V337" s="25">
        <f>IF(N337="","",IF(N337&lt;=30,"Fast (&lt;30m)",IF(N337&lt;=45,"Moderate (30-45m)","Delayed (&gt;45m)")))</f>
        <v/>
      </c>
      <c r="W337" s="25">
        <f>IF(AND(I337&gt;600,P337="Delivered"),"High Value Delivered","Standard")</f>
        <v/>
      </c>
      <c r="X337" s="25">
        <f>IF(OR(N337&gt;50,Q337&lt;=2),"High Risk / Delayed","Normal")</f>
        <v/>
      </c>
      <c r="Y337" s="25">
        <f>IF(NOT(P337="Cancelled"),"Fulfilled","Cancelled")</f>
        <v/>
      </c>
      <c r="Z337" s="25">
        <f>IFERROR(Q337,0)</f>
        <v/>
      </c>
    </row>
    <row r="338">
      <c r="A338" s="17" t="inlineStr">
        <is>
          <t>ORD1337</t>
        </is>
      </c>
      <c r="B338" s="17" t="inlineStr">
        <is>
          <t>2025-08-03</t>
        </is>
      </c>
      <c r="C338" s="17" t="inlineStr">
        <is>
          <t>17:38:58</t>
        </is>
      </c>
      <c r="D338" s="17" t="n">
        <v>1226</v>
      </c>
      <c r="E338" s="17" t="n">
        <v>101</v>
      </c>
      <c r="F338" s="17" t="n">
        <v>210</v>
      </c>
      <c r="G338" s="17" t="inlineStr">
        <is>
          <t>Bangalore</t>
        </is>
      </c>
      <c r="H338" s="17" t="inlineStr">
        <is>
          <t>North Indian</t>
        </is>
      </c>
      <c r="I338" s="22" t="n">
        <v>929</v>
      </c>
      <c r="J338" s="22" t="n">
        <v>20.33</v>
      </c>
      <c r="K338" s="22" t="n">
        <v>28</v>
      </c>
      <c r="L338" s="23" t="n">
        <v>0.2</v>
      </c>
      <c r="M338" s="22" t="n">
        <v>192.8</v>
      </c>
      <c r="N338" s="24" t="n">
        <v>3.6</v>
      </c>
      <c r="O338" s="24" t="n">
        <v>37.6</v>
      </c>
      <c r="P338" s="17" t="inlineStr">
        <is>
          <t>Debit Card</t>
        </is>
      </c>
      <c r="Q338" s="17" t="inlineStr">
        <is>
          <t>Delivered</t>
        </is>
      </c>
      <c r="R338" s="17" t="n">
        <v>5</v>
      </c>
      <c r="S338" s="17">
        <f>TEXT(B338,"yyyy-mm")</f>
        <v/>
      </c>
      <c r="T338" s="17">
        <f>VLOOKUP(D338,Customers!A:D,4,FALSE)</f>
        <v/>
      </c>
      <c r="U338" s="17">
        <f>CONCATENATE(A338,"-",G338)</f>
        <v/>
      </c>
      <c r="V338" s="17">
        <f>IF(N338="","",IF(N338&lt;=30,"Fast (&lt;30m)",IF(N338&lt;=45,"Moderate (30-45m)","Delayed (&gt;45m)")))</f>
        <v/>
      </c>
      <c r="W338" s="17">
        <f>IF(AND(I338&gt;600,P338="Delivered"),"High Value Delivered","Standard")</f>
        <v/>
      </c>
      <c r="X338" s="17">
        <f>IF(OR(N338&gt;50,Q338&lt;=2),"High Risk / Delayed","Normal")</f>
        <v/>
      </c>
      <c r="Y338" s="17">
        <f>IF(NOT(P338="Cancelled"),"Fulfilled","Cancelled")</f>
        <v/>
      </c>
      <c r="Z338" s="17">
        <f>IFERROR(Q338,0)</f>
        <v/>
      </c>
    </row>
    <row r="339">
      <c r="A339" s="25" t="inlineStr">
        <is>
          <t>ORD1338</t>
        </is>
      </c>
      <c r="B339" s="25" t="inlineStr">
        <is>
          <t>2025-07-31</t>
        </is>
      </c>
      <c r="C339" s="25" t="inlineStr">
        <is>
          <t>19:38:44</t>
        </is>
      </c>
      <c r="D339" s="25" t="n">
        <v>1066</v>
      </c>
      <c r="E339" s="25" t="n">
        <v>110</v>
      </c>
      <c r="F339" s="25" t="n">
        <v>226</v>
      </c>
      <c r="G339" s="25" t="inlineStr">
        <is>
          <t>Pune</t>
        </is>
      </c>
      <c r="H339" s="25" t="inlineStr">
        <is>
          <t>North Indian</t>
        </is>
      </c>
      <c r="I339" s="26" t="n">
        <v>744</v>
      </c>
      <c r="J339" s="26" t="n">
        <v>0</v>
      </c>
      <c r="K339" s="26" t="n">
        <v>57</v>
      </c>
      <c r="L339" s="27" t="n">
        <v>0.18</v>
      </c>
      <c r="M339" s="26" t="n">
        <v>148.17</v>
      </c>
      <c r="N339" s="28" t="n">
        <v>9.4</v>
      </c>
      <c r="O339" s="28" t="n">
        <v>55.2</v>
      </c>
      <c r="P339" s="25" t="inlineStr">
        <is>
          <t>Debit Card</t>
        </is>
      </c>
      <c r="Q339" s="25" t="inlineStr">
        <is>
          <t>Delivered</t>
        </is>
      </c>
      <c r="R339" s="25" t="n">
        <v>3</v>
      </c>
      <c r="S339" s="25">
        <f>TEXT(B339,"yyyy-mm")</f>
        <v/>
      </c>
      <c r="T339" s="25">
        <f>VLOOKUP(D339,Customers!A:D,4,FALSE)</f>
        <v/>
      </c>
      <c r="U339" s="25">
        <f>CONCATENATE(A339,"-",G339)</f>
        <v/>
      </c>
      <c r="V339" s="25">
        <f>IF(N339="","",IF(N339&lt;=30,"Fast (&lt;30m)",IF(N339&lt;=45,"Moderate (30-45m)","Delayed (&gt;45m)")))</f>
        <v/>
      </c>
      <c r="W339" s="25">
        <f>IF(AND(I339&gt;600,P339="Delivered"),"High Value Delivered","Standard")</f>
        <v/>
      </c>
      <c r="X339" s="25">
        <f>IF(OR(N339&gt;50,Q339&lt;=2),"High Risk / Delayed","Normal")</f>
        <v/>
      </c>
      <c r="Y339" s="25">
        <f>IF(NOT(P339="Cancelled"),"Fulfilled","Cancelled")</f>
        <v/>
      </c>
      <c r="Z339" s="25">
        <f>IFERROR(Q339,0)</f>
        <v/>
      </c>
    </row>
    <row r="340">
      <c r="A340" s="17" t="inlineStr">
        <is>
          <t>ORD1339</t>
        </is>
      </c>
      <c r="B340" s="17" t="inlineStr">
        <is>
          <t>2025-11-16</t>
        </is>
      </c>
      <c r="C340" s="17" t="inlineStr">
        <is>
          <t>12:45:18</t>
        </is>
      </c>
      <c r="D340" s="17" t="n">
        <v>1195</v>
      </c>
      <c r="E340" s="17" t="n">
        <v>113</v>
      </c>
      <c r="F340" s="17" t="n">
        <v>229</v>
      </c>
      <c r="G340" s="17" t="inlineStr">
        <is>
          <t>Mumbai</t>
        </is>
      </c>
      <c r="H340" s="17" t="inlineStr">
        <is>
          <t>Fast Food</t>
        </is>
      </c>
      <c r="I340" s="22" t="n">
        <v>923</v>
      </c>
      <c r="J340" s="22" t="n">
        <v>0</v>
      </c>
      <c r="K340" s="22" t="n">
        <v>25</v>
      </c>
      <c r="L340" s="23" t="n">
        <v>0.18</v>
      </c>
      <c r="M340" s="22" t="n">
        <v>172.39</v>
      </c>
      <c r="N340" s="24" t="n">
        <v>2.7</v>
      </c>
      <c r="O340" s="24" t="n">
        <v>31.4</v>
      </c>
      <c r="P340" s="17" t="inlineStr">
        <is>
          <t>Credit Card</t>
        </is>
      </c>
      <c r="Q340" s="17" t="inlineStr">
        <is>
          <t>Delivered</t>
        </is>
      </c>
      <c r="R340" s="17" t="n">
        <v>2</v>
      </c>
      <c r="S340" s="17">
        <f>TEXT(B340,"yyyy-mm")</f>
        <v/>
      </c>
      <c r="T340" s="17">
        <f>VLOOKUP(D340,Customers!A:D,4,FALSE)</f>
        <v/>
      </c>
      <c r="U340" s="17">
        <f>CONCATENATE(A340,"-",G340)</f>
        <v/>
      </c>
      <c r="V340" s="17">
        <f>IF(N340="","",IF(N340&lt;=30,"Fast (&lt;30m)",IF(N340&lt;=45,"Moderate (30-45m)","Delayed (&gt;45m)")))</f>
        <v/>
      </c>
      <c r="W340" s="17">
        <f>IF(AND(I340&gt;600,P340="Delivered"),"High Value Delivered","Standard")</f>
        <v/>
      </c>
      <c r="X340" s="17">
        <f>IF(OR(N340&gt;50,Q340&lt;=2),"High Risk / Delayed","Normal")</f>
        <v/>
      </c>
      <c r="Y340" s="17">
        <f>IF(NOT(P340="Cancelled"),"Fulfilled","Cancelled")</f>
        <v/>
      </c>
      <c r="Z340" s="17">
        <f>IFERROR(Q340,0)</f>
        <v/>
      </c>
    </row>
    <row r="341">
      <c r="A341" s="25" t="inlineStr">
        <is>
          <t>ORD1340</t>
        </is>
      </c>
      <c r="B341" s="25" t="inlineStr">
        <is>
          <t>2025-10-15</t>
        </is>
      </c>
      <c r="C341" s="25" t="inlineStr">
        <is>
          <t>12:30:37</t>
        </is>
      </c>
      <c r="D341" s="25" t="n">
        <v>1108</v>
      </c>
      <c r="E341" s="25" t="n">
        <v>106</v>
      </c>
      <c r="F341" s="25" t="n">
        <v>204</v>
      </c>
      <c r="G341" s="25" t="inlineStr">
        <is>
          <t>Pune</t>
        </is>
      </c>
      <c r="H341" s="25" t="inlineStr">
        <is>
          <t>South Indian</t>
        </is>
      </c>
      <c r="I341" s="26" t="n">
        <v>804</v>
      </c>
      <c r="J341" s="26" t="n">
        <v>93.25</v>
      </c>
      <c r="K341" s="26" t="n">
        <v>26</v>
      </c>
      <c r="L341" s="27" t="n">
        <v>0.15</v>
      </c>
      <c r="M341" s="26" t="n">
        <v>127.1</v>
      </c>
      <c r="N341" s="28" t="n">
        <v>3.2</v>
      </c>
      <c r="O341" s="28" t="n">
        <v>33.8</v>
      </c>
      <c r="P341" s="25" t="inlineStr">
        <is>
          <t>Digital Wallet</t>
        </is>
      </c>
      <c r="Q341" s="25" t="inlineStr">
        <is>
          <t>Delivered</t>
        </is>
      </c>
      <c r="R341" s="25" t="n">
        <v>5</v>
      </c>
      <c r="S341" s="25">
        <f>TEXT(B341,"yyyy-mm")</f>
        <v/>
      </c>
      <c r="T341" s="25">
        <f>VLOOKUP(D341,Customers!A:D,4,FALSE)</f>
        <v/>
      </c>
      <c r="U341" s="25">
        <f>CONCATENATE(A341,"-",G341)</f>
        <v/>
      </c>
      <c r="V341" s="25">
        <f>IF(N341="","",IF(N341&lt;=30,"Fast (&lt;30m)",IF(N341&lt;=45,"Moderate (30-45m)","Delayed (&gt;45m)")))</f>
        <v/>
      </c>
      <c r="W341" s="25">
        <f>IF(AND(I341&gt;600,P341="Delivered"),"High Value Delivered","Standard")</f>
        <v/>
      </c>
      <c r="X341" s="25">
        <f>IF(OR(N341&gt;50,Q341&lt;=2),"High Risk / Delayed","Normal")</f>
        <v/>
      </c>
      <c r="Y341" s="25">
        <f>IF(NOT(P341="Cancelled"),"Fulfilled","Cancelled")</f>
        <v/>
      </c>
      <c r="Z341" s="25">
        <f>IFERROR(Q341,0)</f>
        <v/>
      </c>
    </row>
    <row r="342">
      <c r="A342" s="17" t="inlineStr">
        <is>
          <t>ORD1341</t>
        </is>
      </c>
      <c r="B342" s="17" t="inlineStr">
        <is>
          <t>2025-09-25</t>
        </is>
      </c>
      <c r="C342" s="17" t="inlineStr">
        <is>
          <t>13:06:01</t>
        </is>
      </c>
      <c r="D342" s="17" t="n">
        <v>1156</v>
      </c>
      <c r="E342" s="17" t="n">
        <v>120</v>
      </c>
      <c r="F342" s="17" t="n">
        <v>226</v>
      </c>
      <c r="G342" s="17" t="inlineStr">
        <is>
          <t>Pune</t>
        </is>
      </c>
      <c r="H342" s="17" t="inlineStr">
        <is>
          <t>Fast Food</t>
        </is>
      </c>
      <c r="I342" s="22" t="n">
        <v>610</v>
      </c>
      <c r="J342" s="22" t="n">
        <v>0</v>
      </c>
      <c r="K342" s="22" t="n">
        <v>28.5</v>
      </c>
      <c r="L342" s="23" t="n">
        <v>0.18</v>
      </c>
      <c r="M342" s="22" t="n">
        <v>116.92</v>
      </c>
      <c r="N342" s="24" t="n">
        <v>3.7</v>
      </c>
      <c r="O342" s="24" t="n">
        <v>36.5</v>
      </c>
      <c r="P342" s="17" t="inlineStr">
        <is>
          <t>Credit Card</t>
        </is>
      </c>
      <c r="Q342" s="17" t="inlineStr">
        <is>
          <t>Delivered</t>
        </is>
      </c>
      <c r="R342" s="17" t="n">
        <v>5</v>
      </c>
      <c r="S342" s="17">
        <f>TEXT(B342,"yyyy-mm")</f>
        <v/>
      </c>
      <c r="T342" s="17">
        <f>VLOOKUP(D342,Customers!A:D,4,FALSE)</f>
        <v/>
      </c>
      <c r="U342" s="17">
        <f>CONCATENATE(A342,"-",G342)</f>
        <v/>
      </c>
      <c r="V342" s="17">
        <f>IF(N342="","",IF(N342&lt;=30,"Fast (&lt;30m)",IF(N342&lt;=45,"Moderate (30-45m)","Delayed (&gt;45m)")))</f>
        <v/>
      </c>
      <c r="W342" s="17">
        <f>IF(AND(I342&gt;600,P342="Delivered"),"High Value Delivered","Standard")</f>
        <v/>
      </c>
      <c r="X342" s="17">
        <f>IF(OR(N342&gt;50,Q342&lt;=2),"High Risk / Delayed","Normal")</f>
        <v/>
      </c>
      <c r="Y342" s="17">
        <f>IF(NOT(P342="Cancelled"),"Fulfilled","Cancelled")</f>
        <v/>
      </c>
      <c r="Z342" s="17">
        <f>IFERROR(Q342,0)</f>
        <v/>
      </c>
    </row>
    <row r="343">
      <c r="A343" s="25" t="inlineStr">
        <is>
          <t>ORD1342</t>
        </is>
      </c>
      <c r="B343" s="25" t="inlineStr">
        <is>
          <t>2025-12-16</t>
        </is>
      </c>
      <c r="C343" s="25" t="inlineStr">
        <is>
          <t>21:16:09</t>
        </is>
      </c>
      <c r="D343" s="25" t="n">
        <v>1039</v>
      </c>
      <c r="E343" s="25" t="n">
        <v>105</v>
      </c>
      <c r="F343" s="25" t="n">
        <v>218</v>
      </c>
      <c r="G343" s="25" t="inlineStr">
        <is>
          <t>Bangalore</t>
        </is>
      </c>
      <c r="H343" s="25" t="inlineStr">
        <is>
          <t>Chinese</t>
        </is>
      </c>
      <c r="I343" s="26" t="n">
        <v>283</v>
      </c>
      <c r="J343" s="26" t="n">
        <v>27.83</v>
      </c>
      <c r="K343" s="26" t="n">
        <v>32.5</v>
      </c>
      <c r="L343" s="27" t="n">
        <v>0.2</v>
      </c>
      <c r="M343" s="26" t="n">
        <v>64.72</v>
      </c>
      <c r="N343" s="28" t="n">
        <v>4.5</v>
      </c>
      <c r="O343" s="28" t="n">
        <v>40.4</v>
      </c>
      <c r="P343" s="25" t="inlineStr">
        <is>
          <t>Digital Wallet</t>
        </is>
      </c>
      <c r="Q343" s="25" t="inlineStr">
        <is>
          <t>Delivered</t>
        </is>
      </c>
      <c r="R343" s="25" t="n">
        <v>3</v>
      </c>
      <c r="S343" s="25">
        <f>TEXT(B343,"yyyy-mm")</f>
        <v/>
      </c>
      <c r="T343" s="25">
        <f>VLOOKUP(D343,Customers!A:D,4,FALSE)</f>
        <v/>
      </c>
      <c r="U343" s="25">
        <f>CONCATENATE(A343,"-",G343)</f>
        <v/>
      </c>
      <c r="V343" s="25">
        <f>IF(N343="","",IF(N343&lt;=30,"Fast (&lt;30m)",IF(N343&lt;=45,"Moderate (30-45m)","Delayed (&gt;45m)")))</f>
        <v/>
      </c>
      <c r="W343" s="25">
        <f>IF(AND(I343&gt;600,P343="Delivered"),"High Value Delivered","Standard")</f>
        <v/>
      </c>
      <c r="X343" s="25">
        <f>IF(OR(N343&gt;50,Q343&lt;=2),"High Risk / Delayed","Normal")</f>
        <v/>
      </c>
      <c r="Y343" s="25">
        <f>IF(NOT(P343="Cancelled"),"Fulfilled","Cancelled")</f>
        <v/>
      </c>
      <c r="Z343" s="25">
        <f>IFERROR(Q343,0)</f>
        <v/>
      </c>
    </row>
    <row r="344">
      <c r="A344" s="17" t="inlineStr">
        <is>
          <t>ORD1343</t>
        </is>
      </c>
      <c r="B344" s="17" t="inlineStr">
        <is>
          <t>2025-08-20</t>
        </is>
      </c>
      <c r="C344" s="17" t="inlineStr">
        <is>
          <t>12:06:39</t>
        </is>
      </c>
      <c r="D344" s="17" t="n">
        <v>1222</v>
      </c>
      <c r="E344" s="17" t="n">
        <v>119</v>
      </c>
      <c r="F344" s="17" t="n">
        <v>215</v>
      </c>
      <c r="G344" s="17" t="inlineStr">
        <is>
          <t>Hyderabad</t>
        </is>
      </c>
      <c r="H344" s="17" t="inlineStr">
        <is>
          <t>Biryani</t>
        </is>
      </c>
      <c r="I344" s="22" t="n">
        <v>911</v>
      </c>
      <c r="J344" s="22" t="n">
        <v>63.03</v>
      </c>
      <c r="K344" s="22" t="n">
        <v>30.5</v>
      </c>
      <c r="L344" s="23" t="n">
        <v>0.2</v>
      </c>
      <c r="M344" s="22" t="n">
        <v>189.82</v>
      </c>
      <c r="N344" s="24" t="n">
        <v>4.1</v>
      </c>
      <c r="O344" s="24" t="n">
        <v>39.1</v>
      </c>
      <c r="P344" s="17" t="inlineStr">
        <is>
          <t>Digital Wallet</t>
        </is>
      </c>
      <c r="Q344" s="17" t="inlineStr">
        <is>
          <t>Delivered</t>
        </is>
      </c>
      <c r="R344" s="17" t="n">
        <v>1</v>
      </c>
      <c r="S344" s="17">
        <f>TEXT(B344,"yyyy-mm")</f>
        <v/>
      </c>
      <c r="T344" s="17">
        <f>VLOOKUP(D344,Customers!A:D,4,FALSE)</f>
        <v/>
      </c>
      <c r="U344" s="17">
        <f>CONCATENATE(A344,"-",G344)</f>
        <v/>
      </c>
      <c r="V344" s="17">
        <f>IF(N344="","",IF(N344&lt;=30,"Fast (&lt;30m)",IF(N344&lt;=45,"Moderate (30-45m)","Delayed (&gt;45m)")))</f>
        <v/>
      </c>
      <c r="W344" s="17">
        <f>IF(AND(I344&gt;600,P344="Delivered"),"High Value Delivered","Standard")</f>
        <v/>
      </c>
      <c r="X344" s="17">
        <f>IF(OR(N344&gt;50,Q344&lt;=2),"High Risk / Delayed","Normal")</f>
        <v/>
      </c>
      <c r="Y344" s="17">
        <f>IF(NOT(P344="Cancelled"),"Fulfilled","Cancelled")</f>
        <v/>
      </c>
      <c r="Z344" s="17">
        <f>IFERROR(Q344,0)</f>
        <v/>
      </c>
    </row>
    <row r="345">
      <c r="A345" s="25" t="inlineStr">
        <is>
          <t>ORD1344</t>
        </is>
      </c>
      <c r="B345" s="25" t="inlineStr">
        <is>
          <t>2025-12-21</t>
        </is>
      </c>
      <c r="C345" s="25" t="inlineStr">
        <is>
          <t>13:42:03</t>
        </is>
      </c>
      <c r="D345" s="25" t="n">
        <v>1233</v>
      </c>
      <c r="E345" s="25" t="n">
        <v>120</v>
      </c>
      <c r="F345" s="25" t="n">
        <v>217</v>
      </c>
      <c r="G345" s="25" t="inlineStr">
        <is>
          <t>Pune</t>
        </is>
      </c>
      <c r="H345" s="25" t="inlineStr">
        <is>
          <t>Fast Food</t>
        </is>
      </c>
      <c r="I345" s="26" t="n">
        <v>610</v>
      </c>
      <c r="J345" s="26" t="n">
        <v>0</v>
      </c>
      <c r="K345" s="26" t="n">
        <v>30.5</v>
      </c>
      <c r="L345" s="27" t="n">
        <v>0.18</v>
      </c>
      <c r="M345" s="26" t="n">
        <v>117.42</v>
      </c>
      <c r="N345" s="28" t="n">
        <v>4.1</v>
      </c>
      <c r="O345" s="28" t="n">
        <v>38.2</v>
      </c>
      <c r="P345" s="25" t="inlineStr">
        <is>
          <t>Debit Card</t>
        </is>
      </c>
      <c r="Q345" s="25" t="inlineStr">
        <is>
          <t>Delivered</t>
        </is>
      </c>
      <c r="R345" s="25" t="n">
        <v>4</v>
      </c>
      <c r="S345" s="25">
        <f>TEXT(B345,"yyyy-mm")</f>
        <v/>
      </c>
      <c r="T345" s="25">
        <f>VLOOKUP(D345,Customers!A:D,4,FALSE)</f>
        <v/>
      </c>
      <c r="U345" s="25">
        <f>CONCATENATE(A345,"-",G345)</f>
        <v/>
      </c>
      <c r="V345" s="25">
        <f>IF(N345="","",IF(N345&lt;=30,"Fast (&lt;30m)",IF(N345&lt;=45,"Moderate (30-45m)","Delayed (&gt;45m)")))</f>
        <v/>
      </c>
      <c r="W345" s="25">
        <f>IF(AND(I345&gt;600,P345="Delivered"),"High Value Delivered","Standard")</f>
        <v/>
      </c>
      <c r="X345" s="25">
        <f>IF(OR(N345&gt;50,Q345&lt;=2),"High Risk / Delayed","Normal")</f>
        <v/>
      </c>
      <c r="Y345" s="25">
        <f>IF(NOT(P345="Cancelled"),"Fulfilled","Cancelled")</f>
        <v/>
      </c>
      <c r="Z345" s="25">
        <f>IFERROR(Q345,0)</f>
        <v/>
      </c>
    </row>
    <row r="346">
      <c r="A346" s="17" t="inlineStr">
        <is>
          <t>ORD1345</t>
        </is>
      </c>
      <c r="B346" s="17" t="inlineStr">
        <is>
          <t>2025-04-14</t>
        </is>
      </c>
      <c r="C346" s="17" t="inlineStr">
        <is>
          <t>22:39:55</t>
        </is>
      </c>
      <c r="D346" s="17" t="n">
        <v>1252</v>
      </c>
      <c r="E346" s="17" t="n">
        <v>107</v>
      </c>
      <c r="F346" s="17" t="n">
        <v>202</v>
      </c>
      <c r="G346" s="17" t="inlineStr">
        <is>
          <t>Mumbai</t>
        </is>
      </c>
      <c r="H346" s="17" t="inlineStr">
        <is>
          <t>Desserts</t>
        </is>
      </c>
      <c r="I346" s="22" t="n">
        <v>673</v>
      </c>
      <c r="J346" s="22" t="n">
        <v>49.07</v>
      </c>
      <c r="K346" s="22" t="n">
        <v>25</v>
      </c>
      <c r="L346" s="23" t="n">
        <v>0.25</v>
      </c>
      <c r="M346" s="22" t="n">
        <v>174.5</v>
      </c>
      <c r="N346" s="24" t="n">
        <v>1.1</v>
      </c>
      <c r="O346" s="24" t="n">
        <v>25.5</v>
      </c>
      <c r="P346" s="17" t="inlineStr">
        <is>
          <t>Debit Card</t>
        </is>
      </c>
      <c r="Q346" s="17" t="inlineStr">
        <is>
          <t>Delivered</t>
        </is>
      </c>
      <c r="R346" s="17" t="n">
        <v>5</v>
      </c>
      <c r="S346" s="17">
        <f>TEXT(B346,"yyyy-mm")</f>
        <v/>
      </c>
      <c r="T346" s="17">
        <f>VLOOKUP(D346,Customers!A:D,4,FALSE)</f>
        <v/>
      </c>
      <c r="U346" s="17">
        <f>CONCATENATE(A346,"-",G346)</f>
        <v/>
      </c>
      <c r="V346" s="17">
        <f>IF(N346="","",IF(N346&lt;=30,"Fast (&lt;30m)",IF(N346&lt;=45,"Moderate (30-45m)","Delayed (&gt;45m)")))</f>
        <v/>
      </c>
      <c r="W346" s="17">
        <f>IF(AND(I346&gt;600,P346="Delivered"),"High Value Delivered","Standard")</f>
        <v/>
      </c>
      <c r="X346" s="17">
        <f>IF(OR(N346&gt;50,Q346&lt;=2),"High Risk / Delayed","Normal")</f>
        <v/>
      </c>
      <c r="Y346" s="17">
        <f>IF(NOT(P346="Cancelled"),"Fulfilled","Cancelled")</f>
        <v/>
      </c>
      <c r="Z346" s="17">
        <f>IFERROR(Q346,0)</f>
        <v/>
      </c>
    </row>
    <row r="347">
      <c r="A347" s="25" t="inlineStr">
        <is>
          <t>ORD1346</t>
        </is>
      </c>
      <c r="B347" s="25" t="inlineStr">
        <is>
          <t>2025-08-18</t>
        </is>
      </c>
      <c r="C347" s="25" t="inlineStr">
        <is>
          <t>12:11:43</t>
        </is>
      </c>
      <c r="D347" s="25" t="n">
        <v>1200</v>
      </c>
      <c r="E347" s="25" t="n">
        <v>117</v>
      </c>
      <c r="F347" s="25" t="n">
        <v>202</v>
      </c>
      <c r="G347" s="25" t="inlineStr">
        <is>
          <t>Mumbai</t>
        </is>
      </c>
      <c r="H347" s="25" t="inlineStr">
        <is>
          <t>Chinese</t>
        </is>
      </c>
      <c r="I347" s="26" t="n">
        <v>296</v>
      </c>
      <c r="J347" s="26" t="n">
        <v>18.67</v>
      </c>
      <c r="K347" s="26" t="n">
        <v>25</v>
      </c>
      <c r="L347" s="27" t="n">
        <v>0.2</v>
      </c>
      <c r="M347" s="26" t="n">
        <v>65.45</v>
      </c>
      <c r="N347" s="28" t="n">
        <v>2.4</v>
      </c>
      <c r="O347" s="28" t="n">
        <v>27.2</v>
      </c>
      <c r="P347" s="25" t="inlineStr">
        <is>
          <t>Digital Wallet</t>
        </is>
      </c>
      <c r="Q347" s="25" t="inlineStr">
        <is>
          <t>Delivered</t>
        </is>
      </c>
      <c r="R347" s="25" t="n">
        <v>4</v>
      </c>
      <c r="S347" s="25">
        <f>TEXT(B347,"yyyy-mm")</f>
        <v/>
      </c>
      <c r="T347" s="25">
        <f>VLOOKUP(D347,Customers!A:D,4,FALSE)</f>
        <v/>
      </c>
      <c r="U347" s="25">
        <f>CONCATENATE(A347,"-",G347)</f>
        <v/>
      </c>
      <c r="V347" s="25">
        <f>IF(N347="","",IF(N347&lt;=30,"Fast (&lt;30m)",IF(N347&lt;=45,"Moderate (30-45m)","Delayed (&gt;45m)")))</f>
        <v/>
      </c>
      <c r="W347" s="25">
        <f>IF(AND(I347&gt;600,P347="Delivered"),"High Value Delivered","Standard")</f>
        <v/>
      </c>
      <c r="X347" s="25">
        <f>IF(OR(N347&gt;50,Q347&lt;=2),"High Risk / Delayed","Normal")</f>
        <v/>
      </c>
      <c r="Y347" s="25">
        <f>IF(NOT(P347="Cancelled"),"Fulfilled","Cancelled")</f>
        <v/>
      </c>
      <c r="Z347" s="25">
        <f>IFERROR(Q347,0)</f>
        <v/>
      </c>
    </row>
    <row r="348">
      <c r="A348" s="17" t="inlineStr">
        <is>
          <t>ORD1347</t>
        </is>
      </c>
      <c r="B348" s="17" t="inlineStr">
        <is>
          <t>2025-01-21</t>
        </is>
      </c>
      <c r="C348" s="17" t="inlineStr">
        <is>
          <t>12:27:17</t>
        </is>
      </c>
      <c r="D348" s="17" t="n">
        <v>1033</v>
      </c>
      <c r="E348" s="17" t="n">
        <v>102</v>
      </c>
      <c r="F348" s="17" t="n">
        <v>225</v>
      </c>
      <c r="G348" s="17" t="inlineStr">
        <is>
          <t>Hyderabad</t>
        </is>
      </c>
      <c r="H348" s="17" t="inlineStr">
        <is>
          <t>Biryani</t>
        </is>
      </c>
      <c r="I348" s="22" t="n">
        <v>789</v>
      </c>
      <c r="J348" s="22" t="n">
        <v>0</v>
      </c>
      <c r="K348" s="22" t="n">
        <v>29</v>
      </c>
      <c r="L348" s="23" t="n">
        <v>0.22</v>
      </c>
      <c r="M348" s="22" t="n">
        <v>180.83</v>
      </c>
      <c r="N348" s="24" t="n">
        <v>3.8</v>
      </c>
      <c r="O348" s="24" t="n">
        <v>28.1</v>
      </c>
      <c r="P348" s="17" t="inlineStr">
        <is>
          <t>Debit Card</t>
        </is>
      </c>
      <c r="Q348" s="17" t="inlineStr">
        <is>
          <t>Delivered</t>
        </is>
      </c>
      <c r="R348" s="17" t="n">
        <v>4</v>
      </c>
      <c r="S348" s="17">
        <f>TEXT(B348,"yyyy-mm")</f>
        <v/>
      </c>
      <c r="T348" s="17">
        <f>VLOOKUP(D348,Customers!A:D,4,FALSE)</f>
        <v/>
      </c>
      <c r="U348" s="17">
        <f>CONCATENATE(A348,"-",G348)</f>
        <v/>
      </c>
      <c r="V348" s="17">
        <f>IF(N348="","",IF(N348&lt;=30,"Fast (&lt;30m)",IF(N348&lt;=45,"Moderate (30-45m)","Delayed (&gt;45m)")))</f>
        <v/>
      </c>
      <c r="W348" s="17">
        <f>IF(AND(I348&gt;600,P348="Delivered"),"High Value Delivered","Standard")</f>
        <v/>
      </c>
      <c r="X348" s="17">
        <f>IF(OR(N348&gt;50,Q348&lt;=2),"High Risk / Delayed","Normal")</f>
        <v/>
      </c>
      <c r="Y348" s="17">
        <f>IF(NOT(P348="Cancelled"),"Fulfilled","Cancelled")</f>
        <v/>
      </c>
      <c r="Z348" s="17">
        <f>IFERROR(Q348,0)</f>
        <v/>
      </c>
    </row>
    <row r="349">
      <c r="A349" s="25" t="inlineStr">
        <is>
          <t>ORD1348</t>
        </is>
      </c>
      <c r="B349" s="25" t="inlineStr">
        <is>
          <t>2025-08-27</t>
        </is>
      </c>
      <c r="C349" s="25" t="inlineStr">
        <is>
          <t>15:45:59</t>
        </is>
      </c>
      <c r="D349" s="25" t="n">
        <v>1248</v>
      </c>
      <c r="E349" s="25" t="n">
        <v>118</v>
      </c>
      <c r="F349" s="25" t="n">
        <v>219</v>
      </c>
      <c r="G349" s="25" t="inlineStr">
        <is>
          <t>Delhi NCR</t>
        </is>
      </c>
      <c r="H349" s="25" t="inlineStr">
        <is>
          <t>North Indian</t>
        </is>
      </c>
      <c r="I349" s="26" t="n">
        <v>488</v>
      </c>
      <c r="J349" s="26" t="n">
        <v>56.3</v>
      </c>
      <c r="K349" s="26" t="n">
        <v>38.5</v>
      </c>
      <c r="L349" s="27" t="n">
        <v>0.2</v>
      </c>
      <c r="M349" s="26" t="n">
        <v>107.22</v>
      </c>
      <c r="N349" s="28" t="n">
        <v>5.7</v>
      </c>
      <c r="O349" s="28" t="n">
        <v>33.9</v>
      </c>
      <c r="P349" s="25" t="inlineStr">
        <is>
          <t>UPI</t>
        </is>
      </c>
      <c r="Q349" s="25" t="inlineStr">
        <is>
          <t>Delivered</t>
        </is>
      </c>
      <c r="R349" s="25" t="n">
        <v>4</v>
      </c>
      <c r="S349" s="25">
        <f>TEXT(B349,"yyyy-mm")</f>
        <v/>
      </c>
      <c r="T349" s="25">
        <f>VLOOKUP(D349,Customers!A:D,4,FALSE)</f>
        <v/>
      </c>
      <c r="U349" s="25">
        <f>CONCATENATE(A349,"-",G349)</f>
        <v/>
      </c>
      <c r="V349" s="25">
        <f>IF(N349="","",IF(N349&lt;=30,"Fast (&lt;30m)",IF(N349&lt;=45,"Moderate (30-45m)","Delayed (&gt;45m)")))</f>
        <v/>
      </c>
      <c r="W349" s="25">
        <f>IF(AND(I349&gt;600,P349="Delivered"),"High Value Delivered","Standard")</f>
        <v/>
      </c>
      <c r="X349" s="25">
        <f>IF(OR(N349&gt;50,Q349&lt;=2),"High Risk / Delayed","Normal")</f>
        <v/>
      </c>
      <c r="Y349" s="25">
        <f>IF(NOT(P349="Cancelled"),"Fulfilled","Cancelled")</f>
        <v/>
      </c>
      <c r="Z349" s="25">
        <f>IFERROR(Q349,0)</f>
        <v/>
      </c>
    </row>
    <row r="350">
      <c r="A350" s="17" t="inlineStr">
        <is>
          <t>ORD1349</t>
        </is>
      </c>
      <c r="B350" s="17" t="inlineStr">
        <is>
          <t>2025-02-07</t>
        </is>
      </c>
      <c r="C350" s="17" t="inlineStr">
        <is>
          <t>10:50:45</t>
        </is>
      </c>
      <c r="D350" s="17" t="n">
        <v>1093</v>
      </c>
      <c r="E350" s="17" t="n">
        <v>104</v>
      </c>
      <c r="F350" s="17" t="n">
        <v>212</v>
      </c>
      <c r="G350" s="17" t="inlineStr">
        <is>
          <t>Delhi NCR</t>
        </is>
      </c>
      <c r="H350" s="17" t="inlineStr">
        <is>
          <t>Fast Food</t>
        </is>
      </c>
      <c r="I350" s="22" t="n">
        <v>545</v>
      </c>
      <c r="J350" s="22" t="n">
        <v>47.29</v>
      </c>
      <c r="K350" s="22" t="n">
        <v>25</v>
      </c>
      <c r="L350" s="23" t="n">
        <v>0.18</v>
      </c>
      <c r="M350" s="22" t="n">
        <v>104.35</v>
      </c>
      <c r="N350" s="24" t="n">
        <v>2.2</v>
      </c>
      <c r="O350" s="24" t="n">
        <v>33.1</v>
      </c>
      <c r="P350" s="17" t="inlineStr">
        <is>
          <t>Digital Wallet</t>
        </is>
      </c>
      <c r="Q350" s="17" t="inlineStr">
        <is>
          <t>Delivered</t>
        </is>
      </c>
      <c r="R350" s="17" t="n">
        <v>4</v>
      </c>
      <c r="S350" s="17">
        <f>TEXT(B350,"yyyy-mm")</f>
        <v/>
      </c>
      <c r="T350" s="17">
        <f>VLOOKUP(D350,Customers!A:D,4,FALSE)</f>
        <v/>
      </c>
      <c r="U350" s="17">
        <f>CONCATENATE(A350,"-",G350)</f>
        <v/>
      </c>
      <c r="V350" s="17">
        <f>IF(N350="","",IF(N350&lt;=30,"Fast (&lt;30m)",IF(N350&lt;=45,"Moderate (30-45m)","Delayed (&gt;45m)")))</f>
        <v/>
      </c>
      <c r="W350" s="17">
        <f>IF(AND(I350&gt;600,P350="Delivered"),"High Value Delivered","Standard")</f>
        <v/>
      </c>
      <c r="X350" s="17">
        <f>IF(OR(N350&gt;50,Q350&lt;=2),"High Risk / Delayed","Normal")</f>
        <v/>
      </c>
      <c r="Y350" s="17">
        <f>IF(NOT(P350="Cancelled"),"Fulfilled","Cancelled")</f>
        <v/>
      </c>
      <c r="Z350" s="17">
        <f>IFERROR(Q350,0)</f>
        <v/>
      </c>
    </row>
    <row r="351">
      <c r="A351" s="25" t="inlineStr">
        <is>
          <t>ORD1350</t>
        </is>
      </c>
      <c r="B351" s="25" t="inlineStr">
        <is>
          <t>2025-08-01</t>
        </is>
      </c>
      <c r="C351" s="25" t="inlineStr">
        <is>
          <t>21:34:34</t>
        </is>
      </c>
      <c r="D351" s="25" t="n">
        <v>1037</v>
      </c>
      <c r="E351" s="25" t="n">
        <v>105</v>
      </c>
      <c r="F351" s="25" t="n">
        <v>220</v>
      </c>
      <c r="G351" s="25" t="inlineStr">
        <is>
          <t>Bangalore</t>
        </is>
      </c>
      <c r="H351" s="25" t="inlineStr">
        <is>
          <t>Chinese</t>
        </is>
      </c>
      <c r="I351" s="26" t="n">
        <v>633</v>
      </c>
      <c r="J351" s="26" t="n">
        <v>0</v>
      </c>
      <c r="K351" s="26" t="n">
        <v>35.5</v>
      </c>
      <c r="L351" s="27" t="n">
        <v>0.2</v>
      </c>
      <c r="M351" s="26" t="n">
        <v>135.48</v>
      </c>
      <c r="N351" s="28" t="n">
        <v>5.1</v>
      </c>
      <c r="O351" s="28" t="n">
        <v>38.1</v>
      </c>
      <c r="P351" s="25" t="inlineStr">
        <is>
          <t>Credit Card</t>
        </is>
      </c>
      <c r="Q351" s="25" t="inlineStr">
        <is>
          <t>Delivered</t>
        </is>
      </c>
      <c r="R351" s="25" t="n">
        <v>4</v>
      </c>
      <c r="S351" s="25">
        <f>TEXT(B351,"yyyy-mm")</f>
        <v/>
      </c>
      <c r="T351" s="25">
        <f>VLOOKUP(D351,Customers!A:D,4,FALSE)</f>
        <v/>
      </c>
      <c r="U351" s="25">
        <f>CONCATENATE(A351,"-",G351)</f>
        <v/>
      </c>
      <c r="V351" s="25">
        <f>IF(N351="","",IF(N351&lt;=30,"Fast (&lt;30m)",IF(N351&lt;=45,"Moderate (30-45m)","Delayed (&gt;45m)")))</f>
        <v/>
      </c>
      <c r="W351" s="25">
        <f>IF(AND(I351&gt;600,P351="Delivered"),"High Value Delivered","Standard")</f>
        <v/>
      </c>
      <c r="X351" s="25">
        <f>IF(OR(N351&gt;50,Q351&lt;=2),"High Risk / Delayed","Normal")</f>
        <v/>
      </c>
      <c r="Y351" s="25">
        <f>IF(NOT(P351="Cancelled"),"Fulfilled","Cancelled")</f>
        <v/>
      </c>
      <c r="Z351" s="25">
        <f>IFERROR(Q351,0)</f>
        <v/>
      </c>
    </row>
    <row r="352">
      <c r="A352" s="17" t="inlineStr">
        <is>
          <t>ORD1351</t>
        </is>
      </c>
      <c r="B352" s="17" t="inlineStr">
        <is>
          <t>2025-05-31</t>
        </is>
      </c>
      <c r="C352" s="17" t="inlineStr">
        <is>
          <t>15:13:48</t>
        </is>
      </c>
      <c r="D352" s="17" t="n">
        <v>1196</v>
      </c>
      <c r="E352" s="17" t="n">
        <v>116</v>
      </c>
      <c r="F352" s="17" t="n">
        <v>209</v>
      </c>
      <c r="G352" s="17" t="inlineStr">
        <is>
          <t>Pune</t>
        </is>
      </c>
      <c r="H352" s="17" t="inlineStr">
        <is>
          <t>Desserts</t>
        </is>
      </c>
      <c r="I352" s="22" t="n">
        <v>853</v>
      </c>
      <c r="J352" s="22" t="n">
        <v>68.01000000000001</v>
      </c>
      <c r="K352" s="22" t="n">
        <v>45</v>
      </c>
      <c r="L352" s="23" t="n">
        <v>0.25</v>
      </c>
      <c r="M352" s="22" t="n">
        <v>224.5</v>
      </c>
      <c r="N352" s="24" t="n">
        <v>7</v>
      </c>
      <c r="O352" s="24" t="n">
        <v>46.1</v>
      </c>
      <c r="P352" s="17" t="inlineStr">
        <is>
          <t>UPI</t>
        </is>
      </c>
      <c r="Q352" s="17" t="inlineStr">
        <is>
          <t>Delivered</t>
        </is>
      </c>
      <c r="R352" s="17" t="n">
        <v>3</v>
      </c>
      <c r="S352" s="17">
        <f>TEXT(B352,"yyyy-mm")</f>
        <v/>
      </c>
      <c r="T352" s="17">
        <f>VLOOKUP(D352,Customers!A:D,4,FALSE)</f>
        <v/>
      </c>
      <c r="U352" s="17">
        <f>CONCATENATE(A352,"-",G352)</f>
        <v/>
      </c>
      <c r="V352" s="17">
        <f>IF(N352="","",IF(N352&lt;=30,"Fast (&lt;30m)",IF(N352&lt;=45,"Moderate (30-45m)","Delayed (&gt;45m)")))</f>
        <v/>
      </c>
      <c r="W352" s="17">
        <f>IF(AND(I352&gt;600,P352="Delivered"),"High Value Delivered","Standard")</f>
        <v/>
      </c>
      <c r="X352" s="17">
        <f>IF(OR(N352&gt;50,Q352&lt;=2),"High Risk / Delayed","Normal")</f>
        <v/>
      </c>
      <c r="Y352" s="17">
        <f>IF(NOT(P352="Cancelled"),"Fulfilled","Cancelled")</f>
        <v/>
      </c>
      <c r="Z352" s="17">
        <f>IFERROR(Q352,0)</f>
        <v/>
      </c>
    </row>
    <row r="353">
      <c r="A353" s="25" t="inlineStr">
        <is>
          <t>ORD1352</t>
        </is>
      </c>
      <c r="B353" s="25" t="inlineStr">
        <is>
          <t>2025-08-17</t>
        </is>
      </c>
      <c r="C353" s="25" t="inlineStr">
        <is>
          <t>12:15:57</t>
        </is>
      </c>
      <c r="D353" s="25" t="n">
        <v>1003</v>
      </c>
      <c r="E353" s="25" t="n">
        <v>110</v>
      </c>
      <c r="F353" s="25" t="n">
        <v>208</v>
      </c>
      <c r="G353" s="25" t="inlineStr">
        <is>
          <t>Pune</t>
        </is>
      </c>
      <c r="H353" s="25" t="inlineStr">
        <is>
          <t>North Indian</t>
        </is>
      </c>
      <c r="I353" s="26" t="n">
        <v>877</v>
      </c>
      <c r="J353" s="26" t="n">
        <v>81.53</v>
      </c>
      <c r="K353" s="26" t="n">
        <v>26.5</v>
      </c>
      <c r="L353" s="27" t="n">
        <v>0.18</v>
      </c>
      <c r="M353" s="26" t="n">
        <v>164.48</v>
      </c>
      <c r="N353" s="28" t="n">
        <v>3.3</v>
      </c>
      <c r="O353" s="28" t="n">
        <v>31</v>
      </c>
      <c r="P353" s="25" t="inlineStr">
        <is>
          <t>UPI</t>
        </is>
      </c>
      <c r="Q353" s="25" t="inlineStr">
        <is>
          <t>Delivered</t>
        </is>
      </c>
      <c r="R353" s="25" t="n">
        <v>4</v>
      </c>
      <c r="S353" s="25">
        <f>TEXT(B353,"yyyy-mm")</f>
        <v/>
      </c>
      <c r="T353" s="25">
        <f>VLOOKUP(D353,Customers!A:D,4,FALSE)</f>
        <v/>
      </c>
      <c r="U353" s="25">
        <f>CONCATENATE(A353,"-",G353)</f>
        <v/>
      </c>
      <c r="V353" s="25">
        <f>IF(N353="","",IF(N353&lt;=30,"Fast (&lt;30m)",IF(N353&lt;=45,"Moderate (30-45m)","Delayed (&gt;45m)")))</f>
        <v/>
      </c>
      <c r="W353" s="25">
        <f>IF(AND(I353&gt;600,P353="Delivered"),"High Value Delivered","Standard")</f>
        <v/>
      </c>
      <c r="X353" s="25">
        <f>IF(OR(N353&gt;50,Q353&lt;=2),"High Risk / Delayed","Normal")</f>
        <v/>
      </c>
      <c r="Y353" s="25">
        <f>IF(NOT(P353="Cancelled"),"Fulfilled","Cancelled")</f>
        <v/>
      </c>
      <c r="Z353" s="25">
        <f>IFERROR(Q353,0)</f>
        <v/>
      </c>
    </row>
    <row r="354">
      <c r="A354" s="17" t="inlineStr">
        <is>
          <t>ORD1353</t>
        </is>
      </c>
      <c r="B354" s="17" t="inlineStr">
        <is>
          <t>2025-07-17</t>
        </is>
      </c>
      <c r="C354" s="17" t="inlineStr">
        <is>
          <t>21:16:34</t>
        </is>
      </c>
      <c r="D354" s="17" t="n">
        <v>1180</v>
      </c>
      <c r="E354" s="17" t="n">
        <v>104</v>
      </c>
      <c r="F354" s="17" t="n">
        <v>219</v>
      </c>
      <c r="G354" s="17" t="inlineStr">
        <is>
          <t>Delhi NCR</t>
        </is>
      </c>
      <c r="H354" s="17" t="inlineStr">
        <is>
          <t>Fast Food</t>
        </is>
      </c>
      <c r="I354" s="22" t="n">
        <v>509</v>
      </c>
      <c r="J354" s="22" t="n">
        <v>0</v>
      </c>
      <c r="K354" s="22" t="n">
        <v>25</v>
      </c>
      <c r="L354" s="23" t="n">
        <v>0.18</v>
      </c>
      <c r="M354" s="22" t="n">
        <v>97.87</v>
      </c>
      <c r="N354" s="24" t="n">
        <v>2.8</v>
      </c>
      <c r="O354" s="24" t="n">
        <v>32.6</v>
      </c>
      <c r="P354" s="17" t="inlineStr">
        <is>
          <t>Debit Card</t>
        </is>
      </c>
      <c r="Q354" s="17" t="inlineStr">
        <is>
          <t>Delivered</t>
        </is>
      </c>
      <c r="R354" s="17" t="n">
        <v>4</v>
      </c>
      <c r="S354" s="17">
        <f>TEXT(B354,"yyyy-mm")</f>
        <v/>
      </c>
      <c r="T354" s="17">
        <f>VLOOKUP(D354,Customers!A:D,4,FALSE)</f>
        <v/>
      </c>
      <c r="U354" s="17">
        <f>CONCATENATE(A354,"-",G354)</f>
        <v/>
      </c>
      <c r="V354" s="17">
        <f>IF(N354="","",IF(N354&lt;=30,"Fast (&lt;30m)",IF(N354&lt;=45,"Moderate (30-45m)","Delayed (&gt;45m)")))</f>
        <v/>
      </c>
      <c r="W354" s="17">
        <f>IF(AND(I354&gt;600,P354="Delivered"),"High Value Delivered","Standard")</f>
        <v/>
      </c>
      <c r="X354" s="17">
        <f>IF(OR(N354&gt;50,Q354&lt;=2),"High Risk / Delayed","Normal")</f>
        <v/>
      </c>
      <c r="Y354" s="17">
        <f>IF(NOT(P354="Cancelled"),"Fulfilled","Cancelled")</f>
        <v/>
      </c>
      <c r="Z354" s="17">
        <f>IFERROR(Q354,0)</f>
        <v/>
      </c>
    </row>
    <row r="355">
      <c r="A355" s="25" t="inlineStr">
        <is>
          <t>ORD1354</t>
        </is>
      </c>
      <c r="B355" s="25" t="inlineStr">
        <is>
          <t>2025-06-01</t>
        </is>
      </c>
      <c r="C355" s="25" t="inlineStr">
        <is>
          <t>19:57:41</t>
        </is>
      </c>
      <c r="D355" s="25" t="n">
        <v>1228</v>
      </c>
      <c r="E355" s="25" t="n">
        <v>109</v>
      </c>
      <c r="F355" s="25" t="n">
        <v>225</v>
      </c>
      <c r="G355" s="25" t="inlineStr">
        <is>
          <t>Hyderabad</t>
        </is>
      </c>
      <c r="H355" s="25" t="inlineStr">
        <is>
          <t>Biryani</t>
        </is>
      </c>
      <c r="I355" s="26" t="n">
        <v>417</v>
      </c>
      <c r="J355" s="26" t="n">
        <v>0</v>
      </c>
      <c r="K355" s="26" t="n">
        <v>40</v>
      </c>
      <c r="L355" s="27" t="n">
        <v>0.2</v>
      </c>
      <c r="M355" s="26" t="n">
        <v>93.40000000000001</v>
      </c>
      <c r="N355" s="28" t="n">
        <v>6</v>
      </c>
      <c r="O355" s="28" t="n">
        <v>38.5</v>
      </c>
      <c r="P355" s="25" t="inlineStr">
        <is>
          <t>UPI</t>
        </is>
      </c>
      <c r="Q355" s="25" t="inlineStr">
        <is>
          <t>Delivered</t>
        </is>
      </c>
      <c r="R355" s="25" t="n">
        <v>5</v>
      </c>
      <c r="S355" s="25">
        <f>TEXT(B355,"yyyy-mm")</f>
        <v/>
      </c>
      <c r="T355" s="25">
        <f>VLOOKUP(D355,Customers!A:D,4,FALSE)</f>
        <v/>
      </c>
      <c r="U355" s="25">
        <f>CONCATENATE(A355,"-",G355)</f>
        <v/>
      </c>
      <c r="V355" s="25">
        <f>IF(N355="","",IF(N355&lt;=30,"Fast (&lt;30m)",IF(N355&lt;=45,"Moderate (30-45m)","Delayed (&gt;45m)")))</f>
        <v/>
      </c>
      <c r="W355" s="25">
        <f>IF(AND(I355&gt;600,P355="Delivered"),"High Value Delivered","Standard")</f>
        <v/>
      </c>
      <c r="X355" s="25">
        <f>IF(OR(N355&gt;50,Q355&lt;=2),"High Risk / Delayed","Normal")</f>
        <v/>
      </c>
      <c r="Y355" s="25">
        <f>IF(NOT(P355="Cancelled"),"Fulfilled","Cancelled")</f>
        <v/>
      </c>
      <c r="Z355" s="25">
        <f>IFERROR(Q355,0)</f>
        <v/>
      </c>
    </row>
    <row r="356">
      <c r="A356" s="17" t="inlineStr">
        <is>
          <t>ORD1355</t>
        </is>
      </c>
      <c r="B356" s="17" t="inlineStr">
        <is>
          <t>2025-11-17</t>
        </is>
      </c>
      <c r="C356" s="17" t="inlineStr">
        <is>
          <t>13:04:13</t>
        </is>
      </c>
      <c r="D356" s="17" t="n">
        <v>1151</v>
      </c>
      <c r="E356" s="17" t="n">
        <v>117</v>
      </c>
      <c r="F356" s="17" t="n">
        <v>202</v>
      </c>
      <c r="G356" s="17" t="inlineStr">
        <is>
          <t>Mumbai</t>
        </is>
      </c>
      <c r="H356" s="17" t="inlineStr">
        <is>
          <t>Chinese</t>
        </is>
      </c>
      <c r="I356" s="22" t="n">
        <v>1167</v>
      </c>
      <c r="J356" s="22" t="n">
        <v>206.98</v>
      </c>
      <c r="K356" s="22" t="n">
        <v>0</v>
      </c>
      <c r="L356" s="23" t="n">
        <v>0.2</v>
      </c>
      <c r="M356" s="22" t="n">
        <v>233.4</v>
      </c>
      <c r="N356" s="24" t="n">
        <v>3.4</v>
      </c>
      <c r="O356" s="24" t="n">
        <v>37.4</v>
      </c>
      <c r="P356" s="17" t="inlineStr">
        <is>
          <t>Cash on Delivery</t>
        </is>
      </c>
      <c r="Q356" s="17" t="inlineStr">
        <is>
          <t>Delivered</t>
        </is>
      </c>
      <c r="R356" s="17" t="n">
        <v>5</v>
      </c>
      <c r="S356" s="17">
        <f>TEXT(B356,"yyyy-mm")</f>
        <v/>
      </c>
      <c r="T356" s="17">
        <f>VLOOKUP(D356,Customers!A:D,4,FALSE)</f>
        <v/>
      </c>
      <c r="U356" s="17">
        <f>CONCATENATE(A356,"-",G356)</f>
        <v/>
      </c>
      <c r="V356" s="17">
        <f>IF(N356="","",IF(N356&lt;=30,"Fast (&lt;30m)",IF(N356&lt;=45,"Moderate (30-45m)","Delayed (&gt;45m)")))</f>
        <v/>
      </c>
      <c r="W356" s="17">
        <f>IF(AND(I356&gt;600,P356="Delivered"),"High Value Delivered","Standard")</f>
        <v/>
      </c>
      <c r="X356" s="17">
        <f>IF(OR(N356&gt;50,Q356&lt;=2),"High Risk / Delayed","Normal")</f>
        <v/>
      </c>
      <c r="Y356" s="17">
        <f>IF(NOT(P356="Cancelled"),"Fulfilled","Cancelled")</f>
        <v/>
      </c>
      <c r="Z356" s="17">
        <f>IFERROR(Q356,0)</f>
        <v/>
      </c>
    </row>
    <row r="357">
      <c r="A357" s="25" t="inlineStr">
        <is>
          <t>ORD1356</t>
        </is>
      </c>
      <c r="B357" s="25" t="inlineStr">
        <is>
          <t>2025-10-03</t>
        </is>
      </c>
      <c r="C357" s="25" t="inlineStr">
        <is>
          <t>19:53:44</t>
        </is>
      </c>
      <c r="D357" s="25" t="n">
        <v>1079</v>
      </c>
      <c r="E357" s="25" t="n">
        <v>101</v>
      </c>
      <c r="F357" s="25" t="n">
        <v>220</v>
      </c>
      <c r="G357" s="25" t="inlineStr">
        <is>
          <t>Bangalore</t>
        </is>
      </c>
      <c r="H357" s="25" t="inlineStr">
        <is>
          <t>North Indian</t>
        </is>
      </c>
      <c r="I357" s="26" t="n">
        <v>665</v>
      </c>
      <c r="J357" s="26" t="n">
        <v>49.99</v>
      </c>
      <c r="K357" s="26" t="n">
        <v>25.5</v>
      </c>
      <c r="L357" s="27" t="n">
        <v>0.2</v>
      </c>
      <c r="M357" s="26" t="n">
        <v>139.38</v>
      </c>
      <c r="N357" s="28" t="n">
        <v>3.1</v>
      </c>
      <c r="O357" s="28" t="n">
        <v>32.5</v>
      </c>
      <c r="P357" s="25" t="inlineStr">
        <is>
          <t>Credit Card</t>
        </is>
      </c>
      <c r="Q357" s="25" t="inlineStr">
        <is>
          <t>Delivered</t>
        </is>
      </c>
      <c r="R357" s="25" t="n">
        <v>5</v>
      </c>
      <c r="S357" s="25">
        <f>TEXT(B357,"yyyy-mm")</f>
        <v/>
      </c>
      <c r="T357" s="25">
        <f>VLOOKUP(D357,Customers!A:D,4,FALSE)</f>
        <v/>
      </c>
      <c r="U357" s="25">
        <f>CONCATENATE(A357,"-",G357)</f>
        <v/>
      </c>
      <c r="V357" s="25">
        <f>IF(N357="","",IF(N357&lt;=30,"Fast (&lt;30m)",IF(N357&lt;=45,"Moderate (30-45m)","Delayed (&gt;45m)")))</f>
        <v/>
      </c>
      <c r="W357" s="25">
        <f>IF(AND(I357&gt;600,P357="Delivered"),"High Value Delivered","Standard")</f>
        <v/>
      </c>
      <c r="X357" s="25">
        <f>IF(OR(N357&gt;50,Q357&lt;=2),"High Risk / Delayed","Normal")</f>
        <v/>
      </c>
      <c r="Y357" s="25">
        <f>IF(NOT(P357="Cancelled"),"Fulfilled","Cancelled")</f>
        <v/>
      </c>
      <c r="Z357" s="25">
        <f>IFERROR(Q357,0)</f>
        <v/>
      </c>
    </row>
    <row r="358">
      <c r="A358" s="17" t="inlineStr">
        <is>
          <t>ORD1357</t>
        </is>
      </c>
      <c r="B358" s="17" t="inlineStr">
        <is>
          <t>2025-06-19</t>
        </is>
      </c>
      <c r="C358" s="17" t="inlineStr">
        <is>
          <t>17:02:05</t>
        </is>
      </c>
      <c r="D358" s="17" t="n">
        <v>1197</v>
      </c>
      <c r="E358" s="17" t="n">
        <v>103</v>
      </c>
      <c r="F358" s="17" t="n">
        <v>206</v>
      </c>
      <c r="G358" s="17" t="inlineStr">
        <is>
          <t>Mumbai</t>
        </is>
      </c>
      <c r="H358" s="17" t="inlineStr">
        <is>
          <t>Italian</t>
        </is>
      </c>
      <c r="I358" s="22" t="n">
        <v>295</v>
      </c>
      <c r="J358" s="22" t="n">
        <v>15.87</v>
      </c>
      <c r="K358" s="22" t="n">
        <v>26.5</v>
      </c>
      <c r="L358" s="23" t="n">
        <v>0.18</v>
      </c>
      <c r="M358" s="22" t="n">
        <v>59.72</v>
      </c>
      <c r="N358" s="24" t="n">
        <v>3.3</v>
      </c>
      <c r="O358" s="24" t="n">
        <v>40.2</v>
      </c>
      <c r="P358" s="17" t="inlineStr">
        <is>
          <t>Digital Wallet</t>
        </is>
      </c>
      <c r="Q358" s="17" t="inlineStr">
        <is>
          <t>Delivered</t>
        </is>
      </c>
      <c r="R358" s="17" t="n">
        <v>4</v>
      </c>
      <c r="S358" s="17">
        <f>TEXT(B358,"yyyy-mm")</f>
        <v/>
      </c>
      <c r="T358" s="17">
        <f>VLOOKUP(D358,Customers!A:D,4,FALSE)</f>
        <v/>
      </c>
      <c r="U358" s="17">
        <f>CONCATENATE(A358,"-",G358)</f>
        <v/>
      </c>
      <c r="V358" s="17">
        <f>IF(N358="","",IF(N358&lt;=30,"Fast (&lt;30m)",IF(N358&lt;=45,"Moderate (30-45m)","Delayed (&gt;45m)")))</f>
        <v/>
      </c>
      <c r="W358" s="17">
        <f>IF(AND(I358&gt;600,P358="Delivered"),"High Value Delivered","Standard")</f>
        <v/>
      </c>
      <c r="X358" s="17">
        <f>IF(OR(N358&gt;50,Q358&lt;=2),"High Risk / Delayed","Normal")</f>
        <v/>
      </c>
      <c r="Y358" s="17">
        <f>IF(NOT(P358="Cancelled"),"Fulfilled","Cancelled")</f>
        <v/>
      </c>
      <c r="Z358" s="17">
        <f>IFERROR(Q358,0)</f>
        <v/>
      </c>
    </row>
    <row r="359">
      <c r="A359" s="25" t="inlineStr">
        <is>
          <t>ORD1358</t>
        </is>
      </c>
      <c r="B359" s="25" t="inlineStr">
        <is>
          <t>2025-05-13</t>
        </is>
      </c>
      <c r="C359" s="25" t="inlineStr">
        <is>
          <t>13:26:24</t>
        </is>
      </c>
      <c r="D359" s="25" t="n">
        <v>1044</v>
      </c>
      <c r="E359" s="25" t="n">
        <v>109</v>
      </c>
      <c r="F359" s="25" t="n">
        <v>216</v>
      </c>
      <c r="G359" s="25" t="inlineStr">
        <is>
          <t>Hyderabad</t>
        </is>
      </c>
      <c r="H359" s="25" t="inlineStr">
        <is>
          <t>Biryani</t>
        </is>
      </c>
      <c r="I359" s="26" t="n">
        <v>942</v>
      </c>
      <c r="J359" s="26" t="n">
        <v>132.3</v>
      </c>
      <c r="K359" s="26" t="n">
        <v>0</v>
      </c>
      <c r="L359" s="27" t="n">
        <v>0.2</v>
      </c>
      <c r="M359" s="26" t="n">
        <v>188.4</v>
      </c>
      <c r="N359" s="28" t="n">
        <v>4.9</v>
      </c>
      <c r="O359" s="28" t="n">
        <v/>
      </c>
      <c r="P359" s="25" t="inlineStr">
        <is>
          <t>Cash on Delivery</t>
        </is>
      </c>
      <c r="Q359" s="25" t="inlineStr">
        <is>
          <t>Cancelled</t>
        </is>
      </c>
      <c r="R359" s="25" t="n">
        <v/>
      </c>
      <c r="S359" s="25">
        <f>TEXT(B359,"yyyy-mm")</f>
        <v/>
      </c>
      <c r="T359" s="25">
        <f>VLOOKUP(D359,Customers!A:D,4,FALSE)</f>
        <v/>
      </c>
      <c r="U359" s="25">
        <f>CONCATENATE(A359,"-",G359)</f>
        <v/>
      </c>
      <c r="V359" s="25">
        <f>IF(N359="","",IF(N359&lt;=30,"Fast (&lt;30m)",IF(N359&lt;=45,"Moderate (30-45m)","Delayed (&gt;45m)")))</f>
        <v/>
      </c>
      <c r="W359" s="25">
        <f>IF(AND(I359&gt;600,P359="Delivered"),"High Value Delivered","Standard")</f>
        <v/>
      </c>
      <c r="X359" s="25">
        <f>IF(OR(N359&gt;50,Q359&lt;=2),"High Risk / Delayed","Normal")</f>
        <v/>
      </c>
      <c r="Y359" s="25">
        <f>IF(NOT(P359="Cancelled"),"Fulfilled","Cancelled")</f>
        <v/>
      </c>
      <c r="Z359" s="25">
        <f>IFERROR(Q359,0)</f>
        <v/>
      </c>
    </row>
    <row r="360">
      <c r="A360" s="17" t="inlineStr">
        <is>
          <t>ORD1359</t>
        </is>
      </c>
      <c r="B360" s="17" t="inlineStr">
        <is>
          <t>2025-10-27</t>
        </is>
      </c>
      <c r="C360" s="17" t="inlineStr">
        <is>
          <t>20:02:44</t>
        </is>
      </c>
      <c r="D360" s="17" t="n">
        <v>1062</v>
      </c>
      <c r="E360" s="17" t="n">
        <v>113</v>
      </c>
      <c r="F360" s="17" t="n">
        <v>206</v>
      </c>
      <c r="G360" s="17" t="inlineStr">
        <is>
          <t>Mumbai</t>
        </is>
      </c>
      <c r="H360" s="17" t="inlineStr">
        <is>
          <t>Fast Food</t>
        </is>
      </c>
      <c r="I360" s="22" t="n">
        <v>294</v>
      </c>
      <c r="J360" s="22" t="n">
        <v>0</v>
      </c>
      <c r="K360" s="22" t="n">
        <v>25.5</v>
      </c>
      <c r="L360" s="23" t="n">
        <v>0.18</v>
      </c>
      <c r="M360" s="22" t="n">
        <v>59.29</v>
      </c>
      <c r="N360" s="24" t="n">
        <v>3.1</v>
      </c>
      <c r="O360" s="24" t="n">
        <v>34.6</v>
      </c>
      <c r="P360" s="17" t="inlineStr">
        <is>
          <t>Debit Card</t>
        </is>
      </c>
      <c r="Q360" s="17" t="inlineStr">
        <is>
          <t>Delivered</t>
        </is>
      </c>
      <c r="R360" s="17" t="n">
        <v>3</v>
      </c>
      <c r="S360" s="17">
        <f>TEXT(B360,"yyyy-mm")</f>
        <v/>
      </c>
      <c r="T360" s="17">
        <f>VLOOKUP(D360,Customers!A:D,4,FALSE)</f>
        <v/>
      </c>
      <c r="U360" s="17">
        <f>CONCATENATE(A360,"-",G360)</f>
        <v/>
      </c>
      <c r="V360" s="17">
        <f>IF(N360="","",IF(N360&lt;=30,"Fast (&lt;30m)",IF(N360&lt;=45,"Moderate (30-45m)","Delayed (&gt;45m)")))</f>
        <v/>
      </c>
      <c r="W360" s="17">
        <f>IF(AND(I360&gt;600,P360="Delivered"),"High Value Delivered","Standard")</f>
        <v/>
      </c>
      <c r="X360" s="17">
        <f>IF(OR(N360&gt;50,Q360&lt;=2),"High Risk / Delayed","Normal")</f>
        <v/>
      </c>
      <c r="Y360" s="17">
        <f>IF(NOT(P360="Cancelled"),"Fulfilled","Cancelled")</f>
        <v/>
      </c>
      <c r="Z360" s="17">
        <f>IFERROR(Q360,0)</f>
        <v/>
      </c>
    </row>
    <row r="361">
      <c r="A361" s="25" t="inlineStr">
        <is>
          <t>ORD1360</t>
        </is>
      </c>
      <c r="B361" s="25" t="inlineStr">
        <is>
          <t>2025-08-13</t>
        </is>
      </c>
      <c r="C361" s="25" t="inlineStr">
        <is>
          <t>17:24:25</t>
        </is>
      </c>
      <c r="D361" s="25" t="n">
        <v>1214</v>
      </c>
      <c r="E361" s="25" t="n">
        <v>113</v>
      </c>
      <c r="F361" s="25" t="n">
        <v>206</v>
      </c>
      <c r="G361" s="25" t="inlineStr">
        <is>
          <t>Mumbai</t>
        </is>
      </c>
      <c r="H361" s="25" t="inlineStr">
        <is>
          <t>Fast Food</t>
        </is>
      </c>
      <c r="I361" s="26" t="n">
        <v>896</v>
      </c>
      <c r="J361" s="26" t="n">
        <v>0</v>
      </c>
      <c r="K361" s="26" t="n">
        <v>40.5</v>
      </c>
      <c r="L361" s="27" t="n">
        <v>0.18</v>
      </c>
      <c r="M361" s="26" t="n">
        <v>171.4</v>
      </c>
      <c r="N361" s="28" t="n">
        <v>6.1</v>
      </c>
      <c r="O361" s="28" t="n">
        <v>33.3</v>
      </c>
      <c r="P361" s="25" t="inlineStr">
        <is>
          <t>Credit Card</t>
        </is>
      </c>
      <c r="Q361" s="25" t="inlineStr">
        <is>
          <t>Delivered</t>
        </is>
      </c>
      <c r="R361" s="25" t="n">
        <v>4</v>
      </c>
      <c r="S361" s="25">
        <f>TEXT(B361,"yyyy-mm")</f>
        <v/>
      </c>
      <c r="T361" s="25">
        <f>VLOOKUP(D361,Customers!A:D,4,FALSE)</f>
        <v/>
      </c>
      <c r="U361" s="25">
        <f>CONCATENATE(A361,"-",G361)</f>
        <v/>
      </c>
      <c r="V361" s="25">
        <f>IF(N361="","",IF(N361&lt;=30,"Fast (&lt;30m)",IF(N361&lt;=45,"Moderate (30-45m)","Delayed (&gt;45m)")))</f>
        <v/>
      </c>
      <c r="W361" s="25">
        <f>IF(AND(I361&gt;600,P361="Delivered"),"High Value Delivered","Standard")</f>
        <v/>
      </c>
      <c r="X361" s="25">
        <f>IF(OR(N361&gt;50,Q361&lt;=2),"High Risk / Delayed","Normal")</f>
        <v/>
      </c>
      <c r="Y361" s="25">
        <f>IF(NOT(P361="Cancelled"),"Fulfilled","Cancelled")</f>
        <v/>
      </c>
      <c r="Z361" s="25">
        <f>IFERROR(Q361,0)</f>
        <v/>
      </c>
    </row>
    <row r="362">
      <c r="A362" s="17" t="inlineStr">
        <is>
          <t>ORD1361</t>
        </is>
      </c>
      <c r="B362" s="17" t="inlineStr">
        <is>
          <t>2025-10-07</t>
        </is>
      </c>
      <c r="C362" s="17" t="inlineStr">
        <is>
          <t>22:18:40</t>
        </is>
      </c>
      <c r="D362" s="17" t="n">
        <v>1087</v>
      </c>
      <c r="E362" s="17" t="n">
        <v>116</v>
      </c>
      <c r="F362" s="17" t="n">
        <v>226</v>
      </c>
      <c r="G362" s="17" t="inlineStr">
        <is>
          <t>Pune</t>
        </is>
      </c>
      <c r="H362" s="17" t="inlineStr">
        <is>
          <t>Desserts</t>
        </is>
      </c>
      <c r="I362" s="22" t="n">
        <v>367</v>
      </c>
      <c r="J362" s="22" t="n">
        <v>26.01</v>
      </c>
      <c r="K362" s="22" t="n">
        <v>25</v>
      </c>
      <c r="L362" s="23" t="n">
        <v>0.25</v>
      </c>
      <c r="M362" s="22" t="n">
        <v>98</v>
      </c>
      <c r="N362" s="24" t="n">
        <v>2.4</v>
      </c>
      <c r="O362" s="24" t="n">
        <v>28.6</v>
      </c>
      <c r="P362" s="17" t="inlineStr">
        <is>
          <t>Debit Card</t>
        </is>
      </c>
      <c r="Q362" s="17" t="inlineStr">
        <is>
          <t>Delivered</t>
        </is>
      </c>
      <c r="R362" s="17" t="n">
        <v>4</v>
      </c>
      <c r="S362" s="17">
        <f>TEXT(B362,"yyyy-mm")</f>
        <v/>
      </c>
      <c r="T362" s="17">
        <f>VLOOKUP(D362,Customers!A:D,4,FALSE)</f>
        <v/>
      </c>
      <c r="U362" s="17">
        <f>CONCATENATE(A362,"-",G362)</f>
        <v/>
      </c>
      <c r="V362" s="17">
        <f>IF(N362="","",IF(N362&lt;=30,"Fast (&lt;30m)",IF(N362&lt;=45,"Moderate (30-45m)","Delayed (&gt;45m)")))</f>
        <v/>
      </c>
      <c r="W362" s="17">
        <f>IF(AND(I362&gt;600,P362="Delivered"),"High Value Delivered","Standard")</f>
        <v/>
      </c>
      <c r="X362" s="17">
        <f>IF(OR(N362&gt;50,Q362&lt;=2),"High Risk / Delayed","Normal")</f>
        <v/>
      </c>
      <c r="Y362" s="17">
        <f>IF(NOT(P362="Cancelled"),"Fulfilled","Cancelled")</f>
        <v/>
      </c>
      <c r="Z362" s="17">
        <f>IFERROR(Q362,0)</f>
        <v/>
      </c>
    </row>
    <row r="363">
      <c r="A363" s="25" t="inlineStr">
        <is>
          <t>ORD1362</t>
        </is>
      </c>
      <c r="B363" s="25" t="inlineStr">
        <is>
          <t>2025-03-05</t>
        </is>
      </c>
      <c r="C363" s="25" t="inlineStr">
        <is>
          <t>19:02:00</t>
        </is>
      </c>
      <c r="D363" s="25" t="n">
        <v>1131</v>
      </c>
      <c r="E363" s="25" t="n">
        <v>118</v>
      </c>
      <c r="F363" s="25" t="n">
        <v>221</v>
      </c>
      <c r="G363" s="25" t="inlineStr">
        <is>
          <t>Delhi NCR</t>
        </is>
      </c>
      <c r="H363" s="25" t="inlineStr">
        <is>
          <t>North Indian</t>
        </is>
      </c>
      <c r="I363" s="26" t="n">
        <v>806</v>
      </c>
      <c r="J363" s="26" t="n">
        <v>34.64</v>
      </c>
      <c r="K363" s="26" t="n">
        <v>31</v>
      </c>
      <c r="L363" s="27" t="n">
        <v>0.2</v>
      </c>
      <c r="M363" s="26" t="n">
        <v>168.95</v>
      </c>
      <c r="N363" s="28" t="n">
        <v>4.2</v>
      </c>
      <c r="O363" s="28" t="n">
        <v>42.2</v>
      </c>
      <c r="P363" s="25" t="inlineStr">
        <is>
          <t>Debit Card</t>
        </is>
      </c>
      <c r="Q363" s="25" t="inlineStr">
        <is>
          <t>Delivered</t>
        </is>
      </c>
      <c r="R363" s="25" t="n">
        <v>2</v>
      </c>
      <c r="S363" s="25">
        <f>TEXT(B363,"yyyy-mm")</f>
        <v/>
      </c>
      <c r="T363" s="25">
        <f>VLOOKUP(D363,Customers!A:D,4,FALSE)</f>
        <v/>
      </c>
      <c r="U363" s="25">
        <f>CONCATENATE(A363,"-",G363)</f>
        <v/>
      </c>
      <c r="V363" s="25">
        <f>IF(N363="","",IF(N363&lt;=30,"Fast (&lt;30m)",IF(N363&lt;=45,"Moderate (30-45m)","Delayed (&gt;45m)")))</f>
        <v/>
      </c>
      <c r="W363" s="25">
        <f>IF(AND(I363&gt;600,P363="Delivered"),"High Value Delivered","Standard")</f>
        <v/>
      </c>
      <c r="X363" s="25">
        <f>IF(OR(N363&gt;50,Q363&lt;=2),"High Risk / Delayed","Normal")</f>
        <v/>
      </c>
      <c r="Y363" s="25">
        <f>IF(NOT(P363="Cancelled"),"Fulfilled","Cancelled")</f>
        <v/>
      </c>
      <c r="Z363" s="25">
        <f>IFERROR(Q363,0)</f>
        <v/>
      </c>
    </row>
    <row r="364">
      <c r="A364" s="17" t="inlineStr">
        <is>
          <t>ORD1363</t>
        </is>
      </c>
      <c r="B364" s="17" t="inlineStr">
        <is>
          <t>2025-04-19</t>
        </is>
      </c>
      <c r="C364" s="17" t="inlineStr">
        <is>
          <t>15:26:57</t>
        </is>
      </c>
      <c r="D364" s="17" t="n">
        <v>1277</v>
      </c>
      <c r="E364" s="17" t="n">
        <v>107</v>
      </c>
      <c r="F364" s="17" t="n">
        <v>229</v>
      </c>
      <c r="G364" s="17" t="inlineStr">
        <is>
          <t>Mumbai</t>
        </is>
      </c>
      <c r="H364" s="17" t="inlineStr">
        <is>
          <t>Desserts</t>
        </is>
      </c>
      <c r="I364" s="22" t="n">
        <v>881</v>
      </c>
      <c r="J364" s="22" t="n">
        <v>96.56</v>
      </c>
      <c r="K364" s="22" t="n">
        <v>25</v>
      </c>
      <c r="L364" s="23" t="n">
        <v>0.25</v>
      </c>
      <c r="M364" s="22" t="n">
        <v>226.5</v>
      </c>
      <c r="N364" s="24" t="n">
        <v>1.9</v>
      </c>
      <c r="O364" s="24" t="n">
        <v>22.6</v>
      </c>
      <c r="P364" s="17" t="inlineStr">
        <is>
          <t>Credit Card</t>
        </is>
      </c>
      <c r="Q364" s="17" t="inlineStr">
        <is>
          <t>Delivered</t>
        </is>
      </c>
      <c r="R364" s="17" t="n">
        <v>4</v>
      </c>
      <c r="S364" s="17">
        <f>TEXT(B364,"yyyy-mm")</f>
        <v/>
      </c>
      <c r="T364" s="17">
        <f>VLOOKUP(D364,Customers!A:D,4,FALSE)</f>
        <v/>
      </c>
      <c r="U364" s="17">
        <f>CONCATENATE(A364,"-",G364)</f>
        <v/>
      </c>
      <c r="V364" s="17">
        <f>IF(N364="","",IF(N364&lt;=30,"Fast (&lt;30m)",IF(N364&lt;=45,"Moderate (30-45m)","Delayed (&gt;45m)")))</f>
        <v/>
      </c>
      <c r="W364" s="17">
        <f>IF(AND(I364&gt;600,P364="Delivered"),"High Value Delivered","Standard")</f>
        <v/>
      </c>
      <c r="X364" s="17">
        <f>IF(OR(N364&gt;50,Q364&lt;=2),"High Risk / Delayed","Normal")</f>
        <v/>
      </c>
      <c r="Y364" s="17">
        <f>IF(NOT(P364="Cancelled"),"Fulfilled","Cancelled")</f>
        <v/>
      </c>
      <c r="Z364" s="17">
        <f>IFERROR(Q364,0)</f>
        <v/>
      </c>
    </row>
    <row r="365">
      <c r="A365" s="25" t="inlineStr">
        <is>
          <t>ORD1364</t>
        </is>
      </c>
      <c r="B365" s="25" t="inlineStr">
        <is>
          <t>2025-04-10</t>
        </is>
      </c>
      <c r="C365" s="25" t="inlineStr">
        <is>
          <t>18:07:11</t>
        </is>
      </c>
      <c r="D365" s="25" t="n">
        <v>1292</v>
      </c>
      <c r="E365" s="25" t="n">
        <v>120</v>
      </c>
      <c r="F365" s="25" t="n">
        <v>204</v>
      </c>
      <c r="G365" s="25" t="inlineStr">
        <is>
          <t>Pune</t>
        </is>
      </c>
      <c r="H365" s="25" t="inlineStr">
        <is>
          <t>Fast Food</t>
        </is>
      </c>
      <c r="I365" s="26" t="n">
        <v>907</v>
      </c>
      <c r="J365" s="26" t="n">
        <v>61.84</v>
      </c>
      <c r="K365" s="26" t="n">
        <v>25</v>
      </c>
      <c r="L365" s="27" t="n">
        <v>0.18</v>
      </c>
      <c r="M365" s="26" t="n">
        <v>169.51</v>
      </c>
      <c r="N365" s="28" t="n">
        <v>2.4</v>
      </c>
      <c r="O365" s="28" t="n">
        <v>30.1</v>
      </c>
      <c r="P365" s="25" t="inlineStr">
        <is>
          <t>Digital Wallet</t>
        </is>
      </c>
      <c r="Q365" s="25" t="inlineStr">
        <is>
          <t>Delivered</t>
        </is>
      </c>
      <c r="R365" s="25" t="n">
        <v>5</v>
      </c>
      <c r="S365" s="25">
        <f>TEXT(B365,"yyyy-mm")</f>
        <v/>
      </c>
      <c r="T365" s="25">
        <f>VLOOKUP(D365,Customers!A:D,4,FALSE)</f>
        <v/>
      </c>
      <c r="U365" s="25">
        <f>CONCATENATE(A365,"-",G365)</f>
        <v/>
      </c>
      <c r="V365" s="25">
        <f>IF(N365="","",IF(N365&lt;=30,"Fast (&lt;30m)",IF(N365&lt;=45,"Moderate (30-45m)","Delayed (&gt;45m)")))</f>
        <v/>
      </c>
      <c r="W365" s="25">
        <f>IF(AND(I365&gt;600,P365="Delivered"),"High Value Delivered","Standard")</f>
        <v/>
      </c>
      <c r="X365" s="25">
        <f>IF(OR(N365&gt;50,Q365&lt;=2),"High Risk / Delayed","Normal")</f>
        <v/>
      </c>
      <c r="Y365" s="25">
        <f>IF(NOT(P365="Cancelled"),"Fulfilled","Cancelled")</f>
        <v/>
      </c>
      <c r="Z365" s="25">
        <f>IFERROR(Q365,0)</f>
        <v/>
      </c>
    </row>
    <row r="366">
      <c r="A366" s="17" t="inlineStr">
        <is>
          <t>ORD1365</t>
        </is>
      </c>
      <c r="B366" s="17" t="inlineStr">
        <is>
          <t>2025-12-10</t>
        </is>
      </c>
      <c r="C366" s="17" t="inlineStr">
        <is>
          <t>09:04:16</t>
        </is>
      </c>
      <c r="D366" s="17" t="n">
        <v>1183</v>
      </c>
      <c r="E366" s="17" t="n">
        <v>117</v>
      </c>
      <c r="F366" s="17" t="n">
        <v>202</v>
      </c>
      <c r="G366" s="17" t="inlineStr">
        <is>
          <t>Mumbai</t>
        </is>
      </c>
      <c r="H366" s="17" t="inlineStr">
        <is>
          <t>Chinese</t>
        </is>
      </c>
      <c r="I366" s="22" t="n">
        <v>470</v>
      </c>
      <c r="J366" s="22" t="n">
        <v>81.09999999999999</v>
      </c>
      <c r="K366" s="22" t="n">
        <v>29</v>
      </c>
      <c r="L366" s="23" t="n">
        <v>0.2</v>
      </c>
      <c r="M366" s="22" t="n">
        <v>101.25</v>
      </c>
      <c r="N366" s="24" t="n">
        <v>3.8</v>
      </c>
      <c r="O366" s="24" t="n">
        <v>32.6</v>
      </c>
      <c r="P366" s="17" t="inlineStr">
        <is>
          <t>Debit Card</t>
        </is>
      </c>
      <c r="Q366" s="17" t="inlineStr">
        <is>
          <t>Delivered</t>
        </is>
      </c>
      <c r="R366" s="17" t="n">
        <v>3</v>
      </c>
      <c r="S366" s="17">
        <f>TEXT(B366,"yyyy-mm")</f>
        <v/>
      </c>
      <c r="T366" s="17">
        <f>VLOOKUP(D366,Customers!A:D,4,FALSE)</f>
        <v/>
      </c>
      <c r="U366" s="17">
        <f>CONCATENATE(A366,"-",G366)</f>
        <v/>
      </c>
      <c r="V366" s="17">
        <f>IF(N366="","",IF(N366&lt;=30,"Fast (&lt;30m)",IF(N366&lt;=45,"Moderate (30-45m)","Delayed (&gt;45m)")))</f>
        <v/>
      </c>
      <c r="W366" s="17">
        <f>IF(AND(I366&gt;600,P366="Delivered"),"High Value Delivered","Standard")</f>
        <v/>
      </c>
      <c r="X366" s="17">
        <f>IF(OR(N366&gt;50,Q366&lt;=2),"High Risk / Delayed","Normal")</f>
        <v/>
      </c>
      <c r="Y366" s="17">
        <f>IF(NOT(P366="Cancelled"),"Fulfilled","Cancelled")</f>
        <v/>
      </c>
      <c r="Z366" s="17">
        <f>IFERROR(Q366,0)</f>
        <v/>
      </c>
    </row>
    <row r="367">
      <c r="A367" s="25" t="inlineStr">
        <is>
          <t>ORD1366</t>
        </is>
      </c>
      <c r="B367" s="25" t="inlineStr">
        <is>
          <t>2025-02-21</t>
        </is>
      </c>
      <c r="C367" s="25" t="inlineStr">
        <is>
          <t>08:18:39</t>
        </is>
      </c>
      <c r="D367" s="25" t="n">
        <v>1037</v>
      </c>
      <c r="E367" s="25" t="n">
        <v>101</v>
      </c>
      <c r="F367" s="25" t="n">
        <v>218</v>
      </c>
      <c r="G367" s="25" t="inlineStr">
        <is>
          <t>Bangalore</t>
        </is>
      </c>
      <c r="H367" s="25" t="inlineStr">
        <is>
          <t>North Indian</t>
        </is>
      </c>
      <c r="I367" s="26" t="n">
        <v>291</v>
      </c>
      <c r="J367" s="26" t="n">
        <v>7.4</v>
      </c>
      <c r="K367" s="26" t="n">
        <v>34.5</v>
      </c>
      <c r="L367" s="27" t="n">
        <v>0.2</v>
      </c>
      <c r="M367" s="26" t="n">
        <v>66.81999999999999</v>
      </c>
      <c r="N367" s="28" t="n">
        <v>4.9</v>
      </c>
      <c r="O367" s="28" t="n">
        <v>53.3</v>
      </c>
      <c r="P367" s="25" t="inlineStr">
        <is>
          <t>Digital Wallet</t>
        </is>
      </c>
      <c r="Q367" s="25" t="inlineStr">
        <is>
          <t>Delivered</t>
        </is>
      </c>
      <c r="R367" s="25" t="n">
        <v>1</v>
      </c>
      <c r="S367" s="25">
        <f>TEXT(B367,"yyyy-mm")</f>
        <v/>
      </c>
      <c r="T367" s="25">
        <f>VLOOKUP(D367,Customers!A:D,4,FALSE)</f>
        <v/>
      </c>
      <c r="U367" s="25">
        <f>CONCATENATE(A367,"-",G367)</f>
        <v/>
      </c>
      <c r="V367" s="25">
        <f>IF(N367="","",IF(N367&lt;=30,"Fast (&lt;30m)",IF(N367&lt;=45,"Moderate (30-45m)","Delayed (&gt;45m)")))</f>
        <v/>
      </c>
      <c r="W367" s="25">
        <f>IF(AND(I367&gt;600,P367="Delivered"),"High Value Delivered","Standard")</f>
        <v/>
      </c>
      <c r="X367" s="25">
        <f>IF(OR(N367&gt;50,Q367&lt;=2),"High Risk / Delayed","Normal")</f>
        <v/>
      </c>
      <c r="Y367" s="25">
        <f>IF(NOT(P367="Cancelled"),"Fulfilled","Cancelled")</f>
        <v/>
      </c>
      <c r="Z367" s="25">
        <f>IFERROR(Q367,0)</f>
        <v/>
      </c>
    </row>
    <row r="368">
      <c r="A368" s="17" t="inlineStr">
        <is>
          <t>ORD1367</t>
        </is>
      </c>
      <c r="B368" s="17" t="inlineStr">
        <is>
          <t>2025-06-11</t>
        </is>
      </c>
      <c r="C368" s="17" t="inlineStr">
        <is>
          <t>21:27:10</t>
        </is>
      </c>
      <c r="D368" s="17" t="n">
        <v>1140</v>
      </c>
      <c r="E368" s="17" t="n">
        <v>106</v>
      </c>
      <c r="F368" s="17" t="n">
        <v>217</v>
      </c>
      <c r="G368" s="17" t="inlineStr">
        <is>
          <t>Pune</t>
        </is>
      </c>
      <c r="H368" s="17" t="inlineStr">
        <is>
          <t>South Indian</t>
        </is>
      </c>
      <c r="I368" s="22" t="n">
        <v>404</v>
      </c>
      <c r="J368" s="22" t="n">
        <v>50.35</v>
      </c>
      <c r="K368" s="22" t="n">
        <v>25</v>
      </c>
      <c r="L368" s="23" t="n">
        <v>0.15</v>
      </c>
      <c r="M368" s="22" t="n">
        <v>66.84999999999999</v>
      </c>
      <c r="N368" s="24" t="n">
        <v>1.9</v>
      </c>
      <c r="O368" s="24" t="n">
        <v>22.8</v>
      </c>
      <c r="P368" s="17" t="inlineStr">
        <is>
          <t>Cash on Delivery</t>
        </is>
      </c>
      <c r="Q368" s="17" t="inlineStr">
        <is>
          <t>Delivered</t>
        </is>
      </c>
      <c r="R368" s="17" t="n">
        <v>2</v>
      </c>
      <c r="S368" s="17">
        <f>TEXT(B368,"yyyy-mm")</f>
        <v/>
      </c>
      <c r="T368" s="17">
        <f>VLOOKUP(D368,Customers!A:D,4,FALSE)</f>
        <v/>
      </c>
      <c r="U368" s="17">
        <f>CONCATENATE(A368,"-",G368)</f>
        <v/>
      </c>
      <c r="V368" s="17">
        <f>IF(N368="","",IF(N368&lt;=30,"Fast (&lt;30m)",IF(N368&lt;=45,"Moderate (30-45m)","Delayed (&gt;45m)")))</f>
        <v/>
      </c>
      <c r="W368" s="17">
        <f>IF(AND(I368&gt;600,P368="Delivered"),"High Value Delivered","Standard")</f>
        <v/>
      </c>
      <c r="X368" s="17">
        <f>IF(OR(N368&gt;50,Q368&lt;=2),"High Risk / Delayed","Normal")</f>
        <v/>
      </c>
      <c r="Y368" s="17">
        <f>IF(NOT(P368="Cancelled"),"Fulfilled","Cancelled")</f>
        <v/>
      </c>
      <c r="Z368" s="17">
        <f>IFERROR(Q368,0)</f>
        <v/>
      </c>
    </row>
    <row r="369">
      <c r="A369" s="25" t="inlineStr">
        <is>
          <t>ORD1368</t>
        </is>
      </c>
      <c r="B369" s="25" t="inlineStr">
        <is>
          <t>2025-12-14</t>
        </is>
      </c>
      <c r="C369" s="25" t="inlineStr">
        <is>
          <t>13:46:21</t>
        </is>
      </c>
      <c r="D369" s="25" t="n">
        <v>1275</v>
      </c>
      <c r="E369" s="25" t="n">
        <v>110</v>
      </c>
      <c r="F369" s="25" t="n">
        <v>204</v>
      </c>
      <c r="G369" s="25" t="inlineStr">
        <is>
          <t>Pune</t>
        </is>
      </c>
      <c r="H369" s="25" t="inlineStr">
        <is>
          <t>North Indian</t>
        </is>
      </c>
      <c r="I369" s="26" t="n">
        <v>711</v>
      </c>
      <c r="J369" s="26" t="n">
        <v>0</v>
      </c>
      <c r="K369" s="26" t="n">
        <v>25</v>
      </c>
      <c r="L369" s="27" t="n">
        <v>0.18</v>
      </c>
      <c r="M369" s="26" t="n">
        <v>134.23</v>
      </c>
      <c r="N369" s="28" t="n">
        <v>2.7</v>
      </c>
      <c r="O369" s="28" t="n">
        <v>41.2</v>
      </c>
      <c r="P369" s="25" t="inlineStr">
        <is>
          <t>Debit Card</t>
        </is>
      </c>
      <c r="Q369" s="25" t="inlineStr">
        <is>
          <t>Delivered</t>
        </is>
      </c>
      <c r="R369" s="25" t="n">
        <v>3</v>
      </c>
      <c r="S369" s="25">
        <f>TEXT(B369,"yyyy-mm")</f>
        <v/>
      </c>
      <c r="T369" s="25">
        <f>VLOOKUP(D369,Customers!A:D,4,FALSE)</f>
        <v/>
      </c>
      <c r="U369" s="25">
        <f>CONCATENATE(A369,"-",G369)</f>
        <v/>
      </c>
      <c r="V369" s="25">
        <f>IF(N369="","",IF(N369&lt;=30,"Fast (&lt;30m)",IF(N369&lt;=45,"Moderate (30-45m)","Delayed (&gt;45m)")))</f>
        <v/>
      </c>
      <c r="W369" s="25">
        <f>IF(AND(I369&gt;600,P369="Delivered"),"High Value Delivered","Standard")</f>
        <v/>
      </c>
      <c r="X369" s="25">
        <f>IF(OR(N369&gt;50,Q369&lt;=2),"High Risk / Delayed","Normal")</f>
        <v/>
      </c>
      <c r="Y369" s="25">
        <f>IF(NOT(P369="Cancelled"),"Fulfilled","Cancelled")</f>
        <v/>
      </c>
      <c r="Z369" s="25">
        <f>IFERROR(Q369,0)</f>
        <v/>
      </c>
    </row>
    <row r="370">
      <c r="A370" s="17" t="inlineStr">
        <is>
          <t>ORD1369</t>
        </is>
      </c>
      <c r="B370" s="17" t="inlineStr">
        <is>
          <t>2025-11-27</t>
        </is>
      </c>
      <c r="C370" s="17" t="inlineStr">
        <is>
          <t>14:38:05</t>
        </is>
      </c>
      <c r="D370" s="17" t="n">
        <v>1118</v>
      </c>
      <c r="E370" s="17" t="n">
        <v>118</v>
      </c>
      <c r="F370" s="17" t="n">
        <v>212</v>
      </c>
      <c r="G370" s="17" t="inlineStr">
        <is>
          <t>Delhi NCR</t>
        </is>
      </c>
      <c r="H370" s="17" t="inlineStr">
        <is>
          <t>North Indian</t>
        </is>
      </c>
      <c r="I370" s="22" t="n">
        <v>507</v>
      </c>
      <c r="J370" s="22" t="n">
        <v>5.68</v>
      </c>
      <c r="K370" s="22" t="n">
        <v>38</v>
      </c>
      <c r="L370" s="23" t="n">
        <v>0.2</v>
      </c>
      <c r="M370" s="22" t="n">
        <v>110.9</v>
      </c>
      <c r="N370" s="24" t="n">
        <v>5.6</v>
      </c>
      <c r="O370" s="24" t="n">
        <v>44</v>
      </c>
      <c r="P370" s="17" t="inlineStr">
        <is>
          <t>Debit Card</t>
        </is>
      </c>
      <c r="Q370" s="17" t="inlineStr">
        <is>
          <t>Delivered</t>
        </is>
      </c>
      <c r="R370" s="17" t="n">
        <v>3</v>
      </c>
      <c r="S370" s="17">
        <f>TEXT(B370,"yyyy-mm")</f>
        <v/>
      </c>
      <c r="T370" s="17">
        <f>VLOOKUP(D370,Customers!A:D,4,FALSE)</f>
        <v/>
      </c>
      <c r="U370" s="17">
        <f>CONCATENATE(A370,"-",G370)</f>
        <v/>
      </c>
      <c r="V370" s="17">
        <f>IF(N370="","",IF(N370&lt;=30,"Fast (&lt;30m)",IF(N370&lt;=45,"Moderate (30-45m)","Delayed (&gt;45m)")))</f>
        <v/>
      </c>
      <c r="W370" s="17">
        <f>IF(AND(I370&gt;600,P370="Delivered"),"High Value Delivered","Standard")</f>
        <v/>
      </c>
      <c r="X370" s="17">
        <f>IF(OR(N370&gt;50,Q370&lt;=2),"High Risk / Delayed","Normal")</f>
        <v/>
      </c>
      <c r="Y370" s="17">
        <f>IF(NOT(P370="Cancelled"),"Fulfilled","Cancelled")</f>
        <v/>
      </c>
      <c r="Z370" s="17">
        <f>IFERROR(Q370,0)</f>
        <v/>
      </c>
    </row>
    <row r="371">
      <c r="A371" s="25" t="inlineStr">
        <is>
          <t>ORD1370</t>
        </is>
      </c>
      <c r="B371" s="25" t="inlineStr">
        <is>
          <t>2025-09-17</t>
        </is>
      </c>
      <c r="C371" s="25" t="inlineStr">
        <is>
          <t>22:40:01</t>
        </is>
      </c>
      <c r="D371" s="25" t="n">
        <v>1277</v>
      </c>
      <c r="E371" s="25" t="n">
        <v>107</v>
      </c>
      <c r="F371" s="25" t="n">
        <v>222</v>
      </c>
      <c r="G371" s="25" t="inlineStr">
        <is>
          <t>Mumbai</t>
        </is>
      </c>
      <c r="H371" s="25" t="inlineStr">
        <is>
          <t>Desserts</t>
        </is>
      </c>
      <c r="I371" s="26" t="n">
        <v>815</v>
      </c>
      <c r="J371" s="26" t="n">
        <v>73.78</v>
      </c>
      <c r="K371" s="26" t="n">
        <v>57</v>
      </c>
      <c r="L371" s="27" t="n">
        <v>0.25</v>
      </c>
      <c r="M371" s="26" t="n">
        <v>218</v>
      </c>
      <c r="N371" s="28" t="n">
        <v>9.4</v>
      </c>
      <c r="O371" s="28" t="n">
        <v>48.9</v>
      </c>
      <c r="P371" s="25" t="inlineStr">
        <is>
          <t>Credit Card</t>
        </is>
      </c>
      <c r="Q371" s="25" t="inlineStr">
        <is>
          <t>Delivered</t>
        </is>
      </c>
      <c r="R371" s="25" t="n">
        <v>3</v>
      </c>
      <c r="S371" s="25">
        <f>TEXT(B371,"yyyy-mm")</f>
        <v/>
      </c>
      <c r="T371" s="25">
        <f>VLOOKUP(D371,Customers!A:D,4,FALSE)</f>
        <v/>
      </c>
      <c r="U371" s="25">
        <f>CONCATENATE(A371,"-",G371)</f>
        <v/>
      </c>
      <c r="V371" s="25">
        <f>IF(N371="","",IF(N371&lt;=30,"Fast (&lt;30m)",IF(N371&lt;=45,"Moderate (30-45m)","Delayed (&gt;45m)")))</f>
        <v/>
      </c>
      <c r="W371" s="25">
        <f>IF(AND(I371&gt;600,P371="Delivered"),"High Value Delivered","Standard")</f>
        <v/>
      </c>
      <c r="X371" s="25">
        <f>IF(OR(N371&gt;50,Q371&lt;=2),"High Risk / Delayed","Normal")</f>
        <v/>
      </c>
      <c r="Y371" s="25">
        <f>IF(NOT(P371="Cancelled"),"Fulfilled","Cancelled")</f>
        <v/>
      </c>
      <c r="Z371" s="25">
        <f>IFERROR(Q371,0)</f>
        <v/>
      </c>
    </row>
    <row r="372">
      <c r="A372" s="17" t="inlineStr">
        <is>
          <t>ORD1371</t>
        </is>
      </c>
      <c r="B372" s="17" t="inlineStr">
        <is>
          <t>2025-10-06</t>
        </is>
      </c>
      <c r="C372" s="17" t="inlineStr">
        <is>
          <t>10:57:34</t>
        </is>
      </c>
      <c r="D372" s="17" t="n">
        <v>1090</v>
      </c>
      <c r="E372" s="17" t="n">
        <v>111</v>
      </c>
      <c r="F372" s="17" t="n">
        <v>213</v>
      </c>
      <c r="G372" s="17" t="inlineStr">
        <is>
          <t>Bangalore</t>
        </is>
      </c>
      <c r="H372" s="17" t="inlineStr">
        <is>
          <t>South Indian</t>
        </is>
      </c>
      <c r="I372" s="22" t="n">
        <v>703</v>
      </c>
      <c r="J372" s="22" t="n">
        <v>8.359999999999999</v>
      </c>
      <c r="K372" s="22" t="n">
        <v>34</v>
      </c>
      <c r="L372" s="23" t="n">
        <v>0.15</v>
      </c>
      <c r="M372" s="22" t="n">
        <v>113.95</v>
      </c>
      <c r="N372" s="24" t="n">
        <v>4.8</v>
      </c>
      <c r="O372" s="24" t="n">
        <v>30.4</v>
      </c>
      <c r="P372" s="17" t="inlineStr">
        <is>
          <t>Digital Wallet</t>
        </is>
      </c>
      <c r="Q372" s="17" t="inlineStr">
        <is>
          <t>Delivered</t>
        </is>
      </c>
      <c r="R372" s="17" t="n">
        <v>4</v>
      </c>
      <c r="S372" s="17">
        <f>TEXT(B372,"yyyy-mm")</f>
        <v/>
      </c>
      <c r="T372" s="17">
        <f>VLOOKUP(D372,Customers!A:D,4,FALSE)</f>
        <v/>
      </c>
      <c r="U372" s="17">
        <f>CONCATENATE(A372,"-",G372)</f>
        <v/>
      </c>
      <c r="V372" s="17">
        <f>IF(N372="","",IF(N372&lt;=30,"Fast (&lt;30m)",IF(N372&lt;=45,"Moderate (30-45m)","Delayed (&gt;45m)")))</f>
        <v/>
      </c>
      <c r="W372" s="17">
        <f>IF(AND(I372&gt;600,P372="Delivered"),"High Value Delivered","Standard")</f>
        <v/>
      </c>
      <c r="X372" s="17">
        <f>IF(OR(N372&gt;50,Q372&lt;=2),"High Risk / Delayed","Normal")</f>
        <v/>
      </c>
      <c r="Y372" s="17">
        <f>IF(NOT(P372="Cancelled"),"Fulfilled","Cancelled")</f>
        <v/>
      </c>
      <c r="Z372" s="17">
        <f>IFERROR(Q372,0)</f>
        <v/>
      </c>
    </row>
    <row r="373">
      <c r="A373" s="25" t="inlineStr">
        <is>
          <t>ORD1372</t>
        </is>
      </c>
      <c r="B373" s="25" t="inlineStr">
        <is>
          <t>2025-09-14</t>
        </is>
      </c>
      <c r="C373" s="25" t="inlineStr">
        <is>
          <t>21:32:05</t>
        </is>
      </c>
      <c r="D373" s="25" t="n">
        <v>1190</v>
      </c>
      <c r="E373" s="25" t="n">
        <v>114</v>
      </c>
      <c r="F373" s="25" t="n">
        <v>225</v>
      </c>
      <c r="G373" s="25" t="inlineStr">
        <is>
          <t>Hyderabad</t>
        </is>
      </c>
      <c r="H373" s="25" t="inlineStr">
        <is>
          <t>Biryani</t>
        </is>
      </c>
      <c r="I373" s="26" t="n">
        <v>626</v>
      </c>
      <c r="J373" s="26" t="n">
        <v>0</v>
      </c>
      <c r="K373" s="26" t="n">
        <v>38</v>
      </c>
      <c r="L373" s="27" t="n">
        <v>0.22</v>
      </c>
      <c r="M373" s="26" t="n">
        <v>147.22</v>
      </c>
      <c r="N373" s="28" t="n">
        <v>5.6</v>
      </c>
      <c r="O373" s="28" t="n">
        <v>42.8</v>
      </c>
      <c r="P373" s="25" t="inlineStr">
        <is>
          <t>Credit Card</t>
        </is>
      </c>
      <c r="Q373" s="25" t="inlineStr">
        <is>
          <t>Delivered</t>
        </is>
      </c>
      <c r="R373" s="25" t="n">
        <v>3</v>
      </c>
      <c r="S373" s="25">
        <f>TEXT(B373,"yyyy-mm")</f>
        <v/>
      </c>
      <c r="T373" s="25">
        <f>VLOOKUP(D373,Customers!A:D,4,FALSE)</f>
        <v/>
      </c>
      <c r="U373" s="25">
        <f>CONCATENATE(A373,"-",G373)</f>
        <v/>
      </c>
      <c r="V373" s="25">
        <f>IF(N373="","",IF(N373&lt;=30,"Fast (&lt;30m)",IF(N373&lt;=45,"Moderate (30-45m)","Delayed (&gt;45m)")))</f>
        <v/>
      </c>
      <c r="W373" s="25">
        <f>IF(AND(I373&gt;600,P373="Delivered"),"High Value Delivered","Standard")</f>
        <v/>
      </c>
      <c r="X373" s="25">
        <f>IF(OR(N373&gt;50,Q373&lt;=2),"High Risk / Delayed","Normal")</f>
        <v/>
      </c>
      <c r="Y373" s="25">
        <f>IF(NOT(P373="Cancelled"),"Fulfilled","Cancelled")</f>
        <v/>
      </c>
      <c r="Z373" s="25">
        <f>IFERROR(Q373,0)</f>
        <v/>
      </c>
    </row>
    <row r="374">
      <c r="A374" s="17" t="inlineStr">
        <is>
          <t>ORD1373</t>
        </is>
      </c>
      <c r="B374" s="17" t="inlineStr">
        <is>
          <t>2025-03-23</t>
        </is>
      </c>
      <c r="C374" s="17" t="inlineStr">
        <is>
          <t>10:11:36</t>
        </is>
      </c>
      <c r="D374" s="17" t="n">
        <v>1206</v>
      </c>
      <c r="E374" s="17" t="n">
        <v>113</v>
      </c>
      <c r="F374" s="17" t="n">
        <v>229</v>
      </c>
      <c r="G374" s="17" t="inlineStr">
        <is>
          <t>Mumbai</t>
        </is>
      </c>
      <c r="H374" s="17" t="inlineStr">
        <is>
          <t>Fast Food</t>
        </is>
      </c>
      <c r="I374" s="22" t="n">
        <v>799</v>
      </c>
      <c r="J374" s="22" t="n">
        <v>61.86</v>
      </c>
      <c r="K374" s="22" t="n">
        <v>26.5</v>
      </c>
      <c r="L374" s="23" t="n">
        <v>0.18</v>
      </c>
      <c r="M374" s="22" t="n">
        <v>150.44</v>
      </c>
      <c r="N374" s="24" t="n">
        <v>3.3</v>
      </c>
      <c r="O374" s="24" t="n">
        <v>29.3</v>
      </c>
      <c r="P374" s="17" t="inlineStr">
        <is>
          <t>Cash on Delivery</t>
        </is>
      </c>
      <c r="Q374" s="17" t="inlineStr">
        <is>
          <t>Delivered</t>
        </is>
      </c>
      <c r="R374" s="17" t="n">
        <v>5</v>
      </c>
      <c r="S374" s="17">
        <f>TEXT(B374,"yyyy-mm")</f>
        <v/>
      </c>
      <c r="T374" s="17">
        <f>VLOOKUP(D374,Customers!A:D,4,FALSE)</f>
        <v/>
      </c>
      <c r="U374" s="17">
        <f>CONCATENATE(A374,"-",G374)</f>
        <v/>
      </c>
      <c r="V374" s="17">
        <f>IF(N374="","",IF(N374&lt;=30,"Fast (&lt;30m)",IF(N374&lt;=45,"Moderate (30-45m)","Delayed (&gt;45m)")))</f>
        <v/>
      </c>
      <c r="W374" s="17">
        <f>IF(AND(I374&gt;600,P374="Delivered"),"High Value Delivered","Standard")</f>
        <v/>
      </c>
      <c r="X374" s="17">
        <f>IF(OR(N374&gt;50,Q374&lt;=2),"High Risk / Delayed","Normal")</f>
        <v/>
      </c>
      <c r="Y374" s="17">
        <f>IF(NOT(P374="Cancelled"),"Fulfilled","Cancelled")</f>
        <v/>
      </c>
      <c r="Z374" s="17">
        <f>IFERROR(Q374,0)</f>
        <v/>
      </c>
    </row>
    <row r="375">
      <c r="A375" s="25" t="inlineStr">
        <is>
          <t>ORD1374</t>
        </is>
      </c>
      <c r="B375" s="25" t="inlineStr">
        <is>
          <t>2025-09-07</t>
        </is>
      </c>
      <c r="C375" s="25" t="inlineStr">
        <is>
          <t>14:14:04</t>
        </is>
      </c>
      <c r="D375" s="25" t="n">
        <v>1284</v>
      </c>
      <c r="E375" s="25" t="n">
        <v>102</v>
      </c>
      <c r="F375" s="25" t="n">
        <v>216</v>
      </c>
      <c r="G375" s="25" t="inlineStr">
        <is>
          <t>Hyderabad</t>
        </is>
      </c>
      <c r="H375" s="25" t="inlineStr">
        <is>
          <t>Biryani</t>
        </is>
      </c>
      <c r="I375" s="26" t="n">
        <v>490</v>
      </c>
      <c r="J375" s="26" t="n">
        <v>0</v>
      </c>
      <c r="K375" s="26" t="n">
        <v>39</v>
      </c>
      <c r="L375" s="27" t="n">
        <v>0.22</v>
      </c>
      <c r="M375" s="26" t="n">
        <v>117.55</v>
      </c>
      <c r="N375" s="28" t="n">
        <v>5.8</v>
      </c>
      <c r="O375" s="28" t="n">
        <v>35.3</v>
      </c>
      <c r="P375" s="25" t="inlineStr">
        <is>
          <t>Credit Card</t>
        </is>
      </c>
      <c r="Q375" s="25" t="inlineStr">
        <is>
          <t>Delivered</t>
        </is>
      </c>
      <c r="R375" s="25" t="n">
        <v>1</v>
      </c>
      <c r="S375" s="25">
        <f>TEXT(B375,"yyyy-mm")</f>
        <v/>
      </c>
      <c r="T375" s="25">
        <f>VLOOKUP(D375,Customers!A:D,4,FALSE)</f>
        <v/>
      </c>
      <c r="U375" s="25">
        <f>CONCATENATE(A375,"-",G375)</f>
        <v/>
      </c>
      <c r="V375" s="25">
        <f>IF(N375="","",IF(N375&lt;=30,"Fast (&lt;30m)",IF(N375&lt;=45,"Moderate (30-45m)","Delayed (&gt;45m)")))</f>
        <v/>
      </c>
      <c r="W375" s="25">
        <f>IF(AND(I375&gt;600,P375="Delivered"),"High Value Delivered","Standard")</f>
        <v/>
      </c>
      <c r="X375" s="25">
        <f>IF(OR(N375&gt;50,Q375&lt;=2),"High Risk / Delayed","Normal")</f>
        <v/>
      </c>
      <c r="Y375" s="25">
        <f>IF(NOT(P375="Cancelled"),"Fulfilled","Cancelled")</f>
        <v/>
      </c>
      <c r="Z375" s="25">
        <f>IFERROR(Q375,0)</f>
        <v/>
      </c>
    </row>
    <row r="376">
      <c r="A376" s="17" t="inlineStr">
        <is>
          <t>ORD1375</t>
        </is>
      </c>
      <c r="B376" s="17" t="inlineStr">
        <is>
          <t>2025-08-21</t>
        </is>
      </c>
      <c r="C376" s="17" t="inlineStr">
        <is>
          <t>21:56:02</t>
        </is>
      </c>
      <c r="D376" s="17" t="n">
        <v>1034</v>
      </c>
      <c r="E376" s="17" t="n">
        <v>107</v>
      </c>
      <c r="F376" s="17" t="n">
        <v>206</v>
      </c>
      <c r="G376" s="17" t="inlineStr">
        <is>
          <t>Mumbai</t>
        </is>
      </c>
      <c r="H376" s="17" t="inlineStr">
        <is>
          <t>Desserts</t>
        </is>
      </c>
      <c r="I376" s="22" t="n">
        <v>526</v>
      </c>
      <c r="J376" s="22" t="n">
        <v>69.65000000000001</v>
      </c>
      <c r="K376" s="22" t="n">
        <v>0</v>
      </c>
      <c r="L376" s="23" t="n">
        <v>0.25</v>
      </c>
      <c r="M376" s="22" t="n">
        <v>131.5</v>
      </c>
      <c r="N376" s="24" t="n">
        <v>2.9</v>
      </c>
      <c r="O376" s="24" t="n">
        <v>37.3</v>
      </c>
      <c r="P376" s="17" t="inlineStr">
        <is>
          <t>Digital Wallet</t>
        </is>
      </c>
      <c r="Q376" s="17" t="inlineStr">
        <is>
          <t>Delivered</t>
        </is>
      </c>
      <c r="R376" s="17" t="n">
        <v>4</v>
      </c>
      <c r="S376" s="17">
        <f>TEXT(B376,"yyyy-mm")</f>
        <v/>
      </c>
      <c r="T376" s="17">
        <f>VLOOKUP(D376,Customers!A:D,4,FALSE)</f>
        <v/>
      </c>
      <c r="U376" s="17">
        <f>CONCATENATE(A376,"-",G376)</f>
        <v/>
      </c>
      <c r="V376" s="17">
        <f>IF(N376="","",IF(N376&lt;=30,"Fast (&lt;30m)",IF(N376&lt;=45,"Moderate (30-45m)","Delayed (&gt;45m)")))</f>
        <v/>
      </c>
      <c r="W376" s="17">
        <f>IF(AND(I376&gt;600,P376="Delivered"),"High Value Delivered","Standard")</f>
        <v/>
      </c>
      <c r="X376" s="17">
        <f>IF(OR(N376&gt;50,Q376&lt;=2),"High Risk / Delayed","Normal")</f>
        <v/>
      </c>
      <c r="Y376" s="17">
        <f>IF(NOT(P376="Cancelled"),"Fulfilled","Cancelled")</f>
        <v/>
      </c>
      <c r="Z376" s="17">
        <f>IFERROR(Q376,0)</f>
        <v/>
      </c>
    </row>
    <row r="377">
      <c r="A377" s="25" t="inlineStr">
        <is>
          <t>ORD1376</t>
        </is>
      </c>
      <c r="B377" s="25" t="inlineStr">
        <is>
          <t>2025-07-12</t>
        </is>
      </c>
      <c r="C377" s="25" t="inlineStr">
        <is>
          <t>16:41:24</t>
        </is>
      </c>
      <c r="D377" s="25" t="n">
        <v>1084</v>
      </c>
      <c r="E377" s="25" t="n">
        <v>108</v>
      </c>
      <c r="F377" s="25" t="n">
        <v>219</v>
      </c>
      <c r="G377" s="25" t="inlineStr">
        <is>
          <t>Delhi NCR</t>
        </is>
      </c>
      <c r="H377" s="25" t="inlineStr">
        <is>
          <t>Fast Food</t>
        </is>
      </c>
      <c r="I377" s="26" t="n">
        <v>594</v>
      </c>
      <c r="J377" s="26" t="n">
        <v>42.68</v>
      </c>
      <c r="K377" s="26" t="n">
        <v>33</v>
      </c>
      <c r="L377" s="27" t="n">
        <v>0.18</v>
      </c>
      <c r="M377" s="26" t="n">
        <v>115.17</v>
      </c>
      <c r="N377" s="28" t="n">
        <v>4.6</v>
      </c>
      <c r="O377" s="28" t="n">
        <v>25.9</v>
      </c>
      <c r="P377" s="25" t="inlineStr">
        <is>
          <t>Debit Card</t>
        </is>
      </c>
      <c r="Q377" s="25" t="inlineStr">
        <is>
          <t>Delivered</t>
        </is>
      </c>
      <c r="R377" s="25" t="n">
        <v>4</v>
      </c>
      <c r="S377" s="25">
        <f>TEXT(B377,"yyyy-mm")</f>
        <v/>
      </c>
      <c r="T377" s="25">
        <f>VLOOKUP(D377,Customers!A:D,4,FALSE)</f>
        <v/>
      </c>
      <c r="U377" s="25">
        <f>CONCATENATE(A377,"-",G377)</f>
        <v/>
      </c>
      <c r="V377" s="25">
        <f>IF(N377="","",IF(N377&lt;=30,"Fast (&lt;30m)",IF(N377&lt;=45,"Moderate (30-45m)","Delayed (&gt;45m)")))</f>
        <v/>
      </c>
      <c r="W377" s="25">
        <f>IF(AND(I377&gt;600,P377="Delivered"),"High Value Delivered","Standard")</f>
        <v/>
      </c>
      <c r="X377" s="25">
        <f>IF(OR(N377&gt;50,Q377&lt;=2),"High Risk / Delayed","Normal")</f>
        <v/>
      </c>
      <c r="Y377" s="25">
        <f>IF(NOT(P377="Cancelled"),"Fulfilled","Cancelled")</f>
        <v/>
      </c>
      <c r="Z377" s="25">
        <f>IFERROR(Q377,0)</f>
        <v/>
      </c>
    </row>
    <row r="378">
      <c r="A378" s="17" t="inlineStr">
        <is>
          <t>ORD1377</t>
        </is>
      </c>
      <c r="B378" s="17" t="inlineStr">
        <is>
          <t>2025-06-30</t>
        </is>
      </c>
      <c r="C378" s="17" t="inlineStr">
        <is>
          <t>20:52:55</t>
        </is>
      </c>
      <c r="D378" s="17" t="n">
        <v>1080</v>
      </c>
      <c r="E378" s="17" t="n">
        <v>120</v>
      </c>
      <c r="F378" s="17" t="n">
        <v>217</v>
      </c>
      <c r="G378" s="17" t="inlineStr">
        <is>
          <t>Pune</t>
        </is>
      </c>
      <c r="H378" s="17" t="inlineStr">
        <is>
          <t>Fast Food</t>
        </is>
      </c>
      <c r="I378" s="22" t="n">
        <v>573</v>
      </c>
      <c r="J378" s="22" t="n">
        <v>0</v>
      </c>
      <c r="K378" s="22" t="n">
        <v>35.5</v>
      </c>
      <c r="L378" s="23" t="n">
        <v>0.18</v>
      </c>
      <c r="M378" s="22" t="n">
        <v>112.02</v>
      </c>
      <c r="N378" s="24" t="n">
        <v>5.1</v>
      </c>
      <c r="O378" s="24" t="n">
        <v/>
      </c>
      <c r="P378" s="17" t="inlineStr">
        <is>
          <t>Digital Wallet</t>
        </is>
      </c>
      <c r="Q378" s="17" t="inlineStr">
        <is>
          <t>Cancelled</t>
        </is>
      </c>
      <c r="R378" s="17" t="n">
        <v/>
      </c>
      <c r="S378" s="17">
        <f>TEXT(B378,"yyyy-mm")</f>
        <v/>
      </c>
      <c r="T378" s="17">
        <f>VLOOKUP(D378,Customers!A:D,4,FALSE)</f>
        <v/>
      </c>
      <c r="U378" s="17">
        <f>CONCATENATE(A378,"-",G378)</f>
        <v/>
      </c>
      <c r="V378" s="17">
        <f>IF(N378="","",IF(N378&lt;=30,"Fast (&lt;30m)",IF(N378&lt;=45,"Moderate (30-45m)","Delayed (&gt;45m)")))</f>
        <v/>
      </c>
      <c r="W378" s="17">
        <f>IF(AND(I378&gt;600,P378="Delivered"),"High Value Delivered","Standard")</f>
        <v/>
      </c>
      <c r="X378" s="17">
        <f>IF(OR(N378&gt;50,Q378&lt;=2),"High Risk / Delayed","Normal")</f>
        <v/>
      </c>
      <c r="Y378" s="17">
        <f>IF(NOT(P378="Cancelled"),"Fulfilled","Cancelled")</f>
        <v/>
      </c>
      <c r="Z378" s="17">
        <f>IFERROR(Q378,0)</f>
        <v/>
      </c>
    </row>
    <row r="379">
      <c r="A379" s="25" t="inlineStr">
        <is>
          <t>ORD1378</t>
        </is>
      </c>
      <c r="B379" s="25" t="inlineStr">
        <is>
          <t>2025-08-14</t>
        </is>
      </c>
      <c r="C379" s="25" t="inlineStr">
        <is>
          <t>08:10:14</t>
        </is>
      </c>
      <c r="D379" s="25" t="n">
        <v>1142</v>
      </c>
      <c r="E379" s="25" t="n">
        <v>114</v>
      </c>
      <c r="F379" s="25" t="n">
        <v>225</v>
      </c>
      <c r="G379" s="25" t="inlineStr">
        <is>
          <t>Hyderabad</t>
        </is>
      </c>
      <c r="H379" s="25" t="inlineStr">
        <is>
          <t>Biryani</t>
        </is>
      </c>
      <c r="I379" s="26" t="n">
        <v>298</v>
      </c>
      <c r="J379" s="26" t="n">
        <v>6.69</v>
      </c>
      <c r="K379" s="26" t="n">
        <v>28.5</v>
      </c>
      <c r="L379" s="27" t="n">
        <v>0.22</v>
      </c>
      <c r="M379" s="26" t="n">
        <v>72.68000000000001</v>
      </c>
      <c r="N379" s="28" t="n">
        <v>3.7</v>
      </c>
      <c r="O379" s="28" t="n">
        <v>25</v>
      </c>
      <c r="P379" s="25" t="inlineStr">
        <is>
          <t>Credit Card</t>
        </is>
      </c>
      <c r="Q379" s="25" t="inlineStr">
        <is>
          <t>Delivered</t>
        </is>
      </c>
      <c r="R379" s="25" t="n">
        <v>4</v>
      </c>
      <c r="S379" s="25">
        <f>TEXT(B379,"yyyy-mm")</f>
        <v/>
      </c>
      <c r="T379" s="25">
        <f>VLOOKUP(D379,Customers!A:D,4,FALSE)</f>
        <v/>
      </c>
      <c r="U379" s="25">
        <f>CONCATENATE(A379,"-",G379)</f>
        <v/>
      </c>
      <c r="V379" s="25">
        <f>IF(N379="","",IF(N379&lt;=30,"Fast (&lt;30m)",IF(N379&lt;=45,"Moderate (30-45m)","Delayed (&gt;45m)")))</f>
        <v/>
      </c>
      <c r="W379" s="25">
        <f>IF(AND(I379&gt;600,P379="Delivered"),"High Value Delivered","Standard")</f>
        <v/>
      </c>
      <c r="X379" s="25">
        <f>IF(OR(N379&gt;50,Q379&lt;=2),"High Risk / Delayed","Normal")</f>
        <v/>
      </c>
      <c r="Y379" s="25">
        <f>IF(NOT(P379="Cancelled"),"Fulfilled","Cancelled")</f>
        <v/>
      </c>
      <c r="Z379" s="25">
        <f>IFERROR(Q379,0)</f>
        <v/>
      </c>
    </row>
    <row r="380">
      <c r="A380" s="17" t="inlineStr">
        <is>
          <t>ORD1379</t>
        </is>
      </c>
      <c r="B380" s="17" t="inlineStr">
        <is>
          <t>2025-08-01</t>
        </is>
      </c>
      <c r="C380" s="17" t="inlineStr">
        <is>
          <t>10:51:21</t>
        </is>
      </c>
      <c r="D380" s="17" t="n">
        <v>1112</v>
      </c>
      <c r="E380" s="17" t="n">
        <v>103</v>
      </c>
      <c r="F380" s="17" t="n">
        <v>229</v>
      </c>
      <c r="G380" s="17" t="inlineStr">
        <is>
          <t>Mumbai</t>
        </is>
      </c>
      <c r="H380" s="17" t="inlineStr">
        <is>
          <t>Italian</t>
        </is>
      </c>
      <c r="I380" s="22" t="n">
        <v>336</v>
      </c>
      <c r="J380" s="22" t="n">
        <v>0</v>
      </c>
      <c r="K380" s="22" t="n">
        <v>26</v>
      </c>
      <c r="L380" s="23" t="n">
        <v>0.18</v>
      </c>
      <c r="M380" s="22" t="n">
        <v>66.98</v>
      </c>
      <c r="N380" s="24" t="n">
        <v>3.2</v>
      </c>
      <c r="O380" s="24" t="n">
        <v>26.4</v>
      </c>
      <c r="P380" s="17" t="inlineStr">
        <is>
          <t>Credit Card</t>
        </is>
      </c>
      <c r="Q380" s="17" t="inlineStr">
        <is>
          <t>Delivered</t>
        </is>
      </c>
      <c r="R380" s="17" t="n">
        <v>4</v>
      </c>
      <c r="S380" s="17">
        <f>TEXT(B380,"yyyy-mm")</f>
        <v/>
      </c>
      <c r="T380" s="17">
        <f>VLOOKUP(D380,Customers!A:D,4,FALSE)</f>
        <v/>
      </c>
      <c r="U380" s="17">
        <f>CONCATENATE(A380,"-",G380)</f>
        <v/>
      </c>
      <c r="V380" s="17">
        <f>IF(N380="","",IF(N380&lt;=30,"Fast (&lt;30m)",IF(N380&lt;=45,"Moderate (30-45m)","Delayed (&gt;45m)")))</f>
        <v/>
      </c>
      <c r="W380" s="17">
        <f>IF(AND(I380&gt;600,P380="Delivered"),"High Value Delivered","Standard")</f>
        <v/>
      </c>
      <c r="X380" s="17">
        <f>IF(OR(N380&gt;50,Q380&lt;=2),"High Risk / Delayed","Normal")</f>
        <v/>
      </c>
      <c r="Y380" s="17">
        <f>IF(NOT(P380="Cancelled"),"Fulfilled","Cancelled")</f>
        <v/>
      </c>
      <c r="Z380" s="17">
        <f>IFERROR(Q380,0)</f>
        <v/>
      </c>
    </row>
    <row r="381">
      <c r="A381" s="25" t="inlineStr">
        <is>
          <t>ORD1380</t>
        </is>
      </c>
      <c r="B381" s="25" t="inlineStr">
        <is>
          <t>2025-05-05</t>
        </is>
      </c>
      <c r="C381" s="25" t="inlineStr">
        <is>
          <t>18:02:08</t>
        </is>
      </c>
      <c r="D381" s="25" t="n">
        <v>1073</v>
      </c>
      <c r="E381" s="25" t="n">
        <v>111</v>
      </c>
      <c r="F381" s="25" t="n">
        <v>205</v>
      </c>
      <c r="G381" s="25" t="inlineStr">
        <is>
          <t>Bangalore</t>
        </is>
      </c>
      <c r="H381" s="25" t="inlineStr">
        <is>
          <t>South Indian</t>
        </is>
      </c>
      <c r="I381" s="26" t="n">
        <v>807</v>
      </c>
      <c r="J381" s="26" t="n">
        <v>8.699999999999999</v>
      </c>
      <c r="K381" s="26" t="n">
        <v>30</v>
      </c>
      <c r="L381" s="27" t="n">
        <v>0.15</v>
      </c>
      <c r="M381" s="26" t="n">
        <v>128.55</v>
      </c>
      <c r="N381" s="28" t="n">
        <v>4</v>
      </c>
      <c r="O381" s="28" t="n">
        <v>31.1</v>
      </c>
      <c r="P381" s="25" t="inlineStr">
        <is>
          <t>Digital Wallet</t>
        </is>
      </c>
      <c r="Q381" s="25" t="inlineStr">
        <is>
          <t>Delivered</t>
        </is>
      </c>
      <c r="R381" s="25" t="n">
        <v>3</v>
      </c>
      <c r="S381" s="25">
        <f>TEXT(B381,"yyyy-mm")</f>
        <v/>
      </c>
      <c r="T381" s="25">
        <f>VLOOKUP(D381,Customers!A:D,4,FALSE)</f>
        <v/>
      </c>
      <c r="U381" s="25">
        <f>CONCATENATE(A381,"-",G381)</f>
        <v/>
      </c>
      <c r="V381" s="25">
        <f>IF(N381="","",IF(N381&lt;=30,"Fast (&lt;30m)",IF(N381&lt;=45,"Moderate (30-45m)","Delayed (&gt;45m)")))</f>
        <v/>
      </c>
      <c r="W381" s="25">
        <f>IF(AND(I381&gt;600,P381="Delivered"),"High Value Delivered","Standard")</f>
        <v/>
      </c>
      <c r="X381" s="25">
        <f>IF(OR(N381&gt;50,Q381&lt;=2),"High Risk / Delayed","Normal")</f>
        <v/>
      </c>
      <c r="Y381" s="25">
        <f>IF(NOT(P381="Cancelled"),"Fulfilled","Cancelled")</f>
        <v/>
      </c>
      <c r="Z381" s="25">
        <f>IFERROR(Q381,0)</f>
        <v/>
      </c>
    </row>
    <row r="382">
      <c r="A382" s="17" t="inlineStr">
        <is>
          <t>ORD1381</t>
        </is>
      </c>
      <c r="B382" s="17" t="inlineStr">
        <is>
          <t>2025-03-27</t>
        </is>
      </c>
      <c r="C382" s="17" t="inlineStr">
        <is>
          <t>07:16:59</t>
        </is>
      </c>
      <c r="D382" s="17" t="n">
        <v>1266</v>
      </c>
      <c r="E382" s="17" t="n">
        <v>107</v>
      </c>
      <c r="F382" s="17" t="n">
        <v>229</v>
      </c>
      <c r="G382" s="17" t="inlineStr">
        <is>
          <t>Mumbai</t>
        </is>
      </c>
      <c r="H382" s="17" t="inlineStr">
        <is>
          <t>Desserts</t>
        </is>
      </c>
      <c r="I382" s="22" t="n">
        <v>404</v>
      </c>
      <c r="J382" s="22" t="n">
        <v>34.81</v>
      </c>
      <c r="K382" s="22" t="n">
        <v>31</v>
      </c>
      <c r="L382" s="23" t="n">
        <v>0.25</v>
      </c>
      <c r="M382" s="22" t="n">
        <v>108.75</v>
      </c>
      <c r="N382" s="24" t="n">
        <v>4.2</v>
      </c>
      <c r="O382" s="24" t="n">
        <v>34.1</v>
      </c>
      <c r="P382" s="17" t="inlineStr">
        <is>
          <t>Digital Wallet</t>
        </is>
      </c>
      <c r="Q382" s="17" t="inlineStr">
        <is>
          <t>Delivered</t>
        </is>
      </c>
      <c r="R382" s="17" t="n">
        <v>4</v>
      </c>
      <c r="S382" s="17">
        <f>TEXT(B382,"yyyy-mm")</f>
        <v/>
      </c>
      <c r="T382" s="17">
        <f>VLOOKUP(D382,Customers!A:D,4,FALSE)</f>
        <v/>
      </c>
      <c r="U382" s="17">
        <f>CONCATENATE(A382,"-",G382)</f>
        <v/>
      </c>
      <c r="V382" s="17">
        <f>IF(N382="","",IF(N382&lt;=30,"Fast (&lt;30m)",IF(N382&lt;=45,"Moderate (30-45m)","Delayed (&gt;45m)")))</f>
        <v/>
      </c>
      <c r="W382" s="17">
        <f>IF(AND(I382&gt;600,P382="Delivered"),"High Value Delivered","Standard")</f>
        <v/>
      </c>
      <c r="X382" s="17">
        <f>IF(OR(N382&gt;50,Q382&lt;=2),"High Risk / Delayed","Normal")</f>
        <v/>
      </c>
      <c r="Y382" s="17">
        <f>IF(NOT(P382="Cancelled"),"Fulfilled","Cancelled")</f>
        <v/>
      </c>
      <c r="Z382" s="17">
        <f>IFERROR(Q382,0)</f>
        <v/>
      </c>
    </row>
    <row r="383">
      <c r="A383" s="25" t="inlineStr">
        <is>
          <t>ORD1382</t>
        </is>
      </c>
      <c r="B383" s="25" t="inlineStr">
        <is>
          <t>2025-04-21</t>
        </is>
      </c>
      <c r="C383" s="25" t="inlineStr">
        <is>
          <t>21:28:38</t>
        </is>
      </c>
      <c r="D383" s="25" t="n">
        <v>1130</v>
      </c>
      <c r="E383" s="25" t="n">
        <v>102</v>
      </c>
      <c r="F383" s="25" t="n">
        <v>216</v>
      </c>
      <c r="G383" s="25" t="inlineStr">
        <is>
          <t>Hyderabad</t>
        </is>
      </c>
      <c r="H383" s="25" t="inlineStr">
        <is>
          <t>Biryani</t>
        </is>
      </c>
      <c r="I383" s="26" t="n">
        <v>702</v>
      </c>
      <c r="J383" s="26" t="n">
        <v>9.58</v>
      </c>
      <c r="K383" s="26" t="n">
        <v>29.5</v>
      </c>
      <c r="L383" s="27" t="n">
        <v>0.22</v>
      </c>
      <c r="M383" s="26" t="n">
        <v>161.82</v>
      </c>
      <c r="N383" s="28" t="n">
        <v>3.9</v>
      </c>
      <c r="O383" s="28" t="n">
        <v>40.8</v>
      </c>
      <c r="P383" s="25" t="inlineStr">
        <is>
          <t>Digital Wallet</t>
        </is>
      </c>
      <c r="Q383" s="25" t="inlineStr">
        <is>
          <t>Delivered</t>
        </is>
      </c>
      <c r="R383" s="25" t="n">
        <v>4</v>
      </c>
      <c r="S383" s="25">
        <f>TEXT(B383,"yyyy-mm")</f>
        <v/>
      </c>
      <c r="T383" s="25">
        <f>VLOOKUP(D383,Customers!A:D,4,FALSE)</f>
        <v/>
      </c>
      <c r="U383" s="25">
        <f>CONCATENATE(A383,"-",G383)</f>
        <v/>
      </c>
      <c r="V383" s="25">
        <f>IF(N383="","",IF(N383&lt;=30,"Fast (&lt;30m)",IF(N383&lt;=45,"Moderate (30-45m)","Delayed (&gt;45m)")))</f>
        <v/>
      </c>
      <c r="W383" s="25">
        <f>IF(AND(I383&gt;600,P383="Delivered"),"High Value Delivered","Standard")</f>
        <v/>
      </c>
      <c r="X383" s="25">
        <f>IF(OR(N383&gt;50,Q383&lt;=2),"High Risk / Delayed","Normal")</f>
        <v/>
      </c>
      <c r="Y383" s="25">
        <f>IF(NOT(P383="Cancelled"),"Fulfilled","Cancelled")</f>
        <v/>
      </c>
      <c r="Z383" s="25">
        <f>IFERROR(Q383,0)</f>
        <v/>
      </c>
    </row>
    <row r="384">
      <c r="A384" s="17" t="inlineStr">
        <is>
          <t>ORD1383</t>
        </is>
      </c>
      <c r="B384" s="17" t="inlineStr">
        <is>
          <t>2025-11-16</t>
        </is>
      </c>
      <c r="C384" s="17" t="inlineStr">
        <is>
          <t>11:42:32</t>
        </is>
      </c>
      <c r="D384" s="17" t="n">
        <v>1295</v>
      </c>
      <c r="E384" s="17" t="n">
        <v>108</v>
      </c>
      <c r="F384" s="17" t="n">
        <v>219</v>
      </c>
      <c r="G384" s="17" t="inlineStr">
        <is>
          <t>Delhi NCR</t>
        </is>
      </c>
      <c r="H384" s="17" t="inlineStr">
        <is>
          <t>Fast Food</t>
        </is>
      </c>
      <c r="I384" s="22" t="n">
        <v>490</v>
      </c>
      <c r="J384" s="22" t="n">
        <v>0</v>
      </c>
      <c r="K384" s="22" t="n">
        <v>25</v>
      </c>
      <c r="L384" s="23" t="n">
        <v>0.18</v>
      </c>
      <c r="M384" s="22" t="n">
        <v>94.45</v>
      </c>
      <c r="N384" s="24" t="n">
        <v>3</v>
      </c>
      <c r="O384" s="24" t="n">
        <v>32.8</v>
      </c>
      <c r="P384" s="17" t="inlineStr">
        <is>
          <t>Cash on Delivery</t>
        </is>
      </c>
      <c r="Q384" s="17" t="inlineStr">
        <is>
          <t>Delivered</t>
        </is>
      </c>
      <c r="R384" s="17" t="n">
        <v>2</v>
      </c>
      <c r="S384" s="17">
        <f>TEXT(B384,"yyyy-mm")</f>
        <v/>
      </c>
      <c r="T384" s="17">
        <f>VLOOKUP(D384,Customers!A:D,4,FALSE)</f>
        <v/>
      </c>
      <c r="U384" s="17">
        <f>CONCATENATE(A384,"-",G384)</f>
        <v/>
      </c>
      <c r="V384" s="17">
        <f>IF(N384="","",IF(N384&lt;=30,"Fast (&lt;30m)",IF(N384&lt;=45,"Moderate (30-45m)","Delayed (&gt;45m)")))</f>
        <v/>
      </c>
      <c r="W384" s="17">
        <f>IF(AND(I384&gt;600,P384="Delivered"),"High Value Delivered","Standard")</f>
        <v/>
      </c>
      <c r="X384" s="17">
        <f>IF(OR(N384&gt;50,Q384&lt;=2),"High Risk / Delayed","Normal")</f>
        <v/>
      </c>
      <c r="Y384" s="17">
        <f>IF(NOT(P384="Cancelled"),"Fulfilled","Cancelled")</f>
        <v/>
      </c>
      <c r="Z384" s="17">
        <f>IFERROR(Q384,0)</f>
        <v/>
      </c>
    </row>
    <row r="385">
      <c r="A385" s="25" t="inlineStr">
        <is>
          <t>ORD1384</t>
        </is>
      </c>
      <c r="B385" s="25" t="inlineStr">
        <is>
          <t>2025-07-17</t>
        </is>
      </c>
      <c r="C385" s="25" t="inlineStr">
        <is>
          <t>13:08:06</t>
        </is>
      </c>
      <c r="D385" s="25" t="n">
        <v>1017</v>
      </c>
      <c r="E385" s="25" t="n">
        <v>113</v>
      </c>
      <c r="F385" s="25" t="n">
        <v>222</v>
      </c>
      <c r="G385" s="25" t="inlineStr">
        <is>
          <t>Mumbai</t>
        </is>
      </c>
      <c r="H385" s="25" t="inlineStr">
        <is>
          <t>Fast Food</t>
        </is>
      </c>
      <c r="I385" s="26" t="n">
        <v>236</v>
      </c>
      <c r="J385" s="26" t="n">
        <v>0</v>
      </c>
      <c r="K385" s="26" t="n">
        <v>31</v>
      </c>
      <c r="L385" s="27" t="n">
        <v>0.18</v>
      </c>
      <c r="M385" s="26" t="n">
        <v>50.23</v>
      </c>
      <c r="N385" s="28" t="n">
        <v>4.2</v>
      </c>
      <c r="O385" s="28" t="n">
        <v>37.9</v>
      </c>
      <c r="P385" s="25" t="inlineStr">
        <is>
          <t>Digital Wallet</t>
        </is>
      </c>
      <c r="Q385" s="25" t="inlineStr">
        <is>
          <t>Delivered</t>
        </is>
      </c>
      <c r="R385" s="25" t="n">
        <v>3</v>
      </c>
      <c r="S385" s="25">
        <f>TEXT(B385,"yyyy-mm")</f>
        <v/>
      </c>
      <c r="T385" s="25">
        <f>VLOOKUP(D385,Customers!A:D,4,FALSE)</f>
        <v/>
      </c>
      <c r="U385" s="25">
        <f>CONCATENATE(A385,"-",G385)</f>
        <v/>
      </c>
      <c r="V385" s="25">
        <f>IF(N385="","",IF(N385&lt;=30,"Fast (&lt;30m)",IF(N385&lt;=45,"Moderate (30-45m)","Delayed (&gt;45m)")))</f>
        <v/>
      </c>
      <c r="W385" s="25">
        <f>IF(AND(I385&gt;600,P385="Delivered"),"High Value Delivered","Standard")</f>
        <v/>
      </c>
      <c r="X385" s="25">
        <f>IF(OR(N385&gt;50,Q385&lt;=2),"High Risk / Delayed","Normal")</f>
        <v/>
      </c>
      <c r="Y385" s="25">
        <f>IF(NOT(P385="Cancelled"),"Fulfilled","Cancelled")</f>
        <v/>
      </c>
      <c r="Z385" s="25">
        <f>IFERROR(Q385,0)</f>
        <v/>
      </c>
    </row>
    <row r="386">
      <c r="A386" s="17" t="inlineStr">
        <is>
          <t>ORD1385</t>
        </is>
      </c>
      <c r="B386" s="17" t="inlineStr">
        <is>
          <t>2025-04-01</t>
        </is>
      </c>
      <c r="C386" s="17" t="inlineStr">
        <is>
          <t>18:30:57</t>
        </is>
      </c>
      <c r="D386" s="17" t="n">
        <v>1092</v>
      </c>
      <c r="E386" s="17" t="n">
        <v>112</v>
      </c>
      <c r="F386" s="17" t="n">
        <v>230</v>
      </c>
      <c r="G386" s="17" t="inlineStr">
        <is>
          <t>Delhi NCR</t>
        </is>
      </c>
      <c r="H386" s="17" t="inlineStr">
        <is>
          <t>North Indian</t>
        </is>
      </c>
      <c r="I386" s="22" t="n">
        <v>849</v>
      </c>
      <c r="J386" s="22" t="n">
        <v>78.09999999999999</v>
      </c>
      <c r="K386" s="22" t="n">
        <v>25</v>
      </c>
      <c r="L386" s="23" t="n">
        <v>0.22</v>
      </c>
      <c r="M386" s="22" t="n">
        <v>193.03</v>
      </c>
      <c r="N386" s="24" t="n">
        <v>2.9</v>
      </c>
      <c r="O386" s="24" t="n">
        <v>34.2</v>
      </c>
      <c r="P386" s="17" t="inlineStr">
        <is>
          <t>Digital Wallet</t>
        </is>
      </c>
      <c r="Q386" s="17" t="inlineStr">
        <is>
          <t>Delivered</t>
        </is>
      </c>
      <c r="R386" s="17" t="n">
        <v>4</v>
      </c>
      <c r="S386" s="17">
        <f>TEXT(B386,"yyyy-mm")</f>
        <v/>
      </c>
      <c r="T386" s="17">
        <f>VLOOKUP(D386,Customers!A:D,4,FALSE)</f>
        <v/>
      </c>
      <c r="U386" s="17">
        <f>CONCATENATE(A386,"-",G386)</f>
        <v/>
      </c>
      <c r="V386" s="17">
        <f>IF(N386="","",IF(N386&lt;=30,"Fast (&lt;30m)",IF(N386&lt;=45,"Moderate (30-45m)","Delayed (&gt;45m)")))</f>
        <v/>
      </c>
      <c r="W386" s="17">
        <f>IF(AND(I386&gt;600,P386="Delivered"),"High Value Delivered","Standard")</f>
        <v/>
      </c>
      <c r="X386" s="17">
        <f>IF(OR(N386&gt;50,Q386&lt;=2),"High Risk / Delayed","Normal")</f>
        <v/>
      </c>
      <c r="Y386" s="17">
        <f>IF(NOT(P386="Cancelled"),"Fulfilled","Cancelled")</f>
        <v/>
      </c>
      <c r="Z386" s="17">
        <f>IFERROR(Q386,0)</f>
        <v/>
      </c>
    </row>
    <row r="387">
      <c r="A387" s="25" t="inlineStr">
        <is>
          <t>ORD1386</t>
        </is>
      </c>
      <c r="B387" s="25" t="inlineStr">
        <is>
          <t>2025-12-04</t>
        </is>
      </c>
      <c r="C387" s="25" t="inlineStr">
        <is>
          <t>13:08:57</t>
        </is>
      </c>
      <c r="D387" s="25" t="n">
        <v>1096</v>
      </c>
      <c r="E387" s="25" t="n">
        <v>109</v>
      </c>
      <c r="F387" s="25" t="n">
        <v>216</v>
      </c>
      <c r="G387" s="25" t="inlineStr">
        <is>
          <t>Hyderabad</t>
        </is>
      </c>
      <c r="H387" s="25" t="inlineStr">
        <is>
          <t>Biryani</t>
        </is>
      </c>
      <c r="I387" s="26" t="n">
        <v>837</v>
      </c>
      <c r="J387" s="26" t="n">
        <v>0.08</v>
      </c>
      <c r="K387" s="26" t="n">
        <v>25.5</v>
      </c>
      <c r="L387" s="27" t="n">
        <v>0.2</v>
      </c>
      <c r="M387" s="26" t="n">
        <v>173.78</v>
      </c>
      <c r="N387" s="28" t="n">
        <v>3.1</v>
      </c>
      <c r="O387" s="28" t="n">
        <v>33.9</v>
      </c>
      <c r="P387" s="25" t="inlineStr">
        <is>
          <t>Cash on Delivery</t>
        </is>
      </c>
      <c r="Q387" s="25" t="inlineStr">
        <is>
          <t>Delivered</t>
        </is>
      </c>
      <c r="R387" s="25" t="n">
        <v>4</v>
      </c>
      <c r="S387" s="25">
        <f>TEXT(B387,"yyyy-mm")</f>
        <v/>
      </c>
      <c r="T387" s="25">
        <f>VLOOKUP(D387,Customers!A:D,4,FALSE)</f>
        <v/>
      </c>
      <c r="U387" s="25">
        <f>CONCATENATE(A387,"-",G387)</f>
        <v/>
      </c>
      <c r="V387" s="25">
        <f>IF(N387="","",IF(N387&lt;=30,"Fast (&lt;30m)",IF(N387&lt;=45,"Moderate (30-45m)","Delayed (&gt;45m)")))</f>
        <v/>
      </c>
      <c r="W387" s="25">
        <f>IF(AND(I387&gt;600,P387="Delivered"),"High Value Delivered","Standard")</f>
        <v/>
      </c>
      <c r="X387" s="25">
        <f>IF(OR(N387&gt;50,Q387&lt;=2),"High Risk / Delayed","Normal")</f>
        <v/>
      </c>
      <c r="Y387" s="25">
        <f>IF(NOT(P387="Cancelled"),"Fulfilled","Cancelled")</f>
        <v/>
      </c>
      <c r="Z387" s="25">
        <f>IFERROR(Q387,0)</f>
        <v/>
      </c>
    </row>
    <row r="388">
      <c r="A388" s="17" t="inlineStr">
        <is>
          <t>ORD1387</t>
        </is>
      </c>
      <c r="B388" s="17" t="inlineStr">
        <is>
          <t>2025-12-24</t>
        </is>
      </c>
      <c r="C388" s="17" t="inlineStr">
        <is>
          <t>06:33:27</t>
        </is>
      </c>
      <c r="D388" s="17" t="n">
        <v>1294</v>
      </c>
      <c r="E388" s="17" t="n">
        <v>112</v>
      </c>
      <c r="F388" s="17" t="n">
        <v>221</v>
      </c>
      <c r="G388" s="17" t="inlineStr">
        <is>
          <t>Delhi NCR</t>
        </is>
      </c>
      <c r="H388" s="17" t="inlineStr">
        <is>
          <t>North Indian</t>
        </is>
      </c>
      <c r="I388" s="22" t="n">
        <v>454</v>
      </c>
      <c r="J388" s="22" t="n">
        <v>17.51</v>
      </c>
      <c r="K388" s="22" t="n">
        <v>41</v>
      </c>
      <c r="L388" s="23" t="n">
        <v>0.22</v>
      </c>
      <c r="M388" s="22" t="n">
        <v>110.13</v>
      </c>
      <c r="N388" s="24" t="n">
        <v>6.2</v>
      </c>
      <c r="O388" s="24" t="n">
        <v>38.9</v>
      </c>
      <c r="P388" s="17" t="inlineStr">
        <is>
          <t>Debit Card</t>
        </is>
      </c>
      <c r="Q388" s="17" t="inlineStr">
        <is>
          <t>Delivered</t>
        </is>
      </c>
      <c r="R388" s="17" t="n">
        <v>5</v>
      </c>
      <c r="S388" s="17">
        <f>TEXT(B388,"yyyy-mm")</f>
        <v/>
      </c>
      <c r="T388" s="17">
        <f>VLOOKUP(D388,Customers!A:D,4,FALSE)</f>
        <v/>
      </c>
      <c r="U388" s="17">
        <f>CONCATENATE(A388,"-",G388)</f>
        <v/>
      </c>
      <c r="V388" s="17">
        <f>IF(N388="","",IF(N388&lt;=30,"Fast (&lt;30m)",IF(N388&lt;=45,"Moderate (30-45m)","Delayed (&gt;45m)")))</f>
        <v/>
      </c>
      <c r="W388" s="17">
        <f>IF(AND(I388&gt;600,P388="Delivered"),"High Value Delivered","Standard")</f>
        <v/>
      </c>
      <c r="X388" s="17">
        <f>IF(OR(N388&gt;50,Q388&lt;=2),"High Risk / Delayed","Normal")</f>
        <v/>
      </c>
      <c r="Y388" s="17">
        <f>IF(NOT(P388="Cancelled"),"Fulfilled","Cancelled")</f>
        <v/>
      </c>
      <c r="Z388" s="17">
        <f>IFERROR(Q388,0)</f>
        <v/>
      </c>
    </row>
    <row r="389">
      <c r="A389" s="25" t="inlineStr">
        <is>
          <t>ORD1388</t>
        </is>
      </c>
      <c r="B389" s="25" t="inlineStr">
        <is>
          <t>2025-05-11</t>
        </is>
      </c>
      <c r="C389" s="25" t="inlineStr">
        <is>
          <t>19:30:49</t>
        </is>
      </c>
      <c r="D389" s="25" t="n">
        <v>1196</v>
      </c>
      <c r="E389" s="25" t="n">
        <v>106</v>
      </c>
      <c r="F389" s="25" t="n">
        <v>217</v>
      </c>
      <c r="G389" s="25" t="inlineStr">
        <is>
          <t>Pune</t>
        </is>
      </c>
      <c r="H389" s="25" t="inlineStr">
        <is>
          <t>South Indian</t>
        </is>
      </c>
      <c r="I389" s="26" t="n">
        <v>458</v>
      </c>
      <c r="J389" s="26" t="n">
        <v>3.07</v>
      </c>
      <c r="K389" s="26" t="n">
        <v>45</v>
      </c>
      <c r="L389" s="27" t="n">
        <v>0.15</v>
      </c>
      <c r="M389" s="26" t="n">
        <v>79.95</v>
      </c>
      <c r="N389" s="28" t="n">
        <v>7</v>
      </c>
      <c r="O389" s="28" t="n">
        <v>49.3</v>
      </c>
      <c r="P389" s="25" t="inlineStr">
        <is>
          <t>Digital Wallet</t>
        </is>
      </c>
      <c r="Q389" s="25" t="inlineStr">
        <is>
          <t>Delivered</t>
        </is>
      </c>
      <c r="R389" s="25" t="n">
        <v>2</v>
      </c>
      <c r="S389" s="25">
        <f>TEXT(B389,"yyyy-mm")</f>
        <v/>
      </c>
      <c r="T389" s="25">
        <f>VLOOKUP(D389,Customers!A:D,4,FALSE)</f>
        <v/>
      </c>
      <c r="U389" s="25">
        <f>CONCATENATE(A389,"-",G389)</f>
        <v/>
      </c>
      <c r="V389" s="25">
        <f>IF(N389="","",IF(N389&lt;=30,"Fast (&lt;30m)",IF(N389&lt;=45,"Moderate (30-45m)","Delayed (&gt;45m)")))</f>
        <v/>
      </c>
      <c r="W389" s="25">
        <f>IF(AND(I389&gt;600,P389="Delivered"),"High Value Delivered","Standard")</f>
        <v/>
      </c>
      <c r="X389" s="25">
        <f>IF(OR(N389&gt;50,Q389&lt;=2),"High Risk / Delayed","Normal")</f>
        <v/>
      </c>
      <c r="Y389" s="25">
        <f>IF(NOT(P389="Cancelled"),"Fulfilled","Cancelled")</f>
        <v/>
      </c>
      <c r="Z389" s="25">
        <f>IFERROR(Q389,0)</f>
        <v/>
      </c>
    </row>
    <row r="390">
      <c r="A390" s="17" t="inlineStr">
        <is>
          <t>ORD1389</t>
        </is>
      </c>
      <c r="B390" s="17" t="inlineStr">
        <is>
          <t>2025-01-03</t>
        </is>
      </c>
      <c r="C390" s="17" t="inlineStr">
        <is>
          <t>13:45:47</t>
        </is>
      </c>
      <c r="D390" s="17" t="n">
        <v>1230</v>
      </c>
      <c r="E390" s="17" t="n">
        <v>114</v>
      </c>
      <c r="F390" s="17" t="n">
        <v>215</v>
      </c>
      <c r="G390" s="17" t="inlineStr">
        <is>
          <t>Hyderabad</t>
        </is>
      </c>
      <c r="H390" s="17" t="inlineStr">
        <is>
          <t>Biryani</t>
        </is>
      </c>
      <c r="I390" s="22" t="n">
        <v>227</v>
      </c>
      <c r="J390" s="22" t="n">
        <v>20.53</v>
      </c>
      <c r="K390" s="22" t="n">
        <v>25</v>
      </c>
      <c r="L390" s="23" t="n">
        <v>0.22</v>
      </c>
      <c r="M390" s="22" t="n">
        <v>56.19</v>
      </c>
      <c r="N390" s="24" t="n">
        <v>1.7</v>
      </c>
      <c r="O390" s="24" t="n">
        <v>64.3</v>
      </c>
      <c r="P390" s="17" t="inlineStr">
        <is>
          <t>Credit Card</t>
        </is>
      </c>
      <c r="Q390" s="17" t="inlineStr">
        <is>
          <t>Delivered</t>
        </is>
      </c>
      <c r="R390" s="17" t="n">
        <v>2</v>
      </c>
      <c r="S390" s="17">
        <f>TEXT(B390,"yyyy-mm")</f>
        <v/>
      </c>
      <c r="T390" s="17">
        <f>VLOOKUP(D390,Customers!A:D,4,FALSE)</f>
        <v/>
      </c>
      <c r="U390" s="17">
        <f>CONCATENATE(A390,"-",G390)</f>
        <v/>
      </c>
      <c r="V390" s="17">
        <f>IF(N390="","",IF(N390&lt;=30,"Fast (&lt;30m)",IF(N390&lt;=45,"Moderate (30-45m)","Delayed (&gt;45m)")))</f>
        <v/>
      </c>
      <c r="W390" s="17">
        <f>IF(AND(I390&gt;600,P390="Delivered"),"High Value Delivered","Standard")</f>
        <v/>
      </c>
      <c r="X390" s="17">
        <f>IF(OR(N390&gt;50,Q390&lt;=2),"High Risk / Delayed","Normal")</f>
        <v/>
      </c>
      <c r="Y390" s="17">
        <f>IF(NOT(P390="Cancelled"),"Fulfilled","Cancelled")</f>
        <v/>
      </c>
      <c r="Z390" s="17">
        <f>IFERROR(Q390,0)</f>
        <v/>
      </c>
    </row>
    <row r="391">
      <c r="A391" s="25" t="inlineStr">
        <is>
          <t>ORD1390</t>
        </is>
      </c>
      <c r="B391" s="25" t="inlineStr">
        <is>
          <t>2025-02-24</t>
        </is>
      </c>
      <c r="C391" s="25" t="inlineStr">
        <is>
          <t>21:09:27</t>
        </is>
      </c>
      <c r="D391" s="25" t="n">
        <v>1186</v>
      </c>
      <c r="E391" s="25" t="n">
        <v>102</v>
      </c>
      <c r="F391" s="25" t="n">
        <v>225</v>
      </c>
      <c r="G391" s="25" t="inlineStr">
        <is>
          <t>Hyderabad</t>
        </is>
      </c>
      <c r="H391" s="25" t="inlineStr">
        <is>
          <t>Biryani</t>
        </is>
      </c>
      <c r="I391" s="26" t="n">
        <v>887</v>
      </c>
      <c r="J391" s="26" t="n">
        <v>80.7</v>
      </c>
      <c r="K391" s="26" t="n">
        <v>25</v>
      </c>
      <c r="L391" s="27" t="n">
        <v>0.22</v>
      </c>
      <c r="M391" s="26" t="n">
        <v>201.39</v>
      </c>
      <c r="N391" s="28" t="n">
        <v>1.9</v>
      </c>
      <c r="O391" s="28" t="n">
        <v>26</v>
      </c>
      <c r="P391" s="25" t="inlineStr">
        <is>
          <t>Digital Wallet</t>
        </is>
      </c>
      <c r="Q391" s="25" t="inlineStr">
        <is>
          <t>Delivered</t>
        </is>
      </c>
      <c r="R391" s="25" t="n">
        <v>4</v>
      </c>
      <c r="S391" s="25">
        <f>TEXT(B391,"yyyy-mm")</f>
        <v/>
      </c>
      <c r="T391" s="25">
        <f>VLOOKUP(D391,Customers!A:D,4,FALSE)</f>
        <v/>
      </c>
      <c r="U391" s="25">
        <f>CONCATENATE(A391,"-",G391)</f>
        <v/>
      </c>
      <c r="V391" s="25">
        <f>IF(N391="","",IF(N391&lt;=30,"Fast (&lt;30m)",IF(N391&lt;=45,"Moderate (30-45m)","Delayed (&gt;45m)")))</f>
        <v/>
      </c>
      <c r="W391" s="25">
        <f>IF(AND(I391&gt;600,P391="Delivered"),"High Value Delivered","Standard")</f>
        <v/>
      </c>
      <c r="X391" s="25">
        <f>IF(OR(N391&gt;50,Q391&lt;=2),"High Risk / Delayed","Normal")</f>
        <v/>
      </c>
      <c r="Y391" s="25">
        <f>IF(NOT(P391="Cancelled"),"Fulfilled","Cancelled")</f>
        <v/>
      </c>
      <c r="Z391" s="25">
        <f>IFERROR(Q391,0)</f>
        <v/>
      </c>
    </row>
    <row r="392">
      <c r="A392" s="17" t="inlineStr">
        <is>
          <t>ORD1391</t>
        </is>
      </c>
      <c r="B392" s="17" t="inlineStr">
        <is>
          <t>2025-12-15</t>
        </is>
      </c>
      <c r="C392" s="17" t="inlineStr">
        <is>
          <t>01:25:48</t>
        </is>
      </c>
      <c r="D392" s="17" t="n">
        <v>1029</v>
      </c>
      <c r="E392" s="17" t="n">
        <v>104</v>
      </c>
      <c r="F392" s="17" t="n">
        <v>219</v>
      </c>
      <c r="G392" s="17" t="inlineStr">
        <is>
          <t>Delhi NCR</t>
        </is>
      </c>
      <c r="H392" s="17" t="inlineStr">
        <is>
          <t>Fast Food</t>
        </is>
      </c>
      <c r="I392" s="22" t="n">
        <v>428</v>
      </c>
      <c r="J392" s="22" t="n">
        <v>0</v>
      </c>
      <c r="K392" s="22" t="n">
        <v>40</v>
      </c>
      <c r="L392" s="23" t="n">
        <v>0.18</v>
      </c>
      <c r="M392" s="22" t="n">
        <v>87.04000000000001</v>
      </c>
      <c r="N392" s="24" t="n">
        <v>6</v>
      </c>
      <c r="O392" s="24" t="n">
        <v>39</v>
      </c>
      <c r="P392" s="17" t="inlineStr">
        <is>
          <t>Cash on Delivery</t>
        </is>
      </c>
      <c r="Q392" s="17" t="inlineStr">
        <is>
          <t>Delivered</t>
        </is>
      </c>
      <c r="R392" s="17" t="n">
        <v>2</v>
      </c>
      <c r="S392" s="17">
        <f>TEXT(B392,"yyyy-mm")</f>
        <v/>
      </c>
      <c r="T392" s="17">
        <f>VLOOKUP(D392,Customers!A:D,4,FALSE)</f>
        <v/>
      </c>
      <c r="U392" s="17">
        <f>CONCATENATE(A392,"-",G392)</f>
        <v/>
      </c>
      <c r="V392" s="17">
        <f>IF(N392="","",IF(N392&lt;=30,"Fast (&lt;30m)",IF(N392&lt;=45,"Moderate (30-45m)","Delayed (&gt;45m)")))</f>
        <v/>
      </c>
      <c r="W392" s="17">
        <f>IF(AND(I392&gt;600,P392="Delivered"),"High Value Delivered","Standard")</f>
        <v/>
      </c>
      <c r="X392" s="17">
        <f>IF(OR(N392&gt;50,Q392&lt;=2),"High Risk / Delayed","Normal")</f>
        <v/>
      </c>
      <c r="Y392" s="17">
        <f>IF(NOT(P392="Cancelled"),"Fulfilled","Cancelled")</f>
        <v/>
      </c>
      <c r="Z392" s="17">
        <f>IFERROR(Q392,0)</f>
        <v/>
      </c>
    </row>
    <row r="393">
      <c r="A393" s="25" t="inlineStr">
        <is>
          <t>ORD1392</t>
        </is>
      </c>
      <c r="B393" s="25" t="inlineStr">
        <is>
          <t>2025-10-14</t>
        </is>
      </c>
      <c r="C393" s="25" t="inlineStr">
        <is>
          <t>13:35:30</t>
        </is>
      </c>
      <c r="D393" s="25" t="n">
        <v>1270</v>
      </c>
      <c r="E393" s="25" t="n">
        <v>119</v>
      </c>
      <c r="F393" s="25" t="n">
        <v>225</v>
      </c>
      <c r="G393" s="25" t="inlineStr">
        <is>
          <t>Hyderabad</t>
        </is>
      </c>
      <c r="H393" s="25" t="inlineStr">
        <is>
          <t>Biryani</t>
        </is>
      </c>
      <c r="I393" s="26" t="n">
        <v>479</v>
      </c>
      <c r="J393" s="26" t="n">
        <v>22.14</v>
      </c>
      <c r="K393" s="26" t="n">
        <v>33.5</v>
      </c>
      <c r="L393" s="27" t="n">
        <v>0.2</v>
      </c>
      <c r="M393" s="26" t="n">
        <v>104.18</v>
      </c>
      <c r="N393" s="28" t="n">
        <v>4.7</v>
      </c>
      <c r="O393" s="28" t="n">
        <v>38.8</v>
      </c>
      <c r="P393" s="25" t="inlineStr">
        <is>
          <t>Cash on Delivery</t>
        </is>
      </c>
      <c r="Q393" s="25" t="inlineStr">
        <is>
          <t>Delivered</t>
        </is>
      </c>
      <c r="R393" s="25" t="n">
        <v>3</v>
      </c>
      <c r="S393" s="25">
        <f>TEXT(B393,"yyyy-mm")</f>
        <v/>
      </c>
      <c r="T393" s="25">
        <f>VLOOKUP(D393,Customers!A:D,4,FALSE)</f>
        <v/>
      </c>
      <c r="U393" s="25">
        <f>CONCATENATE(A393,"-",G393)</f>
        <v/>
      </c>
      <c r="V393" s="25">
        <f>IF(N393="","",IF(N393&lt;=30,"Fast (&lt;30m)",IF(N393&lt;=45,"Moderate (30-45m)","Delayed (&gt;45m)")))</f>
        <v/>
      </c>
      <c r="W393" s="25">
        <f>IF(AND(I393&gt;600,P393="Delivered"),"High Value Delivered","Standard")</f>
        <v/>
      </c>
      <c r="X393" s="25">
        <f>IF(OR(N393&gt;50,Q393&lt;=2),"High Risk / Delayed","Normal")</f>
        <v/>
      </c>
      <c r="Y393" s="25">
        <f>IF(NOT(P393="Cancelled"),"Fulfilled","Cancelled")</f>
        <v/>
      </c>
      <c r="Z393" s="25">
        <f>IFERROR(Q393,0)</f>
        <v/>
      </c>
    </row>
    <row r="394">
      <c r="A394" s="17" t="inlineStr">
        <is>
          <t>ORD1393</t>
        </is>
      </c>
      <c r="B394" s="17" t="inlineStr">
        <is>
          <t>2025-08-17</t>
        </is>
      </c>
      <c r="C394" s="17" t="inlineStr">
        <is>
          <t>08:50:44</t>
        </is>
      </c>
      <c r="D394" s="17" t="n">
        <v>1194</v>
      </c>
      <c r="E394" s="17" t="n">
        <v>115</v>
      </c>
      <c r="F394" s="17" t="n">
        <v>223</v>
      </c>
      <c r="G394" s="17" t="inlineStr">
        <is>
          <t>Bangalore</t>
        </is>
      </c>
      <c r="H394" s="17" t="inlineStr">
        <is>
          <t>Italian</t>
        </is>
      </c>
      <c r="I394" s="22" t="n">
        <v>385</v>
      </c>
      <c r="J394" s="22" t="n">
        <v>21.95</v>
      </c>
      <c r="K394" s="22" t="n">
        <v>30.5</v>
      </c>
      <c r="L394" s="23" t="n">
        <v>0.2</v>
      </c>
      <c r="M394" s="22" t="n">
        <v>84.62</v>
      </c>
      <c r="N394" s="24" t="n">
        <v>4.1</v>
      </c>
      <c r="O394" s="24" t="n">
        <v>30.2</v>
      </c>
      <c r="P394" s="17" t="inlineStr">
        <is>
          <t>Debit Card</t>
        </is>
      </c>
      <c r="Q394" s="17" t="inlineStr">
        <is>
          <t>Delivered</t>
        </is>
      </c>
      <c r="R394" s="17" t="n">
        <v>5</v>
      </c>
      <c r="S394" s="17">
        <f>TEXT(B394,"yyyy-mm")</f>
        <v/>
      </c>
      <c r="T394" s="17">
        <f>VLOOKUP(D394,Customers!A:D,4,FALSE)</f>
        <v/>
      </c>
      <c r="U394" s="17">
        <f>CONCATENATE(A394,"-",G394)</f>
        <v/>
      </c>
      <c r="V394" s="17">
        <f>IF(N394="","",IF(N394&lt;=30,"Fast (&lt;30m)",IF(N394&lt;=45,"Moderate (30-45m)","Delayed (&gt;45m)")))</f>
        <v/>
      </c>
      <c r="W394" s="17">
        <f>IF(AND(I394&gt;600,P394="Delivered"),"High Value Delivered","Standard")</f>
        <v/>
      </c>
      <c r="X394" s="17">
        <f>IF(OR(N394&gt;50,Q394&lt;=2),"High Risk / Delayed","Normal")</f>
        <v/>
      </c>
      <c r="Y394" s="17">
        <f>IF(NOT(P394="Cancelled"),"Fulfilled","Cancelled")</f>
        <v/>
      </c>
      <c r="Z394" s="17">
        <f>IFERROR(Q394,0)</f>
        <v/>
      </c>
    </row>
    <row r="395">
      <c r="A395" s="25" t="inlineStr">
        <is>
          <t>ORD1394</t>
        </is>
      </c>
      <c r="B395" s="25" t="inlineStr">
        <is>
          <t>2025-11-22</t>
        </is>
      </c>
      <c r="C395" s="25" t="inlineStr">
        <is>
          <t>20:00:51</t>
        </is>
      </c>
      <c r="D395" s="25" t="n">
        <v>1278</v>
      </c>
      <c r="E395" s="25" t="n">
        <v>105</v>
      </c>
      <c r="F395" s="25" t="n">
        <v>203</v>
      </c>
      <c r="G395" s="25" t="inlineStr">
        <is>
          <t>Bangalore</t>
        </is>
      </c>
      <c r="H395" s="25" t="inlineStr">
        <is>
          <t>Chinese</t>
        </is>
      </c>
      <c r="I395" s="26" t="n">
        <v>313</v>
      </c>
      <c r="J395" s="26" t="n">
        <v>33.69</v>
      </c>
      <c r="K395" s="26" t="n">
        <v>31.5</v>
      </c>
      <c r="L395" s="27" t="n">
        <v>0.2</v>
      </c>
      <c r="M395" s="26" t="n">
        <v>70.47</v>
      </c>
      <c r="N395" s="28" t="n">
        <v>4.3</v>
      </c>
      <c r="O395" s="28" t="n">
        <v>33.6</v>
      </c>
      <c r="P395" s="25" t="inlineStr">
        <is>
          <t>Digital Wallet</t>
        </is>
      </c>
      <c r="Q395" s="25" t="inlineStr">
        <is>
          <t>Delivered</t>
        </is>
      </c>
      <c r="R395" s="25" t="n">
        <v>5</v>
      </c>
      <c r="S395" s="25">
        <f>TEXT(B395,"yyyy-mm")</f>
        <v/>
      </c>
      <c r="T395" s="25">
        <f>VLOOKUP(D395,Customers!A:D,4,FALSE)</f>
        <v/>
      </c>
      <c r="U395" s="25">
        <f>CONCATENATE(A395,"-",G395)</f>
        <v/>
      </c>
      <c r="V395" s="25">
        <f>IF(N395="","",IF(N395&lt;=30,"Fast (&lt;30m)",IF(N395&lt;=45,"Moderate (30-45m)","Delayed (&gt;45m)")))</f>
        <v/>
      </c>
      <c r="W395" s="25">
        <f>IF(AND(I395&gt;600,P395="Delivered"),"High Value Delivered","Standard")</f>
        <v/>
      </c>
      <c r="X395" s="25">
        <f>IF(OR(N395&gt;50,Q395&lt;=2),"High Risk / Delayed","Normal")</f>
        <v/>
      </c>
      <c r="Y395" s="25">
        <f>IF(NOT(P395="Cancelled"),"Fulfilled","Cancelled")</f>
        <v/>
      </c>
      <c r="Z395" s="25">
        <f>IFERROR(Q395,0)</f>
        <v/>
      </c>
    </row>
    <row r="396">
      <c r="A396" s="17" t="inlineStr">
        <is>
          <t>ORD1395</t>
        </is>
      </c>
      <c r="B396" s="17" t="inlineStr">
        <is>
          <t>2025-05-15</t>
        </is>
      </c>
      <c r="C396" s="17" t="inlineStr">
        <is>
          <t>20:14:23</t>
        </is>
      </c>
      <c r="D396" s="17" t="n">
        <v>1246</v>
      </c>
      <c r="E396" s="17" t="n">
        <v>120</v>
      </c>
      <c r="F396" s="17" t="n">
        <v>209</v>
      </c>
      <c r="G396" s="17" t="inlineStr">
        <is>
          <t>Pune</t>
        </is>
      </c>
      <c r="H396" s="17" t="inlineStr">
        <is>
          <t>Fast Food</t>
        </is>
      </c>
      <c r="I396" s="22" t="n">
        <v>556</v>
      </c>
      <c r="J396" s="22" t="n">
        <v>57.7</v>
      </c>
      <c r="K396" s="22" t="n">
        <v>0</v>
      </c>
      <c r="L396" s="23" t="n">
        <v>0.18</v>
      </c>
      <c r="M396" s="22" t="n">
        <v>100.08</v>
      </c>
      <c r="N396" s="24" t="n">
        <v>2</v>
      </c>
      <c r="O396" s="24" t="n">
        <v>26.5</v>
      </c>
      <c r="P396" s="17" t="inlineStr">
        <is>
          <t>Cash on Delivery</t>
        </is>
      </c>
      <c r="Q396" s="17" t="inlineStr">
        <is>
          <t>Delivered</t>
        </is>
      </c>
      <c r="R396" s="17" t="n">
        <v>5</v>
      </c>
      <c r="S396" s="17">
        <f>TEXT(B396,"yyyy-mm")</f>
        <v/>
      </c>
      <c r="T396" s="17">
        <f>VLOOKUP(D396,Customers!A:D,4,FALSE)</f>
        <v/>
      </c>
      <c r="U396" s="17">
        <f>CONCATENATE(A396,"-",G396)</f>
        <v/>
      </c>
      <c r="V396" s="17">
        <f>IF(N396="","",IF(N396&lt;=30,"Fast (&lt;30m)",IF(N396&lt;=45,"Moderate (30-45m)","Delayed (&gt;45m)")))</f>
        <v/>
      </c>
      <c r="W396" s="17">
        <f>IF(AND(I396&gt;600,P396="Delivered"),"High Value Delivered","Standard")</f>
        <v/>
      </c>
      <c r="X396" s="17">
        <f>IF(OR(N396&gt;50,Q396&lt;=2),"High Risk / Delayed","Normal")</f>
        <v/>
      </c>
      <c r="Y396" s="17">
        <f>IF(NOT(P396="Cancelled"),"Fulfilled","Cancelled")</f>
        <v/>
      </c>
      <c r="Z396" s="17">
        <f>IFERROR(Q396,0)</f>
        <v/>
      </c>
    </row>
    <row r="397">
      <c r="A397" s="25" t="inlineStr">
        <is>
          <t>ORD1396</t>
        </is>
      </c>
      <c r="B397" s="25" t="inlineStr">
        <is>
          <t>2025-11-24</t>
        </is>
      </c>
      <c r="C397" s="25" t="inlineStr">
        <is>
          <t>19:31:28</t>
        </is>
      </c>
      <c r="D397" s="25" t="n">
        <v>1250</v>
      </c>
      <c r="E397" s="25" t="n">
        <v>120</v>
      </c>
      <c r="F397" s="25" t="n">
        <v>207</v>
      </c>
      <c r="G397" s="25" t="inlineStr">
        <is>
          <t>Pune</t>
        </is>
      </c>
      <c r="H397" s="25" t="inlineStr">
        <is>
          <t>Fast Food</t>
        </is>
      </c>
      <c r="I397" s="26" t="n">
        <v>381</v>
      </c>
      <c r="J397" s="26" t="n">
        <v>70.51000000000001</v>
      </c>
      <c r="K397" s="26" t="n">
        <v>26.5</v>
      </c>
      <c r="L397" s="27" t="n">
        <v>0.18</v>
      </c>
      <c r="M397" s="26" t="n">
        <v>75.2</v>
      </c>
      <c r="N397" s="28" t="n">
        <v>3.3</v>
      </c>
      <c r="O397" s="28" t="n">
        <v>39.1</v>
      </c>
      <c r="P397" s="25" t="inlineStr">
        <is>
          <t>Digital Wallet</t>
        </is>
      </c>
      <c r="Q397" s="25" t="inlineStr">
        <is>
          <t>Delivered</t>
        </is>
      </c>
      <c r="R397" s="25" t="n">
        <v>4</v>
      </c>
      <c r="S397" s="25">
        <f>TEXT(B397,"yyyy-mm")</f>
        <v/>
      </c>
      <c r="T397" s="25">
        <f>VLOOKUP(D397,Customers!A:D,4,FALSE)</f>
        <v/>
      </c>
      <c r="U397" s="25">
        <f>CONCATENATE(A397,"-",G397)</f>
        <v/>
      </c>
      <c r="V397" s="25">
        <f>IF(N397="","",IF(N397&lt;=30,"Fast (&lt;30m)",IF(N397&lt;=45,"Moderate (30-45m)","Delayed (&gt;45m)")))</f>
        <v/>
      </c>
      <c r="W397" s="25">
        <f>IF(AND(I397&gt;600,P397="Delivered"),"High Value Delivered","Standard")</f>
        <v/>
      </c>
      <c r="X397" s="25">
        <f>IF(OR(N397&gt;50,Q397&lt;=2),"High Risk / Delayed","Normal")</f>
        <v/>
      </c>
      <c r="Y397" s="25">
        <f>IF(NOT(P397="Cancelled"),"Fulfilled","Cancelled")</f>
        <v/>
      </c>
      <c r="Z397" s="25">
        <f>IFERROR(Q397,0)</f>
        <v/>
      </c>
    </row>
    <row r="398">
      <c r="A398" s="17" t="inlineStr">
        <is>
          <t>ORD1397</t>
        </is>
      </c>
      <c r="B398" s="17" t="inlineStr">
        <is>
          <t>2025-11-03</t>
        </is>
      </c>
      <c r="C398" s="17" t="inlineStr">
        <is>
          <t>18:32:33</t>
        </is>
      </c>
      <c r="D398" s="17" t="n">
        <v>1047</v>
      </c>
      <c r="E398" s="17" t="n">
        <v>111</v>
      </c>
      <c r="F398" s="17" t="n">
        <v>210</v>
      </c>
      <c r="G398" s="17" t="inlineStr">
        <is>
          <t>Bangalore</t>
        </is>
      </c>
      <c r="H398" s="17" t="inlineStr">
        <is>
          <t>South Indian</t>
        </is>
      </c>
      <c r="I398" s="22" t="n">
        <v>935</v>
      </c>
      <c r="J398" s="22" t="n">
        <v>0</v>
      </c>
      <c r="K398" s="22" t="n">
        <v>25</v>
      </c>
      <c r="L398" s="23" t="n">
        <v>0.15</v>
      </c>
      <c r="M398" s="22" t="n">
        <v>146.5</v>
      </c>
      <c r="N398" s="24" t="n">
        <v>1.7</v>
      </c>
      <c r="O398" s="24" t="n">
        <v>19.5</v>
      </c>
      <c r="P398" s="17" t="inlineStr">
        <is>
          <t>UPI</t>
        </is>
      </c>
      <c r="Q398" s="17" t="inlineStr">
        <is>
          <t>Delivered</t>
        </is>
      </c>
      <c r="R398" s="17" t="n">
        <v>3</v>
      </c>
      <c r="S398" s="17">
        <f>TEXT(B398,"yyyy-mm")</f>
        <v/>
      </c>
      <c r="T398" s="17">
        <f>VLOOKUP(D398,Customers!A:D,4,FALSE)</f>
        <v/>
      </c>
      <c r="U398" s="17">
        <f>CONCATENATE(A398,"-",G398)</f>
        <v/>
      </c>
      <c r="V398" s="17">
        <f>IF(N398="","",IF(N398&lt;=30,"Fast (&lt;30m)",IF(N398&lt;=45,"Moderate (30-45m)","Delayed (&gt;45m)")))</f>
        <v/>
      </c>
      <c r="W398" s="17">
        <f>IF(AND(I398&gt;600,P398="Delivered"),"High Value Delivered","Standard")</f>
        <v/>
      </c>
      <c r="X398" s="17">
        <f>IF(OR(N398&gt;50,Q398&lt;=2),"High Risk / Delayed","Normal")</f>
        <v/>
      </c>
      <c r="Y398" s="17">
        <f>IF(NOT(P398="Cancelled"),"Fulfilled","Cancelled")</f>
        <v/>
      </c>
      <c r="Z398" s="17">
        <f>IFERROR(Q398,0)</f>
        <v/>
      </c>
    </row>
    <row r="399">
      <c r="A399" s="25" t="inlineStr">
        <is>
          <t>ORD1398</t>
        </is>
      </c>
      <c r="B399" s="25" t="inlineStr">
        <is>
          <t>2025-03-22</t>
        </is>
      </c>
      <c r="C399" s="25" t="inlineStr">
        <is>
          <t>19:05:17</t>
        </is>
      </c>
      <c r="D399" s="25" t="n">
        <v>1240</v>
      </c>
      <c r="E399" s="25" t="n">
        <v>107</v>
      </c>
      <c r="F399" s="25" t="n">
        <v>222</v>
      </c>
      <c r="G399" s="25" t="inlineStr">
        <is>
          <t>Mumbai</t>
        </is>
      </c>
      <c r="H399" s="25" t="inlineStr">
        <is>
          <t>Desserts</t>
        </is>
      </c>
      <c r="I399" s="26" t="n">
        <v>629</v>
      </c>
      <c r="J399" s="26" t="n">
        <v>0</v>
      </c>
      <c r="K399" s="26" t="n">
        <v>26.5</v>
      </c>
      <c r="L399" s="27" t="n">
        <v>0.25</v>
      </c>
      <c r="M399" s="26" t="n">
        <v>163.88</v>
      </c>
      <c r="N399" s="28" t="n">
        <v>3.3</v>
      </c>
      <c r="O399" s="28" t="n">
        <v>36.4</v>
      </c>
      <c r="P399" s="25" t="inlineStr">
        <is>
          <t>Digital Wallet</t>
        </is>
      </c>
      <c r="Q399" s="25" t="inlineStr">
        <is>
          <t>Delivered</t>
        </is>
      </c>
      <c r="R399" s="25" t="n">
        <v>4</v>
      </c>
      <c r="S399" s="25">
        <f>TEXT(B399,"yyyy-mm")</f>
        <v/>
      </c>
      <c r="T399" s="25">
        <f>VLOOKUP(D399,Customers!A:D,4,FALSE)</f>
        <v/>
      </c>
      <c r="U399" s="25">
        <f>CONCATENATE(A399,"-",G399)</f>
        <v/>
      </c>
      <c r="V399" s="25">
        <f>IF(N399="","",IF(N399&lt;=30,"Fast (&lt;30m)",IF(N399&lt;=45,"Moderate (30-45m)","Delayed (&gt;45m)")))</f>
        <v/>
      </c>
      <c r="W399" s="25">
        <f>IF(AND(I399&gt;600,P399="Delivered"),"High Value Delivered","Standard")</f>
        <v/>
      </c>
      <c r="X399" s="25">
        <f>IF(OR(N399&gt;50,Q399&lt;=2),"High Risk / Delayed","Normal")</f>
        <v/>
      </c>
      <c r="Y399" s="25">
        <f>IF(NOT(P399="Cancelled"),"Fulfilled","Cancelled")</f>
        <v/>
      </c>
      <c r="Z399" s="25">
        <f>IFERROR(Q399,0)</f>
        <v/>
      </c>
    </row>
    <row r="400">
      <c r="A400" s="17" t="inlineStr">
        <is>
          <t>ORD1399</t>
        </is>
      </c>
      <c r="B400" s="17" t="inlineStr">
        <is>
          <t>2025-12-27</t>
        </is>
      </c>
      <c r="C400" s="17" t="inlineStr">
        <is>
          <t>17:04:58</t>
        </is>
      </c>
      <c r="D400" s="17" t="n">
        <v>1089</v>
      </c>
      <c r="E400" s="17" t="n">
        <v>111</v>
      </c>
      <c r="F400" s="17" t="n">
        <v>218</v>
      </c>
      <c r="G400" s="17" t="inlineStr">
        <is>
          <t>Bangalore</t>
        </is>
      </c>
      <c r="H400" s="17" t="inlineStr">
        <is>
          <t>South Indian</t>
        </is>
      </c>
      <c r="I400" s="22" t="n">
        <v>552</v>
      </c>
      <c r="J400" s="22" t="n">
        <v>70.90000000000001</v>
      </c>
      <c r="K400" s="22" t="n">
        <v>0</v>
      </c>
      <c r="L400" s="23" t="n">
        <v>0.15</v>
      </c>
      <c r="M400" s="22" t="n">
        <v>82.8</v>
      </c>
      <c r="N400" s="24" t="n">
        <v>3.8</v>
      </c>
      <c r="O400" s="24" t="n">
        <v>32.6</v>
      </c>
      <c r="P400" s="17" t="inlineStr">
        <is>
          <t>Digital Wallet</t>
        </is>
      </c>
      <c r="Q400" s="17" t="inlineStr">
        <is>
          <t>Delivered</t>
        </is>
      </c>
      <c r="R400" s="17" t="n">
        <v>3</v>
      </c>
      <c r="S400" s="17">
        <f>TEXT(B400,"yyyy-mm")</f>
        <v/>
      </c>
      <c r="T400" s="17">
        <f>VLOOKUP(D400,Customers!A:D,4,FALSE)</f>
        <v/>
      </c>
      <c r="U400" s="17">
        <f>CONCATENATE(A400,"-",G400)</f>
        <v/>
      </c>
      <c r="V400" s="17">
        <f>IF(N400="","",IF(N400&lt;=30,"Fast (&lt;30m)",IF(N400&lt;=45,"Moderate (30-45m)","Delayed (&gt;45m)")))</f>
        <v/>
      </c>
      <c r="W400" s="17">
        <f>IF(AND(I400&gt;600,P400="Delivered"),"High Value Delivered","Standard")</f>
        <v/>
      </c>
      <c r="X400" s="17">
        <f>IF(OR(N400&gt;50,Q400&lt;=2),"High Risk / Delayed","Normal")</f>
        <v/>
      </c>
      <c r="Y400" s="17">
        <f>IF(NOT(P400="Cancelled"),"Fulfilled","Cancelled")</f>
        <v/>
      </c>
      <c r="Z400" s="17">
        <f>IFERROR(Q400,0)</f>
        <v/>
      </c>
    </row>
    <row r="401">
      <c r="A401" s="25" t="inlineStr">
        <is>
          <t>ORD1400</t>
        </is>
      </c>
      <c r="B401" s="25" t="inlineStr">
        <is>
          <t>2025-04-26</t>
        </is>
      </c>
      <c r="C401" s="25" t="inlineStr">
        <is>
          <t>20:38:12</t>
        </is>
      </c>
      <c r="D401" s="25" t="n">
        <v>1294</v>
      </c>
      <c r="E401" s="25" t="n">
        <v>118</v>
      </c>
      <c r="F401" s="25" t="n">
        <v>212</v>
      </c>
      <c r="G401" s="25" t="inlineStr">
        <is>
          <t>Delhi NCR</t>
        </is>
      </c>
      <c r="H401" s="25" t="inlineStr">
        <is>
          <t>North Indian</t>
        </is>
      </c>
      <c r="I401" s="26" t="n">
        <v>685</v>
      </c>
      <c r="J401" s="26" t="n">
        <v>31.5</v>
      </c>
      <c r="K401" s="26" t="n">
        <v>25</v>
      </c>
      <c r="L401" s="27" t="n">
        <v>0.2</v>
      </c>
      <c r="M401" s="26" t="n">
        <v>143.25</v>
      </c>
      <c r="N401" s="28" t="n">
        <v>2.5</v>
      </c>
      <c r="O401" s="28" t="n">
        <v>24.7</v>
      </c>
      <c r="P401" s="25" t="inlineStr">
        <is>
          <t>Cash on Delivery</t>
        </is>
      </c>
      <c r="Q401" s="25" t="inlineStr">
        <is>
          <t>Delivered</t>
        </is>
      </c>
      <c r="R401" s="25" t="n">
        <v>1</v>
      </c>
      <c r="S401" s="25">
        <f>TEXT(B401,"yyyy-mm")</f>
        <v/>
      </c>
      <c r="T401" s="25">
        <f>VLOOKUP(D401,Customers!A:D,4,FALSE)</f>
        <v/>
      </c>
      <c r="U401" s="25">
        <f>CONCATENATE(A401,"-",G401)</f>
        <v/>
      </c>
      <c r="V401" s="25">
        <f>IF(N401="","",IF(N401&lt;=30,"Fast (&lt;30m)",IF(N401&lt;=45,"Moderate (30-45m)","Delayed (&gt;45m)")))</f>
        <v/>
      </c>
      <c r="W401" s="25">
        <f>IF(AND(I401&gt;600,P401="Delivered"),"High Value Delivered","Standard")</f>
        <v/>
      </c>
      <c r="X401" s="25">
        <f>IF(OR(N401&gt;50,Q401&lt;=2),"High Risk / Delayed","Normal")</f>
        <v/>
      </c>
      <c r="Y401" s="25">
        <f>IF(NOT(P401="Cancelled"),"Fulfilled","Cancelled")</f>
        <v/>
      </c>
      <c r="Z401" s="25">
        <f>IFERROR(Q401,0)</f>
        <v/>
      </c>
    </row>
    <row r="402">
      <c r="A402" s="17" t="inlineStr">
        <is>
          <t>ORD1401</t>
        </is>
      </c>
      <c r="B402" s="17" t="inlineStr">
        <is>
          <t>2025-06-24</t>
        </is>
      </c>
      <c r="C402" s="17" t="inlineStr">
        <is>
          <t>20:07:51</t>
        </is>
      </c>
      <c r="D402" s="17" t="n">
        <v>1020</v>
      </c>
      <c r="E402" s="17" t="n">
        <v>118</v>
      </c>
      <c r="F402" s="17" t="n">
        <v>212</v>
      </c>
      <c r="G402" s="17" t="inlineStr">
        <is>
          <t>Delhi NCR</t>
        </is>
      </c>
      <c r="H402" s="17" t="inlineStr">
        <is>
          <t>North Indian</t>
        </is>
      </c>
      <c r="I402" s="22" t="n">
        <v>745</v>
      </c>
      <c r="J402" s="22" t="n">
        <v>52.22</v>
      </c>
      <c r="K402" s="22" t="n">
        <v>33</v>
      </c>
      <c r="L402" s="23" t="n">
        <v>0.2</v>
      </c>
      <c r="M402" s="22" t="n">
        <v>157.25</v>
      </c>
      <c r="N402" s="24" t="n">
        <v>4.6</v>
      </c>
      <c r="O402" s="24" t="n">
        <v>50.5</v>
      </c>
      <c r="P402" s="17" t="inlineStr">
        <is>
          <t>Digital Wallet</t>
        </is>
      </c>
      <c r="Q402" s="17" t="inlineStr">
        <is>
          <t>Delivered</t>
        </is>
      </c>
      <c r="R402" s="17" t="n">
        <v>2</v>
      </c>
      <c r="S402" s="17">
        <f>TEXT(B402,"yyyy-mm")</f>
        <v/>
      </c>
      <c r="T402" s="17">
        <f>VLOOKUP(D402,Customers!A:D,4,FALSE)</f>
        <v/>
      </c>
      <c r="U402" s="17">
        <f>CONCATENATE(A402,"-",G402)</f>
        <v/>
      </c>
      <c r="V402" s="17">
        <f>IF(N402="","",IF(N402&lt;=30,"Fast (&lt;30m)",IF(N402&lt;=45,"Moderate (30-45m)","Delayed (&gt;45m)")))</f>
        <v/>
      </c>
      <c r="W402" s="17">
        <f>IF(AND(I402&gt;600,P402="Delivered"),"High Value Delivered","Standard")</f>
        <v/>
      </c>
      <c r="X402" s="17">
        <f>IF(OR(N402&gt;50,Q402&lt;=2),"High Risk / Delayed","Normal")</f>
        <v/>
      </c>
      <c r="Y402" s="17">
        <f>IF(NOT(P402="Cancelled"),"Fulfilled","Cancelled")</f>
        <v/>
      </c>
      <c r="Z402" s="17">
        <f>IFERROR(Q402,0)</f>
        <v/>
      </c>
    </row>
    <row r="403">
      <c r="A403" s="25" t="inlineStr">
        <is>
          <t>ORD1402</t>
        </is>
      </c>
      <c r="B403" s="25" t="inlineStr">
        <is>
          <t>2025-10-16</t>
        </is>
      </c>
      <c r="C403" s="25" t="inlineStr">
        <is>
          <t>18:30:49</t>
        </is>
      </c>
      <c r="D403" s="25" t="n">
        <v>1053</v>
      </c>
      <c r="E403" s="25" t="n">
        <v>109</v>
      </c>
      <c r="F403" s="25" t="n">
        <v>225</v>
      </c>
      <c r="G403" s="25" t="inlineStr">
        <is>
          <t>Hyderabad</t>
        </is>
      </c>
      <c r="H403" s="25" t="inlineStr">
        <is>
          <t>Biryani</t>
        </is>
      </c>
      <c r="I403" s="26" t="n">
        <v>762</v>
      </c>
      <c r="J403" s="26" t="n">
        <v>102.08</v>
      </c>
      <c r="K403" s="26" t="n">
        <v>0</v>
      </c>
      <c r="L403" s="27" t="n">
        <v>0.2</v>
      </c>
      <c r="M403" s="26" t="n">
        <v>152.4</v>
      </c>
      <c r="N403" s="28" t="n">
        <v>4.1</v>
      </c>
      <c r="O403" s="28" t="n">
        <v>39.2</v>
      </c>
      <c r="P403" s="25" t="inlineStr">
        <is>
          <t>Cash on Delivery</t>
        </is>
      </c>
      <c r="Q403" s="25" t="inlineStr">
        <is>
          <t>Delivered</t>
        </is>
      </c>
      <c r="R403" s="25" t="n">
        <v>4</v>
      </c>
      <c r="S403" s="25">
        <f>TEXT(B403,"yyyy-mm")</f>
        <v/>
      </c>
      <c r="T403" s="25">
        <f>VLOOKUP(D403,Customers!A:D,4,FALSE)</f>
        <v/>
      </c>
      <c r="U403" s="25">
        <f>CONCATENATE(A403,"-",G403)</f>
        <v/>
      </c>
      <c r="V403" s="25">
        <f>IF(N403="","",IF(N403&lt;=30,"Fast (&lt;30m)",IF(N403&lt;=45,"Moderate (30-45m)","Delayed (&gt;45m)")))</f>
        <v/>
      </c>
      <c r="W403" s="25">
        <f>IF(AND(I403&gt;600,P403="Delivered"),"High Value Delivered","Standard")</f>
        <v/>
      </c>
      <c r="X403" s="25">
        <f>IF(OR(N403&gt;50,Q403&lt;=2),"High Risk / Delayed","Normal")</f>
        <v/>
      </c>
      <c r="Y403" s="25">
        <f>IF(NOT(P403="Cancelled"),"Fulfilled","Cancelled")</f>
        <v/>
      </c>
      <c r="Z403" s="25">
        <f>IFERROR(Q403,0)</f>
        <v/>
      </c>
    </row>
    <row r="404">
      <c r="A404" s="17" t="inlineStr">
        <is>
          <t>ORD1403</t>
        </is>
      </c>
      <c r="B404" s="17" t="inlineStr">
        <is>
          <t>2025-05-13</t>
        </is>
      </c>
      <c r="C404" s="17" t="inlineStr">
        <is>
          <t>18:04:24</t>
        </is>
      </c>
      <c r="D404" s="17" t="n">
        <v>1210</v>
      </c>
      <c r="E404" s="17" t="n">
        <v>118</v>
      </c>
      <c r="F404" s="17" t="n">
        <v>230</v>
      </c>
      <c r="G404" s="17" t="inlineStr">
        <is>
          <t>Delhi NCR</t>
        </is>
      </c>
      <c r="H404" s="17" t="inlineStr">
        <is>
          <t>North Indian</t>
        </is>
      </c>
      <c r="I404" s="22" t="n">
        <v>868</v>
      </c>
      <c r="J404" s="22" t="n">
        <v>15.3</v>
      </c>
      <c r="K404" s="22" t="n">
        <v>25</v>
      </c>
      <c r="L404" s="23" t="n">
        <v>0.2</v>
      </c>
      <c r="M404" s="22" t="n">
        <v>179.85</v>
      </c>
      <c r="N404" s="24" t="n">
        <v>3</v>
      </c>
      <c r="O404" s="24" t="n">
        <v>28.3</v>
      </c>
      <c r="P404" s="17" t="inlineStr">
        <is>
          <t>Debit Card</t>
        </is>
      </c>
      <c r="Q404" s="17" t="inlineStr">
        <is>
          <t>Delivered</t>
        </is>
      </c>
      <c r="R404" s="17" t="n">
        <v>4</v>
      </c>
      <c r="S404" s="17">
        <f>TEXT(B404,"yyyy-mm")</f>
        <v/>
      </c>
      <c r="T404" s="17">
        <f>VLOOKUP(D404,Customers!A:D,4,FALSE)</f>
        <v/>
      </c>
      <c r="U404" s="17">
        <f>CONCATENATE(A404,"-",G404)</f>
        <v/>
      </c>
      <c r="V404" s="17">
        <f>IF(N404="","",IF(N404&lt;=30,"Fast (&lt;30m)",IF(N404&lt;=45,"Moderate (30-45m)","Delayed (&gt;45m)")))</f>
        <v/>
      </c>
      <c r="W404" s="17">
        <f>IF(AND(I404&gt;600,P404="Delivered"),"High Value Delivered","Standard")</f>
        <v/>
      </c>
      <c r="X404" s="17">
        <f>IF(OR(N404&gt;50,Q404&lt;=2),"High Risk / Delayed","Normal")</f>
        <v/>
      </c>
      <c r="Y404" s="17">
        <f>IF(NOT(P404="Cancelled"),"Fulfilled","Cancelled")</f>
        <v/>
      </c>
      <c r="Z404" s="17">
        <f>IFERROR(Q404,0)</f>
        <v/>
      </c>
    </row>
    <row r="405">
      <c r="A405" s="25" t="inlineStr">
        <is>
          <t>ORD1404</t>
        </is>
      </c>
      <c r="B405" s="25" t="inlineStr">
        <is>
          <t>2025-12-25</t>
        </is>
      </c>
      <c r="C405" s="25" t="inlineStr">
        <is>
          <t>12:53:16</t>
        </is>
      </c>
      <c r="D405" s="25" t="n">
        <v>1137</v>
      </c>
      <c r="E405" s="25" t="n">
        <v>116</v>
      </c>
      <c r="F405" s="25" t="n">
        <v>207</v>
      </c>
      <c r="G405" s="25" t="inlineStr">
        <is>
          <t>Pune</t>
        </is>
      </c>
      <c r="H405" s="25" t="inlineStr">
        <is>
          <t>Desserts</t>
        </is>
      </c>
      <c r="I405" s="26" t="n">
        <v>474</v>
      </c>
      <c r="J405" s="26" t="n">
        <v>0</v>
      </c>
      <c r="K405" s="26" t="n">
        <v>25</v>
      </c>
      <c r="L405" s="27" t="n">
        <v>0.25</v>
      </c>
      <c r="M405" s="26" t="n">
        <v>124.75</v>
      </c>
      <c r="N405" s="28" t="n">
        <v>2.2</v>
      </c>
      <c r="O405" s="28" t="n">
        <v>28.7</v>
      </c>
      <c r="P405" s="25" t="inlineStr">
        <is>
          <t>Debit Card</t>
        </is>
      </c>
      <c r="Q405" s="25" t="inlineStr">
        <is>
          <t>Delivered</t>
        </is>
      </c>
      <c r="R405" s="25" t="n">
        <v>2</v>
      </c>
      <c r="S405" s="25">
        <f>TEXT(B405,"yyyy-mm")</f>
        <v/>
      </c>
      <c r="T405" s="25">
        <f>VLOOKUP(D405,Customers!A:D,4,FALSE)</f>
        <v/>
      </c>
      <c r="U405" s="25">
        <f>CONCATENATE(A405,"-",G405)</f>
        <v/>
      </c>
      <c r="V405" s="25">
        <f>IF(N405="","",IF(N405&lt;=30,"Fast (&lt;30m)",IF(N405&lt;=45,"Moderate (30-45m)","Delayed (&gt;45m)")))</f>
        <v/>
      </c>
      <c r="W405" s="25">
        <f>IF(AND(I405&gt;600,P405="Delivered"),"High Value Delivered","Standard")</f>
        <v/>
      </c>
      <c r="X405" s="25">
        <f>IF(OR(N405&gt;50,Q405&lt;=2),"High Risk / Delayed","Normal")</f>
        <v/>
      </c>
      <c r="Y405" s="25">
        <f>IF(NOT(P405="Cancelled"),"Fulfilled","Cancelled")</f>
        <v/>
      </c>
      <c r="Z405" s="25">
        <f>IFERROR(Q405,0)</f>
        <v/>
      </c>
    </row>
    <row r="406">
      <c r="A406" s="17" t="inlineStr">
        <is>
          <t>ORD1405</t>
        </is>
      </c>
      <c r="B406" s="17" t="inlineStr">
        <is>
          <t>2025-09-01</t>
        </is>
      </c>
      <c r="C406" s="17" t="inlineStr">
        <is>
          <t>10:20:22</t>
        </is>
      </c>
      <c r="D406" s="17" t="n">
        <v>1245</v>
      </c>
      <c r="E406" s="17" t="n">
        <v>103</v>
      </c>
      <c r="F406" s="17" t="n">
        <v>202</v>
      </c>
      <c r="G406" s="17" t="inlineStr">
        <is>
          <t>Mumbai</t>
        </is>
      </c>
      <c r="H406" s="17" t="inlineStr">
        <is>
          <t>Italian</t>
        </is>
      </c>
      <c r="I406" s="22" t="n">
        <v>443</v>
      </c>
      <c r="J406" s="22" t="n">
        <v>9.539999999999999</v>
      </c>
      <c r="K406" s="22" t="n">
        <v>25</v>
      </c>
      <c r="L406" s="23" t="n">
        <v>0.18</v>
      </c>
      <c r="M406" s="22" t="n">
        <v>85.98999999999999</v>
      </c>
      <c r="N406" s="24" t="n">
        <v>2.1</v>
      </c>
      <c r="O406" s="24" t="n">
        <v/>
      </c>
      <c r="P406" s="17" t="inlineStr">
        <is>
          <t>Credit Card</t>
        </is>
      </c>
      <c r="Q406" s="17" t="inlineStr">
        <is>
          <t>Cancelled</t>
        </is>
      </c>
      <c r="R406" s="17" t="n">
        <v/>
      </c>
      <c r="S406" s="17">
        <f>TEXT(B406,"yyyy-mm")</f>
        <v/>
      </c>
      <c r="T406" s="17">
        <f>VLOOKUP(D406,Customers!A:D,4,FALSE)</f>
        <v/>
      </c>
      <c r="U406" s="17">
        <f>CONCATENATE(A406,"-",G406)</f>
        <v/>
      </c>
      <c r="V406" s="17">
        <f>IF(N406="","",IF(N406&lt;=30,"Fast (&lt;30m)",IF(N406&lt;=45,"Moderate (30-45m)","Delayed (&gt;45m)")))</f>
        <v/>
      </c>
      <c r="W406" s="17">
        <f>IF(AND(I406&gt;600,P406="Delivered"),"High Value Delivered","Standard")</f>
        <v/>
      </c>
      <c r="X406" s="17">
        <f>IF(OR(N406&gt;50,Q406&lt;=2),"High Risk / Delayed","Normal")</f>
        <v/>
      </c>
      <c r="Y406" s="17">
        <f>IF(NOT(P406="Cancelled"),"Fulfilled","Cancelled")</f>
        <v/>
      </c>
      <c r="Z406" s="17">
        <f>IFERROR(Q406,0)</f>
        <v/>
      </c>
    </row>
    <row r="407">
      <c r="A407" s="25" t="inlineStr">
        <is>
          <t>ORD1406</t>
        </is>
      </c>
      <c r="B407" s="25" t="inlineStr">
        <is>
          <t>2025-05-04</t>
        </is>
      </c>
      <c r="C407" s="25" t="inlineStr">
        <is>
          <t>11:55:16</t>
        </is>
      </c>
      <c r="D407" s="25" t="n">
        <v>1231</v>
      </c>
      <c r="E407" s="25" t="n">
        <v>101</v>
      </c>
      <c r="F407" s="25" t="n">
        <v>201</v>
      </c>
      <c r="G407" s="25" t="inlineStr">
        <is>
          <t>Bangalore</t>
        </is>
      </c>
      <c r="H407" s="25" t="inlineStr">
        <is>
          <t>North Indian</t>
        </is>
      </c>
      <c r="I407" s="26" t="n">
        <v>431</v>
      </c>
      <c r="J407" s="26" t="n">
        <v>28.47</v>
      </c>
      <c r="K407" s="26" t="n">
        <v>25</v>
      </c>
      <c r="L407" s="27" t="n">
        <v>0.2</v>
      </c>
      <c r="M407" s="26" t="n">
        <v>92.45</v>
      </c>
      <c r="N407" s="28" t="n">
        <v>2</v>
      </c>
      <c r="O407" s="28" t="n">
        <v>27.2</v>
      </c>
      <c r="P407" s="25" t="inlineStr">
        <is>
          <t>Digital Wallet</t>
        </is>
      </c>
      <c r="Q407" s="25" t="inlineStr">
        <is>
          <t>Delivered</t>
        </is>
      </c>
      <c r="R407" s="25" t="n">
        <v>5</v>
      </c>
      <c r="S407" s="25">
        <f>TEXT(B407,"yyyy-mm")</f>
        <v/>
      </c>
      <c r="T407" s="25">
        <f>VLOOKUP(D407,Customers!A:D,4,FALSE)</f>
        <v/>
      </c>
      <c r="U407" s="25">
        <f>CONCATENATE(A407,"-",G407)</f>
        <v/>
      </c>
      <c r="V407" s="25">
        <f>IF(N407="","",IF(N407&lt;=30,"Fast (&lt;30m)",IF(N407&lt;=45,"Moderate (30-45m)","Delayed (&gt;45m)")))</f>
        <v/>
      </c>
      <c r="W407" s="25">
        <f>IF(AND(I407&gt;600,P407="Delivered"),"High Value Delivered","Standard")</f>
        <v/>
      </c>
      <c r="X407" s="25">
        <f>IF(OR(N407&gt;50,Q407&lt;=2),"High Risk / Delayed","Normal")</f>
        <v/>
      </c>
      <c r="Y407" s="25">
        <f>IF(NOT(P407="Cancelled"),"Fulfilled","Cancelled")</f>
        <v/>
      </c>
      <c r="Z407" s="25">
        <f>IFERROR(Q407,0)</f>
        <v/>
      </c>
    </row>
    <row r="408">
      <c r="A408" s="17" t="inlineStr">
        <is>
          <t>ORD1407</t>
        </is>
      </c>
      <c r="B408" s="17" t="inlineStr">
        <is>
          <t>2025-03-03</t>
        </is>
      </c>
      <c r="C408" s="17" t="inlineStr">
        <is>
          <t>11:58:05</t>
        </is>
      </c>
      <c r="D408" s="17" t="n">
        <v>1160</v>
      </c>
      <c r="E408" s="17" t="n">
        <v>110</v>
      </c>
      <c r="F408" s="17" t="n">
        <v>204</v>
      </c>
      <c r="G408" s="17" t="inlineStr">
        <is>
          <t>Pune</t>
        </is>
      </c>
      <c r="H408" s="17" t="inlineStr">
        <is>
          <t>North Indian</t>
        </is>
      </c>
      <c r="I408" s="22" t="n">
        <v>912</v>
      </c>
      <c r="J408" s="22" t="n">
        <v>106.62</v>
      </c>
      <c r="K408" s="22" t="n">
        <v>29</v>
      </c>
      <c r="L408" s="23" t="n">
        <v>0.18</v>
      </c>
      <c r="M408" s="22" t="n">
        <v>171.41</v>
      </c>
      <c r="N408" s="24" t="n">
        <v>3.8</v>
      </c>
      <c r="O408" s="24" t="n">
        <v>29.1</v>
      </c>
      <c r="P408" s="17" t="inlineStr">
        <is>
          <t>UPI</t>
        </is>
      </c>
      <c r="Q408" s="17" t="inlineStr">
        <is>
          <t>Delivered</t>
        </is>
      </c>
      <c r="R408" s="17" t="n">
        <v>2</v>
      </c>
      <c r="S408" s="17">
        <f>TEXT(B408,"yyyy-mm")</f>
        <v/>
      </c>
      <c r="T408" s="17">
        <f>VLOOKUP(D408,Customers!A:D,4,FALSE)</f>
        <v/>
      </c>
      <c r="U408" s="17">
        <f>CONCATENATE(A408,"-",G408)</f>
        <v/>
      </c>
      <c r="V408" s="17">
        <f>IF(N408="","",IF(N408&lt;=30,"Fast (&lt;30m)",IF(N408&lt;=45,"Moderate (30-45m)","Delayed (&gt;45m)")))</f>
        <v/>
      </c>
      <c r="W408" s="17">
        <f>IF(AND(I408&gt;600,P408="Delivered"),"High Value Delivered","Standard")</f>
        <v/>
      </c>
      <c r="X408" s="17">
        <f>IF(OR(N408&gt;50,Q408&lt;=2),"High Risk / Delayed","Normal")</f>
        <v/>
      </c>
      <c r="Y408" s="17">
        <f>IF(NOT(P408="Cancelled"),"Fulfilled","Cancelled")</f>
        <v/>
      </c>
      <c r="Z408" s="17">
        <f>IFERROR(Q408,0)</f>
        <v/>
      </c>
    </row>
    <row r="409">
      <c r="A409" s="25" t="inlineStr">
        <is>
          <t>ORD1408</t>
        </is>
      </c>
      <c r="B409" s="25" t="inlineStr">
        <is>
          <t>2025-11-14</t>
        </is>
      </c>
      <c r="C409" s="25" t="inlineStr">
        <is>
          <t>20:20:31</t>
        </is>
      </c>
      <c r="D409" s="25" t="n">
        <v>1034</v>
      </c>
      <c r="E409" s="25" t="n">
        <v>113</v>
      </c>
      <c r="F409" s="25" t="n">
        <v>206</v>
      </c>
      <c r="G409" s="25" t="inlineStr">
        <is>
          <t>Mumbai</t>
        </is>
      </c>
      <c r="H409" s="25" t="inlineStr">
        <is>
          <t>Fast Food</t>
        </is>
      </c>
      <c r="I409" s="26" t="n">
        <v>1130</v>
      </c>
      <c r="J409" s="26" t="n">
        <v>144.04</v>
      </c>
      <c r="K409" s="26" t="n">
        <v>0</v>
      </c>
      <c r="L409" s="27" t="n">
        <v>0.18</v>
      </c>
      <c r="M409" s="26" t="n">
        <v>203.4</v>
      </c>
      <c r="N409" s="28" t="n">
        <v>2.8</v>
      </c>
      <c r="O409" s="28" t="n">
        <v>25.1</v>
      </c>
      <c r="P409" s="25" t="inlineStr">
        <is>
          <t>Digital Wallet</t>
        </is>
      </c>
      <c r="Q409" s="25" t="inlineStr">
        <is>
          <t>Delivered</t>
        </is>
      </c>
      <c r="R409" s="25" t="n">
        <v>4</v>
      </c>
      <c r="S409" s="25">
        <f>TEXT(B409,"yyyy-mm")</f>
        <v/>
      </c>
      <c r="T409" s="25">
        <f>VLOOKUP(D409,Customers!A:D,4,FALSE)</f>
        <v/>
      </c>
      <c r="U409" s="25">
        <f>CONCATENATE(A409,"-",G409)</f>
        <v/>
      </c>
      <c r="V409" s="25">
        <f>IF(N409="","",IF(N409&lt;=30,"Fast (&lt;30m)",IF(N409&lt;=45,"Moderate (30-45m)","Delayed (&gt;45m)")))</f>
        <v/>
      </c>
      <c r="W409" s="25">
        <f>IF(AND(I409&gt;600,P409="Delivered"),"High Value Delivered","Standard")</f>
        <v/>
      </c>
      <c r="X409" s="25">
        <f>IF(OR(N409&gt;50,Q409&lt;=2),"High Risk / Delayed","Normal")</f>
        <v/>
      </c>
      <c r="Y409" s="25">
        <f>IF(NOT(P409="Cancelled"),"Fulfilled","Cancelled")</f>
        <v/>
      </c>
      <c r="Z409" s="25">
        <f>IFERROR(Q409,0)</f>
        <v/>
      </c>
    </row>
    <row r="410">
      <c r="A410" s="17" t="inlineStr">
        <is>
          <t>ORD1409</t>
        </is>
      </c>
      <c r="B410" s="17" t="inlineStr">
        <is>
          <t>2025-10-23</t>
        </is>
      </c>
      <c r="C410" s="17" t="inlineStr">
        <is>
          <t>11:08:03</t>
        </is>
      </c>
      <c r="D410" s="17" t="n">
        <v>1057</v>
      </c>
      <c r="E410" s="17" t="n">
        <v>107</v>
      </c>
      <c r="F410" s="17" t="n">
        <v>202</v>
      </c>
      <c r="G410" s="17" t="inlineStr">
        <is>
          <t>Mumbai</t>
        </is>
      </c>
      <c r="H410" s="17" t="inlineStr">
        <is>
          <t>Desserts</t>
        </is>
      </c>
      <c r="I410" s="22" t="n">
        <v>758</v>
      </c>
      <c r="J410" s="22" t="n">
        <v>29.01</v>
      </c>
      <c r="K410" s="22" t="n">
        <v>26</v>
      </c>
      <c r="L410" s="23" t="n">
        <v>0.25</v>
      </c>
      <c r="M410" s="22" t="n">
        <v>196</v>
      </c>
      <c r="N410" s="24" t="n">
        <v>3.2</v>
      </c>
      <c r="O410" s="24" t="n">
        <v>28.6</v>
      </c>
      <c r="P410" s="17" t="inlineStr">
        <is>
          <t>Digital Wallet</t>
        </is>
      </c>
      <c r="Q410" s="17" t="inlineStr">
        <is>
          <t>Delivered</t>
        </is>
      </c>
      <c r="R410" s="17" t="n">
        <v>5</v>
      </c>
      <c r="S410" s="17">
        <f>TEXT(B410,"yyyy-mm")</f>
        <v/>
      </c>
      <c r="T410" s="17">
        <f>VLOOKUP(D410,Customers!A:D,4,FALSE)</f>
        <v/>
      </c>
      <c r="U410" s="17">
        <f>CONCATENATE(A410,"-",G410)</f>
        <v/>
      </c>
      <c r="V410" s="17">
        <f>IF(N410="","",IF(N410&lt;=30,"Fast (&lt;30m)",IF(N410&lt;=45,"Moderate (30-45m)","Delayed (&gt;45m)")))</f>
        <v/>
      </c>
      <c r="W410" s="17">
        <f>IF(AND(I410&gt;600,P410="Delivered"),"High Value Delivered","Standard")</f>
        <v/>
      </c>
      <c r="X410" s="17">
        <f>IF(OR(N410&gt;50,Q410&lt;=2),"High Risk / Delayed","Normal")</f>
        <v/>
      </c>
      <c r="Y410" s="17">
        <f>IF(NOT(P410="Cancelled"),"Fulfilled","Cancelled")</f>
        <v/>
      </c>
      <c r="Z410" s="17">
        <f>IFERROR(Q410,0)</f>
        <v/>
      </c>
    </row>
    <row r="411">
      <c r="A411" s="25" t="inlineStr">
        <is>
          <t>ORD1410</t>
        </is>
      </c>
      <c r="B411" s="25" t="inlineStr">
        <is>
          <t>2025-08-23</t>
        </is>
      </c>
      <c r="C411" s="25" t="inlineStr">
        <is>
          <t>20:07:44</t>
        </is>
      </c>
      <c r="D411" s="25" t="n">
        <v>1033</v>
      </c>
      <c r="E411" s="25" t="n">
        <v>109</v>
      </c>
      <c r="F411" s="25" t="n">
        <v>216</v>
      </c>
      <c r="G411" s="25" t="inlineStr">
        <is>
          <t>Hyderabad</t>
        </is>
      </c>
      <c r="H411" s="25" t="inlineStr">
        <is>
          <t>Biryani</t>
        </is>
      </c>
      <c r="I411" s="26" t="n">
        <v>750</v>
      </c>
      <c r="J411" s="26" t="n">
        <v>0</v>
      </c>
      <c r="K411" s="26" t="n">
        <v>25</v>
      </c>
      <c r="L411" s="27" t="n">
        <v>0.2</v>
      </c>
      <c r="M411" s="26" t="n">
        <v>156.25</v>
      </c>
      <c r="N411" s="28" t="n">
        <v>1</v>
      </c>
      <c r="O411" s="28" t="n">
        <v>23</v>
      </c>
      <c r="P411" s="25" t="inlineStr">
        <is>
          <t>UPI</t>
        </is>
      </c>
      <c r="Q411" s="25" t="inlineStr">
        <is>
          <t>Delivered</t>
        </is>
      </c>
      <c r="R411" s="25" t="n">
        <v>4</v>
      </c>
      <c r="S411" s="25">
        <f>TEXT(B411,"yyyy-mm")</f>
        <v/>
      </c>
      <c r="T411" s="25">
        <f>VLOOKUP(D411,Customers!A:D,4,FALSE)</f>
        <v/>
      </c>
      <c r="U411" s="25">
        <f>CONCATENATE(A411,"-",G411)</f>
        <v/>
      </c>
      <c r="V411" s="25">
        <f>IF(N411="","",IF(N411&lt;=30,"Fast (&lt;30m)",IF(N411&lt;=45,"Moderate (30-45m)","Delayed (&gt;45m)")))</f>
        <v/>
      </c>
      <c r="W411" s="25">
        <f>IF(AND(I411&gt;600,P411="Delivered"),"High Value Delivered","Standard")</f>
        <v/>
      </c>
      <c r="X411" s="25">
        <f>IF(OR(N411&gt;50,Q411&lt;=2),"High Risk / Delayed","Normal")</f>
        <v/>
      </c>
      <c r="Y411" s="25">
        <f>IF(NOT(P411="Cancelled"),"Fulfilled","Cancelled")</f>
        <v/>
      </c>
      <c r="Z411" s="25">
        <f>IFERROR(Q411,0)</f>
        <v/>
      </c>
    </row>
    <row r="412">
      <c r="A412" s="17" t="inlineStr">
        <is>
          <t>ORD1411</t>
        </is>
      </c>
      <c r="B412" s="17" t="inlineStr">
        <is>
          <t>2025-06-16</t>
        </is>
      </c>
      <c r="C412" s="17" t="inlineStr">
        <is>
          <t>19:23:39</t>
        </is>
      </c>
      <c r="D412" s="17" t="n">
        <v>1064</v>
      </c>
      <c r="E412" s="17" t="n">
        <v>110</v>
      </c>
      <c r="F412" s="17" t="n">
        <v>207</v>
      </c>
      <c r="G412" s="17" t="inlineStr">
        <is>
          <t>Pune</t>
        </is>
      </c>
      <c r="H412" s="17" t="inlineStr">
        <is>
          <t>North Indian</t>
        </is>
      </c>
      <c r="I412" s="22" t="n">
        <v>485</v>
      </c>
      <c r="J412" s="22" t="n">
        <v>0</v>
      </c>
      <c r="K412" s="22" t="n">
        <v>25</v>
      </c>
      <c r="L412" s="23" t="n">
        <v>0.18</v>
      </c>
      <c r="M412" s="22" t="n">
        <v>93.55</v>
      </c>
      <c r="N412" s="24" t="n">
        <v>3</v>
      </c>
      <c r="O412" s="24" t="n">
        <v>26.3</v>
      </c>
      <c r="P412" s="17" t="inlineStr">
        <is>
          <t>Debit Card</t>
        </is>
      </c>
      <c r="Q412" s="17" t="inlineStr">
        <is>
          <t>Delivered</t>
        </is>
      </c>
      <c r="R412" s="17" t="n">
        <v>5</v>
      </c>
      <c r="S412" s="17">
        <f>TEXT(B412,"yyyy-mm")</f>
        <v/>
      </c>
      <c r="T412" s="17">
        <f>VLOOKUP(D412,Customers!A:D,4,FALSE)</f>
        <v/>
      </c>
      <c r="U412" s="17">
        <f>CONCATENATE(A412,"-",G412)</f>
        <v/>
      </c>
      <c r="V412" s="17">
        <f>IF(N412="","",IF(N412&lt;=30,"Fast (&lt;30m)",IF(N412&lt;=45,"Moderate (30-45m)","Delayed (&gt;45m)")))</f>
        <v/>
      </c>
      <c r="W412" s="17">
        <f>IF(AND(I412&gt;600,P412="Delivered"),"High Value Delivered","Standard")</f>
        <v/>
      </c>
      <c r="X412" s="17">
        <f>IF(OR(N412&gt;50,Q412&lt;=2),"High Risk / Delayed","Normal")</f>
        <v/>
      </c>
      <c r="Y412" s="17">
        <f>IF(NOT(P412="Cancelled"),"Fulfilled","Cancelled")</f>
        <v/>
      </c>
      <c r="Z412" s="17">
        <f>IFERROR(Q412,0)</f>
        <v/>
      </c>
    </row>
    <row r="413">
      <c r="A413" s="25" t="inlineStr">
        <is>
          <t>ORD1412</t>
        </is>
      </c>
      <c r="B413" s="25" t="inlineStr">
        <is>
          <t>2025-04-05</t>
        </is>
      </c>
      <c r="C413" s="25" t="inlineStr">
        <is>
          <t>11:31:27</t>
        </is>
      </c>
      <c r="D413" s="25" t="n">
        <v>1075</v>
      </c>
      <c r="E413" s="25" t="n">
        <v>118</v>
      </c>
      <c r="F413" s="25" t="n">
        <v>228</v>
      </c>
      <c r="G413" s="25" t="inlineStr">
        <is>
          <t>Delhi NCR</t>
        </is>
      </c>
      <c r="H413" s="25" t="inlineStr">
        <is>
          <t>North Indian</t>
        </is>
      </c>
      <c r="I413" s="26" t="n">
        <v>435</v>
      </c>
      <c r="J413" s="26" t="n">
        <v>34.51</v>
      </c>
      <c r="K413" s="26" t="n">
        <v>25</v>
      </c>
      <c r="L413" s="27" t="n">
        <v>0.2</v>
      </c>
      <c r="M413" s="26" t="n">
        <v>93.25</v>
      </c>
      <c r="N413" s="28" t="n">
        <v>2.4</v>
      </c>
      <c r="O413" s="28" t="n">
        <v>28.2</v>
      </c>
      <c r="P413" s="25" t="inlineStr">
        <is>
          <t>Debit Card</t>
        </is>
      </c>
      <c r="Q413" s="25" t="inlineStr">
        <is>
          <t>Delivered</t>
        </is>
      </c>
      <c r="R413" s="25" t="n">
        <v>4</v>
      </c>
      <c r="S413" s="25">
        <f>TEXT(B413,"yyyy-mm")</f>
        <v/>
      </c>
      <c r="T413" s="25">
        <f>VLOOKUP(D413,Customers!A:D,4,FALSE)</f>
        <v/>
      </c>
      <c r="U413" s="25">
        <f>CONCATENATE(A413,"-",G413)</f>
        <v/>
      </c>
      <c r="V413" s="25">
        <f>IF(N413="","",IF(N413&lt;=30,"Fast (&lt;30m)",IF(N413&lt;=45,"Moderate (30-45m)","Delayed (&gt;45m)")))</f>
        <v/>
      </c>
      <c r="W413" s="25">
        <f>IF(AND(I413&gt;600,P413="Delivered"),"High Value Delivered","Standard")</f>
        <v/>
      </c>
      <c r="X413" s="25">
        <f>IF(OR(N413&gt;50,Q413&lt;=2),"High Risk / Delayed","Normal")</f>
        <v/>
      </c>
      <c r="Y413" s="25">
        <f>IF(NOT(P413="Cancelled"),"Fulfilled","Cancelled")</f>
        <v/>
      </c>
      <c r="Z413" s="25">
        <f>IFERROR(Q413,0)</f>
        <v/>
      </c>
    </row>
    <row r="414">
      <c r="A414" s="17" t="inlineStr">
        <is>
          <t>ORD1413</t>
        </is>
      </c>
      <c r="B414" s="17" t="inlineStr">
        <is>
          <t>2025-04-03</t>
        </is>
      </c>
      <c r="C414" s="17" t="inlineStr">
        <is>
          <t>20:36:08</t>
        </is>
      </c>
      <c r="D414" s="17" t="n">
        <v>1079</v>
      </c>
      <c r="E414" s="17" t="n">
        <v>105</v>
      </c>
      <c r="F414" s="17" t="n">
        <v>203</v>
      </c>
      <c r="G414" s="17" t="inlineStr">
        <is>
          <t>Bangalore</t>
        </is>
      </c>
      <c r="H414" s="17" t="inlineStr">
        <is>
          <t>Chinese</t>
        </is>
      </c>
      <c r="I414" s="22" t="n">
        <v>809</v>
      </c>
      <c r="J414" s="22" t="n">
        <v>52.69</v>
      </c>
      <c r="K414" s="22" t="n">
        <v>41.5</v>
      </c>
      <c r="L414" s="23" t="n">
        <v>0.2</v>
      </c>
      <c r="M414" s="22" t="n">
        <v>172.18</v>
      </c>
      <c r="N414" s="24" t="n">
        <v>6.3</v>
      </c>
      <c r="O414" s="24" t="n">
        <v>49.4</v>
      </c>
      <c r="P414" s="17" t="inlineStr">
        <is>
          <t>Credit Card</t>
        </is>
      </c>
      <c r="Q414" s="17" t="inlineStr">
        <is>
          <t>Delivered</t>
        </is>
      </c>
      <c r="R414" s="17" t="n">
        <v>3</v>
      </c>
      <c r="S414" s="17">
        <f>TEXT(B414,"yyyy-mm")</f>
        <v/>
      </c>
      <c r="T414" s="17">
        <f>VLOOKUP(D414,Customers!A:D,4,FALSE)</f>
        <v/>
      </c>
      <c r="U414" s="17">
        <f>CONCATENATE(A414,"-",G414)</f>
        <v/>
      </c>
      <c r="V414" s="17">
        <f>IF(N414="","",IF(N414&lt;=30,"Fast (&lt;30m)",IF(N414&lt;=45,"Moderate (30-45m)","Delayed (&gt;45m)")))</f>
        <v/>
      </c>
      <c r="W414" s="17">
        <f>IF(AND(I414&gt;600,P414="Delivered"),"High Value Delivered","Standard")</f>
        <v/>
      </c>
      <c r="X414" s="17">
        <f>IF(OR(N414&gt;50,Q414&lt;=2),"High Risk / Delayed","Normal")</f>
        <v/>
      </c>
      <c r="Y414" s="17">
        <f>IF(NOT(P414="Cancelled"),"Fulfilled","Cancelled")</f>
        <v/>
      </c>
      <c r="Z414" s="17">
        <f>IFERROR(Q414,0)</f>
        <v/>
      </c>
    </row>
    <row r="415">
      <c r="A415" s="25" t="inlineStr">
        <is>
          <t>ORD1414</t>
        </is>
      </c>
      <c r="B415" s="25" t="inlineStr">
        <is>
          <t>2025-03-16</t>
        </is>
      </c>
      <c r="C415" s="25" t="inlineStr">
        <is>
          <t>22:51:47</t>
        </is>
      </c>
      <c r="D415" s="25" t="n">
        <v>1222</v>
      </c>
      <c r="E415" s="25" t="n">
        <v>119</v>
      </c>
      <c r="F415" s="25" t="n">
        <v>215</v>
      </c>
      <c r="G415" s="25" t="inlineStr">
        <is>
          <t>Hyderabad</t>
        </is>
      </c>
      <c r="H415" s="25" t="inlineStr">
        <is>
          <t>Biryani</t>
        </is>
      </c>
      <c r="I415" s="26" t="n">
        <v>373</v>
      </c>
      <c r="J415" s="26" t="n">
        <v>0</v>
      </c>
      <c r="K415" s="26" t="n">
        <v>50</v>
      </c>
      <c r="L415" s="27" t="n">
        <v>0.2</v>
      </c>
      <c r="M415" s="26" t="n">
        <v>87.09999999999999</v>
      </c>
      <c r="N415" s="28" t="n">
        <v>8</v>
      </c>
      <c r="O415" s="28" t="n">
        <v>35.7</v>
      </c>
      <c r="P415" s="25" t="inlineStr">
        <is>
          <t>Cash on Delivery</t>
        </is>
      </c>
      <c r="Q415" s="25" t="inlineStr">
        <is>
          <t>Delivered</t>
        </is>
      </c>
      <c r="R415" s="25" t="n">
        <v>5</v>
      </c>
      <c r="S415" s="25">
        <f>TEXT(B415,"yyyy-mm")</f>
        <v/>
      </c>
      <c r="T415" s="25">
        <f>VLOOKUP(D415,Customers!A:D,4,FALSE)</f>
        <v/>
      </c>
      <c r="U415" s="25">
        <f>CONCATENATE(A415,"-",G415)</f>
        <v/>
      </c>
      <c r="V415" s="25">
        <f>IF(N415="","",IF(N415&lt;=30,"Fast (&lt;30m)",IF(N415&lt;=45,"Moderate (30-45m)","Delayed (&gt;45m)")))</f>
        <v/>
      </c>
      <c r="W415" s="25">
        <f>IF(AND(I415&gt;600,P415="Delivered"),"High Value Delivered","Standard")</f>
        <v/>
      </c>
      <c r="X415" s="25">
        <f>IF(OR(N415&gt;50,Q415&lt;=2),"High Risk / Delayed","Normal")</f>
        <v/>
      </c>
      <c r="Y415" s="25">
        <f>IF(NOT(P415="Cancelled"),"Fulfilled","Cancelled")</f>
        <v/>
      </c>
      <c r="Z415" s="25">
        <f>IFERROR(Q415,0)</f>
        <v/>
      </c>
    </row>
    <row r="416">
      <c r="A416" s="17" t="inlineStr">
        <is>
          <t>ORD1415</t>
        </is>
      </c>
      <c r="B416" s="17" t="inlineStr">
        <is>
          <t>2025-09-07</t>
        </is>
      </c>
      <c r="C416" s="17" t="inlineStr">
        <is>
          <t>14:19:16</t>
        </is>
      </c>
      <c r="D416" s="17" t="n">
        <v>1232</v>
      </c>
      <c r="E416" s="17" t="n">
        <v>109</v>
      </c>
      <c r="F416" s="17" t="n">
        <v>215</v>
      </c>
      <c r="G416" s="17" t="inlineStr">
        <is>
          <t>Hyderabad</t>
        </is>
      </c>
      <c r="H416" s="17" t="inlineStr">
        <is>
          <t>Biryani</t>
        </is>
      </c>
      <c r="I416" s="22" t="n">
        <v>795</v>
      </c>
      <c r="J416" s="22" t="n">
        <v>3.03</v>
      </c>
      <c r="K416" s="22" t="n">
        <v>26</v>
      </c>
      <c r="L416" s="23" t="n">
        <v>0.2</v>
      </c>
      <c r="M416" s="22" t="n">
        <v>165.5</v>
      </c>
      <c r="N416" s="24" t="n">
        <v>3.2</v>
      </c>
      <c r="O416" s="24" t="n">
        <v>31.2</v>
      </c>
      <c r="P416" s="17" t="inlineStr">
        <is>
          <t>Credit Card</t>
        </is>
      </c>
      <c r="Q416" s="17" t="inlineStr">
        <is>
          <t>Delivered</t>
        </is>
      </c>
      <c r="R416" s="17" t="n">
        <v>1</v>
      </c>
      <c r="S416" s="17">
        <f>TEXT(B416,"yyyy-mm")</f>
        <v/>
      </c>
      <c r="T416" s="17">
        <f>VLOOKUP(D416,Customers!A:D,4,FALSE)</f>
        <v/>
      </c>
      <c r="U416" s="17">
        <f>CONCATENATE(A416,"-",G416)</f>
        <v/>
      </c>
      <c r="V416" s="17">
        <f>IF(N416="","",IF(N416&lt;=30,"Fast (&lt;30m)",IF(N416&lt;=45,"Moderate (30-45m)","Delayed (&gt;45m)")))</f>
        <v/>
      </c>
      <c r="W416" s="17">
        <f>IF(AND(I416&gt;600,P416="Delivered"),"High Value Delivered","Standard")</f>
        <v/>
      </c>
      <c r="X416" s="17">
        <f>IF(OR(N416&gt;50,Q416&lt;=2),"High Risk / Delayed","Normal")</f>
        <v/>
      </c>
      <c r="Y416" s="17">
        <f>IF(NOT(P416="Cancelled"),"Fulfilled","Cancelled")</f>
        <v/>
      </c>
      <c r="Z416" s="17">
        <f>IFERROR(Q416,0)</f>
        <v/>
      </c>
    </row>
    <row r="417">
      <c r="A417" s="25" t="inlineStr">
        <is>
          <t>ORD1416</t>
        </is>
      </c>
      <c r="B417" s="25" t="inlineStr">
        <is>
          <t>2025-05-11</t>
        </is>
      </c>
      <c r="C417" s="25" t="inlineStr">
        <is>
          <t>13:30:53</t>
        </is>
      </c>
      <c r="D417" s="25" t="n">
        <v>1271</v>
      </c>
      <c r="E417" s="25" t="n">
        <v>108</v>
      </c>
      <c r="F417" s="25" t="n">
        <v>228</v>
      </c>
      <c r="G417" s="25" t="inlineStr">
        <is>
          <t>Delhi NCR</t>
        </is>
      </c>
      <c r="H417" s="25" t="inlineStr">
        <is>
          <t>Fast Food</t>
        </is>
      </c>
      <c r="I417" s="26" t="n">
        <v>864</v>
      </c>
      <c r="J417" s="26" t="n">
        <v>49.02</v>
      </c>
      <c r="K417" s="26" t="n">
        <v>25</v>
      </c>
      <c r="L417" s="27" t="n">
        <v>0.18</v>
      </c>
      <c r="M417" s="26" t="n">
        <v>161.77</v>
      </c>
      <c r="N417" s="28" t="n">
        <v>3</v>
      </c>
      <c r="O417" s="28" t="n">
        <v>34.6</v>
      </c>
      <c r="P417" s="25" t="inlineStr">
        <is>
          <t>Debit Card</t>
        </is>
      </c>
      <c r="Q417" s="25" t="inlineStr">
        <is>
          <t>Delivered</t>
        </is>
      </c>
      <c r="R417" s="25" t="n">
        <v>3</v>
      </c>
      <c r="S417" s="25">
        <f>TEXT(B417,"yyyy-mm")</f>
        <v/>
      </c>
      <c r="T417" s="25">
        <f>VLOOKUP(D417,Customers!A:D,4,FALSE)</f>
        <v/>
      </c>
      <c r="U417" s="25">
        <f>CONCATENATE(A417,"-",G417)</f>
        <v/>
      </c>
      <c r="V417" s="25">
        <f>IF(N417="","",IF(N417&lt;=30,"Fast (&lt;30m)",IF(N417&lt;=45,"Moderate (30-45m)","Delayed (&gt;45m)")))</f>
        <v/>
      </c>
      <c r="W417" s="25">
        <f>IF(AND(I417&gt;600,P417="Delivered"),"High Value Delivered","Standard")</f>
        <v/>
      </c>
      <c r="X417" s="25">
        <f>IF(OR(N417&gt;50,Q417&lt;=2),"High Risk / Delayed","Normal")</f>
        <v/>
      </c>
      <c r="Y417" s="25">
        <f>IF(NOT(P417="Cancelled"),"Fulfilled","Cancelled")</f>
        <v/>
      </c>
      <c r="Z417" s="25">
        <f>IFERROR(Q417,0)</f>
        <v/>
      </c>
    </row>
    <row r="418">
      <c r="A418" s="17" t="inlineStr">
        <is>
          <t>ORD1417</t>
        </is>
      </c>
      <c r="B418" s="17" t="inlineStr">
        <is>
          <t>2025-06-26</t>
        </is>
      </c>
      <c r="C418" s="17" t="inlineStr">
        <is>
          <t>10:01:26</t>
        </is>
      </c>
      <c r="D418" s="17" t="n">
        <v>1257</v>
      </c>
      <c r="E418" s="17" t="n">
        <v>120</v>
      </c>
      <c r="F418" s="17" t="n">
        <v>224</v>
      </c>
      <c r="G418" s="17" t="inlineStr">
        <is>
          <t>Pune</t>
        </is>
      </c>
      <c r="H418" s="17" t="inlineStr">
        <is>
          <t>Fast Food</t>
        </is>
      </c>
      <c r="I418" s="22" t="n">
        <v>533</v>
      </c>
      <c r="J418" s="22" t="n">
        <v>99.53</v>
      </c>
      <c r="K418" s="22" t="n">
        <v>0</v>
      </c>
      <c r="L418" s="23" t="n">
        <v>0.18</v>
      </c>
      <c r="M418" s="22" t="n">
        <v>95.94</v>
      </c>
      <c r="N418" s="24" t="n">
        <v>4.2</v>
      </c>
      <c r="O418" s="24" t="n">
        <v/>
      </c>
      <c r="P418" s="17" t="inlineStr">
        <is>
          <t>Credit Card</t>
        </is>
      </c>
      <c r="Q418" s="17" t="inlineStr">
        <is>
          <t>Cancelled</t>
        </is>
      </c>
      <c r="R418" s="17" t="n">
        <v/>
      </c>
      <c r="S418" s="17">
        <f>TEXT(B418,"yyyy-mm")</f>
        <v/>
      </c>
      <c r="T418" s="17">
        <f>VLOOKUP(D418,Customers!A:D,4,FALSE)</f>
        <v/>
      </c>
      <c r="U418" s="17">
        <f>CONCATENATE(A418,"-",G418)</f>
        <v/>
      </c>
      <c r="V418" s="17">
        <f>IF(N418="","",IF(N418&lt;=30,"Fast (&lt;30m)",IF(N418&lt;=45,"Moderate (30-45m)","Delayed (&gt;45m)")))</f>
        <v/>
      </c>
      <c r="W418" s="17">
        <f>IF(AND(I418&gt;600,P418="Delivered"),"High Value Delivered","Standard")</f>
        <v/>
      </c>
      <c r="X418" s="17">
        <f>IF(OR(N418&gt;50,Q418&lt;=2),"High Risk / Delayed","Normal")</f>
        <v/>
      </c>
      <c r="Y418" s="17">
        <f>IF(NOT(P418="Cancelled"),"Fulfilled","Cancelled")</f>
        <v/>
      </c>
      <c r="Z418" s="17">
        <f>IFERROR(Q418,0)</f>
        <v/>
      </c>
    </row>
    <row r="419">
      <c r="A419" s="25" t="inlineStr">
        <is>
          <t>ORD1418</t>
        </is>
      </c>
      <c r="B419" s="25" t="inlineStr">
        <is>
          <t>2025-06-16</t>
        </is>
      </c>
      <c r="C419" s="25" t="inlineStr">
        <is>
          <t>12:43:32</t>
        </is>
      </c>
      <c r="D419" s="25" t="n">
        <v>1182</v>
      </c>
      <c r="E419" s="25" t="n">
        <v>102</v>
      </c>
      <c r="F419" s="25" t="n">
        <v>225</v>
      </c>
      <c r="G419" s="25" t="inlineStr">
        <is>
          <t>Hyderabad</t>
        </is>
      </c>
      <c r="H419" s="25" t="inlineStr">
        <is>
          <t>Biryani</t>
        </is>
      </c>
      <c r="I419" s="26" t="n">
        <v>719</v>
      </c>
      <c r="J419" s="26" t="n">
        <v>25.71</v>
      </c>
      <c r="K419" s="26" t="n">
        <v>39.5</v>
      </c>
      <c r="L419" s="27" t="n">
        <v>0.22</v>
      </c>
      <c r="M419" s="26" t="n">
        <v>168.06</v>
      </c>
      <c r="N419" s="28" t="n">
        <v>5.9</v>
      </c>
      <c r="O419" s="28" t="n">
        <v>46.2</v>
      </c>
      <c r="P419" s="25" t="inlineStr">
        <is>
          <t>Digital Wallet</t>
        </is>
      </c>
      <c r="Q419" s="25" t="inlineStr">
        <is>
          <t>Delivered</t>
        </is>
      </c>
      <c r="R419" s="25" t="n">
        <v>2</v>
      </c>
      <c r="S419" s="25">
        <f>TEXT(B419,"yyyy-mm")</f>
        <v/>
      </c>
      <c r="T419" s="25">
        <f>VLOOKUP(D419,Customers!A:D,4,FALSE)</f>
        <v/>
      </c>
      <c r="U419" s="25">
        <f>CONCATENATE(A419,"-",G419)</f>
        <v/>
      </c>
      <c r="V419" s="25">
        <f>IF(N419="","",IF(N419&lt;=30,"Fast (&lt;30m)",IF(N419&lt;=45,"Moderate (30-45m)","Delayed (&gt;45m)")))</f>
        <v/>
      </c>
      <c r="W419" s="25">
        <f>IF(AND(I419&gt;600,P419="Delivered"),"High Value Delivered","Standard")</f>
        <v/>
      </c>
      <c r="X419" s="25">
        <f>IF(OR(N419&gt;50,Q419&lt;=2),"High Risk / Delayed","Normal")</f>
        <v/>
      </c>
      <c r="Y419" s="25">
        <f>IF(NOT(P419="Cancelled"),"Fulfilled","Cancelled")</f>
        <v/>
      </c>
      <c r="Z419" s="25">
        <f>IFERROR(Q419,0)</f>
        <v/>
      </c>
    </row>
    <row r="420">
      <c r="A420" s="17" t="inlineStr">
        <is>
          <t>ORD1419</t>
        </is>
      </c>
      <c r="B420" s="17" t="inlineStr">
        <is>
          <t>2025-03-27</t>
        </is>
      </c>
      <c r="C420" s="17" t="inlineStr">
        <is>
          <t>16:40:51</t>
        </is>
      </c>
      <c r="D420" s="17" t="n">
        <v>1142</v>
      </c>
      <c r="E420" s="17" t="n">
        <v>102</v>
      </c>
      <c r="F420" s="17" t="n">
        <v>216</v>
      </c>
      <c r="G420" s="17" t="inlineStr">
        <is>
          <t>Hyderabad</t>
        </is>
      </c>
      <c r="H420" s="17" t="inlineStr">
        <is>
          <t>Biryani</t>
        </is>
      </c>
      <c r="I420" s="22" t="n">
        <v>565</v>
      </c>
      <c r="J420" s="22" t="n">
        <v>0</v>
      </c>
      <c r="K420" s="22" t="n">
        <v>25</v>
      </c>
      <c r="L420" s="23" t="n">
        <v>0.22</v>
      </c>
      <c r="M420" s="22" t="n">
        <v>130.55</v>
      </c>
      <c r="N420" s="24" t="n">
        <v>2</v>
      </c>
      <c r="O420" s="24" t="n">
        <v>24.5</v>
      </c>
      <c r="P420" s="17" t="inlineStr">
        <is>
          <t>Cash on Delivery</t>
        </is>
      </c>
      <c r="Q420" s="17" t="inlineStr">
        <is>
          <t>Delivered</t>
        </is>
      </c>
      <c r="R420" s="17" t="n">
        <v>5</v>
      </c>
      <c r="S420" s="17">
        <f>TEXT(B420,"yyyy-mm")</f>
        <v/>
      </c>
      <c r="T420" s="17">
        <f>VLOOKUP(D420,Customers!A:D,4,FALSE)</f>
        <v/>
      </c>
      <c r="U420" s="17">
        <f>CONCATENATE(A420,"-",G420)</f>
        <v/>
      </c>
      <c r="V420" s="17">
        <f>IF(N420="","",IF(N420&lt;=30,"Fast (&lt;30m)",IF(N420&lt;=45,"Moderate (30-45m)","Delayed (&gt;45m)")))</f>
        <v/>
      </c>
      <c r="W420" s="17">
        <f>IF(AND(I420&gt;600,P420="Delivered"),"High Value Delivered","Standard")</f>
        <v/>
      </c>
      <c r="X420" s="17">
        <f>IF(OR(N420&gt;50,Q420&lt;=2),"High Risk / Delayed","Normal")</f>
        <v/>
      </c>
      <c r="Y420" s="17">
        <f>IF(NOT(P420="Cancelled"),"Fulfilled","Cancelled")</f>
        <v/>
      </c>
      <c r="Z420" s="17">
        <f>IFERROR(Q420,0)</f>
        <v/>
      </c>
    </row>
    <row r="421">
      <c r="A421" s="25" t="inlineStr">
        <is>
          <t>ORD1420</t>
        </is>
      </c>
      <c r="B421" s="25" t="inlineStr">
        <is>
          <t>2025-03-24</t>
        </is>
      </c>
      <c r="C421" s="25" t="inlineStr">
        <is>
          <t>11:21:14</t>
        </is>
      </c>
      <c r="D421" s="25" t="n">
        <v>1167</v>
      </c>
      <c r="E421" s="25" t="n">
        <v>104</v>
      </c>
      <c r="F421" s="25" t="n">
        <v>228</v>
      </c>
      <c r="G421" s="25" t="inlineStr">
        <is>
          <t>Delhi NCR</t>
        </is>
      </c>
      <c r="H421" s="25" t="inlineStr">
        <is>
          <t>Fast Food</t>
        </is>
      </c>
      <c r="I421" s="26" t="n">
        <v>541</v>
      </c>
      <c r="J421" s="26" t="n">
        <v>0</v>
      </c>
      <c r="K421" s="26" t="n">
        <v>30.5</v>
      </c>
      <c r="L421" s="27" t="n">
        <v>0.18</v>
      </c>
      <c r="M421" s="26" t="n">
        <v>105</v>
      </c>
      <c r="N421" s="28" t="n">
        <v>4.1</v>
      </c>
      <c r="O421" s="28" t="n">
        <v>27.3</v>
      </c>
      <c r="P421" s="25" t="inlineStr">
        <is>
          <t>Debit Card</t>
        </is>
      </c>
      <c r="Q421" s="25" t="inlineStr">
        <is>
          <t>Delivered</t>
        </is>
      </c>
      <c r="R421" s="25" t="n">
        <v>4</v>
      </c>
      <c r="S421" s="25">
        <f>TEXT(B421,"yyyy-mm")</f>
        <v/>
      </c>
      <c r="T421" s="25">
        <f>VLOOKUP(D421,Customers!A:D,4,FALSE)</f>
        <v/>
      </c>
      <c r="U421" s="25">
        <f>CONCATENATE(A421,"-",G421)</f>
        <v/>
      </c>
      <c r="V421" s="25">
        <f>IF(N421="","",IF(N421&lt;=30,"Fast (&lt;30m)",IF(N421&lt;=45,"Moderate (30-45m)","Delayed (&gt;45m)")))</f>
        <v/>
      </c>
      <c r="W421" s="25">
        <f>IF(AND(I421&gt;600,P421="Delivered"),"High Value Delivered","Standard")</f>
        <v/>
      </c>
      <c r="X421" s="25">
        <f>IF(OR(N421&gt;50,Q421&lt;=2),"High Risk / Delayed","Normal")</f>
        <v/>
      </c>
      <c r="Y421" s="25">
        <f>IF(NOT(P421="Cancelled"),"Fulfilled","Cancelled")</f>
        <v/>
      </c>
      <c r="Z421" s="25">
        <f>IFERROR(Q421,0)</f>
        <v/>
      </c>
    </row>
    <row r="422">
      <c r="A422" s="17" t="inlineStr">
        <is>
          <t>ORD1421</t>
        </is>
      </c>
      <c r="B422" s="17" t="inlineStr">
        <is>
          <t>2025-07-05</t>
        </is>
      </c>
      <c r="C422" s="17" t="inlineStr">
        <is>
          <t>19:47:37</t>
        </is>
      </c>
      <c r="D422" s="17" t="n">
        <v>1011</v>
      </c>
      <c r="E422" s="17" t="n">
        <v>102</v>
      </c>
      <c r="F422" s="17" t="n">
        <v>225</v>
      </c>
      <c r="G422" s="17" t="inlineStr">
        <is>
          <t>Hyderabad</t>
        </is>
      </c>
      <c r="H422" s="17" t="inlineStr">
        <is>
          <t>Biryani</t>
        </is>
      </c>
      <c r="I422" s="22" t="n">
        <v>753</v>
      </c>
      <c r="J422" s="22" t="n">
        <v>24.94</v>
      </c>
      <c r="K422" s="22" t="n">
        <v>28.5</v>
      </c>
      <c r="L422" s="23" t="n">
        <v>0.22</v>
      </c>
      <c r="M422" s="22" t="n">
        <v>172.78</v>
      </c>
      <c r="N422" s="24" t="n">
        <v>3.7</v>
      </c>
      <c r="O422" s="24" t="n">
        <v>28.3</v>
      </c>
      <c r="P422" s="17" t="inlineStr">
        <is>
          <t>UPI</t>
        </is>
      </c>
      <c r="Q422" s="17" t="inlineStr">
        <is>
          <t>Delivered</t>
        </is>
      </c>
      <c r="R422" s="17" t="n">
        <v>5</v>
      </c>
      <c r="S422" s="17">
        <f>TEXT(B422,"yyyy-mm")</f>
        <v/>
      </c>
      <c r="T422" s="17">
        <f>VLOOKUP(D422,Customers!A:D,4,FALSE)</f>
        <v/>
      </c>
      <c r="U422" s="17">
        <f>CONCATENATE(A422,"-",G422)</f>
        <v/>
      </c>
      <c r="V422" s="17">
        <f>IF(N422="","",IF(N422&lt;=30,"Fast (&lt;30m)",IF(N422&lt;=45,"Moderate (30-45m)","Delayed (&gt;45m)")))</f>
        <v/>
      </c>
      <c r="W422" s="17">
        <f>IF(AND(I422&gt;600,P422="Delivered"),"High Value Delivered","Standard")</f>
        <v/>
      </c>
      <c r="X422" s="17">
        <f>IF(OR(N422&gt;50,Q422&lt;=2),"High Risk / Delayed","Normal")</f>
        <v/>
      </c>
      <c r="Y422" s="17">
        <f>IF(NOT(P422="Cancelled"),"Fulfilled","Cancelled")</f>
        <v/>
      </c>
      <c r="Z422" s="17">
        <f>IFERROR(Q422,0)</f>
        <v/>
      </c>
    </row>
    <row r="423">
      <c r="A423" s="25" t="inlineStr">
        <is>
          <t>ORD1422</t>
        </is>
      </c>
      <c r="B423" s="25" t="inlineStr">
        <is>
          <t>2025-12-05</t>
        </is>
      </c>
      <c r="C423" s="25" t="inlineStr">
        <is>
          <t>22:16:47</t>
        </is>
      </c>
      <c r="D423" s="25" t="n">
        <v>1087</v>
      </c>
      <c r="E423" s="25" t="n">
        <v>116</v>
      </c>
      <c r="F423" s="25" t="n">
        <v>208</v>
      </c>
      <c r="G423" s="25" t="inlineStr">
        <is>
          <t>Pune</t>
        </is>
      </c>
      <c r="H423" s="25" t="inlineStr">
        <is>
          <t>Desserts</t>
        </is>
      </c>
      <c r="I423" s="26" t="n">
        <v>937</v>
      </c>
      <c r="J423" s="26" t="n">
        <v>96.03</v>
      </c>
      <c r="K423" s="26" t="n">
        <v>25</v>
      </c>
      <c r="L423" s="27" t="n">
        <v>0.25</v>
      </c>
      <c r="M423" s="26" t="n">
        <v>240.5</v>
      </c>
      <c r="N423" s="28" t="n">
        <v>2.7</v>
      </c>
      <c r="O423" s="28" t="n">
        <v>29.7</v>
      </c>
      <c r="P423" s="25" t="inlineStr">
        <is>
          <t>Cash on Delivery</t>
        </is>
      </c>
      <c r="Q423" s="25" t="inlineStr">
        <is>
          <t>Delivered</t>
        </is>
      </c>
      <c r="R423" s="25" t="n">
        <v>5</v>
      </c>
      <c r="S423" s="25">
        <f>TEXT(B423,"yyyy-mm")</f>
        <v/>
      </c>
      <c r="T423" s="25">
        <f>VLOOKUP(D423,Customers!A:D,4,FALSE)</f>
        <v/>
      </c>
      <c r="U423" s="25">
        <f>CONCATENATE(A423,"-",G423)</f>
        <v/>
      </c>
      <c r="V423" s="25">
        <f>IF(N423="","",IF(N423&lt;=30,"Fast (&lt;30m)",IF(N423&lt;=45,"Moderate (30-45m)","Delayed (&gt;45m)")))</f>
        <v/>
      </c>
      <c r="W423" s="25">
        <f>IF(AND(I423&gt;600,P423="Delivered"),"High Value Delivered","Standard")</f>
        <v/>
      </c>
      <c r="X423" s="25">
        <f>IF(OR(N423&gt;50,Q423&lt;=2),"High Risk / Delayed","Normal")</f>
        <v/>
      </c>
      <c r="Y423" s="25">
        <f>IF(NOT(P423="Cancelled"),"Fulfilled","Cancelled")</f>
        <v/>
      </c>
      <c r="Z423" s="25">
        <f>IFERROR(Q423,0)</f>
        <v/>
      </c>
    </row>
    <row r="424">
      <c r="A424" s="17" t="inlineStr">
        <is>
          <t>ORD1423</t>
        </is>
      </c>
      <c r="B424" s="17" t="inlineStr">
        <is>
          <t>2025-02-02</t>
        </is>
      </c>
      <c r="C424" s="17" t="inlineStr">
        <is>
          <t>21:59:56</t>
        </is>
      </c>
      <c r="D424" s="17" t="n">
        <v>1249</v>
      </c>
      <c r="E424" s="17" t="n">
        <v>119</v>
      </c>
      <c r="F424" s="17" t="n">
        <v>215</v>
      </c>
      <c r="G424" s="17" t="inlineStr">
        <is>
          <t>Hyderabad</t>
        </is>
      </c>
      <c r="H424" s="17" t="inlineStr">
        <is>
          <t>Biryani</t>
        </is>
      </c>
      <c r="I424" s="22" t="n">
        <v>944</v>
      </c>
      <c r="J424" s="22" t="n">
        <v>99.48</v>
      </c>
      <c r="K424" s="22" t="n">
        <v>0</v>
      </c>
      <c r="L424" s="23" t="n">
        <v>0.2</v>
      </c>
      <c r="M424" s="22" t="n">
        <v>188.8</v>
      </c>
      <c r="N424" s="24" t="n">
        <v>4.8</v>
      </c>
      <c r="O424" s="24" t="n">
        <v>38</v>
      </c>
      <c r="P424" s="17" t="inlineStr">
        <is>
          <t>Digital Wallet</t>
        </is>
      </c>
      <c r="Q424" s="17" t="inlineStr">
        <is>
          <t>Delivered</t>
        </is>
      </c>
      <c r="R424" s="17" t="n">
        <v>4</v>
      </c>
      <c r="S424" s="17">
        <f>TEXT(B424,"yyyy-mm")</f>
        <v/>
      </c>
      <c r="T424" s="17">
        <f>VLOOKUP(D424,Customers!A:D,4,FALSE)</f>
        <v/>
      </c>
      <c r="U424" s="17">
        <f>CONCATENATE(A424,"-",G424)</f>
        <v/>
      </c>
      <c r="V424" s="17">
        <f>IF(N424="","",IF(N424&lt;=30,"Fast (&lt;30m)",IF(N424&lt;=45,"Moderate (30-45m)","Delayed (&gt;45m)")))</f>
        <v/>
      </c>
      <c r="W424" s="17">
        <f>IF(AND(I424&gt;600,P424="Delivered"),"High Value Delivered","Standard")</f>
        <v/>
      </c>
      <c r="X424" s="17">
        <f>IF(OR(N424&gt;50,Q424&lt;=2),"High Risk / Delayed","Normal")</f>
        <v/>
      </c>
      <c r="Y424" s="17">
        <f>IF(NOT(P424="Cancelled"),"Fulfilled","Cancelled")</f>
        <v/>
      </c>
      <c r="Z424" s="17">
        <f>IFERROR(Q424,0)</f>
        <v/>
      </c>
    </row>
    <row r="425">
      <c r="A425" s="25" t="inlineStr">
        <is>
          <t>ORD1424</t>
        </is>
      </c>
      <c r="B425" s="25" t="inlineStr">
        <is>
          <t>2025-05-15</t>
        </is>
      </c>
      <c r="C425" s="25" t="inlineStr">
        <is>
          <t>22:39:09</t>
        </is>
      </c>
      <c r="D425" s="25" t="n">
        <v>1052</v>
      </c>
      <c r="E425" s="25" t="n">
        <v>102</v>
      </c>
      <c r="F425" s="25" t="n">
        <v>225</v>
      </c>
      <c r="G425" s="25" t="inlineStr">
        <is>
          <t>Hyderabad</t>
        </is>
      </c>
      <c r="H425" s="25" t="inlineStr">
        <is>
          <t>Biryani</t>
        </is>
      </c>
      <c r="I425" s="26" t="n">
        <v>306</v>
      </c>
      <c r="J425" s="26" t="n">
        <v>29.33</v>
      </c>
      <c r="K425" s="26" t="n">
        <v>25</v>
      </c>
      <c r="L425" s="27" t="n">
        <v>0.22</v>
      </c>
      <c r="M425" s="26" t="n">
        <v>73.56999999999999</v>
      </c>
      <c r="N425" s="28" t="n">
        <v>2.4</v>
      </c>
      <c r="O425" s="28" t="n">
        <v/>
      </c>
      <c r="P425" s="25" t="inlineStr">
        <is>
          <t>Debit Card</t>
        </is>
      </c>
      <c r="Q425" s="25" t="inlineStr">
        <is>
          <t>Cancelled</t>
        </is>
      </c>
      <c r="R425" s="25" t="n">
        <v/>
      </c>
      <c r="S425" s="25">
        <f>TEXT(B425,"yyyy-mm")</f>
        <v/>
      </c>
      <c r="T425" s="25">
        <f>VLOOKUP(D425,Customers!A:D,4,FALSE)</f>
        <v/>
      </c>
      <c r="U425" s="25">
        <f>CONCATENATE(A425,"-",G425)</f>
        <v/>
      </c>
      <c r="V425" s="25">
        <f>IF(N425="","",IF(N425&lt;=30,"Fast (&lt;30m)",IF(N425&lt;=45,"Moderate (30-45m)","Delayed (&gt;45m)")))</f>
        <v/>
      </c>
      <c r="W425" s="25">
        <f>IF(AND(I425&gt;600,P425="Delivered"),"High Value Delivered","Standard")</f>
        <v/>
      </c>
      <c r="X425" s="25">
        <f>IF(OR(N425&gt;50,Q425&lt;=2),"High Risk / Delayed","Normal")</f>
        <v/>
      </c>
      <c r="Y425" s="25">
        <f>IF(NOT(P425="Cancelled"),"Fulfilled","Cancelled")</f>
        <v/>
      </c>
      <c r="Z425" s="25">
        <f>IFERROR(Q425,0)</f>
        <v/>
      </c>
    </row>
    <row r="426">
      <c r="A426" s="17" t="inlineStr">
        <is>
          <t>ORD1425</t>
        </is>
      </c>
      <c r="B426" s="17" t="inlineStr">
        <is>
          <t>2025-05-26</t>
        </is>
      </c>
      <c r="C426" s="17" t="inlineStr">
        <is>
          <t>11:28:40</t>
        </is>
      </c>
      <c r="D426" s="17" t="n">
        <v>1111</v>
      </c>
      <c r="E426" s="17" t="n">
        <v>113</v>
      </c>
      <c r="F426" s="17" t="n">
        <v>229</v>
      </c>
      <c r="G426" s="17" t="inlineStr">
        <is>
          <t>Mumbai</t>
        </is>
      </c>
      <c r="H426" s="17" t="inlineStr">
        <is>
          <t>Fast Food</t>
        </is>
      </c>
      <c r="I426" s="22" t="n">
        <v>349</v>
      </c>
      <c r="J426" s="22" t="n">
        <v>0</v>
      </c>
      <c r="K426" s="22" t="n">
        <v>25</v>
      </c>
      <c r="L426" s="23" t="n">
        <v>0.18</v>
      </c>
      <c r="M426" s="22" t="n">
        <v>69.06999999999999</v>
      </c>
      <c r="N426" s="24" t="n">
        <v>2.5</v>
      </c>
      <c r="O426" s="24" t="n">
        <v>29.6</v>
      </c>
      <c r="P426" s="17" t="inlineStr">
        <is>
          <t>UPI</t>
        </is>
      </c>
      <c r="Q426" s="17" t="inlineStr">
        <is>
          <t>Delivered</t>
        </is>
      </c>
      <c r="R426" s="17" t="n">
        <v>4</v>
      </c>
      <c r="S426" s="17">
        <f>TEXT(B426,"yyyy-mm")</f>
        <v/>
      </c>
      <c r="T426" s="17">
        <f>VLOOKUP(D426,Customers!A:D,4,FALSE)</f>
        <v/>
      </c>
      <c r="U426" s="17">
        <f>CONCATENATE(A426,"-",G426)</f>
        <v/>
      </c>
      <c r="V426" s="17">
        <f>IF(N426="","",IF(N426&lt;=30,"Fast (&lt;30m)",IF(N426&lt;=45,"Moderate (30-45m)","Delayed (&gt;45m)")))</f>
        <v/>
      </c>
      <c r="W426" s="17">
        <f>IF(AND(I426&gt;600,P426="Delivered"),"High Value Delivered","Standard")</f>
        <v/>
      </c>
      <c r="X426" s="17">
        <f>IF(OR(N426&gt;50,Q426&lt;=2),"High Risk / Delayed","Normal")</f>
        <v/>
      </c>
      <c r="Y426" s="17">
        <f>IF(NOT(P426="Cancelled"),"Fulfilled","Cancelled")</f>
        <v/>
      </c>
      <c r="Z426" s="17">
        <f>IFERROR(Q426,0)</f>
        <v/>
      </c>
    </row>
    <row r="427">
      <c r="A427" s="25" t="inlineStr">
        <is>
          <t>ORD1426</t>
        </is>
      </c>
      <c r="B427" s="25" t="inlineStr">
        <is>
          <t>2025-06-16</t>
        </is>
      </c>
      <c r="C427" s="25" t="inlineStr">
        <is>
          <t>14:55:30</t>
        </is>
      </c>
      <c r="D427" s="25" t="n">
        <v>1252</v>
      </c>
      <c r="E427" s="25" t="n">
        <v>103</v>
      </c>
      <c r="F427" s="25" t="n">
        <v>229</v>
      </c>
      <c r="G427" s="25" t="inlineStr">
        <is>
          <t>Mumbai</t>
        </is>
      </c>
      <c r="H427" s="25" t="inlineStr">
        <is>
          <t>Italian</t>
        </is>
      </c>
      <c r="I427" s="26" t="n">
        <v>698</v>
      </c>
      <c r="J427" s="26" t="n">
        <v>30.19</v>
      </c>
      <c r="K427" s="26" t="n">
        <v>25</v>
      </c>
      <c r="L427" s="27" t="n">
        <v>0.18</v>
      </c>
      <c r="M427" s="26" t="n">
        <v>131.89</v>
      </c>
      <c r="N427" s="28" t="n">
        <v>3</v>
      </c>
      <c r="O427" s="28" t="n">
        <v>27.7</v>
      </c>
      <c r="P427" s="25" t="inlineStr">
        <is>
          <t>Cash on Delivery</t>
        </is>
      </c>
      <c r="Q427" s="25" t="inlineStr">
        <is>
          <t>Delivered</t>
        </is>
      </c>
      <c r="R427" s="25" t="n">
        <v>4</v>
      </c>
      <c r="S427" s="25">
        <f>TEXT(B427,"yyyy-mm")</f>
        <v/>
      </c>
      <c r="T427" s="25">
        <f>VLOOKUP(D427,Customers!A:D,4,FALSE)</f>
        <v/>
      </c>
      <c r="U427" s="25">
        <f>CONCATENATE(A427,"-",G427)</f>
        <v/>
      </c>
      <c r="V427" s="25">
        <f>IF(N427="","",IF(N427&lt;=30,"Fast (&lt;30m)",IF(N427&lt;=45,"Moderate (30-45m)","Delayed (&gt;45m)")))</f>
        <v/>
      </c>
      <c r="W427" s="25">
        <f>IF(AND(I427&gt;600,P427="Delivered"),"High Value Delivered","Standard")</f>
        <v/>
      </c>
      <c r="X427" s="25">
        <f>IF(OR(N427&gt;50,Q427&lt;=2),"High Risk / Delayed","Normal")</f>
        <v/>
      </c>
      <c r="Y427" s="25">
        <f>IF(NOT(P427="Cancelled"),"Fulfilled","Cancelled")</f>
        <v/>
      </c>
      <c r="Z427" s="25">
        <f>IFERROR(Q427,0)</f>
        <v/>
      </c>
    </row>
    <row r="428">
      <c r="A428" s="17" t="inlineStr">
        <is>
          <t>ORD1427</t>
        </is>
      </c>
      <c r="B428" s="17" t="inlineStr">
        <is>
          <t>2025-10-30</t>
        </is>
      </c>
      <c r="C428" s="17" t="inlineStr">
        <is>
          <t>14:38:29</t>
        </is>
      </c>
      <c r="D428" s="17" t="n">
        <v>1150</v>
      </c>
      <c r="E428" s="17" t="n">
        <v>109</v>
      </c>
      <c r="F428" s="17" t="n">
        <v>225</v>
      </c>
      <c r="G428" s="17" t="inlineStr">
        <is>
          <t>Hyderabad</t>
        </is>
      </c>
      <c r="H428" s="17" t="inlineStr">
        <is>
          <t>Biryani</t>
        </is>
      </c>
      <c r="I428" s="22" t="n">
        <v>866</v>
      </c>
      <c r="J428" s="22" t="n">
        <v>60.78</v>
      </c>
      <c r="K428" s="22" t="n">
        <v>53.5</v>
      </c>
      <c r="L428" s="23" t="n">
        <v>0.2</v>
      </c>
      <c r="M428" s="22" t="n">
        <v>186.58</v>
      </c>
      <c r="N428" s="24" t="n">
        <v>8.699999999999999</v>
      </c>
      <c r="O428" s="24" t="n">
        <v>52.2</v>
      </c>
      <c r="P428" s="17" t="inlineStr">
        <is>
          <t>Digital Wallet</t>
        </is>
      </c>
      <c r="Q428" s="17" t="inlineStr">
        <is>
          <t>Delivered</t>
        </is>
      </c>
      <c r="R428" s="17" t="n">
        <v>3</v>
      </c>
      <c r="S428" s="17">
        <f>TEXT(B428,"yyyy-mm")</f>
        <v/>
      </c>
      <c r="T428" s="17">
        <f>VLOOKUP(D428,Customers!A:D,4,FALSE)</f>
        <v/>
      </c>
      <c r="U428" s="17">
        <f>CONCATENATE(A428,"-",G428)</f>
        <v/>
      </c>
      <c r="V428" s="17">
        <f>IF(N428="","",IF(N428&lt;=30,"Fast (&lt;30m)",IF(N428&lt;=45,"Moderate (30-45m)","Delayed (&gt;45m)")))</f>
        <v/>
      </c>
      <c r="W428" s="17">
        <f>IF(AND(I428&gt;600,P428="Delivered"),"High Value Delivered","Standard")</f>
        <v/>
      </c>
      <c r="X428" s="17">
        <f>IF(OR(N428&gt;50,Q428&lt;=2),"High Risk / Delayed","Normal")</f>
        <v/>
      </c>
      <c r="Y428" s="17">
        <f>IF(NOT(P428="Cancelled"),"Fulfilled","Cancelled")</f>
        <v/>
      </c>
      <c r="Z428" s="17">
        <f>IFERROR(Q428,0)</f>
        <v/>
      </c>
    </row>
    <row r="429">
      <c r="A429" s="25" t="inlineStr">
        <is>
          <t>ORD1428</t>
        </is>
      </c>
      <c r="B429" s="25" t="inlineStr">
        <is>
          <t>2025-10-04</t>
        </is>
      </c>
      <c r="C429" s="25" t="inlineStr">
        <is>
          <t>15:14:51</t>
        </is>
      </c>
      <c r="D429" s="25" t="n">
        <v>1197</v>
      </c>
      <c r="E429" s="25" t="n">
        <v>107</v>
      </c>
      <c r="F429" s="25" t="n">
        <v>229</v>
      </c>
      <c r="G429" s="25" t="inlineStr">
        <is>
          <t>Mumbai</t>
        </is>
      </c>
      <c r="H429" s="25" t="inlineStr">
        <is>
          <t>Desserts</t>
        </is>
      </c>
      <c r="I429" s="26" t="n">
        <v>311</v>
      </c>
      <c r="J429" s="26" t="n">
        <v>25.17</v>
      </c>
      <c r="K429" s="26" t="n">
        <v>26</v>
      </c>
      <c r="L429" s="27" t="n">
        <v>0.25</v>
      </c>
      <c r="M429" s="26" t="n">
        <v>84.25</v>
      </c>
      <c r="N429" s="28" t="n">
        <v>3.2</v>
      </c>
      <c r="O429" s="28" t="n">
        <v>33.9</v>
      </c>
      <c r="P429" s="25" t="inlineStr">
        <is>
          <t>Debit Card</t>
        </is>
      </c>
      <c r="Q429" s="25" t="inlineStr">
        <is>
          <t>Delivered</t>
        </is>
      </c>
      <c r="R429" s="25" t="n">
        <v>4</v>
      </c>
      <c r="S429" s="25">
        <f>TEXT(B429,"yyyy-mm")</f>
        <v/>
      </c>
      <c r="T429" s="25">
        <f>VLOOKUP(D429,Customers!A:D,4,FALSE)</f>
        <v/>
      </c>
      <c r="U429" s="25">
        <f>CONCATENATE(A429,"-",G429)</f>
        <v/>
      </c>
      <c r="V429" s="25">
        <f>IF(N429="","",IF(N429&lt;=30,"Fast (&lt;30m)",IF(N429&lt;=45,"Moderate (30-45m)","Delayed (&gt;45m)")))</f>
        <v/>
      </c>
      <c r="W429" s="25">
        <f>IF(AND(I429&gt;600,P429="Delivered"),"High Value Delivered","Standard")</f>
        <v/>
      </c>
      <c r="X429" s="25">
        <f>IF(OR(N429&gt;50,Q429&lt;=2),"High Risk / Delayed","Normal")</f>
        <v/>
      </c>
      <c r="Y429" s="25">
        <f>IF(NOT(P429="Cancelled"),"Fulfilled","Cancelled")</f>
        <v/>
      </c>
      <c r="Z429" s="25">
        <f>IFERROR(Q429,0)</f>
        <v/>
      </c>
    </row>
    <row r="430">
      <c r="A430" s="17" t="inlineStr">
        <is>
          <t>ORD1429</t>
        </is>
      </c>
      <c r="B430" s="17" t="inlineStr">
        <is>
          <t>2025-01-06</t>
        </is>
      </c>
      <c r="C430" s="17" t="inlineStr">
        <is>
          <t>13:00:33</t>
        </is>
      </c>
      <c r="D430" s="17" t="n">
        <v>1159</v>
      </c>
      <c r="E430" s="17" t="n">
        <v>104</v>
      </c>
      <c r="F430" s="17" t="n">
        <v>228</v>
      </c>
      <c r="G430" s="17" t="inlineStr">
        <is>
          <t>Delhi NCR</t>
        </is>
      </c>
      <c r="H430" s="17" t="inlineStr">
        <is>
          <t>Fast Food</t>
        </is>
      </c>
      <c r="I430" s="22" t="n">
        <v>359</v>
      </c>
      <c r="J430" s="22" t="n">
        <v>0</v>
      </c>
      <c r="K430" s="22" t="n">
        <v>37</v>
      </c>
      <c r="L430" s="23" t="n">
        <v>0.18</v>
      </c>
      <c r="M430" s="22" t="n">
        <v>73.87</v>
      </c>
      <c r="N430" s="24" t="n">
        <v>5.4</v>
      </c>
      <c r="O430" s="24" t="n">
        <v>39.8</v>
      </c>
      <c r="P430" s="17" t="inlineStr">
        <is>
          <t>UPI</t>
        </is>
      </c>
      <c r="Q430" s="17" t="inlineStr">
        <is>
          <t>Delivered</t>
        </is>
      </c>
      <c r="R430" s="17" t="n">
        <v>4</v>
      </c>
      <c r="S430" s="17">
        <f>TEXT(B430,"yyyy-mm")</f>
        <v/>
      </c>
      <c r="T430" s="17">
        <f>VLOOKUP(D430,Customers!A:D,4,FALSE)</f>
        <v/>
      </c>
      <c r="U430" s="17">
        <f>CONCATENATE(A430,"-",G430)</f>
        <v/>
      </c>
      <c r="V430" s="17">
        <f>IF(N430="","",IF(N430&lt;=30,"Fast (&lt;30m)",IF(N430&lt;=45,"Moderate (30-45m)","Delayed (&gt;45m)")))</f>
        <v/>
      </c>
      <c r="W430" s="17">
        <f>IF(AND(I430&gt;600,P430="Delivered"),"High Value Delivered","Standard")</f>
        <v/>
      </c>
      <c r="X430" s="17">
        <f>IF(OR(N430&gt;50,Q430&lt;=2),"High Risk / Delayed","Normal")</f>
        <v/>
      </c>
      <c r="Y430" s="17">
        <f>IF(NOT(P430="Cancelled"),"Fulfilled","Cancelled")</f>
        <v/>
      </c>
      <c r="Z430" s="17">
        <f>IFERROR(Q430,0)</f>
        <v/>
      </c>
    </row>
    <row r="431">
      <c r="A431" s="25" t="inlineStr">
        <is>
          <t>ORD1430</t>
        </is>
      </c>
      <c r="B431" s="25" t="inlineStr">
        <is>
          <t>2025-01-05</t>
        </is>
      </c>
      <c r="C431" s="25" t="inlineStr">
        <is>
          <t>20:49:27</t>
        </is>
      </c>
      <c r="D431" s="25" t="n">
        <v>1161</v>
      </c>
      <c r="E431" s="25" t="n">
        <v>119</v>
      </c>
      <c r="F431" s="25" t="n">
        <v>215</v>
      </c>
      <c r="G431" s="25" t="inlineStr">
        <is>
          <t>Hyderabad</t>
        </is>
      </c>
      <c r="H431" s="25" t="inlineStr">
        <is>
          <t>Biryani</t>
        </is>
      </c>
      <c r="I431" s="26" t="n">
        <v>519</v>
      </c>
      <c r="J431" s="26" t="n">
        <v>33.08</v>
      </c>
      <c r="K431" s="26" t="n">
        <v>45</v>
      </c>
      <c r="L431" s="27" t="n">
        <v>0.2</v>
      </c>
      <c r="M431" s="26" t="n">
        <v>115.05</v>
      </c>
      <c r="N431" s="28" t="n">
        <v>7</v>
      </c>
      <c r="O431" s="28" t="n">
        <v>57.9</v>
      </c>
      <c r="P431" s="25" t="inlineStr">
        <is>
          <t>Credit Card</t>
        </is>
      </c>
      <c r="Q431" s="25" t="inlineStr">
        <is>
          <t>Delivered</t>
        </is>
      </c>
      <c r="R431" s="25" t="n">
        <v>2</v>
      </c>
      <c r="S431" s="25">
        <f>TEXT(B431,"yyyy-mm")</f>
        <v/>
      </c>
      <c r="T431" s="25">
        <f>VLOOKUP(D431,Customers!A:D,4,FALSE)</f>
        <v/>
      </c>
      <c r="U431" s="25">
        <f>CONCATENATE(A431,"-",G431)</f>
        <v/>
      </c>
      <c r="V431" s="25">
        <f>IF(N431="","",IF(N431&lt;=30,"Fast (&lt;30m)",IF(N431&lt;=45,"Moderate (30-45m)","Delayed (&gt;45m)")))</f>
        <v/>
      </c>
      <c r="W431" s="25">
        <f>IF(AND(I431&gt;600,P431="Delivered"),"High Value Delivered","Standard")</f>
        <v/>
      </c>
      <c r="X431" s="25">
        <f>IF(OR(N431&gt;50,Q431&lt;=2),"High Risk / Delayed","Normal")</f>
        <v/>
      </c>
      <c r="Y431" s="25">
        <f>IF(NOT(P431="Cancelled"),"Fulfilled","Cancelled")</f>
        <v/>
      </c>
      <c r="Z431" s="25">
        <f>IFERROR(Q431,0)</f>
        <v/>
      </c>
    </row>
    <row r="432">
      <c r="A432" s="17" t="inlineStr">
        <is>
          <t>ORD1431</t>
        </is>
      </c>
      <c r="B432" s="17" t="inlineStr">
        <is>
          <t>2025-05-08</t>
        </is>
      </c>
      <c r="C432" s="17" t="inlineStr">
        <is>
          <t>14:10:45</t>
        </is>
      </c>
      <c r="D432" s="17" t="n">
        <v>1283</v>
      </c>
      <c r="E432" s="17" t="n">
        <v>120</v>
      </c>
      <c r="F432" s="17" t="n">
        <v>204</v>
      </c>
      <c r="G432" s="17" t="inlineStr">
        <is>
          <t>Pune</t>
        </is>
      </c>
      <c r="H432" s="17" t="inlineStr">
        <is>
          <t>Fast Food</t>
        </is>
      </c>
      <c r="I432" s="22" t="n">
        <v>881</v>
      </c>
      <c r="J432" s="22" t="n">
        <v>0</v>
      </c>
      <c r="K432" s="22" t="n">
        <v>25.5</v>
      </c>
      <c r="L432" s="23" t="n">
        <v>0.18</v>
      </c>
      <c r="M432" s="22" t="n">
        <v>164.96</v>
      </c>
      <c r="N432" s="24" t="n">
        <v>3.1</v>
      </c>
      <c r="O432" s="24" t="n">
        <v/>
      </c>
      <c r="P432" s="17" t="inlineStr">
        <is>
          <t>Debit Card</t>
        </is>
      </c>
      <c r="Q432" s="17" t="inlineStr">
        <is>
          <t>Cancelled</t>
        </is>
      </c>
      <c r="R432" s="17" t="n">
        <v/>
      </c>
      <c r="S432" s="17">
        <f>TEXT(B432,"yyyy-mm")</f>
        <v/>
      </c>
      <c r="T432" s="17">
        <f>VLOOKUP(D432,Customers!A:D,4,FALSE)</f>
        <v/>
      </c>
      <c r="U432" s="17">
        <f>CONCATENATE(A432,"-",G432)</f>
        <v/>
      </c>
      <c r="V432" s="17">
        <f>IF(N432="","",IF(N432&lt;=30,"Fast (&lt;30m)",IF(N432&lt;=45,"Moderate (30-45m)","Delayed (&gt;45m)")))</f>
        <v/>
      </c>
      <c r="W432" s="17">
        <f>IF(AND(I432&gt;600,P432="Delivered"),"High Value Delivered","Standard")</f>
        <v/>
      </c>
      <c r="X432" s="17">
        <f>IF(OR(N432&gt;50,Q432&lt;=2),"High Risk / Delayed","Normal")</f>
        <v/>
      </c>
      <c r="Y432" s="17">
        <f>IF(NOT(P432="Cancelled"),"Fulfilled","Cancelled")</f>
        <v/>
      </c>
      <c r="Z432" s="17">
        <f>IFERROR(Q432,0)</f>
        <v/>
      </c>
    </row>
    <row r="433">
      <c r="A433" s="25" t="inlineStr">
        <is>
          <t>ORD1432</t>
        </is>
      </c>
      <c r="B433" s="25" t="inlineStr">
        <is>
          <t>2025-11-17</t>
        </is>
      </c>
      <c r="C433" s="25" t="inlineStr">
        <is>
          <t>14:15:33</t>
        </is>
      </c>
      <c r="D433" s="25" t="n">
        <v>1273</v>
      </c>
      <c r="E433" s="25" t="n">
        <v>119</v>
      </c>
      <c r="F433" s="25" t="n">
        <v>225</v>
      </c>
      <c r="G433" s="25" t="inlineStr">
        <is>
          <t>Hyderabad</t>
        </is>
      </c>
      <c r="H433" s="25" t="inlineStr">
        <is>
          <t>Biryani</t>
        </is>
      </c>
      <c r="I433" s="26" t="n">
        <v>1153</v>
      </c>
      <c r="J433" s="26" t="n">
        <v>195.31</v>
      </c>
      <c r="K433" s="26" t="n">
        <v>0</v>
      </c>
      <c r="L433" s="27" t="n">
        <v>0.2</v>
      </c>
      <c r="M433" s="26" t="n">
        <v>230.6</v>
      </c>
      <c r="N433" s="28" t="n">
        <v>5</v>
      </c>
      <c r="O433" s="28" t="n">
        <v>34.9</v>
      </c>
      <c r="P433" s="25" t="inlineStr">
        <is>
          <t>Digital Wallet</t>
        </is>
      </c>
      <c r="Q433" s="25" t="inlineStr">
        <is>
          <t>Delivered</t>
        </is>
      </c>
      <c r="R433" s="25" t="n">
        <v>4</v>
      </c>
      <c r="S433" s="25">
        <f>TEXT(B433,"yyyy-mm")</f>
        <v/>
      </c>
      <c r="T433" s="25">
        <f>VLOOKUP(D433,Customers!A:D,4,FALSE)</f>
        <v/>
      </c>
      <c r="U433" s="25">
        <f>CONCATENATE(A433,"-",G433)</f>
        <v/>
      </c>
      <c r="V433" s="25">
        <f>IF(N433="","",IF(N433&lt;=30,"Fast (&lt;30m)",IF(N433&lt;=45,"Moderate (30-45m)","Delayed (&gt;45m)")))</f>
        <v/>
      </c>
      <c r="W433" s="25">
        <f>IF(AND(I433&gt;600,P433="Delivered"),"High Value Delivered","Standard")</f>
        <v/>
      </c>
      <c r="X433" s="25">
        <f>IF(OR(N433&gt;50,Q433&lt;=2),"High Risk / Delayed","Normal")</f>
        <v/>
      </c>
      <c r="Y433" s="25">
        <f>IF(NOT(P433="Cancelled"),"Fulfilled","Cancelled")</f>
        <v/>
      </c>
      <c r="Z433" s="25">
        <f>IFERROR(Q433,0)</f>
        <v/>
      </c>
    </row>
    <row r="434">
      <c r="A434" s="17" t="inlineStr">
        <is>
          <t>ORD1433</t>
        </is>
      </c>
      <c r="B434" s="17" t="inlineStr">
        <is>
          <t>2025-02-05</t>
        </is>
      </c>
      <c r="C434" s="17" t="inlineStr">
        <is>
          <t>16:11:08</t>
        </is>
      </c>
      <c r="D434" s="17" t="n">
        <v>1063</v>
      </c>
      <c r="E434" s="17" t="n">
        <v>115</v>
      </c>
      <c r="F434" s="17" t="n">
        <v>227</v>
      </c>
      <c r="G434" s="17" t="inlineStr">
        <is>
          <t>Bangalore</t>
        </is>
      </c>
      <c r="H434" s="17" t="inlineStr">
        <is>
          <t>Italian</t>
        </is>
      </c>
      <c r="I434" s="22" t="n">
        <v>516</v>
      </c>
      <c r="J434" s="22" t="n">
        <v>29.79</v>
      </c>
      <c r="K434" s="22" t="n">
        <v>40.5</v>
      </c>
      <c r="L434" s="23" t="n">
        <v>0.2</v>
      </c>
      <c r="M434" s="22" t="n">
        <v>113.32</v>
      </c>
      <c r="N434" s="24" t="n">
        <v>6.1</v>
      </c>
      <c r="O434" s="24" t="n">
        <v>35</v>
      </c>
      <c r="P434" s="17" t="inlineStr">
        <is>
          <t>Cash on Delivery</t>
        </is>
      </c>
      <c r="Q434" s="17" t="inlineStr">
        <is>
          <t>Delivered</t>
        </is>
      </c>
      <c r="R434" s="17" t="n">
        <v>5</v>
      </c>
      <c r="S434" s="17">
        <f>TEXT(B434,"yyyy-mm")</f>
        <v/>
      </c>
      <c r="T434" s="17">
        <f>VLOOKUP(D434,Customers!A:D,4,FALSE)</f>
        <v/>
      </c>
      <c r="U434" s="17">
        <f>CONCATENATE(A434,"-",G434)</f>
        <v/>
      </c>
      <c r="V434" s="17">
        <f>IF(N434="","",IF(N434&lt;=30,"Fast (&lt;30m)",IF(N434&lt;=45,"Moderate (30-45m)","Delayed (&gt;45m)")))</f>
        <v/>
      </c>
      <c r="W434" s="17">
        <f>IF(AND(I434&gt;600,P434="Delivered"),"High Value Delivered","Standard")</f>
        <v/>
      </c>
      <c r="X434" s="17">
        <f>IF(OR(N434&gt;50,Q434&lt;=2),"High Risk / Delayed","Normal")</f>
        <v/>
      </c>
      <c r="Y434" s="17">
        <f>IF(NOT(P434="Cancelled"),"Fulfilled","Cancelled")</f>
        <v/>
      </c>
      <c r="Z434" s="17">
        <f>IFERROR(Q434,0)</f>
        <v/>
      </c>
    </row>
    <row r="435">
      <c r="A435" s="25" t="inlineStr">
        <is>
          <t>ORD1434</t>
        </is>
      </c>
      <c r="B435" s="25" t="inlineStr">
        <is>
          <t>2025-06-14</t>
        </is>
      </c>
      <c r="C435" s="25" t="inlineStr">
        <is>
          <t>16:01:09</t>
        </is>
      </c>
      <c r="D435" s="25" t="n">
        <v>1026</v>
      </c>
      <c r="E435" s="25" t="n">
        <v>102</v>
      </c>
      <c r="F435" s="25" t="n">
        <v>215</v>
      </c>
      <c r="G435" s="25" t="inlineStr">
        <is>
          <t>Hyderabad</t>
        </is>
      </c>
      <c r="H435" s="25" t="inlineStr">
        <is>
          <t>Biryani</t>
        </is>
      </c>
      <c r="I435" s="26" t="n">
        <v>270</v>
      </c>
      <c r="J435" s="26" t="n">
        <v>31.83</v>
      </c>
      <c r="K435" s="26" t="n">
        <v>27</v>
      </c>
      <c r="L435" s="27" t="n">
        <v>0.22</v>
      </c>
      <c r="M435" s="26" t="n">
        <v>66.15000000000001</v>
      </c>
      <c r="N435" s="28" t="n">
        <v>3.4</v>
      </c>
      <c r="O435" s="28" t="n">
        <v>32</v>
      </c>
      <c r="P435" s="25" t="inlineStr">
        <is>
          <t>UPI</t>
        </is>
      </c>
      <c r="Q435" s="25" t="inlineStr">
        <is>
          <t>Delivered</t>
        </is>
      </c>
      <c r="R435" s="25" t="n">
        <v>5</v>
      </c>
      <c r="S435" s="25">
        <f>TEXT(B435,"yyyy-mm")</f>
        <v/>
      </c>
      <c r="T435" s="25">
        <f>VLOOKUP(D435,Customers!A:D,4,FALSE)</f>
        <v/>
      </c>
      <c r="U435" s="25">
        <f>CONCATENATE(A435,"-",G435)</f>
        <v/>
      </c>
      <c r="V435" s="25">
        <f>IF(N435="","",IF(N435&lt;=30,"Fast (&lt;30m)",IF(N435&lt;=45,"Moderate (30-45m)","Delayed (&gt;45m)")))</f>
        <v/>
      </c>
      <c r="W435" s="25">
        <f>IF(AND(I435&gt;600,P435="Delivered"),"High Value Delivered","Standard")</f>
        <v/>
      </c>
      <c r="X435" s="25">
        <f>IF(OR(N435&gt;50,Q435&lt;=2),"High Risk / Delayed","Normal")</f>
        <v/>
      </c>
      <c r="Y435" s="25">
        <f>IF(NOT(P435="Cancelled"),"Fulfilled","Cancelled")</f>
        <v/>
      </c>
      <c r="Z435" s="25">
        <f>IFERROR(Q435,0)</f>
        <v/>
      </c>
    </row>
    <row r="436">
      <c r="A436" s="17" t="inlineStr">
        <is>
          <t>ORD1435</t>
        </is>
      </c>
      <c r="B436" s="17" t="inlineStr">
        <is>
          <t>2025-08-13</t>
        </is>
      </c>
      <c r="C436" s="17" t="inlineStr">
        <is>
          <t>09:46:00</t>
        </is>
      </c>
      <c r="D436" s="17" t="n">
        <v>1061</v>
      </c>
      <c r="E436" s="17" t="n">
        <v>106</v>
      </c>
      <c r="F436" s="17" t="n">
        <v>214</v>
      </c>
      <c r="G436" s="17" t="inlineStr">
        <is>
          <t>Pune</t>
        </is>
      </c>
      <c r="H436" s="17" t="inlineStr">
        <is>
          <t>South Indian</t>
        </is>
      </c>
      <c r="I436" s="22" t="n">
        <v>458</v>
      </c>
      <c r="J436" s="22" t="n">
        <v>0</v>
      </c>
      <c r="K436" s="22" t="n">
        <v>34.5</v>
      </c>
      <c r="L436" s="23" t="n">
        <v>0.15</v>
      </c>
      <c r="M436" s="22" t="n">
        <v>77.31999999999999</v>
      </c>
      <c r="N436" s="24" t="n">
        <v>4.9</v>
      </c>
      <c r="O436" s="24" t="n">
        <v>35.3</v>
      </c>
      <c r="P436" s="17" t="inlineStr">
        <is>
          <t>Credit Card</t>
        </is>
      </c>
      <c r="Q436" s="17" t="inlineStr">
        <is>
          <t>Delivered</t>
        </is>
      </c>
      <c r="R436" s="17" t="n">
        <v>3</v>
      </c>
      <c r="S436" s="17">
        <f>TEXT(B436,"yyyy-mm")</f>
        <v/>
      </c>
      <c r="T436" s="17">
        <f>VLOOKUP(D436,Customers!A:D,4,FALSE)</f>
        <v/>
      </c>
      <c r="U436" s="17">
        <f>CONCATENATE(A436,"-",G436)</f>
        <v/>
      </c>
      <c r="V436" s="17">
        <f>IF(N436="","",IF(N436&lt;=30,"Fast (&lt;30m)",IF(N436&lt;=45,"Moderate (30-45m)","Delayed (&gt;45m)")))</f>
        <v/>
      </c>
      <c r="W436" s="17">
        <f>IF(AND(I436&gt;600,P436="Delivered"),"High Value Delivered","Standard")</f>
        <v/>
      </c>
      <c r="X436" s="17">
        <f>IF(OR(N436&gt;50,Q436&lt;=2),"High Risk / Delayed","Normal")</f>
        <v/>
      </c>
      <c r="Y436" s="17">
        <f>IF(NOT(P436="Cancelled"),"Fulfilled","Cancelled")</f>
        <v/>
      </c>
      <c r="Z436" s="17">
        <f>IFERROR(Q436,0)</f>
        <v/>
      </c>
    </row>
    <row r="437">
      <c r="A437" s="25" t="inlineStr">
        <is>
          <t>ORD1436</t>
        </is>
      </c>
      <c r="B437" s="25" t="inlineStr">
        <is>
          <t>2025-09-13</t>
        </is>
      </c>
      <c r="C437" s="25" t="inlineStr">
        <is>
          <t>18:23:29</t>
        </is>
      </c>
      <c r="D437" s="25" t="n">
        <v>1113</v>
      </c>
      <c r="E437" s="25" t="n">
        <v>101</v>
      </c>
      <c r="F437" s="25" t="n">
        <v>203</v>
      </c>
      <c r="G437" s="25" t="inlineStr">
        <is>
          <t>Bangalore</t>
        </is>
      </c>
      <c r="H437" s="25" t="inlineStr">
        <is>
          <t>North Indian</t>
        </is>
      </c>
      <c r="I437" s="26" t="n">
        <v>1235</v>
      </c>
      <c r="J437" s="26" t="n">
        <v>127.42</v>
      </c>
      <c r="K437" s="26" t="n">
        <v>0</v>
      </c>
      <c r="L437" s="27" t="n">
        <v>0.2</v>
      </c>
      <c r="M437" s="26" t="n">
        <v>247</v>
      </c>
      <c r="N437" s="28" t="n">
        <v>3.7</v>
      </c>
      <c r="O437" s="28" t="n">
        <v>23.7</v>
      </c>
      <c r="P437" s="25" t="inlineStr">
        <is>
          <t>Credit Card</t>
        </is>
      </c>
      <c r="Q437" s="25" t="inlineStr">
        <is>
          <t>Delivered</t>
        </is>
      </c>
      <c r="R437" s="25" t="n">
        <v>5</v>
      </c>
      <c r="S437" s="25">
        <f>TEXT(B437,"yyyy-mm")</f>
        <v/>
      </c>
      <c r="T437" s="25">
        <f>VLOOKUP(D437,Customers!A:D,4,FALSE)</f>
        <v/>
      </c>
      <c r="U437" s="25">
        <f>CONCATENATE(A437,"-",G437)</f>
        <v/>
      </c>
      <c r="V437" s="25">
        <f>IF(N437="","",IF(N437&lt;=30,"Fast (&lt;30m)",IF(N437&lt;=45,"Moderate (30-45m)","Delayed (&gt;45m)")))</f>
        <v/>
      </c>
      <c r="W437" s="25">
        <f>IF(AND(I437&gt;600,P437="Delivered"),"High Value Delivered","Standard")</f>
        <v/>
      </c>
      <c r="X437" s="25">
        <f>IF(OR(N437&gt;50,Q437&lt;=2),"High Risk / Delayed","Normal")</f>
        <v/>
      </c>
      <c r="Y437" s="25">
        <f>IF(NOT(P437="Cancelled"),"Fulfilled","Cancelled")</f>
        <v/>
      </c>
      <c r="Z437" s="25">
        <f>IFERROR(Q437,0)</f>
        <v/>
      </c>
    </row>
    <row r="438">
      <c r="A438" s="17" t="inlineStr">
        <is>
          <t>ORD1437</t>
        </is>
      </c>
      <c r="B438" s="17" t="inlineStr">
        <is>
          <t>2025-07-20</t>
        </is>
      </c>
      <c r="C438" s="17" t="inlineStr">
        <is>
          <t>12:04:34</t>
        </is>
      </c>
      <c r="D438" s="17" t="n">
        <v>1062</v>
      </c>
      <c r="E438" s="17" t="n">
        <v>107</v>
      </c>
      <c r="F438" s="17" t="n">
        <v>229</v>
      </c>
      <c r="G438" s="17" t="inlineStr">
        <is>
          <t>Mumbai</t>
        </is>
      </c>
      <c r="H438" s="17" t="inlineStr">
        <is>
          <t>Desserts</t>
        </is>
      </c>
      <c r="I438" s="22" t="n">
        <v>701</v>
      </c>
      <c r="J438" s="22" t="n">
        <v>0</v>
      </c>
      <c r="K438" s="22" t="n">
        <v>25</v>
      </c>
      <c r="L438" s="23" t="n">
        <v>0.25</v>
      </c>
      <c r="M438" s="22" t="n">
        <v>181.5</v>
      </c>
      <c r="N438" s="24" t="n">
        <v>1.7</v>
      </c>
      <c r="O438" s="24" t="n">
        <v>29.3</v>
      </c>
      <c r="P438" s="17" t="inlineStr">
        <is>
          <t>Debit Card</t>
        </is>
      </c>
      <c r="Q438" s="17" t="inlineStr">
        <is>
          <t>Delivered</t>
        </is>
      </c>
      <c r="R438" s="17" t="n">
        <v>5</v>
      </c>
      <c r="S438" s="17">
        <f>TEXT(B438,"yyyy-mm")</f>
        <v/>
      </c>
      <c r="T438" s="17">
        <f>VLOOKUP(D438,Customers!A:D,4,FALSE)</f>
        <v/>
      </c>
      <c r="U438" s="17">
        <f>CONCATENATE(A438,"-",G438)</f>
        <v/>
      </c>
      <c r="V438" s="17">
        <f>IF(N438="","",IF(N438&lt;=30,"Fast (&lt;30m)",IF(N438&lt;=45,"Moderate (30-45m)","Delayed (&gt;45m)")))</f>
        <v/>
      </c>
      <c r="W438" s="17">
        <f>IF(AND(I438&gt;600,P438="Delivered"),"High Value Delivered","Standard")</f>
        <v/>
      </c>
      <c r="X438" s="17">
        <f>IF(OR(N438&gt;50,Q438&lt;=2),"High Risk / Delayed","Normal")</f>
        <v/>
      </c>
      <c r="Y438" s="17">
        <f>IF(NOT(P438="Cancelled"),"Fulfilled","Cancelled")</f>
        <v/>
      </c>
      <c r="Z438" s="17">
        <f>IFERROR(Q438,0)</f>
        <v/>
      </c>
    </row>
    <row r="439">
      <c r="A439" s="25" t="inlineStr">
        <is>
          <t>ORD1438</t>
        </is>
      </c>
      <c r="B439" s="25" t="inlineStr">
        <is>
          <t>2025-05-08</t>
        </is>
      </c>
      <c r="C439" s="25" t="inlineStr">
        <is>
          <t>17:24:49</t>
        </is>
      </c>
      <c r="D439" s="25" t="n">
        <v>1037</v>
      </c>
      <c r="E439" s="25" t="n">
        <v>101</v>
      </c>
      <c r="F439" s="25" t="n">
        <v>223</v>
      </c>
      <c r="G439" s="25" t="inlineStr">
        <is>
          <t>Bangalore</t>
        </is>
      </c>
      <c r="H439" s="25" t="inlineStr">
        <is>
          <t>North Indian</t>
        </is>
      </c>
      <c r="I439" s="26" t="n">
        <v>673</v>
      </c>
      <c r="J439" s="26" t="n">
        <v>0</v>
      </c>
      <c r="K439" s="26" t="n">
        <v>25.5</v>
      </c>
      <c r="L439" s="27" t="n">
        <v>0.2</v>
      </c>
      <c r="M439" s="26" t="n">
        <v>140.98</v>
      </c>
      <c r="N439" s="28" t="n">
        <v>3.1</v>
      </c>
      <c r="O439" s="28" t="n">
        <v>35.6</v>
      </c>
      <c r="P439" s="25" t="inlineStr">
        <is>
          <t>Credit Card</t>
        </is>
      </c>
      <c r="Q439" s="25" t="inlineStr">
        <is>
          <t>Delivered</t>
        </is>
      </c>
      <c r="R439" s="25" t="n">
        <v>5</v>
      </c>
      <c r="S439" s="25">
        <f>TEXT(B439,"yyyy-mm")</f>
        <v/>
      </c>
      <c r="T439" s="25">
        <f>VLOOKUP(D439,Customers!A:D,4,FALSE)</f>
        <v/>
      </c>
      <c r="U439" s="25">
        <f>CONCATENATE(A439,"-",G439)</f>
        <v/>
      </c>
      <c r="V439" s="25">
        <f>IF(N439="","",IF(N439&lt;=30,"Fast (&lt;30m)",IF(N439&lt;=45,"Moderate (30-45m)","Delayed (&gt;45m)")))</f>
        <v/>
      </c>
      <c r="W439" s="25">
        <f>IF(AND(I439&gt;600,P439="Delivered"),"High Value Delivered","Standard")</f>
        <v/>
      </c>
      <c r="X439" s="25">
        <f>IF(OR(N439&gt;50,Q439&lt;=2),"High Risk / Delayed","Normal")</f>
        <v/>
      </c>
      <c r="Y439" s="25">
        <f>IF(NOT(P439="Cancelled"),"Fulfilled","Cancelled")</f>
        <v/>
      </c>
      <c r="Z439" s="25">
        <f>IFERROR(Q439,0)</f>
        <v/>
      </c>
    </row>
    <row r="440">
      <c r="A440" s="17" t="inlineStr">
        <is>
          <t>ORD1439</t>
        </is>
      </c>
      <c r="B440" s="17" t="inlineStr">
        <is>
          <t>2025-08-31</t>
        </is>
      </c>
      <c r="C440" s="17" t="inlineStr">
        <is>
          <t>10:24:43</t>
        </is>
      </c>
      <c r="D440" s="17" t="n">
        <v>1149</v>
      </c>
      <c r="E440" s="17" t="n">
        <v>120</v>
      </c>
      <c r="F440" s="17" t="n">
        <v>224</v>
      </c>
      <c r="G440" s="17" t="inlineStr">
        <is>
          <t>Pune</t>
        </is>
      </c>
      <c r="H440" s="17" t="inlineStr">
        <is>
          <t>Fast Food</t>
        </is>
      </c>
      <c r="I440" s="22" t="n">
        <v>539</v>
      </c>
      <c r="J440" s="22" t="n">
        <v>6.84</v>
      </c>
      <c r="K440" s="22" t="n">
        <v>33</v>
      </c>
      <c r="L440" s="23" t="n">
        <v>0.18</v>
      </c>
      <c r="M440" s="22" t="n">
        <v>105.27</v>
      </c>
      <c r="N440" s="24" t="n">
        <v>4.6</v>
      </c>
      <c r="O440" s="24" t="n">
        <v>33</v>
      </c>
      <c r="P440" s="17" t="inlineStr">
        <is>
          <t>Digital Wallet</t>
        </is>
      </c>
      <c r="Q440" s="17" t="inlineStr">
        <is>
          <t>Delivered</t>
        </is>
      </c>
      <c r="R440" s="17" t="n">
        <v>5</v>
      </c>
      <c r="S440" s="17">
        <f>TEXT(B440,"yyyy-mm")</f>
        <v/>
      </c>
      <c r="T440" s="17">
        <f>VLOOKUP(D440,Customers!A:D,4,FALSE)</f>
        <v/>
      </c>
      <c r="U440" s="17">
        <f>CONCATENATE(A440,"-",G440)</f>
        <v/>
      </c>
      <c r="V440" s="17">
        <f>IF(N440="","",IF(N440&lt;=30,"Fast (&lt;30m)",IF(N440&lt;=45,"Moderate (30-45m)","Delayed (&gt;45m)")))</f>
        <v/>
      </c>
      <c r="W440" s="17">
        <f>IF(AND(I440&gt;600,P440="Delivered"),"High Value Delivered","Standard")</f>
        <v/>
      </c>
      <c r="X440" s="17">
        <f>IF(OR(N440&gt;50,Q440&lt;=2),"High Risk / Delayed","Normal")</f>
        <v/>
      </c>
      <c r="Y440" s="17">
        <f>IF(NOT(P440="Cancelled"),"Fulfilled","Cancelled")</f>
        <v/>
      </c>
      <c r="Z440" s="17">
        <f>IFERROR(Q440,0)</f>
        <v/>
      </c>
    </row>
    <row r="441">
      <c r="A441" s="25" t="inlineStr">
        <is>
          <t>ORD1440</t>
        </is>
      </c>
      <c r="B441" s="25" t="inlineStr">
        <is>
          <t>2025-11-23</t>
        </is>
      </c>
      <c r="C441" s="25" t="inlineStr">
        <is>
          <t>20:19:12</t>
        </is>
      </c>
      <c r="D441" s="25" t="n">
        <v>1289</v>
      </c>
      <c r="E441" s="25" t="n">
        <v>112</v>
      </c>
      <c r="F441" s="25" t="n">
        <v>219</v>
      </c>
      <c r="G441" s="25" t="inlineStr">
        <is>
          <t>Delhi NCR</t>
        </is>
      </c>
      <c r="H441" s="25" t="inlineStr">
        <is>
          <t>North Indian</t>
        </is>
      </c>
      <c r="I441" s="26" t="n">
        <v>589</v>
      </c>
      <c r="J441" s="26" t="n">
        <v>40.7</v>
      </c>
      <c r="K441" s="26" t="n">
        <v>25</v>
      </c>
      <c r="L441" s="27" t="n">
        <v>0.22</v>
      </c>
      <c r="M441" s="26" t="n">
        <v>135.83</v>
      </c>
      <c r="N441" s="28" t="n">
        <v>1.6</v>
      </c>
      <c r="O441" s="28" t="n">
        <v>20.3</v>
      </c>
      <c r="P441" s="25" t="inlineStr">
        <is>
          <t>UPI</t>
        </is>
      </c>
      <c r="Q441" s="25" t="inlineStr">
        <is>
          <t>Delivered</t>
        </is>
      </c>
      <c r="R441" s="25" t="n">
        <v>5</v>
      </c>
      <c r="S441" s="25">
        <f>TEXT(B441,"yyyy-mm")</f>
        <v/>
      </c>
      <c r="T441" s="25">
        <f>VLOOKUP(D441,Customers!A:D,4,FALSE)</f>
        <v/>
      </c>
      <c r="U441" s="25">
        <f>CONCATENATE(A441,"-",G441)</f>
        <v/>
      </c>
      <c r="V441" s="25">
        <f>IF(N441="","",IF(N441&lt;=30,"Fast (&lt;30m)",IF(N441&lt;=45,"Moderate (30-45m)","Delayed (&gt;45m)")))</f>
        <v/>
      </c>
      <c r="W441" s="25">
        <f>IF(AND(I441&gt;600,P441="Delivered"),"High Value Delivered","Standard")</f>
        <v/>
      </c>
      <c r="X441" s="25">
        <f>IF(OR(N441&gt;50,Q441&lt;=2),"High Risk / Delayed","Normal")</f>
        <v/>
      </c>
      <c r="Y441" s="25">
        <f>IF(NOT(P441="Cancelled"),"Fulfilled","Cancelled")</f>
        <v/>
      </c>
      <c r="Z441" s="25">
        <f>IFERROR(Q441,0)</f>
        <v/>
      </c>
    </row>
    <row r="442">
      <c r="A442" s="17" t="inlineStr">
        <is>
          <t>ORD1441</t>
        </is>
      </c>
      <c r="B442" s="17" t="inlineStr">
        <is>
          <t>2025-06-16</t>
        </is>
      </c>
      <c r="C442" s="17" t="inlineStr">
        <is>
          <t>11:00:10</t>
        </is>
      </c>
      <c r="D442" s="17" t="n">
        <v>1261</v>
      </c>
      <c r="E442" s="17" t="n">
        <v>114</v>
      </c>
      <c r="F442" s="17" t="n">
        <v>215</v>
      </c>
      <c r="G442" s="17" t="inlineStr">
        <is>
          <t>Hyderabad</t>
        </is>
      </c>
      <c r="H442" s="17" t="inlineStr">
        <is>
          <t>Biryani</t>
        </is>
      </c>
      <c r="I442" s="22" t="n">
        <v>502</v>
      </c>
      <c r="J442" s="22" t="n">
        <v>45.65</v>
      </c>
      <c r="K442" s="22" t="n">
        <v>25</v>
      </c>
      <c r="L442" s="23" t="n">
        <v>0.22</v>
      </c>
      <c r="M442" s="22" t="n">
        <v>116.69</v>
      </c>
      <c r="N442" s="24" t="n">
        <v>2.4</v>
      </c>
      <c r="O442" s="24" t="n">
        <v>26</v>
      </c>
      <c r="P442" s="17" t="inlineStr">
        <is>
          <t>Credit Card</t>
        </is>
      </c>
      <c r="Q442" s="17" t="inlineStr">
        <is>
          <t>Delivered</t>
        </is>
      </c>
      <c r="R442" s="17" t="n">
        <v>5</v>
      </c>
      <c r="S442" s="17">
        <f>TEXT(B442,"yyyy-mm")</f>
        <v/>
      </c>
      <c r="T442" s="17">
        <f>VLOOKUP(D442,Customers!A:D,4,FALSE)</f>
        <v/>
      </c>
      <c r="U442" s="17">
        <f>CONCATENATE(A442,"-",G442)</f>
        <v/>
      </c>
      <c r="V442" s="17">
        <f>IF(N442="","",IF(N442&lt;=30,"Fast (&lt;30m)",IF(N442&lt;=45,"Moderate (30-45m)","Delayed (&gt;45m)")))</f>
        <v/>
      </c>
      <c r="W442" s="17">
        <f>IF(AND(I442&gt;600,P442="Delivered"),"High Value Delivered","Standard")</f>
        <v/>
      </c>
      <c r="X442" s="17">
        <f>IF(OR(N442&gt;50,Q442&lt;=2),"High Risk / Delayed","Normal")</f>
        <v/>
      </c>
      <c r="Y442" s="17">
        <f>IF(NOT(P442="Cancelled"),"Fulfilled","Cancelled")</f>
        <v/>
      </c>
      <c r="Z442" s="17">
        <f>IFERROR(Q442,0)</f>
        <v/>
      </c>
    </row>
    <row r="443">
      <c r="A443" s="25" t="inlineStr">
        <is>
          <t>ORD1442</t>
        </is>
      </c>
      <c r="B443" s="25" t="inlineStr">
        <is>
          <t>2025-10-25</t>
        </is>
      </c>
      <c r="C443" s="25" t="inlineStr">
        <is>
          <t>14:50:44</t>
        </is>
      </c>
      <c r="D443" s="25" t="n">
        <v>1130</v>
      </c>
      <c r="E443" s="25" t="n">
        <v>119</v>
      </c>
      <c r="F443" s="25" t="n">
        <v>215</v>
      </c>
      <c r="G443" s="25" t="inlineStr">
        <is>
          <t>Hyderabad</t>
        </is>
      </c>
      <c r="H443" s="25" t="inlineStr">
        <is>
          <t>Biryani</t>
        </is>
      </c>
      <c r="I443" s="26" t="n">
        <v>706</v>
      </c>
      <c r="J443" s="26" t="n">
        <v>8.75</v>
      </c>
      <c r="K443" s="26" t="n">
        <v>32</v>
      </c>
      <c r="L443" s="27" t="n">
        <v>0.2</v>
      </c>
      <c r="M443" s="26" t="n">
        <v>149.2</v>
      </c>
      <c r="N443" s="28" t="n">
        <v>4.4</v>
      </c>
      <c r="O443" s="28" t="n">
        <v>42.2</v>
      </c>
      <c r="P443" s="25" t="inlineStr">
        <is>
          <t>Credit Card</t>
        </is>
      </c>
      <c r="Q443" s="25" t="inlineStr">
        <is>
          <t>Delivered</t>
        </is>
      </c>
      <c r="R443" s="25" t="n">
        <v>1</v>
      </c>
      <c r="S443" s="25">
        <f>TEXT(B443,"yyyy-mm")</f>
        <v/>
      </c>
      <c r="T443" s="25">
        <f>VLOOKUP(D443,Customers!A:D,4,FALSE)</f>
        <v/>
      </c>
      <c r="U443" s="25">
        <f>CONCATENATE(A443,"-",G443)</f>
        <v/>
      </c>
      <c r="V443" s="25">
        <f>IF(N443="","",IF(N443&lt;=30,"Fast (&lt;30m)",IF(N443&lt;=45,"Moderate (30-45m)","Delayed (&gt;45m)")))</f>
        <v/>
      </c>
      <c r="W443" s="25">
        <f>IF(AND(I443&gt;600,P443="Delivered"),"High Value Delivered","Standard")</f>
        <v/>
      </c>
      <c r="X443" s="25">
        <f>IF(OR(N443&gt;50,Q443&lt;=2),"High Risk / Delayed","Normal")</f>
        <v/>
      </c>
      <c r="Y443" s="25">
        <f>IF(NOT(P443="Cancelled"),"Fulfilled","Cancelled")</f>
        <v/>
      </c>
      <c r="Z443" s="25">
        <f>IFERROR(Q443,0)</f>
        <v/>
      </c>
    </row>
    <row r="444">
      <c r="A444" s="17" t="inlineStr">
        <is>
          <t>ORD1443</t>
        </is>
      </c>
      <c r="B444" s="17" t="inlineStr">
        <is>
          <t>2025-02-16</t>
        </is>
      </c>
      <c r="C444" s="17" t="inlineStr">
        <is>
          <t>15:43:39</t>
        </is>
      </c>
      <c r="D444" s="17" t="n">
        <v>1199</v>
      </c>
      <c r="E444" s="17" t="n">
        <v>119</v>
      </c>
      <c r="F444" s="17" t="n">
        <v>225</v>
      </c>
      <c r="G444" s="17" t="inlineStr">
        <is>
          <t>Hyderabad</t>
        </is>
      </c>
      <c r="H444" s="17" t="inlineStr">
        <is>
          <t>Biryani</t>
        </is>
      </c>
      <c r="I444" s="22" t="n">
        <v>904</v>
      </c>
      <c r="J444" s="22" t="n">
        <v>178.06</v>
      </c>
      <c r="K444" s="22" t="n">
        <v>0</v>
      </c>
      <c r="L444" s="23" t="n">
        <v>0.2</v>
      </c>
      <c r="M444" s="22" t="n">
        <v>180.8</v>
      </c>
      <c r="N444" s="24" t="n">
        <v>4.1</v>
      </c>
      <c r="O444" s="24" t="n">
        <v>32.8</v>
      </c>
      <c r="P444" s="17" t="inlineStr">
        <is>
          <t>UPI</t>
        </is>
      </c>
      <c r="Q444" s="17" t="inlineStr">
        <is>
          <t>Delivered</t>
        </is>
      </c>
      <c r="R444" s="17" t="n">
        <v>5</v>
      </c>
      <c r="S444" s="17">
        <f>TEXT(B444,"yyyy-mm")</f>
        <v/>
      </c>
      <c r="T444" s="17">
        <f>VLOOKUP(D444,Customers!A:D,4,FALSE)</f>
        <v/>
      </c>
      <c r="U444" s="17">
        <f>CONCATENATE(A444,"-",G444)</f>
        <v/>
      </c>
      <c r="V444" s="17">
        <f>IF(N444="","",IF(N444&lt;=30,"Fast (&lt;30m)",IF(N444&lt;=45,"Moderate (30-45m)","Delayed (&gt;45m)")))</f>
        <v/>
      </c>
      <c r="W444" s="17">
        <f>IF(AND(I444&gt;600,P444="Delivered"),"High Value Delivered","Standard")</f>
        <v/>
      </c>
      <c r="X444" s="17">
        <f>IF(OR(N444&gt;50,Q444&lt;=2),"High Risk / Delayed","Normal")</f>
        <v/>
      </c>
      <c r="Y444" s="17">
        <f>IF(NOT(P444="Cancelled"),"Fulfilled","Cancelled")</f>
        <v/>
      </c>
      <c r="Z444" s="17">
        <f>IFERROR(Q444,0)</f>
        <v/>
      </c>
    </row>
    <row r="445">
      <c r="A445" s="25" t="inlineStr">
        <is>
          <t>ORD1444</t>
        </is>
      </c>
      <c r="B445" s="25" t="inlineStr">
        <is>
          <t>2025-11-27</t>
        </is>
      </c>
      <c r="C445" s="25" t="inlineStr">
        <is>
          <t>14:09:44</t>
        </is>
      </c>
      <c r="D445" s="25" t="n">
        <v>1211</v>
      </c>
      <c r="E445" s="25" t="n">
        <v>118</v>
      </c>
      <c r="F445" s="25" t="n">
        <v>212</v>
      </c>
      <c r="G445" s="25" t="inlineStr">
        <is>
          <t>Delhi NCR</t>
        </is>
      </c>
      <c r="H445" s="25" t="inlineStr">
        <is>
          <t>North Indian</t>
        </is>
      </c>
      <c r="I445" s="26" t="n">
        <v>769</v>
      </c>
      <c r="J445" s="26" t="n">
        <v>7.74</v>
      </c>
      <c r="K445" s="26" t="n">
        <v>34</v>
      </c>
      <c r="L445" s="27" t="n">
        <v>0.2</v>
      </c>
      <c r="M445" s="26" t="n">
        <v>162.3</v>
      </c>
      <c r="N445" s="28" t="n">
        <v>4.8</v>
      </c>
      <c r="O445" s="28" t="n">
        <v>42.3</v>
      </c>
      <c r="P445" s="25" t="inlineStr">
        <is>
          <t>Digital Wallet</t>
        </is>
      </c>
      <c r="Q445" s="25" t="inlineStr">
        <is>
          <t>Delivered</t>
        </is>
      </c>
      <c r="R445" s="25" t="n">
        <v>3</v>
      </c>
      <c r="S445" s="25">
        <f>TEXT(B445,"yyyy-mm")</f>
        <v/>
      </c>
      <c r="T445" s="25">
        <f>VLOOKUP(D445,Customers!A:D,4,FALSE)</f>
        <v/>
      </c>
      <c r="U445" s="25">
        <f>CONCATENATE(A445,"-",G445)</f>
        <v/>
      </c>
      <c r="V445" s="25">
        <f>IF(N445="","",IF(N445&lt;=30,"Fast (&lt;30m)",IF(N445&lt;=45,"Moderate (30-45m)","Delayed (&gt;45m)")))</f>
        <v/>
      </c>
      <c r="W445" s="25">
        <f>IF(AND(I445&gt;600,P445="Delivered"),"High Value Delivered","Standard")</f>
        <v/>
      </c>
      <c r="X445" s="25">
        <f>IF(OR(N445&gt;50,Q445&lt;=2),"High Risk / Delayed","Normal")</f>
        <v/>
      </c>
      <c r="Y445" s="25">
        <f>IF(NOT(P445="Cancelled"),"Fulfilled","Cancelled")</f>
        <v/>
      </c>
      <c r="Z445" s="25">
        <f>IFERROR(Q445,0)</f>
        <v/>
      </c>
    </row>
    <row r="446">
      <c r="A446" s="17" t="inlineStr">
        <is>
          <t>ORD1445</t>
        </is>
      </c>
      <c r="B446" s="17" t="inlineStr">
        <is>
          <t>2025-01-11</t>
        </is>
      </c>
      <c r="C446" s="17" t="inlineStr">
        <is>
          <t>22:44:24</t>
        </is>
      </c>
      <c r="D446" s="17" t="n">
        <v>1017</v>
      </c>
      <c r="E446" s="17" t="n">
        <v>103</v>
      </c>
      <c r="F446" s="17" t="n">
        <v>206</v>
      </c>
      <c r="G446" s="17" t="inlineStr">
        <is>
          <t>Mumbai</t>
        </is>
      </c>
      <c r="H446" s="17" t="inlineStr">
        <is>
          <t>Italian</t>
        </is>
      </c>
      <c r="I446" s="22" t="n">
        <v>586</v>
      </c>
      <c r="J446" s="22" t="n">
        <v>11.75</v>
      </c>
      <c r="K446" s="22" t="n">
        <v>36.5</v>
      </c>
      <c r="L446" s="23" t="n">
        <v>0.18</v>
      </c>
      <c r="M446" s="22" t="n">
        <v>114.6</v>
      </c>
      <c r="N446" s="24" t="n">
        <v>5.3</v>
      </c>
      <c r="O446" s="24" t="n">
        <v>27.9</v>
      </c>
      <c r="P446" s="17" t="inlineStr">
        <is>
          <t>Cash on Delivery</t>
        </is>
      </c>
      <c r="Q446" s="17" t="inlineStr">
        <is>
          <t>Delivered</t>
        </is>
      </c>
      <c r="R446" s="17" t="n">
        <v>3</v>
      </c>
      <c r="S446" s="17">
        <f>TEXT(B446,"yyyy-mm")</f>
        <v/>
      </c>
      <c r="T446" s="17">
        <f>VLOOKUP(D446,Customers!A:D,4,FALSE)</f>
        <v/>
      </c>
      <c r="U446" s="17">
        <f>CONCATENATE(A446,"-",G446)</f>
        <v/>
      </c>
      <c r="V446" s="17">
        <f>IF(N446="","",IF(N446&lt;=30,"Fast (&lt;30m)",IF(N446&lt;=45,"Moderate (30-45m)","Delayed (&gt;45m)")))</f>
        <v/>
      </c>
      <c r="W446" s="17">
        <f>IF(AND(I446&gt;600,P446="Delivered"),"High Value Delivered","Standard")</f>
        <v/>
      </c>
      <c r="X446" s="17">
        <f>IF(OR(N446&gt;50,Q446&lt;=2),"High Risk / Delayed","Normal")</f>
        <v/>
      </c>
      <c r="Y446" s="17">
        <f>IF(NOT(P446="Cancelled"),"Fulfilled","Cancelled")</f>
        <v/>
      </c>
      <c r="Z446" s="17">
        <f>IFERROR(Q446,0)</f>
        <v/>
      </c>
    </row>
    <row r="447">
      <c r="A447" s="25" t="inlineStr">
        <is>
          <t>ORD1446</t>
        </is>
      </c>
      <c r="B447" s="25" t="inlineStr">
        <is>
          <t>2025-10-18</t>
        </is>
      </c>
      <c r="C447" s="25" t="inlineStr">
        <is>
          <t>15:11:34</t>
        </is>
      </c>
      <c r="D447" s="25" t="n">
        <v>1295</v>
      </c>
      <c r="E447" s="25" t="n">
        <v>118</v>
      </c>
      <c r="F447" s="25" t="n">
        <v>221</v>
      </c>
      <c r="G447" s="25" t="inlineStr">
        <is>
          <t>Delhi NCR</t>
        </is>
      </c>
      <c r="H447" s="25" t="inlineStr">
        <is>
          <t>North Indian</t>
        </is>
      </c>
      <c r="I447" s="26" t="n">
        <v>576</v>
      </c>
      <c r="J447" s="26" t="n">
        <v>0</v>
      </c>
      <c r="K447" s="26" t="n">
        <v>25</v>
      </c>
      <c r="L447" s="27" t="n">
        <v>0.2</v>
      </c>
      <c r="M447" s="26" t="n">
        <v>121.45</v>
      </c>
      <c r="N447" s="28" t="n">
        <v>2.2</v>
      </c>
      <c r="O447" s="28" t="n">
        <v>24.3</v>
      </c>
      <c r="P447" s="25" t="inlineStr">
        <is>
          <t>Digital Wallet</t>
        </is>
      </c>
      <c r="Q447" s="25" t="inlineStr">
        <is>
          <t>Delivered</t>
        </is>
      </c>
      <c r="R447" s="25" t="n">
        <v>4</v>
      </c>
      <c r="S447" s="25">
        <f>TEXT(B447,"yyyy-mm")</f>
        <v/>
      </c>
      <c r="T447" s="25">
        <f>VLOOKUP(D447,Customers!A:D,4,FALSE)</f>
        <v/>
      </c>
      <c r="U447" s="25">
        <f>CONCATENATE(A447,"-",G447)</f>
        <v/>
      </c>
      <c r="V447" s="25">
        <f>IF(N447="","",IF(N447&lt;=30,"Fast (&lt;30m)",IF(N447&lt;=45,"Moderate (30-45m)","Delayed (&gt;45m)")))</f>
        <v/>
      </c>
      <c r="W447" s="25">
        <f>IF(AND(I447&gt;600,P447="Delivered"),"High Value Delivered","Standard")</f>
        <v/>
      </c>
      <c r="X447" s="25">
        <f>IF(OR(N447&gt;50,Q447&lt;=2),"High Risk / Delayed","Normal")</f>
        <v/>
      </c>
      <c r="Y447" s="25">
        <f>IF(NOT(P447="Cancelled"),"Fulfilled","Cancelled")</f>
        <v/>
      </c>
      <c r="Z447" s="25">
        <f>IFERROR(Q447,0)</f>
        <v/>
      </c>
    </row>
    <row r="448">
      <c r="A448" s="17" t="inlineStr">
        <is>
          <t>ORD1447</t>
        </is>
      </c>
      <c r="B448" s="17" t="inlineStr">
        <is>
          <t>2025-08-19</t>
        </is>
      </c>
      <c r="C448" s="17" t="inlineStr">
        <is>
          <t>13:18:52</t>
        </is>
      </c>
      <c r="D448" s="17" t="n">
        <v>1238</v>
      </c>
      <c r="E448" s="17" t="n">
        <v>101</v>
      </c>
      <c r="F448" s="17" t="n">
        <v>218</v>
      </c>
      <c r="G448" s="17" t="inlineStr">
        <is>
          <t>Bangalore</t>
        </is>
      </c>
      <c r="H448" s="17" t="inlineStr">
        <is>
          <t>North Indian</t>
        </is>
      </c>
      <c r="I448" s="22" t="n">
        <v>489</v>
      </c>
      <c r="J448" s="22" t="n">
        <v>17.76</v>
      </c>
      <c r="K448" s="22" t="n">
        <v>36.5</v>
      </c>
      <c r="L448" s="23" t="n">
        <v>0.2</v>
      </c>
      <c r="M448" s="22" t="n">
        <v>106.93</v>
      </c>
      <c r="N448" s="24" t="n">
        <v>5.3</v>
      </c>
      <c r="O448" s="24" t="n">
        <v>42.9</v>
      </c>
      <c r="P448" s="17" t="inlineStr">
        <is>
          <t>Digital Wallet</t>
        </is>
      </c>
      <c r="Q448" s="17" t="inlineStr">
        <is>
          <t>Delivered</t>
        </is>
      </c>
      <c r="R448" s="17" t="n">
        <v>3</v>
      </c>
      <c r="S448" s="17">
        <f>TEXT(B448,"yyyy-mm")</f>
        <v/>
      </c>
      <c r="T448" s="17">
        <f>VLOOKUP(D448,Customers!A:D,4,FALSE)</f>
        <v/>
      </c>
      <c r="U448" s="17">
        <f>CONCATENATE(A448,"-",G448)</f>
        <v/>
      </c>
      <c r="V448" s="17">
        <f>IF(N448="","",IF(N448&lt;=30,"Fast (&lt;30m)",IF(N448&lt;=45,"Moderate (30-45m)","Delayed (&gt;45m)")))</f>
        <v/>
      </c>
      <c r="W448" s="17">
        <f>IF(AND(I448&gt;600,P448="Delivered"),"High Value Delivered","Standard")</f>
        <v/>
      </c>
      <c r="X448" s="17">
        <f>IF(OR(N448&gt;50,Q448&lt;=2),"High Risk / Delayed","Normal")</f>
        <v/>
      </c>
      <c r="Y448" s="17">
        <f>IF(NOT(P448="Cancelled"),"Fulfilled","Cancelled")</f>
        <v/>
      </c>
      <c r="Z448" s="17">
        <f>IFERROR(Q448,0)</f>
        <v/>
      </c>
    </row>
    <row r="449">
      <c r="A449" s="25" t="inlineStr">
        <is>
          <t>ORD1448</t>
        </is>
      </c>
      <c r="B449" s="25" t="inlineStr">
        <is>
          <t>2025-11-14</t>
        </is>
      </c>
      <c r="C449" s="25" t="inlineStr">
        <is>
          <t>17:54:23</t>
        </is>
      </c>
      <c r="D449" s="25" t="n">
        <v>1131</v>
      </c>
      <c r="E449" s="25" t="n">
        <v>104</v>
      </c>
      <c r="F449" s="25" t="n">
        <v>219</v>
      </c>
      <c r="G449" s="25" t="inlineStr">
        <is>
          <t>Delhi NCR</t>
        </is>
      </c>
      <c r="H449" s="25" t="inlineStr">
        <is>
          <t>Fast Food</t>
        </is>
      </c>
      <c r="I449" s="26" t="n">
        <v>855</v>
      </c>
      <c r="J449" s="26" t="n">
        <v>0</v>
      </c>
      <c r="K449" s="26" t="n">
        <v>37.5</v>
      </c>
      <c r="L449" s="27" t="n">
        <v>0.18</v>
      </c>
      <c r="M449" s="26" t="n">
        <v>163.28</v>
      </c>
      <c r="N449" s="28" t="n">
        <v>5.5</v>
      </c>
      <c r="O449" s="28" t="n">
        <v>37.9</v>
      </c>
      <c r="P449" s="25" t="inlineStr">
        <is>
          <t>Digital Wallet</t>
        </is>
      </c>
      <c r="Q449" s="25" t="inlineStr">
        <is>
          <t>Delivered</t>
        </is>
      </c>
      <c r="R449" s="25" t="n">
        <v>5</v>
      </c>
      <c r="S449" s="25">
        <f>TEXT(B449,"yyyy-mm")</f>
        <v/>
      </c>
      <c r="T449" s="25">
        <f>VLOOKUP(D449,Customers!A:D,4,FALSE)</f>
        <v/>
      </c>
      <c r="U449" s="25">
        <f>CONCATENATE(A449,"-",G449)</f>
        <v/>
      </c>
      <c r="V449" s="25">
        <f>IF(N449="","",IF(N449&lt;=30,"Fast (&lt;30m)",IF(N449&lt;=45,"Moderate (30-45m)","Delayed (&gt;45m)")))</f>
        <v/>
      </c>
      <c r="W449" s="25">
        <f>IF(AND(I449&gt;600,P449="Delivered"),"High Value Delivered","Standard")</f>
        <v/>
      </c>
      <c r="X449" s="25">
        <f>IF(OR(N449&gt;50,Q449&lt;=2),"High Risk / Delayed","Normal")</f>
        <v/>
      </c>
      <c r="Y449" s="25">
        <f>IF(NOT(P449="Cancelled"),"Fulfilled","Cancelled")</f>
        <v/>
      </c>
      <c r="Z449" s="25">
        <f>IFERROR(Q449,0)</f>
        <v/>
      </c>
    </row>
    <row r="450">
      <c r="A450" s="17" t="inlineStr">
        <is>
          <t>ORD1449</t>
        </is>
      </c>
      <c r="B450" s="17" t="inlineStr">
        <is>
          <t>2025-10-10</t>
        </is>
      </c>
      <c r="C450" s="17" t="inlineStr">
        <is>
          <t>12:09:39</t>
        </is>
      </c>
      <c r="D450" s="17" t="n">
        <v>1153</v>
      </c>
      <c r="E450" s="17" t="n">
        <v>105</v>
      </c>
      <c r="F450" s="17" t="n">
        <v>223</v>
      </c>
      <c r="G450" s="17" t="inlineStr">
        <is>
          <t>Bangalore</t>
        </is>
      </c>
      <c r="H450" s="17" t="inlineStr">
        <is>
          <t>Chinese</t>
        </is>
      </c>
      <c r="I450" s="22" t="n">
        <v>509</v>
      </c>
      <c r="J450" s="22" t="n">
        <v>0</v>
      </c>
      <c r="K450" s="22" t="n">
        <v>52</v>
      </c>
      <c r="L450" s="23" t="n">
        <v>0.2</v>
      </c>
      <c r="M450" s="22" t="n">
        <v>114.8</v>
      </c>
      <c r="N450" s="24" t="n">
        <v>8.4</v>
      </c>
      <c r="O450" s="24" t="n">
        <v>55.8</v>
      </c>
      <c r="P450" s="17" t="inlineStr">
        <is>
          <t>UPI</t>
        </is>
      </c>
      <c r="Q450" s="17" t="inlineStr">
        <is>
          <t>Delivered</t>
        </is>
      </c>
      <c r="R450" s="17" t="n">
        <v>1</v>
      </c>
      <c r="S450" s="17">
        <f>TEXT(B450,"yyyy-mm")</f>
        <v/>
      </c>
      <c r="T450" s="17">
        <f>VLOOKUP(D450,Customers!A:D,4,FALSE)</f>
        <v/>
      </c>
      <c r="U450" s="17">
        <f>CONCATENATE(A450,"-",G450)</f>
        <v/>
      </c>
      <c r="V450" s="17">
        <f>IF(N450="","",IF(N450&lt;=30,"Fast (&lt;30m)",IF(N450&lt;=45,"Moderate (30-45m)","Delayed (&gt;45m)")))</f>
        <v/>
      </c>
      <c r="W450" s="17">
        <f>IF(AND(I450&gt;600,P450="Delivered"),"High Value Delivered","Standard")</f>
        <v/>
      </c>
      <c r="X450" s="17">
        <f>IF(OR(N450&gt;50,Q450&lt;=2),"High Risk / Delayed","Normal")</f>
        <v/>
      </c>
      <c r="Y450" s="17">
        <f>IF(NOT(P450="Cancelled"),"Fulfilled","Cancelled")</f>
        <v/>
      </c>
      <c r="Z450" s="17">
        <f>IFERROR(Q450,0)</f>
        <v/>
      </c>
    </row>
    <row r="451">
      <c r="A451" s="25" t="inlineStr">
        <is>
          <t>ORD1450</t>
        </is>
      </c>
      <c r="B451" s="25" t="inlineStr">
        <is>
          <t>2025-01-23</t>
        </is>
      </c>
      <c r="C451" s="25" t="inlineStr">
        <is>
          <t>20:53:08</t>
        </is>
      </c>
      <c r="D451" s="25" t="n">
        <v>1128</v>
      </c>
      <c r="E451" s="25" t="n">
        <v>119</v>
      </c>
      <c r="F451" s="25" t="n">
        <v>215</v>
      </c>
      <c r="G451" s="25" t="inlineStr">
        <is>
          <t>Hyderabad</t>
        </is>
      </c>
      <c r="H451" s="25" t="inlineStr">
        <is>
          <t>Biryani</t>
        </is>
      </c>
      <c r="I451" s="26" t="n">
        <v>725</v>
      </c>
      <c r="J451" s="26" t="n">
        <v>74.77</v>
      </c>
      <c r="K451" s="26" t="n">
        <v>0</v>
      </c>
      <c r="L451" s="27" t="n">
        <v>0.2</v>
      </c>
      <c r="M451" s="26" t="n">
        <v>145</v>
      </c>
      <c r="N451" s="28" t="n">
        <v>3.5</v>
      </c>
      <c r="O451" s="28" t="n">
        <v>27.8</v>
      </c>
      <c r="P451" s="25" t="inlineStr">
        <is>
          <t>Credit Card</t>
        </is>
      </c>
      <c r="Q451" s="25" t="inlineStr">
        <is>
          <t>Delivered</t>
        </is>
      </c>
      <c r="R451" s="25" t="n">
        <v>5</v>
      </c>
      <c r="S451" s="25">
        <f>TEXT(B451,"yyyy-mm")</f>
        <v/>
      </c>
      <c r="T451" s="25">
        <f>VLOOKUP(D451,Customers!A:D,4,FALSE)</f>
        <v/>
      </c>
      <c r="U451" s="25">
        <f>CONCATENATE(A451,"-",G451)</f>
        <v/>
      </c>
      <c r="V451" s="25">
        <f>IF(N451="","",IF(N451&lt;=30,"Fast (&lt;30m)",IF(N451&lt;=45,"Moderate (30-45m)","Delayed (&gt;45m)")))</f>
        <v/>
      </c>
      <c r="W451" s="25">
        <f>IF(AND(I451&gt;600,P451="Delivered"),"High Value Delivered","Standard")</f>
        <v/>
      </c>
      <c r="X451" s="25">
        <f>IF(OR(N451&gt;50,Q451&lt;=2),"High Risk / Delayed","Normal")</f>
        <v/>
      </c>
      <c r="Y451" s="25">
        <f>IF(NOT(P451="Cancelled"),"Fulfilled","Cancelled")</f>
        <v/>
      </c>
      <c r="Z451" s="25">
        <f>IFERROR(Q451,0)</f>
        <v/>
      </c>
    </row>
    <row r="452">
      <c r="A452" s="17" t="inlineStr">
        <is>
          <t>ORD1451</t>
        </is>
      </c>
      <c r="B452" s="17" t="inlineStr">
        <is>
          <t>2025-10-20</t>
        </is>
      </c>
      <c r="C452" s="17" t="inlineStr">
        <is>
          <t>13:41:53</t>
        </is>
      </c>
      <c r="D452" s="17" t="n">
        <v>1289</v>
      </c>
      <c r="E452" s="17" t="n">
        <v>104</v>
      </c>
      <c r="F452" s="17" t="n">
        <v>219</v>
      </c>
      <c r="G452" s="17" t="inlineStr">
        <is>
          <t>Delhi NCR</t>
        </is>
      </c>
      <c r="H452" s="17" t="inlineStr">
        <is>
          <t>Fast Food</t>
        </is>
      </c>
      <c r="I452" s="22" t="n">
        <v>617</v>
      </c>
      <c r="J452" s="22" t="n">
        <v>25.95</v>
      </c>
      <c r="K452" s="22" t="n">
        <v>29</v>
      </c>
      <c r="L452" s="23" t="n">
        <v>0.18</v>
      </c>
      <c r="M452" s="22" t="n">
        <v>118.31</v>
      </c>
      <c r="N452" s="24" t="n">
        <v>3.8</v>
      </c>
      <c r="O452" s="24" t="n">
        <v>34.2</v>
      </c>
      <c r="P452" s="17" t="inlineStr">
        <is>
          <t>Debit Card</t>
        </is>
      </c>
      <c r="Q452" s="17" t="inlineStr">
        <is>
          <t>Delivered</t>
        </is>
      </c>
      <c r="R452" s="17" t="n">
        <v>1</v>
      </c>
      <c r="S452" s="17">
        <f>TEXT(B452,"yyyy-mm")</f>
        <v/>
      </c>
      <c r="T452" s="17">
        <f>VLOOKUP(D452,Customers!A:D,4,FALSE)</f>
        <v/>
      </c>
      <c r="U452" s="17">
        <f>CONCATENATE(A452,"-",G452)</f>
        <v/>
      </c>
      <c r="V452" s="17">
        <f>IF(N452="","",IF(N452&lt;=30,"Fast (&lt;30m)",IF(N452&lt;=45,"Moderate (30-45m)","Delayed (&gt;45m)")))</f>
        <v/>
      </c>
      <c r="W452" s="17">
        <f>IF(AND(I452&gt;600,P452="Delivered"),"High Value Delivered","Standard")</f>
        <v/>
      </c>
      <c r="X452" s="17">
        <f>IF(OR(N452&gt;50,Q452&lt;=2),"High Risk / Delayed","Normal")</f>
        <v/>
      </c>
      <c r="Y452" s="17">
        <f>IF(NOT(P452="Cancelled"),"Fulfilled","Cancelled")</f>
        <v/>
      </c>
      <c r="Z452" s="17">
        <f>IFERROR(Q452,0)</f>
        <v/>
      </c>
    </row>
    <row r="453">
      <c r="A453" s="25" t="inlineStr">
        <is>
          <t>ORD1452</t>
        </is>
      </c>
      <c r="B453" s="25" t="inlineStr">
        <is>
          <t>2025-04-24</t>
        </is>
      </c>
      <c r="C453" s="25" t="inlineStr">
        <is>
          <t>07:38:45</t>
        </is>
      </c>
      <c r="D453" s="25" t="n">
        <v>1035</v>
      </c>
      <c r="E453" s="25" t="n">
        <v>111</v>
      </c>
      <c r="F453" s="25" t="n">
        <v>201</v>
      </c>
      <c r="G453" s="25" t="inlineStr">
        <is>
          <t>Bangalore</t>
        </is>
      </c>
      <c r="H453" s="25" t="inlineStr">
        <is>
          <t>South Indian</t>
        </is>
      </c>
      <c r="I453" s="26" t="n">
        <v>395</v>
      </c>
      <c r="J453" s="26" t="n">
        <v>76.23999999999999</v>
      </c>
      <c r="K453" s="26" t="n">
        <v>28</v>
      </c>
      <c r="L453" s="27" t="n">
        <v>0.15</v>
      </c>
      <c r="M453" s="26" t="n">
        <v>66.25</v>
      </c>
      <c r="N453" s="28" t="n">
        <v>3.6</v>
      </c>
      <c r="O453" s="28" t="n">
        <v>31.7</v>
      </c>
      <c r="P453" s="25" t="inlineStr">
        <is>
          <t>Cash on Delivery</t>
        </is>
      </c>
      <c r="Q453" s="25" t="inlineStr">
        <is>
          <t>Delivered</t>
        </is>
      </c>
      <c r="R453" s="25" t="n">
        <v>4</v>
      </c>
      <c r="S453" s="25">
        <f>TEXT(B453,"yyyy-mm")</f>
        <v/>
      </c>
      <c r="T453" s="25">
        <f>VLOOKUP(D453,Customers!A:D,4,FALSE)</f>
        <v/>
      </c>
      <c r="U453" s="25">
        <f>CONCATENATE(A453,"-",G453)</f>
        <v/>
      </c>
      <c r="V453" s="25">
        <f>IF(N453="","",IF(N453&lt;=30,"Fast (&lt;30m)",IF(N453&lt;=45,"Moderate (30-45m)","Delayed (&gt;45m)")))</f>
        <v/>
      </c>
      <c r="W453" s="25">
        <f>IF(AND(I453&gt;600,P453="Delivered"),"High Value Delivered","Standard")</f>
        <v/>
      </c>
      <c r="X453" s="25">
        <f>IF(OR(N453&gt;50,Q453&lt;=2),"High Risk / Delayed","Normal")</f>
        <v/>
      </c>
      <c r="Y453" s="25">
        <f>IF(NOT(P453="Cancelled"),"Fulfilled","Cancelled")</f>
        <v/>
      </c>
      <c r="Z453" s="25">
        <f>IFERROR(Q453,0)</f>
        <v/>
      </c>
    </row>
    <row r="454">
      <c r="A454" s="17" t="inlineStr">
        <is>
          <t>ORD1453</t>
        </is>
      </c>
      <c r="B454" s="17" t="inlineStr">
        <is>
          <t>2025-11-24</t>
        </is>
      </c>
      <c r="C454" s="17" t="inlineStr">
        <is>
          <t>20:03:23</t>
        </is>
      </c>
      <c r="D454" s="17" t="n">
        <v>1155</v>
      </c>
      <c r="E454" s="17" t="n">
        <v>116</v>
      </c>
      <c r="F454" s="17" t="n">
        <v>208</v>
      </c>
      <c r="G454" s="17" t="inlineStr">
        <is>
          <t>Pune</t>
        </is>
      </c>
      <c r="H454" s="17" t="inlineStr">
        <is>
          <t>Desserts</t>
        </is>
      </c>
      <c r="I454" s="22" t="n">
        <v>1081</v>
      </c>
      <c r="J454" s="22" t="n">
        <v>209.52</v>
      </c>
      <c r="K454" s="22" t="n">
        <v>0</v>
      </c>
      <c r="L454" s="23" t="n">
        <v>0.25</v>
      </c>
      <c r="M454" s="22" t="n">
        <v>270.25</v>
      </c>
      <c r="N454" s="24" t="n">
        <v>3.9</v>
      </c>
      <c r="O454" s="24" t="n">
        <v>31.4</v>
      </c>
      <c r="P454" s="17" t="inlineStr">
        <is>
          <t>Debit Card</t>
        </is>
      </c>
      <c r="Q454" s="17" t="inlineStr">
        <is>
          <t>Delivered</t>
        </is>
      </c>
      <c r="R454" s="17" t="n">
        <v>4</v>
      </c>
      <c r="S454" s="17">
        <f>TEXT(B454,"yyyy-mm")</f>
        <v/>
      </c>
      <c r="T454" s="17">
        <f>VLOOKUP(D454,Customers!A:D,4,FALSE)</f>
        <v/>
      </c>
      <c r="U454" s="17">
        <f>CONCATENATE(A454,"-",G454)</f>
        <v/>
      </c>
      <c r="V454" s="17">
        <f>IF(N454="","",IF(N454&lt;=30,"Fast (&lt;30m)",IF(N454&lt;=45,"Moderate (30-45m)","Delayed (&gt;45m)")))</f>
        <v/>
      </c>
      <c r="W454" s="17">
        <f>IF(AND(I454&gt;600,P454="Delivered"),"High Value Delivered","Standard")</f>
        <v/>
      </c>
      <c r="X454" s="17">
        <f>IF(OR(N454&gt;50,Q454&lt;=2),"High Risk / Delayed","Normal")</f>
        <v/>
      </c>
      <c r="Y454" s="17">
        <f>IF(NOT(P454="Cancelled"),"Fulfilled","Cancelled")</f>
        <v/>
      </c>
      <c r="Z454" s="17">
        <f>IFERROR(Q454,0)</f>
        <v/>
      </c>
    </row>
    <row r="455">
      <c r="A455" s="25" t="inlineStr">
        <is>
          <t>ORD1454</t>
        </is>
      </c>
      <c r="B455" s="25" t="inlineStr">
        <is>
          <t>2025-02-06</t>
        </is>
      </c>
      <c r="C455" s="25" t="inlineStr">
        <is>
          <t>19:53:19</t>
        </is>
      </c>
      <c r="D455" s="25" t="n">
        <v>1216</v>
      </c>
      <c r="E455" s="25" t="n">
        <v>106</v>
      </c>
      <c r="F455" s="25" t="n">
        <v>217</v>
      </c>
      <c r="G455" s="25" t="inlineStr">
        <is>
          <t>Pune</t>
        </is>
      </c>
      <c r="H455" s="25" t="inlineStr">
        <is>
          <t>South Indian</t>
        </is>
      </c>
      <c r="I455" s="26" t="n">
        <v>299</v>
      </c>
      <c r="J455" s="26" t="n">
        <v>22.98</v>
      </c>
      <c r="K455" s="26" t="n">
        <v>37.5</v>
      </c>
      <c r="L455" s="27" t="n">
        <v>0.15</v>
      </c>
      <c r="M455" s="26" t="n">
        <v>54.22</v>
      </c>
      <c r="N455" s="28" t="n">
        <v>5.5</v>
      </c>
      <c r="O455" s="28" t="n">
        <v>35.9</v>
      </c>
      <c r="P455" s="25" t="inlineStr">
        <is>
          <t>Credit Card</t>
        </is>
      </c>
      <c r="Q455" s="25" t="inlineStr">
        <is>
          <t>Delivered</t>
        </is>
      </c>
      <c r="R455" s="25" t="n">
        <v>4</v>
      </c>
      <c r="S455" s="25">
        <f>TEXT(B455,"yyyy-mm")</f>
        <v/>
      </c>
      <c r="T455" s="25">
        <f>VLOOKUP(D455,Customers!A:D,4,FALSE)</f>
        <v/>
      </c>
      <c r="U455" s="25">
        <f>CONCATENATE(A455,"-",G455)</f>
        <v/>
      </c>
      <c r="V455" s="25">
        <f>IF(N455="","",IF(N455&lt;=30,"Fast (&lt;30m)",IF(N455&lt;=45,"Moderate (30-45m)","Delayed (&gt;45m)")))</f>
        <v/>
      </c>
      <c r="W455" s="25">
        <f>IF(AND(I455&gt;600,P455="Delivered"),"High Value Delivered","Standard")</f>
        <v/>
      </c>
      <c r="X455" s="25">
        <f>IF(OR(N455&gt;50,Q455&lt;=2),"High Risk / Delayed","Normal")</f>
        <v/>
      </c>
      <c r="Y455" s="25">
        <f>IF(NOT(P455="Cancelled"),"Fulfilled","Cancelled")</f>
        <v/>
      </c>
      <c r="Z455" s="25">
        <f>IFERROR(Q455,0)</f>
        <v/>
      </c>
    </row>
    <row r="456">
      <c r="A456" s="17" t="inlineStr">
        <is>
          <t>ORD1455</t>
        </is>
      </c>
      <c r="B456" s="17" t="inlineStr">
        <is>
          <t>2025-09-27</t>
        </is>
      </c>
      <c r="C456" s="17" t="inlineStr">
        <is>
          <t>10:42:15</t>
        </is>
      </c>
      <c r="D456" s="17" t="n">
        <v>1131</v>
      </c>
      <c r="E456" s="17" t="n">
        <v>112</v>
      </c>
      <c r="F456" s="17" t="n">
        <v>228</v>
      </c>
      <c r="G456" s="17" t="inlineStr">
        <is>
          <t>Delhi NCR</t>
        </is>
      </c>
      <c r="H456" s="17" t="inlineStr">
        <is>
          <t>North Indian</t>
        </is>
      </c>
      <c r="I456" s="22" t="n">
        <v>803</v>
      </c>
      <c r="J456" s="22" t="n">
        <v>11.49</v>
      </c>
      <c r="K456" s="22" t="n">
        <v>25</v>
      </c>
      <c r="L456" s="23" t="n">
        <v>0.22</v>
      </c>
      <c r="M456" s="22" t="n">
        <v>182.91</v>
      </c>
      <c r="N456" s="24" t="n">
        <v>1.9</v>
      </c>
      <c r="O456" s="24" t="n">
        <v>28.7</v>
      </c>
      <c r="P456" s="17" t="inlineStr">
        <is>
          <t>Cash on Delivery</t>
        </is>
      </c>
      <c r="Q456" s="17" t="inlineStr">
        <is>
          <t>Delivered</t>
        </is>
      </c>
      <c r="R456" s="17" t="n">
        <v>4</v>
      </c>
      <c r="S456" s="17">
        <f>TEXT(B456,"yyyy-mm")</f>
        <v/>
      </c>
      <c r="T456" s="17">
        <f>VLOOKUP(D456,Customers!A:D,4,FALSE)</f>
        <v/>
      </c>
      <c r="U456" s="17">
        <f>CONCATENATE(A456,"-",G456)</f>
        <v/>
      </c>
      <c r="V456" s="17">
        <f>IF(N456="","",IF(N456&lt;=30,"Fast (&lt;30m)",IF(N456&lt;=45,"Moderate (30-45m)","Delayed (&gt;45m)")))</f>
        <v/>
      </c>
      <c r="W456" s="17">
        <f>IF(AND(I456&gt;600,P456="Delivered"),"High Value Delivered","Standard")</f>
        <v/>
      </c>
      <c r="X456" s="17">
        <f>IF(OR(N456&gt;50,Q456&lt;=2),"High Risk / Delayed","Normal")</f>
        <v/>
      </c>
      <c r="Y456" s="17">
        <f>IF(NOT(P456="Cancelled"),"Fulfilled","Cancelled")</f>
        <v/>
      </c>
      <c r="Z456" s="17">
        <f>IFERROR(Q456,0)</f>
        <v/>
      </c>
    </row>
    <row r="457">
      <c r="A457" s="25" t="inlineStr">
        <is>
          <t>ORD1456</t>
        </is>
      </c>
      <c r="B457" s="25" t="inlineStr">
        <is>
          <t>2025-12-26</t>
        </is>
      </c>
      <c r="C457" s="25" t="inlineStr">
        <is>
          <t>10:42:27</t>
        </is>
      </c>
      <c r="D457" s="25" t="n">
        <v>1231</v>
      </c>
      <c r="E457" s="25" t="n">
        <v>111</v>
      </c>
      <c r="F457" s="25" t="n">
        <v>223</v>
      </c>
      <c r="G457" s="25" t="inlineStr">
        <is>
          <t>Bangalore</t>
        </is>
      </c>
      <c r="H457" s="25" t="inlineStr">
        <is>
          <t>South Indian</t>
        </is>
      </c>
      <c r="I457" s="26" t="n">
        <v>326</v>
      </c>
      <c r="J457" s="26" t="n">
        <v>20.11</v>
      </c>
      <c r="K457" s="26" t="n">
        <v>30.5</v>
      </c>
      <c r="L457" s="27" t="n">
        <v>0.15</v>
      </c>
      <c r="M457" s="26" t="n">
        <v>56.52</v>
      </c>
      <c r="N457" s="28" t="n">
        <v>4.1</v>
      </c>
      <c r="O457" s="28" t="n">
        <v>25.7</v>
      </c>
      <c r="P457" s="25" t="inlineStr">
        <is>
          <t>Cash on Delivery</t>
        </is>
      </c>
      <c r="Q457" s="25" t="inlineStr">
        <is>
          <t>Delivered</t>
        </is>
      </c>
      <c r="R457" s="25" t="n">
        <v>2</v>
      </c>
      <c r="S457" s="25">
        <f>TEXT(B457,"yyyy-mm")</f>
        <v/>
      </c>
      <c r="T457" s="25">
        <f>VLOOKUP(D457,Customers!A:D,4,FALSE)</f>
        <v/>
      </c>
      <c r="U457" s="25">
        <f>CONCATENATE(A457,"-",G457)</f>
        <v/>
      </c>
      <c r="V457" s="25">
        <f>IF(N457="","",IF(N457&lt;=30,"Fast (&lt;30m)",IF(N457&lt;=45,"Moderate (30-45m)","Delayed (&gt;45m)")))</f>
        <v/>
      </c>
      <c r="W457" s="25">
        <f>IF(AND(I457&gt;600,P457="Delivered"),"High Value Delivered","Standard")</f>
        <v/>
      </c>
      <c r="X457" s="25">
        <f>IF(OR(N457&gt;50,Q457&lt;=2),"High Risk / Delayed","Normal")</f>
        <v/>
      </c>
      <c r="Y457" s="25">
        <f>IF(NOT(P457="Cancelled"),"Fulfilled","Cancelled")</f>
        <v/>
      </c>
      <c r="Z457" s="25">
        <f>IFERROR(Q457,0)</f>
        <v/>
      </c>
    </row>
    <row r="458">
      <c r="A458" s="17" t="inlineStr">
        <is>
          <t>ORD1457</t>
        </is>
      </c>
      <c r="B458" s="17" t="inlineStr">
        <is>
          <t>2025-06-30</t>
        </is>
      </c>
      <c r="C458" s="17" t="inlineStr">
        <is>
          <t>17:57:20</t>
        </is>
      </c>
      <c r="D458" s="17" t="n">
        <v>1180</v>
      </c>
      <c r="E458" s="17" t="n">
        <v>112</v>
      </c>
      <c r="F458" s="17" t="n">
        <v>230</v>
      </c>
      <c r="G458" s="17" t="inlineStr">
        <is>
          <t>Delhi NCR</t>
        </is>
      </c>
      <c r="H458" s="17" t="inlineStr">
        <is>
          <t>North Indian</t>
        </is>
      </c>
      <c r="I458" s="22" t="n">
        <v>783</v>
      </c>
      <c r="J458" s="22" t="n">
        <v>20.34</v>
      </c>
      <c r="K458" s="22" t="n">
        <v>33.5</v>
      </c>
      <c r="L458" s="23" t="n">
        <v>0.22</v>
      </c>
      <c r="M458" s="22" t="n">
        <v>180.64</v>
      </c>
      <c r="N458" s="24" t="n">
        <v>4.7</v>
      </c>
      <c r="O458" s="24" t="n">
        <v>31.4</v>
      </c>
      <c r="P458" s="17" t="inlineStr">
        <is>
          <t>Cash on Delivery</t>
        </is>
      </c>
      <c r="Q458" s="17" t="inlineStr">
        <is>
          <t>Delivered</t>
        </is>
      </c>
      <c r="R458" s="17" t="n">
        <v>4</v>
      </c>
      <c r="S458" s="17">
        <f>TEXT(B458,"yyyy-mm")</f>
        <v/>
      </c>
      <c r="T458" s="17">
        <f>VLOOKUP(D458,Customers!A:D,4,FALSE)</f>
        <v/>
      </c>
      <c r="U458" s="17">
        <f>CONCATENATE(A458,"-",G458)</f>
        <v/>
      </c>
      <c r="V458" s="17">
        <f>IF(N458="","",IF(N458&lt;=30,"Fast (&lt;30m)",IF(N458&lt;=45,"Moderate (30-45m)","Delayed (&gt;45m)")))</f>
        <v/>
      </c>
      <c r="W458" s="17">
        <f>IF(AND(I458&gt;600,P458="Delivered"),"High Value Delivered","Standard")</f>
        <v/>
      </c>
      <c r="X458" s="17">
        <f>IF(OR(N458&gt;50,Q458&lt;=2),"High Risk / Delayed","Normal")</f>
        <v/>
      </c>
      <c r="Y458" s="17">
        <f>IF(NOT(P458="Cancelled"),"Fulfilled","Cancelled")</f>
        <v/>
      </c>
      <c r="Z458" s="17">
        <f>IFERROR(Q458,0)</f>
        <v/>
      </c>
    </row>
    <row r="459">
      <c r="A459" s="25" t="inlineStr">
        <is>
          <t>ORD1458</t>
        </is>
      </c>
      <c r="B459" s="25" t="inlineStr">
        <is>
          <t>2025-07-12</t>
        </is>
      </c>
      <c r="C459" s="25" t="inlineStr">
        <is>
          <t>09:49:35</t>
        </is>
      </c>
      <c r="D459" s="25" t="n">
        <v>1279</v>
      </c>
      <c r="E459" s="25" t="n">
        <v>108</v>
      </c>
      <c r="F459" s="25" t="n">
        <v>211</v>
      </c>
      <c r="G459" s="25" t="inlineStr">
        <is>
          <t>Delhi NCR</t>
        </is>
      </c>
      <c r="H459" s="25" t="inlineStr">
        <is>
          <t>Fast Food</t>
        </is>
      </c>
      <c r="I459" s="26" t="n">
        <v>480</v>
      </c>
      <c r="J459" s="26" t="n">
        <v>36.1</v>
      </c>
      <c r="K459" s="26" t="n">
        <v>25</v>
      </c>
      <c r="L459" s="27" t="n">
        <v>0.18</v>
      </c>
      <c r="M459" s="26" t="n">
        <v>92.65000000000001</v>
      </c>
      <c r="N459" s="28" t="n">
        <v>2.8</v>
      </c>
      <c r="O459" s="28" t="n">
        <v>25.1</v>
      </c>
      <c r="P459" s="25" t="inlineStr">
        <is>
          <t>Cash on Delivery</t>
        </is>
      </c>
      <c r="Q459" s="25" t="inlineStr">
        <is>
          <t>Delivered</t>
        </is>
      </c>
      <c r="R459" s="25" t="n">
        <v>5</v>
      </c>
      <c r="S459" s="25">
        <f>TEXT(B459,"yyyy-mm")</f>
        <v/>
      </c>
      <c r="T459" s="25">
        <f>VLOOKUP(D459,Customers!A:D,4,FALSE)</f>
        <v/>
      </c>
      <c r="U459" s="25">
        <f>CONCATENATE(A459,"-",G459)</f>
        <v/>
      </c>
      <c r="V459" s="25">
        <f>IF(N459="","",IF(N459&lt;=30,"Fast (&lt;30m)",IF(N459&lt;=45,"Moderate (30-45m)","Delayed (&gt;45m)")))</f>
        <v/>
      </c>
      <c r="W459" s="25">
        <f>IF(AND(I459&gt;600,P459="Delivered"),"High Value Delivered","Standard")</f>
        <v/>
      </c>
      <c r="X459" s="25">
        <f>IF(OR(N459&gt;50,Q459&lt;=2),"High Risk / Delayed","Normal")</f>
        <v/>
      </c>
      <c r="Y459" s="25">
        <f>IF(NOT(P459="Cancelled"),"Fulfilled","Cancelled")</f>
        <v/>
      </c>
      <c r="Z459" s="25">
        <f>IFERROR(Q459,0)</f>
        <v/>
      </c>
    </row>
    <row r="460">
      <c r="A460" s="17" t="inlineStr">
        <is>
          <t>ORD1459</t>
        </is>
      </c>
      <c r="B460" s="17" t="inlineStr">
        <is>
          <t>2025-05-26</t>
        </is>
      </c>
      <c r="C460" s="17" t="inlineStr">
        <is>
          <t>21:38:01</t>
        </is>
      </c>
      <c r="D460" s="17" t="n">
        <v>1055</v>
      </c>
      <c r="E460" s="17" t="n">
        <v>105</v>
      </c>
      <c r="F460" s="17" t="n">
        <v>203</v>
      </c>
      <c r="G460" s="17" t="inlineStr">
        <is>
          <t>Bangalore</t>
        </is>
      </c>
      <c r="H460" s="17" t="inlineStr">
        <is>
          <t>Chinese</t>
        </is>
      </c>
      <c r="I460" s="22" t="n">
        <v>750</v>
      </c>
      <c r="J460" s="22" t="n">
        <v>0</v>
      </c>
      <c r="K460" s="22" t="n">
        <v>25.5</v>
      </c>
      <c r="L460" s="23" t="n">
        <v>0.2</v>
      </c>
      <c r="M460" s="22" t="n">
        <v>156.38</v>
      </c>
      <c r="N460" s="24" t="n">
        <v>3.1</v>
      </c>
      <c r="O460" s="24" t="n">
        <v>34.5</v>
      </c>
      <c r="P460" s="17" t="inlineStr">
        <is>
          <t>UPI</t>
        </is>
      </c>
      <c r="Q460" s="17" t="inlineStr">
        <is>
          <t>Delivered</t>
        </is>
      </c>
      <c r="R460" s="17" t="n">
        <v>5</v>
      </c>
      <c r="S460" s="17">
        <f>TEXT(B460,"yyyy-mm")</f>
        <v/>
      </c>
      <c r="T460" s="17">
        <f>VLOOKUP(D460,Customers!A:D,4,FALSE)</f>
        <v/>
      </c>
      <c r="U460" s="17">
        <f>CONCATENATE(A460,"-",G460)</f>
        <v/>
      </c>
      <c r="V460" s="17">
        <f>IF(N460="","",IF(N460&lt;=30,"Fast (&lt;30m)",IF(N460&lt;=45,"Moderate (30-45m)","Delayed (&gt;45m)")))</f>
        <v/>
      </c>
      <c r="W460" s="17">
        <f>IF(AND(I460&gt;600,P460="Delivered"),"High Value Delivered","Standard")</f>
        <v/>
      </c>
      <c r="X460" s="17">
        <f>IF(OR(N460&gt;50,Q460&lt;=2),"High Risk / Delayed","Normal")</f>
        <v/>
      </c>
      <c r="Y460" s="17">
        <f>IF(NOT(P460="Cancelled"),"Fulfilled","Cancelled")</f>
        <v/>
      </c>
      <c r="Z460" s="17">
        <f>IFERROR(Q460,0)</f>
        <v/>
      </c>
    </row>
    <row r="461">
      <c r="A461" s="25" t="inlineStr">
        <is>
          <t>ORD1460</t>
        </is>
      </c>
      <c r="B461" s="25" t="inlineStr">
        <is>
          <t>2025-06-11</t>
        </is>
      </c>
      <c r="C461" s="25" t="inlineStr">
        <is>
          <t>15:01:49</t>
        </is>
      </c>
      <c r="D461" s="25" t="n">
        <v>1052</v>
      </c>
      <c r="E461" s="25" t="n">
        <v>102</v>
      </c>
      <c r="F461" s="25" t="n">
        <v>225</v>
      </c>
      <c r="G461" s="25" t="inlineStr">
        <is>
          <t>Hyderabad</t>
        </is>
      </c>
      <c r="H461" s="25" t="inlineStr">
        <is>
          <t>Biryani</t>
        </is>
      </c>
      <c r="I461" s="26" t="n">
        <v>926</v>
      </c>
      <c r="J461" s="26" t="n">
        <v>99.59999999999999</v>
      </c>
      <c r="K461" s="26" t="n">
        <v>58.5</v>
      </c>
      <c r="L461" s="27" t="n">
        <v>0.22</v>
      </c>
      <c r="M461" s="26" t="n">
        <v>218.34</v>
      </c>
      <c r="N461" s="28" t="n">
        <v>9.699999999999999</v>
      </c>
      <c r="O461" s="28" t="n">
        <v>51.6</v>
      </c>
      <c r="P461" s="25" t="inlineStr">
        <is>
          <t>Digital Wallet</t>
        </is>
      </c>
      <c r="Q461" s="25" t="inlineStr">
        <is>
          <t>Delivered</t>
        </is>
      </c>
      <c r="R461" s="25" t="n">
        <v>3</v>
      </c>
      <c r="S461" s="25">
        <f>TEXT(B461,"yyyy-mm")</f>
        <v/>
      </c>
      <c r="T461" s="25">
        <f>VLOOKUP(D461,Customers!A:D,4,FALSE)</f>
        <v/>
      </c>
      <c r="U461" s="25">
        <f>CONCATENATE(A461,"-",G461)</f>
        <v/>
      </c>
      <c r="V461" s="25">
        <f>IF(N461="","",IF(N461&lt;=30,"Fast (&lt;30m)",IF(N461&lt;=45,"Moderate (30-45m)","Delayed (&gt;45m)")))</f>
        <v/>
      </c>
      <c r="W461" s="25">
        <f>IF(AND(I461&gt;600,P461="Delivered"),"High Value Delivered","Standard")</f>
        <v/>
      </c>
      <c r="X461" s="25">
        <f>IF(OR(N461&gt;50,Q461&lt;=2),"High Risk / Delayed","Normal")</f>
        <v/>
      </c>
      <c r="Y461" s="25">
        <f>IF(NOT(P461="Cancelled"),"Fulfilled","Cancelled")</f>
        <v/>
      </c>
      <c r="Z461" s="25">
        <f>IFERROR(Q461,0)</f>
        <v/>
      </c>
    </row>
    <row r="462">
      <c r="A462" s="17" t="inlineStr">
        <is>
          <t>ORD1461</t>
        </is>
      </c>
      <c r="B462" s="17" t="inlineStr">
        <is>
          <t>2025-08-24</t>
        </is>
      </c>
      <c r="C462" s="17" t="inlineStr">
        <is>
          <t>19:22:09</t>
        </is>
      </c>
      <c r="D462" s="17" t="n">
        <v>1141</v>
      </c>
      <c r="E462" s="17" t="n">
        <v>118</v>
      </c>
      <c r="F462" s="17" t="n">
        <v>221</v>
      </c>
      <c r="G462" s="17" t="inlineStr">
        <is>
          <t>Delhi NCR</t>
        </is>
      </c>
      <c r="H462" s="17" t="inlineStr">
        <is>
          <t>North Indian</t>
        </is>
      </c>
      <c r="I462" s="22" t="n">
        <v>528</v>
      </c>
      <c r="J462" s="22" t="n">
        <v>72.18000000000001</v>
      </c>
      <c r="K462" s="22" t="n">
        <v>0</v>
      </c>
      <c r="L462" s="23" t="n">
        <v>0.2</v>
      </c>
      <c r="M462" s="22" t="n">
        <v>105.6</v>
      </c>
      <c r="N462" s="24" t="n">
        <v>5.3</v>
      </c>
      <c r="O462" s="24" t="n">
        <v>38.3</v>
      </c>
      <c r="P462" s="17" t="inlineStr">
        <is>
          <t>Credit Card</t>
        </is>
      </c>
      <c r="Q462" s="17" t="inlineStr">
        <is>
          <t>Delivered</t>
        </is>
      </c>
      <c r="R462" s="17" t="n">
        <v>5</v>
      </c>
      <c r="S462" s="17">
        <f>TEXT(B462,"yyyy-mm")</f>
        <v/>
      </c>
      <c r="T462" s="17">
        <f>VLOOKUP(D462,Customers!A:D,4,FALSE)</f>
        <v/>
      </c>
      <c r="U462" s="17">
        <f>CONCATENATE(A462,"-",G462)</f>
        <v/>
      </c>
      <c r="V462" s="17">
        <f>IF(N462="","",IF(N462&lt;=30,"Fast (&lt;30m)",IF(N462&lt;=45,"Moderate (30-45m)","Delayed (&gt;45m)")))</f>
        <v/>
      </c>
      <c r="W462" s="17">
        <f>IF(AND(I462&gt;600,P462="Delivered"),"High Value Delivered","Standard")</f>
        <v/>
      </c>
      <c r="X462" s="17">
        <f>IF(OR(N462&gt;50,Q462&lt;=2),"High Risk / Delayed","Normal")</f>
        <v/>
      </c>
      <c r="Y462" s="17">
        <f>IF(NOT(P462="Cancelled"),"Fulfilled","Cancelled")</f>
        <v/>
      </c>
      <c r="Z462" s="17">
        <f>IFERROR(Q462,0)</f>
        <v/>
      </c>
    </row>
    <row r="463">
      <c r="A463" s="25" t="inlineStr">
        <is>
          <t>ORD1462</t>
        </is>
      </c>
      <c r="B463" s="25" t="inlineStr">
        <is>
          <t>2025-10-20</t>
        </is>
      </c>
      <c r="C463" s="25" t="inlineStr">
        <is>
          <t>20:25:36</t>
        </is>
      </c>
      <c r="D463" s="25" t="n">
        <v>1248</v>
      </c>
      <c r="E463" s="25" t="n">
        <v>118</v>
      </c>
      <c r="F463" s="25" t="n">
        <v>211</v>
      </c>
      <c r="G463" s="25" t="inlineStr">
        <is>
          <t>Delhi NCR</t>
        </is>
      </c>
      <c r="H463" s="25" t="inlineStr">
        <is>
          <t>North Indian</t>
        </is>
      </c>
      <c r="I463" s="26" t="n">
        <v>729</v>
      </c>
      <c r="J463" s="26" t="n">
        <v>78.53</v>
      </c>
      <c r="K463" s="26" t="n">
        <v>0</v>
      </c>
      <c r="L463" s="27" t="n">
        <v>0.2</v>
      </c>
      <c r="M463" s="26" t="n">
        <v>145.8</v>
      </c>
      <c r="N463" s="28" t="n">
        <v>5.7</v>
      </c>
      <c r="O463" s="28" t="n">
        <v>37.3</v>
      </c>
      <c r="P463" s="25" t="inlineStr">
        <is>
          <t>Cash on Delivery</t>
        </is>
      </c>
      <c r="Q463" s="25" t="inlineStr">
        <is>
          <t>Delivered</t>
        </is>
      </c>
      <c r="R463" s="25" t="n">
        <v>4</v>
      </c>
      <c r="S463" s="25">
        <f>TEXT(B463,"yyyy-mm")</f>
        <v/>
      </c>
      <c r="T463" s="25">
        <f>VLOOKUP(D463,Customers!A:D,4,FALSE)</f>
        <v/>
      </c>
      <c r="U463" s="25">
        <f>CONCATENATE(A463,"-",G463)</f>
        <v/>
      </c>
      <c r="V463" s="25">
        <f>IF(N463="","",IF(N463&lt;=30,"Fast (&lt;30m)",IF(N463&lt;=45,"Moderate (30-45m)","Delayed (&gt;45m)")))</f>
        <v/>
      </c>
      <c r="W463" s="25">
        <f>IF(AND(I463&gt;600,P463="Delivered"),"High Value Delivered","Standard")</f>
        <v/>
      </c>
      <c r="X463" s="25">
        <f>IF(OR(N463&gt;50,Q463&lt;=2),"High Risk / Delayed","Normal")</f>
        <v/>
      </c>
      <c r="Y463" s="25">
        <f>IF(NOT(P463="Cancelled"),"Fulfilled","Cancelled")</f>
        <v/>
      </c>
      <c r="Z463" s="25">
        <f>IFERROR(Q463,0)</f>
        <v/>
      </c>
    </row>
    <row r="464">
      <c r="A464" s="17" t="inlineStr">
        <is>
          <t>ORD1463</t>
        </is>
      </c>
      <c r="B464" s="17" t="inlineStr">
        <is>
          <t>2025-12-20</t>
        </is>
      </c>
      <c r="C464" s="17" t="inlineStr">
        <is>
          <t>13:44:36</t>
        </is>
      </c>
      <c r="D464" s="17" t="n">
        <v>1290</v>
      </c>
      <c r="E464" s="17" t="n">
        <v>103</v>
      </c>
      <c r="F464" s="17" t="n">
        <v>206</v>
      </c>
      <c r="G464" s="17" t="inlineStr">
        <is>
          <t>Mumbai</t>
        </is>
      </c>
      <c r="H464" s="17" t="inlineStr">
        <is>
          <t>Italian</t>
        </is>
      </c>
      <c r="I464" s="22" t="n">
        <v>317</v>
      </c>
      <c r="J464" s="22" t="n">
        <v>7.62</v>
      </c>
      <c r="K464" s="22" t="n">
        <v>31</v>
      </c>
      <c r="L464" s="23" t="n">
        <v>0.18</v>
      </c>
      <c r="M464" s="22" t="n">
        <v>64.81</v>
      </c>
      <c r="N464" s="24" t="n">
        <v>4.2</v>
      </c>
      <c r="O464" s="24" t="n">
        <v>42.7</v>
      </c>
      <c r="P464" s="17" t="inlineStr">
        <is>
          <t>Digital Wallet</t>
        </is>
      </c>
      <c r="Q464" s="17" t="inlineStr">
        <is>
          <t>Delivered</t>
        </is>
      </c>
      <c r="R464" s="17" t="n">
        <v>4</v>
      </c>
      <c r="S464" s="17">
        <f>TEXT(B464,"yyyy-mm")</f>
        <v/>
      </c>
      <c r="T464" s="17">
        <f>VLOOKUP(D464,Customers!A:D,4,FALSE)</f>
        <v/>
      </c>
      <c r="U464" s="17">
        <f>CONCATENATE(A464,"-",G464)</f>
        <v/>
      </c>
      <c r="V464" s="17">
        <f>IF(N464="","",IF(N464&lt;=30,"Fast (&lt;30m)",IF(N464&lt;=45,"Moderate (30-45m)","Delayed (&gt;45m)")))</f>
        <v/>
      </c>
      <c r="W464" s="17">
        <f>IF(AND(I464&gt;600,P464="Delivered"),"High Value Delivered","Standard")</f>
        <v/>
      </c>
      <c r="X464" s="17">
        <f>IF(OR(N464&gt;50,Q464&lt;=2),"High Risk / Delayed","Normal")</f>
        <v/>
      </c>
      <c r="Y464" s="17">
        <f>IF(NOT(P464="Cancelled"),"Fulfilled","Cancelled")</f>
        <v/>
      </c>
      <c r="Z464" s="17">
        <f>IFERROR(Q464,0)</f>
        <v/>
      </c>
    </row>
    <row r="465">
      <c r="A465" s="25" t="inlineStr">
        <is>
          <t>ORD1464</t>
        </is>
      </c>
      <c r="B465" s="25" t="inlineStr">
        <is>
          <t>2025-06-21</t>
        </is>
      </c>
      <c r="C465" s="25" t="inlineStr">
        <is>
          <t>14:22:56</t>
        </is>
      </c>
      <c r="D465" s="25" t="n">
        <v>1245</v>
      </c>
      <c r="E465" s="25" t="n">
        <v>107</v>
      </c>
      <c r="F465" s="25" t="n">
        <v>229</v>
      </c>
      <c r="G465" s="25" t="inlineStr">
        <is>
          <t>Mumbai</t>
        </is>
      </c>
      <c r="H465" s="25" t="inlineStr">
        <is>
          <t>Desserts</t>
        </is>
      </c>
      <c r="I465" s="26" t="n">
        <v>664</v>
      </c>
      <c r="J465" s="26" t="n">
        <v>0</v>
      </c>
      <c r="K465" s="26" t="n">
        <v>89.5</v>
      </c>
      <c r="L465" s="27" t="n">
        <v>0.25</v>
      </c>
      <c r="M465" s="26" t="n">
        <v>188.38</v>
      </c>
      <c r="N465" s="28" t="n">
        <v>15.9</v>
      </c>
      <c r="O465" s="28" t="n">
        <v>81.2</v>
      </c>
      <c r="P465" s="25" t="inlineStr">
        <is>
          <t>Credit Card</t>
        </is>
      </c>
      <c r="Q465" s="25" t="inlineStr">
        <is>
          <t>Delivered</t>
        </is>
      </c>
      <c r="R465" s="25" t="n">
        <v>2</v>
      </c>
      <c r="S465" s="25">
        <f>TEXT(B465,"yyyy-mm")</f>
        <v/>
      </c>
      <c r="T465" s="25">
        <f>VLOOKUP(D465,Customers!A:D,4,FALSE)</f>
        <v/>
      </c>
      <c r="U465" s="25">
        <f>CONCATENATE(A465,"-",G465)</f>
        <v/>
      </c>
      <c r="V465" s="25">
        <f>IF(N465="","",IF(N465&lt;=30,"Fast (&lt;30m)",IF(N465&lt;=45,"Moderate (30-45m)","Delayed (&gt;45m)")))</f>
        <v/>
      </c>
      <c r="W465" s="25">
        <f>IF(AND(I465&gt;600,P465="Delivered"),"High Value Delivered","Standard")</f>
        <v/>
      </c>
      <c r="X465" s="25">
        <f>IF(OR(N465&gt;50,Q465&lt;=2),"High Risk / Delayed","Normal")</f>
        <v/>
      </c>
      <c r="Y465" s="25">
        <f>IF(NOT(P465="Cancelled"),"Fulfilled","Cancelled")</f>
        <v/>
      </c>
      <c r="Z465" s="25">
        <f>IFERROR(Q465,0)</f>
        <v/>
      </c>
    </row>
    <row r="466">
      <c r="A466" s="17" t="inlineStr">
        <is>
          <t>ORD1465</t>
        </is>
      </c>
      <c r="B466" s="17" t="inlineStr">
        <is>
          <t>2025-06-06</t>
        </is>
      </c>
      <c r="C466" s="17" t="inlineStr">
        <is>
          <t>15:33:02</t>
        </is>
      </c>
      <c r="D466" s="17" t="n">
        <v>1248</v>
      </c>
      <c r="E466" s="17" t="n">
        <v>108</v>
      </c>
      <c r="F466" s="17" t="n">
        <v>212</v>
      </c>
      <c r="G466" s="17" t="inlineStr">
        <is>
          <t>Delhi NCR</t>
        </is>
      </c>
      <c r="H466" s="17" t="inlineStr">
        <is>
          <t>Fast Food</t>
        </is>
      </c>
      <c r="I466" s="22" t="n">
        <v>784</v>
      </c>
      <c r="J466" s="22" t="n">
        <v>122.69</v>
      </c>
      <c r="K466" s="22" t="n">
        <v>0</v>
      </c>
      <c r="L466" s="23" t="n">
        <v>0.18</v>
      </c>
      <c r="M466" s="22" t="n">
        <v>141.12</v>
      </c>
      <c r="N466" s="24" t="n">
        <v>2.1</v>
      </c>
      <c r="O466" s="24" t="n">
        <v>23.6</v>
      </c>
      <c r="P466" s="17" t="inlineStr">
        <is>
          <t>Credit Card</t>
        </is>
      </c>
      <c r="Q466" s="17" t="inlineStr">
        <is>
          <t>Delivered</t>
        </is>
      </c>
      <c r="R466" s="17" t="n">
        <v>1</v>
      </c>
      <c r="S466" s="17">
        <f>TEXT(B466,"yyyy-mm")</f>
        <v/>
      </c>
      <c r="T466" s="17">
        <f>VLOOKUP(D466,Customers!A:D,4,FALSE)</f>
        <v/>
      </c>
      <c r="U466" s="17">
        <f>CONCATENATE(A466,"-",G466)</f>
        <v/>
      </c>
      <c r="V466" s="17">
        <f>IF(N466="","",IF(N466&lt;=30,"Fast (&lt;30m)",IF(N466&lt;=45,"Moderate (30-45m)","Delayed (&gt;45m)")))</f>
        <v/>
      </c>
      <c r="W466" s="17">
        <f>IF(AND(I466&gt;600,P466="Delivered"),"High Value Delivered","Standard")</f>
        <v/>
      </c>
      <c r="X466" s="17">
        <f>IF(OR(N466&gt;50,Q466&lt;=2),"High Risk / Delayed","Normal")</f>
        <v/>
      </c>
      <c r="Y466" s="17">
        <f>IF(NOT(P466="Cancelled"),"Fulfilled","Cancelled")</f>
        <v/>
      </c>
      <c r="Z466" s="17">
        <f>IFERROR(Q466,0)</f>
        <v/>
      </c>
    </row>
    <row r="467">
      <c r="A467" s="25" t="inlineStr">
        <is>
          <t>ORD1466</t>
        </is>
      </c>
      <c r="B467" s="25" t="inlineStr">
        <is>
          <t>2025-12-11</t>
        </is>
      </c>
      <c r="C467" s="25" t="inlineStr">
        <is>
          <t>15:46:25</t>
        </is>
      </c>
      <c r="D467" s="25" t="n">
        <v>1221</v>
      </c>
      <c r="E467" s="25" t="n">
        <v>114</v>
      </c>
      <c r="F467" s="25" t="n">
        <v>216</v>
      </c>
      <c r="G467" s="25" t="inlineStr">
        <is>
          <t>Hyderabad</t>
        </is>
      </c>
      <c r="H467" s="25" t="inlineStr">
        <is>
          <t>Biryani</t>
        </is>
      </c>
      <c r="I467" s="26" t="n">
        <v>676</v>
      </c>
      <c r="J467" s="26" t="n">
        <v>69.42</v>
      </c>
      <c r="K467" s="26" t="n">
        <v>25</v>
      </c>
      <c r="L467" s="27" t="n">
        <v>0.22</v>
      </c>
      <c r="M467" s="26" t="n">
        <v>154.97</v>
      </c>
      <c r="N467" s="28" t="n">
        <v>2.9</v>
      </c>
      <c r="O467" s="28" t="n">
        <v>28.1</v>
      </c>
      <c r="P467" s="25" t="inlineStr">
        <is>
          <t>UPI</t>
        </is>
      </c>
      <c r="Q467" s="25" t="inlineStr">
        <is>
          <t>Delivered</t>
        </is>
      </c>
      <c r="R467" s="25" t="n">
        <v>4</v>
      </c>
      <c r="S467" s="25">
        <f>TEXT(B467,"yyyy-mm")</f>
        <v/>
      </c>
      <c r="T467" s="25">
        <f>VLOOKUP(D467,Customers!A:D,4,FALSE)</f>
        <v/>
      </c>
      <c r="U467" s="25">
        <f>CONCATENATE(A467,"-",G467)</f>
        <v/>
      </c>
      <c r="V467" s="25">
        <f>IF(N467="","",IF(N467&lt;=30,"Fast (&lt;30m)",IF(N467&lt;=45,"Moderate (30-45m)","Delayed (&gt;45m)")))</f>
        <v/>
      </c>
      <c r="W467" s="25">
        <f>IF(AND(I467&gt;600,P467="Delivered"),"High Value Delivered","Standard")</f>
        <v/>
      </c>
      <c r="X467" s="25">
        <f>IF(OR(N467&gt;50,Q467&lt;=2),"High Risk / Delayed","Normal")</f>
        <v/>
      </c>
      <c r="Y467" s="25">
        <f>IF(NOT(P467="Cancelled"),"Fulfilled","Cancelled")</f>
        <v/>
      </c>
      <c r="Z467" s="25">
        <f>IFERROR(Q467,0)</f>
        <v/>
      </c>
    </row>
    <row r="468">
      <c r="A468" s="17" t="inlineStr">
        <is>
          <t>ORD1467</t>
        </is>
      </c>
      <c r="B468" s="17" t="inlineStr">
        <is>
          <t>2025-05-29</t>
        </is>
      </c>
      <c r="C468" s="17" t="inlineStr">
        <is>
          <t>20:50:25</t>
        </is>
      </c>
      <c r="D468" s="17" t="n">
        <v>1093</v>
      </c>
      <c r="E468" s="17" t="n">
        <v>108</v>
      </c>
      <c r="F468" s="17" t="n">
        <v>211</v>
      </c>
      <c r="G468" s="17" t="inlineStr">
        <is>
          <t>Delhi NCR</t>
        </is>
      </c>
      <c r="H468" s="17" t="inlineStr">
        <is>
          <t>Fast Food</t>
        </is>
      </c>
      <c r="I468" s="22" t="n">
        <v>371</v>
      </c>
      <c r="J468" s="22" t="n">
        <v>21.98</v>
      </c>
      <c r="K468" s="22" t="n">
        <v>38</v>
      </c>
      <c r="L468" s="23" t="n">
        <v>0.18</v>
      </c>
      <c r="M468" s="22" t="n">
        <v>76.28</v>
      </c>
      <c r="N468" s="24" t="n">
        <v>5.6</v>
      </c>
      <c r="O468" s="24" t="n">
        <v>41.3</v>
      </c>
      <c r="P468" s="17" t="inlineStr">
        <is>
          <t>Digital Wallet</t>
        </is>
      </c>
      <c r="Q468" s="17" t="inlineStr">
        <is>
          <t>Delivered</t>
        </is>
      </c>
      <c r="R468" s="17" t="n">
        <v>2</v>
      </c>
      <c r="S468" s="17">
        <f>TEXT(B468,"yyyy-mm")</f>
        <v/>
      </c>
      <c r="T468" s="17">
        <f>VLOOKUP(D468,Customers!A:D,4,FALSE)</f>
        <v/>
      </c>
      <c r="U468" s="17">
        <f>CONCATENATE(A468,"-",G468)</f>
        <v/>
      </c>
      <c r="V468" s="17">
        <f>IF(N468="","",IF(N468&lt;=30,"Fast (&lt;30m)",IF(N468&lt;=45,"Moderate (30-45m)","Delayed (&gt;45m)")))</f>
        <v/>
      </c>
      <c r="W468" s="17">
        <f>IF(AND(I468&gt;600,P468="Delivered"),"High Value Delivered","Standard")</f>
        <v/>
      </c>
      <c r="X468" s="17">
        <f>IF(OR(N468&gt;50,Q468&lt;=2),"High Risk / Delayed","Normal")</f>
        <v/>
      </c>
      <c r="Y468" s="17">
        <f>IF(NOT(P468="Cancelled"),"Fulfilled","Cancelled")</f>
        <v/>
      </c>
      <c r="Z468" s="17">
        <f>IFERROR(Q468,0)</f>
        <v/>
      </c>
    </row>
    <row r="469">
      <c r="A469" s="25" t="inlineStr">
        <is>
          <t>ORD1468</t>
        </is>
      </c>
      <c r="B469" s="25" t="inlineStr">
        <is>
          <t>2025-02-13</t>
        </is>
      </c>
      <c r="C469" s="25" t="inlineStr">
        <is>
          <t>13:25:32</t>
        </is>
      </c>
      <c r="D469" s="25" t="n">
        <v>1228</v>
      </c>
      <c r="E469" s="25" t="n">
        <v>102</v>
      </c>
      <c r="F469" s="25" t="n">
        <v>215</v>
      </c>
      <c r="G469" s="25" t="inlineStr">
        <is>
          <t>Hyderabad</t>
        </is>
      </c>
      <c r="H469" s="25" t="inlineStr">
        <is>
          <t>Biryani</t>
        </is>
      </c>
      <c r="I469" s="26" t="n">
        <v>664</v>
      </c>
      <c r="J469" s="26" t="n">
        <v>6.93</v>
      </c>
      <c r="K469" s="26" t="n">
        <v>36.5</v>
      </c>
      <c r="L469" s="27" t="n">
        <v>0.22</v>
      </c>
      <c r="M469" s="26" t="n">
        <v>155.21</v>
      </c>
      <c r="N469" s="28" t="n">
        <v>5.3</v>
      </c>
      <c r="O469" s="28" t="n">
        <v>34</v>
      </c>
      <c r="P469" s="25" t="inlineStr">
        <is>
          <t>Digital Wallet</t>
        </is>
      </c>
      <c r="Q469" s="25" t="inlineStr">
        <is>
          <t>Delivered</t>
        </is>
      </c>
      <c r="R469" s="25" t="n">
        <v>4</v>
      </c>
      <c r="S469" s="25">
        <f>TEXT(B469,"yyyy-mm")</f>
        <v/>
      </c>
      <c r="T469" s="25">
        <f>VLOOKUP(D469,Customers!A:D,4,FALSE)</f>
        <v/>
      </c>
      <c r="U469" s="25">
        <f>CONCATENATE(A469,"-",G469)</f>
        <v/>
      </c>
      <c r="V469" s="25">
        <f>IF(N469="","",IF(N469&lt;=30,"Fast (&lt;30m)",IF(N469&lt;=45,"Moderate (30-45m)","Delayed (&gt;45m)")))</f>
        <v/>
      </c>
      <c r="W469" s="25">
        <f>IF(AND(I469&gt;600,P469="Delivered"),"High Value Delivered","Standard")</f>
        <v/>
      </c>
      <c r="X469" s="25">
        <f>IF(OR(N469&gt;50,Q469&lt;=2),"High Risk / Delayed","Normal")</f>
        <v/>
      </c>
      <c r="Y469" s="25">
        <f>IF(NOT(P469="Cancelled"),"Fulfilled","Cancelled")</f>
        <v/>
      </c>
      <c r="Z469" s="25">
        <f>IFERROR(Q469,0)</f>
        <v/>
      </c>
    </row>
    <row r="470">
      <c r="A470" s="17" t="inlineStr">
        <is>
          <t>ORD1469</t>
        </is>
      </c>
      <c r="B470" s="17" t="inlineStr">
        <is>
          <t>2025-07-22</t>
        </is>
      </c>
      <c r="C470" s="17" t="inlineStr">
        <is>
          <t>22:41:36</t>
        </is>
      </c>
      <c r="D470" s="17" t="n">
        <v>1167</v>
      </c>
      <c r="E470" s="17" t="n">
        <v>108</v>
      </c>
      <c r="F470" s="17" t="n">
        <v>228</v>
      </c>
      <c r="G470" s="17" t="inlineStr">
        <is>
          <t>Delhi NCR</t>
        </is>
      </c>
      <c r="H470" s="17" t="inlineStr">
        <is>
          <t>Fast Food</t>
        </is>
      </c>
      <c r="I470" s="22" t="n">
        <v>420</v>
      </c>
      <c r="J470" s="22" t="n">
        <v>33.5</v>
      </c>
      <c r="K470" s="22" t="n">
        <v>25</v>
      </c>
      <c r="L470" s="23" t="n">
        <v>0.18</v>
      </c>
      <c r="M470" s="22" t="n">
        <v>81.84999999999999</v>
      </c>
      <c r="N470" s="24" t="n">
        <v>2.6</v>
      </c>
      <c r="O470" s="24" t="n">
        <v>25.6</v>
      </c>
      <c r="P470" s="17" t="inlineStr">
        <is>
          <t>Credit Card</t>
        </is>
      </c>
      <c r="Q470" s="17" t="inlineStr">
        <is>
          <t>Delivered</t>
        </is>
      </c>
      <c r="R470" s="17" t="n">
        <v>4</v>
      </c>
      <c r="S470" s="17">
        <f>TEXT(B470,"yyyy-mm")</f>
        <v/>
      </c>
      <c r="T470" s="17">
        <f>VLOOKUP(D470,Customers!A:D,4,FALSE)</f>
        <v/>
      </c>
      <c r="U470" s="17">
        <f>CONCATENATE(A470,"-",G470)</f>
        <v/>
      </c>
      <c r="V470" s="17">
        <f>IF(N470="","",IF(N470&lt;=30,"Fast (&lt;30m)",IF(N470&lt;=45,"Moderate (30-45m)","Delayed (&gt;45m)")))</f>
        <v/>
      </c>
      <c r="W470" s="17">
        <f>IF(AND(I470&gt;600,P470="Delivered"),"High Value Delivered","Standard")</f>
        <v/>
      </c>
      <c r="X470" s="17">
        <f>IF(OR(N470&gt;50,Q470&lt;=2),"High Risk / Delayed","Normal")</f>
        <v/>
      </c>
      <c r="Y470" s="17">
        <f>IF(NOT(P470="Cancelled"),"Fulfilled","Cancelled")</f>
        <v/>
      </c>
      <c r="Z470" s="17">
        <f>IFERROR(Q470,0)</f>
        <v/>
      </c>
    </row>
    <row r="471">
      <c r="A471" s="25" t="inlineStr">
        <is>
          <t>ORD1470</t>
        </is>
      </c>
      <c r="B471" s="25" t="inlineStr">
        <is>
          <t>2025-08-09</t>
        </is>
      </c>
      <c r="C471" s="25" t="inlineStr">
        <is>
          <t>13:20:43</t>
        </is>
      </c>
      <c r="D471" s="25" t="n">
        <v>1189</v>
      </c>
      <c r="E471" s="25" t="n">
        <v>109</v>
      </c>
      <c r="F471" s="25" t="n">
        <v>216</v>
      </c>
      <c r="G471" s="25" t="inlineStr">
        <is>
          <t>Hyderabad</t>
        </is>
      </c>
      <c r="H471" s="25" t="inlineStr">
        <is>
          <t>Biryani</t>
        </is>
      </c>
      <c r="I471" s="26" t="n">
        <v>809</v>
      </c>
      <c r="J471" s="26" t="n">
        <v>0</v>
      </c>
      <c r="K471" s="26" t="n">
        <v>25</v>
      </c>
      <c r="L471" s="27" t="n">
        <v>0.2</v>
      </c>
      <c r="M471" s="26" t="n">
        <v>168.05</v>
      </c>
      <c r="N471" s="28" t="n">
        <v>2.9</v>
      </c>
      <c r="O471" s="28" t="n">
        <v>32.4</v>
      </c>
      <c r="P471" s="25" t="inlineStr">
        <is>
          <t>Cash on Delivery</t>
        </is>
      </c>
      <c r="Q471" s="25" t="inlineStr">
        <is>
          <t>Delivered</t>
        </is>
      </c>
      <c r="R471" s="25" t="n">
        <v>4</v>
      </c>
      <c r="S471" s="25">
        <f>TEXT(B471,"yyyy-mm")</f>
        <v/>
      </c>
      <c r="T471" s="25">
        <f>VLOOKUP(D471,Customers!A:D,4,FALSE)</f>
        <v/>
      </c>
      <c r="U471" s="25">
        <f>CONCATENATE(A471,"-",G471)</f>
        <v/>
      </c>
      <c r="V471" s="25">
        <f>IF(N471="","",IF(N471&lt;=30,"Fast (&lt;30m)",IF(N471&lt;=45,"Moderate (30-45m)","Delayed (&gt;45m)")))</f>
        <v/>
      </c>
      <c r="W471" s="25">
        <f>IF(AND(I471&gt;600,P471="Delivered"),"High Value Delivered","Standard")</f>
        <v/>
      </c>
      <c r="X471" s="25">
        <f>IF(OR(N471&gt;50,Q471&lt;=2),"High Risk / Delayed","Normal")</f>
        <v/>
      </c>
      <c r="Y471" s="25">
        <f>IF(NOT(P471="Cancelled"),"Fulfilled","Cancelled")</f>
        <v/>
      </c>
      <c r="Z471" s="25">
        <f>IFERROR(Q471,0)</f>
        <v/>
      </c>
    </row>
    <row r="472">
      <c r="A472" s="17" t="inlineStr">
        <is>
          <t>ORD1471</t>
        </is>
      </c>
      <c r="B472" s="17" t="inlineStr">
        <is>
          <t>2025-06-14</t>
        </is>
      </c>
      <c r="C472" s="17" t="inlineStr">
        <is>
          <t>13:22:38</t>
        </is>
      </c>
      <c r="D472" s="17" t="n">
        <v>1260</v>
      </c>
      <c r="E472" s="17" t="n">
        <v>116</v>
      </c>
      <c r="F472" s="17" t="n">
        <v>204</v>
      </c>
      <c r="G472" s="17" t="inlineStr">
        <is>
          <t>Pune</t>
        </is>
      </c>
      <c r="H472" s="17" t="inlineStr">
        <is>
          <t>Desserts</t>
        </is>
      </c>
      <c r="I472" s="22" t="n">
        <v>891</v>
      </c>
      <c r="J472" s="22" t="n">
        <v>0</v>
      </c>
      <c r="K472" s="22" t="n">
        <v>25</v>
      </c>
      <c r="L472" s="23" t="n">
        <v>0.25</v>
      </c>
      <c r="M472" s="22" t="n">
        <v>229</v>
      </c>
      <c r="N472" s="24" t="n">
        <v>2.1</v>
      </c>
      <c r="O472" s="24" t="n">
        <v>26</v>
      </c>
      <c r="P472" s="17" t="inlineStr">
        <is>
          <t>Debit Card</t>
        </is>
      </c>
      <c r="Q472" s="17" t="inlineStr">
        <is>
          <t>Delivered</t>
        </is>
      </c>
      <c r="R472" s="17" t="n">
        <v>5</v>
      </c>
      <c r="S472" s="17">
        <f>TEXT(B472,"yyyy-mm")</f>
        <v/>
      </c>
      <c r="T472" s="17">
        <f>VLOOKUP(D472,Customers!A:D,4,FALSE)</f>
        <v/>
      </c>
      <c r="U472" s="17">
        <f>CONCATENATE(A472,"-",G472)</f>
        <v/>
      </c>
      <c r="V472" s="17">
        <f>IF(N472="","",IF(N472&lt;=30,"Fast (&lt;30m)",IF(N472&lt;=45,"Moderate (30-45m)","Delayed (&gt;45m)")))</f>
        <v/>
      </c>
      <c r="W472" s="17">
        <f>IF(AND(I472&gt;600,P472="Delivered"),"High Value Delivered","Standard")</f>
        <v/>
      </c>
      <c r="X472" s="17">
        <f>IF(OR(N472&gt;50,Q472&lt;=2),"High Risk / Delayed","Normal")</f>
        <v/>
      </c>
      <c r="Y472" s="17">
        <f>IF(NOT(P472="Cancelled"),"Fulfilled","Cancelled")</f>
        <v/>
      </c>
      <c r="Z472" s="17">
        <f>IFERROR(Q472,0)</f>
        <v/>
      </c>
    </row>
    <row r="473">
      <c r="A473" s="25" t="inlineStr">
        <is>
          <t>ORD1472</t>
        </is>
      </c>
      <c r="B473" s="25" t="inlineStr">
        <is>
          <t>2025-01-23</t>
        </is>
      </c>
      <c r="C473" s="25" t="inlineStr">
        <is>
          <t>12:59:52</t>
        </is>
      </c>
      <c r="D473" s="25" t="n">
        <v>1217</v>
      </c>
      <c r="E473" s="25" t="n">
        <v>119</v>
      </c>
      <c r="F473" s="25" t="n">
        <v>216</v>
      </c>
      <c r="G473" s="25" t="inlineStr">
        <is>
          <t>Hyderabad</t>
        </is>
      </c>
      <c r="H473" s="25" t="inlineStr">
        <is>
          <t>Biryani</t>
        </is>
      </c>
      <c r="I473" s="26" t="n">
        <v>459</v>
      </c>
      <c r="J473" s="26" t="n">
        <v>0</v>
      </c>
      <c r="K473" s="26" t="n">
        <v>25.5</v>
      </c>
      <c r="L473" s="27" t="n">
        <v>0.2</v>
      </c>
      <c r="M473" s="26" t="n">
        <v>98.18000000000001</v>
      </c>
      <c r="N473" s="28" t="n">
        <v>3.1</v>
      </c>
      <c r="O473" s="28" t="n">
        <v>32.6</v>
      </c>
      <c r="P473" s="25" t="inlineStr">
        <is>
          <t>UPI</t>
        </is>
      </c>
      <c r="Q473" s="25" t="inlineStr">
        <is>
          <t>Delivered</t>
        </is>
      </c>
      <c r="R473" s="25" t="n">
        <v>4</v>
      </c>
      <c r="S473" s="25">
        <f>TEXT(B473,"yyyy-mm")</f>
        <v/>
      </c>
      <c r="T473" s="25">
        <f>VLOOKUP(D473,Customers!A:D,4,FALSE)</f>
        <v/>
      </c>
      <c r="U473" s="25">
        <f>CONCATENATE(A473,"-",G473)</f>
        <v/>
      </c>
      <c r="V473" s="25">
        <f>IF(N473="","",IF(N473&lt;=30,"Fast (&lt;30m)",IF(N473&lt;=45,"Moderate (30-45m)","Delayed (&gt;45m)")))</f>
        <v/>
      </c>
      <c r="W473" s="25">
        <f>IF(AND(I473&gt;600,P473="Delivered"),"High Value Delivered","Standard")</f>
        <v/>
      </c>
      <c r="X473" s="25">
        <f>IF(OR(N473&gt;50,Q473&lt;=2),"High Risk / Delayed","Normal")</f>
        <v/>
      </c>
      <c r="Y473" s="25">
        <f>IF(NOT(P473="Cancelled"),"Fulfilled","Cancelled")</f>
        <v/>
      </c>
      <c r="Z473" s="25">
        <f>IFERROR(Q473,0)</f>
        <v/>
      </c>
    </row>
    <row r="474">
      <c r="A474" s="17" t="inlineStr">
        <is>
          <t>ORD1473</t>
        </is>
      </c>
      <c r="B474" s="17" t="inlineStr">
        <is>
          <t>2025-05-05</t>
        </is>
      </c>
      <c r="C474" s="17" t="inlineStr">
        <is>
          <t>21:39:59</t>
        </is>
      </c>
      <c r="D474" s="17" t="n">
        <v>1149</v>
      </c>
      <c r="E474" s="17" t="n">
        <v>110</v>
      </c>
      <c r="F474" s="17" t="n">
        <v>208</v>
      </c>
      <c r="G474" s="17" t="inlineStr">
        <is>
          <t>Pune</t>
        </is>
      </c>
      <c r="H474" s="17" t="inlineStr">
        <is>
          <t>North Indian</t>
        </is>
      </c>
      <c r="I474" s="22" t="n">
        <v>371</v>
      </c>
      <c r="J474" s="22" t="n">
        <v>24.34</v>
      </c>
      <c r="K474" s="22" t="n">
        <v>25</v>
      </c>
      <c r="L474" s="23" t="n">
        <v>0.18</v>
      </c>
      <c r="M474" s="22" t="n">
        <v>73.03</v>
      </c>
      <c r="N474" s="24" t="n">
        <v>2.7</v>
      </c>
      <c r="O474" s="24" t="n">
        <v>23.3</v>
      </c>
      <c r="P474" s="17" t="inlineStr">
        <is>
          <t>UPI</t>
        </is>
      </c>
      <c r="Q474" s="17" t="inlineStr">
        <is>
          <t>Delivered</t>
        </is>
      </c>
      <c r="R474" s="17" t="n">
        <v>5</v>
      </c>
      <c r="S474" s="17">
        <f>TEXT(B474,"yyyy-mm")</f>
        <v/>
      </c>
      <c r="T474" s="17">
        <f>VLOOKUP(D474,Customers!A:D,4,FALSE)</f>
        <v/>
      </c>
      <c r="U474" s="17">
        <f>CONCATENATE(A474,"-",G474)</f>
        <v/>
      </c>
      <c r="V474" s="17">
        <f>IF(N474="","",IF(N474&lt;=30,"Fast (&lt;30m)",IF(N474&lt;=45,"Moderate (30-45m)","Delayed (&gt;45m)")))</f>
        <v/>
      </c>
      <c r="W474" s="17">
        <f>IF(AND(I474&gt;600,P474="Delivered"),"High Value Delivered","Standard")</f>
        <v/>
      </c>
      <c r="X474" s="17">
        <f>IF(OR(N474&gt;50,Q474&lt;=2),"High Risk / Delayed","Normal")</f>
        <v/>
      </c>
      <c r="Y474" s="17">
        <f>IF(NOT(P474="Cancelled"),"Fulfilled","Cancelled")</f>
        <v/>
      </c>
      <c r="Z474" s="17">
        <f>IFERROR(Q474,0)</f>
        <v/>
      </c>
    </row>
    <row r="475">
      <c r="A475" s="25" t="inlineStr">
        <is>
          <t>ORD1474</t>
        </is>
      </c>
      <c r="B475" s="25" t="inlineStr">
        <is>
          <t>2025-01-12</t>
        </is>
      </c>
      <c r="C475" s="25" t="inlineStr">
        <is>
          <t>20:21:13</t>
        </is>
      </c>
      <c r="D475" s="25" t="n">
        <v>1172</v>
      </c>
      <c r="E475" s="25" t="n">
        <v>116</v>
      </c>
      <c r="F475" s="25" t="n">
        <v>204</v>
      </c>
      <c r="G475" s="25" t="inlineStr">
        <is>
          <t>Pune</t>
        </is>
      </c>
      <c r="H475" s="25" t="inlineStr">
        <is>
          <t>Desserts</t>
        </is>
      </c>
      <c r="I475" s="26" t="n">
        <v>770</v>
      </c>
      <c r="J475" s="26" t="n">
        <v>0</v>
      </c>
      <c r="K475" s="26" t="n">
        <v>46</v>
      </c>
      <c r="L475" s="27" t="n">
        <v>0.25</v>
      </c>
      <c r="M475" s="26" t="n">
        <v>204</v>
      </c>
      <c r="N475" s="28" t="n">
        <v>7.2</v>
      </c>
      <c r="O475" s="28" t="n">
        <v>50.5</v>
      </c>
      <c r="P475" s="25" t="inlineStr">
        <is>
          <t>Debit Card</t>
        </is>
      </c>
      <c r="Q475" s="25" t="inlineStr">
        <is>
          <t>Delivered</t>
        </is>
      </c>
      <c r="R475" s="25" t="n">
        <v>2</v>
      </c>
      <c r="S475" s="25">
        <f>TEXT(B475,"yyyy-mm")</f>
        <v/>
      </c>
      <c r="T475" s="25">
        <f>VLOOKUP(D475,Customers!A:D,4,FALSE)</f>
        <v/>
      </c>
      <c r="U475" s="25">
        <f>CONCATENATE(A475,"-",G475)</f>
        <v/>
      </c>
      <c r="V475" s="25">
        <f>IF(N475="","",IF(N475&lt;=30,"Fast (&lt;30m)",IF(N475&lt;=45,"Moderate (30-45m)","Delayed (&gt;45m)")))</f>
        <v/>
      </c>
      <c r="W475" s="25">
        <f>IF(AND(I475&gt;600,P475="Delivered"),"High Value Delivered","Standard")</f>
        <v/>
      </c>
      <c r="X475" s="25">
        <f>IF(OR(N475&gt;50,Q475&lt;=2),"High Risk / Delayed","Normal")</f>
        <v/>
      </c>
      <c r="Y475" s="25">
        <f>IF(NOT(P475="Cancelled"),"Fulfilled","Cancelled")</f>
        <v/>
      </c>
      <c r="Z475" s="25">
        <f>IFERROR(Q475,0)</f>
        <v/>
      </c>
    </row>
    <row r="476">
      <c r="A476" s="17" t="inlineStr">
        <is>
          <t>ORD1475</t>
        </is>
      </c>
      <c r="B476" s="17" t="inlineStr">
        <is>
          <t>2025-07-12</t>
        </is>
      </c>
      <c r="C476" s="17" t="inlineStr">
        <is>
          <t>20:37:57</t>
        </is>
      </c>
      <c r="D476" s="17" t="n">
        <v>1201</v>
      </c>
      <c r="E476" s="17" t="n">
        <v>115</v>
      </c>
      <c r="F476" s="17" t="n">
        <v>218</v>
      </c>
      <c r="G476" s="17" t="inlineStr">
        <is>
          <t>Bangalore</t>
        </is>
      </c>
      <c r="H476" s="17" t="inlineStr">
        <is>
          <t>Italian</t>
        </is>
      </c>
      <c r="I476" s="22" t="n">
        <v>899</v>
      </c>
      <c r="J476" s="22" t="n">
        <v>78.09999999999999</v>
      </c>
      <c r="K476" s="22" t="n">
        <v>31</v>
      </c>
      <c r="L476" s="23" t="n">
        <v>0.2</v>
      </c>
      <c r="M476" s="22" t="n">
        <v>187.55</v>
      </c>
      <c r="N476" s="24" t="n">
        <v>4.2</v>
      </c>
      <c r="O476" s="24" t="n">
        <v>32.8</v>
      </c>
      <c r="P476" s="17" t="inlineStr">
        <is>
          <t>UPI</t>
        </is>
      </c>
      <c r="Q476" s="17" t="inlineStr">
        <is>
          <t>Delivered</t>
        </is>
      </c>
      <c r="R476" s="17" t="n">
        <v>2</v>
      </c>
      <c r="S476" s="17">
        <f>TEXT(B476,"yyyy-mm")</f>
        <v/>
      </c>
      <c r="T476" s="17">
        <f>VLOOKUP(D476,Customers!A:D,4,FALSE)</f>
        <v/>
      </c>
      <c r="U476" s="17">
        <f>CONCATENATE(A476,"-",G476)</f>
        <v/>
      </c>
      <c r="V476" s="17">
        <f>IF(N476="","",IF(N476&lt;=30,"Fast (&lt;30m)",IF(N476&lt;=45,"Moderate (30-45m)","Delayed (&gt;45m)")))</f>
        <v/>
      </c>
      <c r="W476" s="17">
        <f>IF(AND(I476&gt;600,P476="Delivered"),"High Value Delivered","Standard")</f>
        <v/>
      </c>
      <c r="X476" s="17">
        <f>IF(OR(N476&gt;50,Q476&lt;=2),"High Risk / Delayed","Normal")</f>
        <v/>
      </c>
      <c r="Y476" s="17">
        <f>IF(NOT(P476="Cancelled"),"Fulfilled","Cancelled")</f>
        <v/>
      </c>
      <c r="Z476" s="17">
        <f>IFERROR(Q476,0)</f>
        <v/>
      </c>
    </row>
    <row r="477">
      <c r="A477" s="25" t="inlineStr">
        <is>
          <t>ORD1476</t>
        </is>
      </c>
      <c r="B477" s="25" t="inlineStr">
        <is>
          <t>2025-01-28</t>
        </is>
      </c>
      <c r="C477" s="25" t="inlineStr">
        <is>
          <t>21:29:41</t>
        </is>
      </c>
      <c r="D477" s="25" t="n">
        <v>1190</v>
      </c>
      <c r="E477" s="25" t="n">
        <v>102</v>
      </c>
      <c r="F477" s="25" t="n">
        <v>215</v>
      </c>
      <c r="G477" s="25" t="inlineStr">
        <is>
          <t>Hyderabad</t>
        </is>
      </c>
      <c r="H477" s="25" t="inlineStr">
        <is>
          <t>Biryani</t>
        </is>
      </c>
      <c r="I477" s="26" t="n">
        <v>228</v>
      </c>
      <c r="J477" s="26" t="n">
        <v>0</v>
      </c>
      <c r="K477" s="26" t="n">
        <v>25</v>
      </c>
      <c r="L477" s="27" t="n">
        <v>0.22</v>
      </c>
      <c r="M477" s="26" t="n">
        <v>56.41</v>
      </c>
      <c r="N477" s="28" t="n">
        <v>2.4</v>
      </c>
      <c r="O477" s="28" t="n">
        <v>32.8</v>
      </c>
      <c r="P477" s="25" t="inlineStr">
        <is>
          <t>Debit Card</t>
        </is>
      </c>
      <c r="Q477" s="25" t="inlineStr">
        <is>
          <t>Returned</t>
        </is>
      </c>
      <c r="R477" s="25" t="n">
        <v>3</v>
      </c>
      <c r="S477" s="25">
        <f>TEXT(B477,"yyyy-mm")</f>
        <v/>
      </c>
      <c r="T477" s="25">
        <f>VLOOKUP(D477,Customers!A:D,4,FALSE)</f>
        <v/>
      </c>
      <c r="U477" s="25">
        <f>CONCATENATE(A477,"-",G477)</f>
        <v/>
      </c>
      <c r="V477" s="25">
        <f>IF(N477="","",IF(N477&lt;=30,"Fast (&lt;30m)",IF(N477&lt;=45,"Moderate (30-45m)","Delayed (&gt;45m)")))</f>
        <v/>
      </c>
      <c r="W477" s="25">
        <f>IF(AND(I477&gt;600,P477="Delivered"),"High Value Delivered","Standard")</f>
        <v/>
      </c>
      <c r="X477" s="25">
        <f>IF(OR(N477&gt;50,Q477&lt;=2),"High Risk / Delayed","Normal")</f>
        <v/>
      </c>
      <c r="Y477" s="25">
        <f>IF(NOT(P477="Cancelled"),"Fulfilled","Cancelled")</f>
        <v/>
      </c>
      <c r="Z477" s="25">
        <f>IFERROR(Q477,0)</f>
        <v/>
      </c>
    </row>
    <row r="478">
      <c r="A478" s="17" t="inlineStr">
        <is>
          <t>ORD1477</t>
        </is>
      </c>
      <c r="B478" s="17" t="inlineStr">
        <is>
          <t>2025-05-30</t>
        </is>
      </c>
      <c r="C478" s="17" t="inlineStr">
        <is>
          <t>13:55:56</t>
        </is>
      </c>
      <c r="D478" s="17" t="n">
        <v>1152</v>
      </c>
      <c r="E478" s="17" t="n">
        <v>114</v>
      </c>
      <c r="F478" s="17" t="n">
        <v>225</v>
      </c>
      <c r="G478" s="17" t="inlineStr">
        <is>
          <t>Hyderabad</t>
        </is>
      </c>
      <c r="H478" s="17" t="inlineStr">
        <is>
          <t>Biryani</t>
        </is>
      </c>
      <c r="I478" s="22" t="n">
        <v>884</v>
      </c>
      <c r="J478" s="22" t="n">
        <v>0</v>
      </c>
      <c r="K478" s="22" t="n">
        <v>25</v>
      </c>
      <c r="L478" s="23" t="n">
        <v>0.22</v>
      </c>
      <c r="M478" s="22" t="n">
        <v>200.73</v>
      </c>
      <c r="N478" s="24" t="n">
        <v>1.8</v>
      </c>
      <c r="O478" s="24" t="n">
        <v>28.7</v>
      </c>
      <c r="P478" s="17" t="inlineStr">
        <is>
          <t>Digital Wallet</t>
        </is>
      </c>
      <c r="Q478" s="17" t="inlineStr">
        <is>
          <t>Delivered</t>
        </is>
      </c>
      <c r="R478" s="17" t="n">
        <v>4</v>
      </c>
      <c r="S478" s="17">
        <f>TEXT(B478,"yyyy-mm")</f>
        <v/>
      </c>
      <c r="T478" s="17">
        <f>VLOOKUP(D478,Customers!A:D,4,FALSE)</f>
        <v/>
      </c>
      <c r="U478" s="17">
        <f>CONCATENATE(A478,"-",G478)</f>
        <v/>
      </c>
      <c r="V478" s="17">
        <f>IF(N478="","",IF(N478&lt;=30,"Fast (&lt;30m)",IF(N478&lt;=45,"Moderate (30-45m)","Delayed (&gt;45m)")))</f>
        <v/>
      </c>
      <c r="W478" s="17">
        <f>IF(AND(I478&gt;600,P478="Delivered"),"High Value Delivered","Standard")</f>
        <v/>
      </c>
      <c r="X478" s="17">
        <f>IF(OR(N478&gt;50,Q478&lt;=2),"High Risk / Delayed","Normal")</f>
        <v/>
      </c>
      <c r="Y478" s="17">
        <f>IF(NOT(P478="Cancelled"),"Fulfilled","Cancelled")</f>
        <v/>
      </c>
      <c r="Z478" s="17">
        <f>IFERROR(Q478,0)</f>
        <v/>
      </c>
    </row>
    <row r="479">
      <c r="A479" s="25" t="inlineStr">
        <is>
          <t>ORD1478</t>
        </is>
      </c>
      <c r="B479" s="25" t="inlineStr">
        <is>
          <t>2025-11-02</t>
        </is>
      </c>
      <c r="C479" s="25" t="inlineStr">
        <is>
          <t>13:34:05</t>
        </is>
      </c>
      <c r="D479" s="25" t="n">
        <v>1144</v>
      </c>
      <c r="E479" s="25" t="n">
        <v>111</v>
      </c>
      <c r="F479" s="25" t="n">
        <v>205</v>
      </c>
      <c r="G479" s="25" t="inlineStr">
        <is>
          <t>Bangalore</t>
        </is>
      </c>
      <c r="H479" s="25" t="inlineStr">
        <is>
          <t>South Indian</t>
        </is>
      </c>
      <c r="I479" s="26" t="n">
        <v>410</v>
      </c>
      <c r="J479" s="26" t="n">
        <v>0</v>
      </c>
      <c r="K479" s="26" t="n">
        <v>49</v>
      </c>
      <c r="L479" s="27" t="n">
        <v>0.15</v>
      </c>
      <c r="M479" s="26" t="n">
        <v>73.75</v>
      </c>
      <c r="N479" s="28" t="n">
        <v>7.8</v>
      </c>
      <c r="O479" s="28" t="n">
        <v>57.4</v>
      </c>
      <c r="P479" s="25" t="inlineStr">
        <is>
          <t>Digital Wallet</t>
        </is>
      </c>
      <c r="Q479" s="25" t="inlineStr">
        <is>
          <t>Delivered</t>
        </is>
      </c>
      <c r="R479" s="25" t="n">
        <v>2</v>
      </c>
      <c r="S479" s="25">
        <f>TEXT(B479,"yyyy-mm")</f>
        <v/>
      </c>
      <c r="T479" s="25">
        <f>VLOOKUP(D479,Customers!A:D,4,FALSE)</f>
        <v/>
      </c>
      <c r="U479" s="25">
        <f>CONCATENATE(A479,"-",G479)</f>
        <v/>
      </c>
      <c r="V479" s="25">
        <f>IF(N479="","",IF(N479&lt;=30,"Fast (&lt;30m)",IF(N479&lt;=45,"Moderate (30-45m)","Delayed (&gt;45m)")))</f>
        <v/>
      </c>
      <c r="W479" s="25">
        <f>IF(AND(I479&gt;600,P479="Delivered"),"High Value Delivered","Standard")</f>
        <v/>
      </c>
      <c r="X479" s="25">
        <f>IF(OR(N479&gt;50,Q479&lt;=2),"High Risk / Delayed","Normal")</f>
        <v/>
      </c>
      <c r="Y479" s="25">
        <f>IF(NOT(P479="Cancelled"),"Fulfilled","Cancelled")</f>
        <v/>
      </c>
      <c r="Z479" s="25">
        <f>IFERROR(Q479,0)</f>
        <v/>
      </c>
    </row>
    <row r="480">
      <c r="A480" s="17" t="inlineStr">
        <is>
          <t>ORD1479</t>
        </is>
      </c>
      <c r="B480" s="17" t="inlineStr">
        <is>
          <t>2025-09-29</t>
        </is>
      </c>
      <c r="C480" s="17" t="inlineStr">
        <is>
          <t>08:19:21</t>
        </is>
      </c>
      <c r="D480" s="17" t="n">
        <v>1085</v>
      </c>
      <c r="E480" s="17" t="n">
        <v>119</v>
      </c>
      <c r="F480" s="17" t="n">
        <v>225</v>
      </c>
      <c r="G480" s="17" t="inlineStr">
        <is>
          <t>Hyderabad</t>
        </is>
      </c>
      <c r="H480" s="17" t="inlineStr">
        <is>
          <t>Biryani</t>
        </is>
      </c>
      <c r="I480" s="22" t="n">
        <v>721</v>
      </c>
      <c r="J480" s="22" t="n">
        <v>0</v>
      </c>
      <c r="K480" s="22" t="n">
        <v>27</v>
      </c>
      <c r="L480" s="23" t="n">
        <v>0.2</v>
      </c>
      <c r="M480" s="22" t="n">
        <v>150.95</v>
      </c>
      <c r="N480" s="24" t="n">
        <v>3.4</v>
      </c>
      <c r="O480" s="24" t="n">
        <v/>
      </c>
      <c r="P480" s="17" t="inlineStr">
        <is>
          <t>Debit Card</t>
        </is>
      </c>
      <c r="Q480" s="17" t="inlineStr">
        <is>
          <t>Cancelled</t>
        </is>
      </c>
      <c r="R480" s="17" t="n">
        <v/>
      </c>
      <c r="S480" s="17">
        <f>TEXT(B480,"yyyy-mm")</f>
        <v/>
      </c>
      <c r="T480" s="17">
        <f>VLOOKUP(D480,Customers!A:D,4,FALSE)</f>
        <v/>
      </c>
      <c r="U480" s="17">
        <f>CONCATENATE(A480,"-",G480)</f>
        <v/>
      </c>
      <c r="V480" s="17">
        <f>IF(N480="","",IF(N480&lt;=30,"Fast (&lt;30m)",IF(N480&lt;=45,"Moderate (30-45m)","Delayed (&gt;45m)")))</f>
        <v/>
      </c>
      <c r="W480" s="17">
        <f>IF(AND(I480&gt;600,P480="Delivered"),"High Value Delivered","Standard")</f>
        <v/>
      </c>
      <c r="X480" s="17">
        <f>IF(OR(N480&gt;50,Q480&lt;=2),"High Risk / Delayed","Normal")</f>
        <v/>
      </c>
      <c r="Y480" s="17">
        <f>IF(NOT(P480="Cancelled"),"Fulfilled","Cancelled")</f>
        <v/>
      </c>
      <c r="Z480" s="17">
        <f>IFERROR(Q480,0)</f>
        <v/>
      </c>
    </row>
    <row r="481">
      <c r="A481" s="25" t="inlineStr">
        <is>
          <t>ORD1480</t>
        </is>
      </c>
      <c r="B481" s="25" t="inlineStr">
        <is>
          <t>2025-05-01</t>
        </is>
      </c>
      <c r="C481" s="25" t="inlineStr">
        <is>
          <t>17:32:17</t>
        </is>
      </c>
      <c r="D481" s="25" t="n">
        <v>1202</v>
      </c>
      <c r="E481" s="25" t="n">
        <v>115</v>
      </c>
      <c r="F481" s="25" t="n">
        <v>205</v>
      </c>
      <c r="G481" s="25" t="inlineStr">
        <is>
          <t>Bangalore</t>
        </is>
      </c>
      <c r="H481" s="25" t="inlineStr">
        <is>
          <t>Italian</t>
        </is>
      </c>
      <c r="I481" s="26" t="n">
        <v>283</v>
      </c>
      <c r="J481" s="26" t="n">
        <v>19.89</v>
      </c>
      <c r="K481" s="26" t="n">
        <v>33</v>
      </c>
      <c r="L481" s="27" t="n">
        <v>0.2</v>
      </c>
      <c r="M481" s="26" t="n">
        <v>64.84999999999999</v>
      </c>
      <c r="N481" s="28" t="n">
        <v>4.6</v>
      </c>
      <c r="O481" s="28" t="n">
        <v>42.9</v>
      </c>
      <c r="P481" s="25" t="inlineStr">
        <is>
          <t>UPI</t>
        </is>
      </c>
      <c r="Q481" s="25" t="inlineStr">
        <is>
          <t>Delivered</t>
        </is>
      </c>
      <c r="R481" s="25" t="n">
        <v>5</v>
      </c>
      <c r="S481" s="25">
        <f>TEXT(B481,"yyyy-mm")</f>
        <v/>
      </c>
      <c r="T481" s="25">
        <f>VLOOKUP(D481,Customers!A:D,4,FALSE)</f>
        <v/>
      </c>
      <c r="U481" s="25">
        <f>CONCATENATE(A481,"-",G481)</f>
        <v/>
      </c>
      <c r="V481" s="25">
        <f>IF(N481="","",IF(N481&lt;=30,"Fast (&lt;30m)",IF(N481&lt;=45,"Moderate (30-45m)","Delayed (&gt;45m)")))</f>
        <v/>
      </c>
      <c r="W481" s="25">
        <f>IF(AND(I481&gt;600,P481="Delivered"),"High Value Delivered","Standard")</f>
        <v/>
      </c>
      <c r="X481" s="25">
        <f>IF(OR(N481&gt;50,Q481&lt;=2),"High Risk / Delayed","Normal")</f>
        <v/>
      </c>
      <c r="Y481" s="25">
        <f>IF(NOT(P481="Cancelled"),"Fulfilled","Cancelled")</f>
        <v/>
      </c>
      <c r="Z481" s="25">
        <f>IFERROR(Q481,0)</f>
        <v/>
      </c>
    </row>
    <row r="482">
      <c r="A482" s="17" t="inlineStr">
        <is>
          <t>ORD1481</t>
        </is>
      </c>
      <c r="B482" s="17" t="inlineStr">
        <is>
          <t>2025-06-24</t>
        </is>
      </c>
      <c r="C482" s="17" t="inlineStr">
        <is>
          <t>15:57:25</t>
        </is>
      </c>
      <c r="D482" s="17" t="n">
        <v>1070</v>
      </c>
      <c r="E482" s="17" t="n">
        <v>107</v>
      </c>
      <c r="F482" s="17" t="n">
        <v>222</v>
      </c>
      <c r="G482" s="17" t="inlineStr">
        <is>
          <t>Mumbai</t>
        </is>
      </c>
      <c r="H482" s="17" t="inlineStr">
        <is>
          <t>Desserts</t>
        </is>
      </c>
      <c r="I482" s="22" t="n">
        <v>1027</v>
      </c>
      <c r="J482" s="22" t="n">
        <v>111.72</v>
      </c>
      <c r="K482" s="22" t="n">
        <v>0</v>
      </c>
      <c r="L482" s="23" t="n">
        <v>0.25</v>
      </c>
      <c r="M482" s="22" t="n">
        <v>256.75</v>
      </c>
      <c r="N482" s="24" t="n">
        <v>1.6</v>
      </c>
      <c r="O482" s="24" t="n">
        <v>23.9</v>
      </c>
      <c r="P482" s="17" t="inlineStr">
        <is>
          <t>Digital Wallet</t>
        </is>
      </c>
      <c r="Q482" s="17" t="inlineStr">
        <is>
          <t>Delivered</t>
        </is>
      </c>
      <c r="R482" s="17" t="n">
        <v>4</v>
      </c>
      <c r="S482" s="17">
        <f>TEXT(B482,"yyyy-mm")</f>
        <v/>
      </c>
      <c r="T482" s="17">
        <f>VLOOKUP(D482,Customers!A:D,4,FALSE)</f>
        <v/>
      </c>
      <c r="U482" s="17">
        <f>CONCATENATE(A482,"-",G482)</f>
        <v/>
      </c>
      <c r="V482" s="17">
        <f>IF(N482="","",IF(N482&lt;=30,"Fast (&lt;30m)",IF(N482&lt;=45,"Moderate (30-45m)","Delayed (&gt;45m)")))</f>
        <v/>
      </c>
      <c r="W482" s="17">
        <f>IF(AND(I482&gt;600,P482="Delivered"),"High Value Delivered","Standard")</f>
        <v/>
      </c>
      <c r="X482" s="17">
        <f>IF(OR(N482&gt;50,Q482&lt;=2),"High Risk / Delayed","Normal")</f>
        <v/>
      </c>
      <c r="Y482" s="17">
        <f>IF(NOT(P482="Cancelled"),"Fulfilled","Cancelled")</f>
        <v/>
      </c>
      <c r="Z482" s="17">
        <f>IFERROR(Q482,0)</f>
        <v/>
      </c>
    </row>
    <row r="483">
      <c r="A483" s="25" t="inlineStr">
        <is>
          <t>ORD1482</t>
        </is>
      </c>
      <c r="B483" s="25" t="inlineStr">
        <is>
          <t>2025-10-21</t>
        </is>
      </c>
      <c r="C483" s="25" t="inlineStr">
        <is>
          <t>08:09:27</t>
        </is>
      </c>
      <c r="D483" s="25" t="n">
        <v>1189</v>
      </c>
      <c r="E483" s="25" t="n">
        <v>109</v>
      </c>
      <c r="F483" s="25" t="n">
        <v>225</v>
      </c>
      <c r="G483" s="25" t="inlineStr">
        <is>
          <t>Hyderabad</t>
        </is>
      </c>
      <c r="H483" s="25" t="inlineStr">
        <is>
          <t>Biryani</t>
        </is>
      </c>
      <c r="I483" s="26" t="n">
        <v>539</v>
      </c>
      <c r="J483" s="26" t="n">
        <v>14.2</v>
      </c>
      <c r="K483" s="26" t="n">
        <v>30.5</v>
      </c>
      <c r="L483" s="27" t="n">
        <v>0.2</v>
      </c>
      <c r="M483" s="26" t="n">
        <v>115.43</v>
      </c>
      <c r="N483" s="28" t="n">
        <v>4.1</v>
      </c>
      <c r="O483" s="28" t="n">
        <v>30.4</v>
      </c>
      <c r="P483" s="25" t="inlineStr">
        <is>
          <t>Credit Card</t>
        </is>
      </c>
      <c r="Q483" s="25" t="inlineStr">
        <is>
          <t>Delivered</t>
        </is>
      </c>
      <c r="R483" s="25" t="n">
        <v>5</v>
      </c>
      <c r="S483" s="25">
        <f>TEXT(B483,"yyyy-mm")</f>
        <v/>
      </c>
      <c r="T483" s="25">
        <f>VLOOKUP(D483,Customers!A:D,4,FALSE)</f>
        <v/>
      </c>
      <c r="U483" s="25">
        <f>CONCATENATE(A483,"-",G483)</f>
        <v/>
      </c>
      <c r="V483" s="25">
        <f>IF(N483="","",IF(N483&lt;=30,"Fast (&lt;30m)",IF(N483&lt;=45,"Moderate (30-45m)","Delayed (&gt;45m)")))</f>
        <v/>
      </c>
      <c r="W483" s="25">
        <f>IF(AND(I483&gt;600,P483="Delivered"),"High Value Delivered","Standard")</f>
        <v/>
      </c>
      <c r="X483" s="25">
        <f>IF(OR(N483&gt;50,Q483&lt;=2),"High Risk / Delayed","Normal")</f>
        <v/>
      </c>
      <c r="Y483" s="25">
        <f>IF(NOT(P483="Cancelled"),"Fulfilled","Cancelled")</f>
        <v/>
      </c>
      <c r="Z483" s="25">
        <f>IFERROR(Q483,0)</f>
        <v/>
      </c>
    </row>
    <row r="484">
      <c r="A484" s="17" t="inlineStr">
        <is>
          <t>ORD1483</t>
        </is>
      </c>
      <c r="B484" s="17" t="inlineStr">
        <is>
          <t>2025-06-08</t>
        </is>
      </c>
      <c r="C484" s="17" t="inlineStr">
        <is>
          <t>08:44:45</t>
        </is>
      </c>
      <c r="D484" s="17" t="n">
        <v>1015</v>
      </c>
      <c r="E484" s="17" t="n">
        <v>109</v>
      </c>
      <c r="F484" s="17" t="n">
        <v>215</v>
      </c>
      <c r="G484" s="17" t="inlineStr">
        <is>
          <t>Hyderabad</t>
        </is>
      </c>
      <c r="H484" s="17" t="inlineStr">
        <is>
          <t>Biryani</t>
        </is>
      </c>
      <c r="I484" s="22" t="n">
        <v>756</v>
      </c>
      <c r="J484" s="22" t="n">
        <v>26.01</v>
      </c>
      <c r="K484" s="22" t="n">
        <v>40.5</v>
      </c>
      <c r="L484" s="23" t="n">
        <v>0.2</v>
      </c>
      <c r="M484" s="22" t="n">
        <v>161.33</v>
      </c>
      <c r="N484" s="24" t="n">
        <v>6.1</v>
      </c>
      <c r="O484" s="24" t="n">
        <v>41.7</v>
      </c>
      <c r="P484" s="17" t="inlineStr">
        <is>
          <t>Credit Card</t>
        </is>
      </c>
      <c r="Q484" s="17" t="inlineStr">
        <is>
          <t>Delivered</t>
        </is>
      </c>
      <c r="R484" s="17" t="n">
        <v>2</v>
      </c>
      <c r="S484" s="17">
        <f>TEXT(B484,"yyyy-mm")</f>
        <v/>
      </c>
      <c r="T484" s="17">
        <f>VLOOKUP(D484,Customers!A:D,4,FALSE)</f>
        <v/>
      </c>
      <c r="U484" s="17">
        <f>CONCATENATE(A484,"-",G484)</f>
        <v/>
      </c>
      <c r="V484" s="17">
        <f>IF(N484="","",IF(N484&lt;=30,"Fast (&lt;30m)",IF(N484&lt;=45,"Moderate (30-45m)","Delayed (&gt;45m)")))</f>
        <v/>
      </c>
      <c r="W484" s="17">
        <f>IF(AND(I484&gt;600,P484="Delivered"),"High Value Delivered","Standard")</f>
        <v/>
      </c>
      <c r="X484" s="17">
        <f>IF(OR(N484&gt;50,Q484&lt;=2),"High Risk / Delayed","Normal")</f>
        <v/>
      </c>
      <c r="Y484" s="17">
        <f>IF(NOT(P484="Cancelled"),"Fulfilled","Cancelled")</f>
        <v/>
      </c>
      <c r="Z484" s="17">
        <f>IFERROR(Q484,0)</f>
        <v/>
      </c>
    </row>
    <row r="485">
      <c r="A485" s="25" t="inlineStr">
        <is>
          <t>ORD1484</t>
        </is>
      </c>
      <c r="B485" s="25" t="inlineStr">
        <is>
          <t>2025-10-13</t>
        </is>
      </c>
      <c r="C485" s="25" t="inlineStr">
        <is>
          <t>19:34:46</t>
        </is>
      </c>
      <c r="D485" s="25" t="n">
        <v>1232</v>
      </c>
      <c r="E485" s="25" t="n">
        <v>119</v>
      </c>
      <c r="F485" s="25" t="n">
        <v>225</v>
      </c>
      <c r="G485" s="25" t="inlineStr">
        <is>
          <t>Hyderabad</t>
        </is>
      </c>
      <c r="H485" s="25" t="inlineStr">
        <is>
          <t>Biryani</t>
        </is>
      </c>
      <c r="I485" s="26" t="n">
        <v>341</v>
      </c>
      <c r="J485" s="26" t="n">
        <v>0</v>
      </c>
      <c r="K485" s="26" t="n">
        <v>37.5</v>
      </c>
      <c r="L485" s="27" t="n">
        <v>0.2</v>
      </c>
      <c r="M485" s="26" t="n">
        <v>77.58</v>
      </c>
      <c r="N485" s="28" t="n">
        <v>5.5</v>
      </c>
      <c r="O485" s="28" t="n">
        <v>47.8</v>
      </c>
      <c r="P485" s="25" t="inlineStr">
        <is>
          <t>Credit Card</t>
        </is>
      </c>
      <c r="Q485" s="25" t="inlineStr">
        <is>
          <t>Delivered</t>
        </is>
      </c>
      <c r="R485" s="25" t="n">
        <v>5</v>
      </c>
      <c r="S485" s="25">
        <f>TEXT(B485,"yyyy-mm")</f>
        <v/>
      </c>
      <c r="T485" s="25">
        <f>VLOOKUP(D485,Customers!A:D,4,FALSE)</f>
        <v/>
      </c>
      <c r="U485" s="25">
        <f>CONCATENATE(A485,"-",G485)</f>
        <v/>
      </c>
      <c r="V485" s="25">
        <f>IF(N485="","",IF(N485&lt;=30,"Fast (&lt;30m)",IF(N485&lt;=45,"Moderate (30-45m)","Delayed (&gt;45m)")))</f>
        <v/>
      </c>
      <c r="W485" s="25">
        <f>IF(AND(I485&gt;600,P485="Delivered"),"High Value Delivered","Standard")</f>
        <v/>
      </c>
      <c r="X485" s="25">
        <f>IF(OR(N485&gt;50,Q485&lt;=2),"High Risk / Delayed","Normal")</f>
        <v/>
      </c>
      <c r="Y485" s="25">
        <f>IF(NOT(P485="Cancelled"),"Fulfilled","Cancelled")</f>
        <v/>
      </c>
      <c r="Z485" s="25">
        <f>IFERROR(Q485,0)</f>
        <v/>
      </c>
    </row>
    <row r="486">
      <c r="A486" s="17" t="inlineStr">
        <is>
          <t>ORD1485</t>
        </is>
      </c>
      <c r="B486" s="17" t="inlineStr">
        <is>
          <t>2025-07-30</t>
        </is>
      </c>
      <c r="C486" s="17" t="inlineStr">
        <is>
          <t>17:19:28</t>
        </is>
      </c>
      <c r="D486" s="17" t="n">
        <v>1252</v>
      </c>
      <c r="E486" s="17" t="n">
        <v>103</v>
      </c>
      <c r="F486" s="17" t="n">
        <v>229</v>
      </c>
      <c r="G486" s="17" t="inlineStr">
        <is>
          <t>Mumbai</t>
        </is>
      </c>
      <c r="H486" s="17" t="inlineStr">
        <is>
          <t>Italian</t>
        </is>
      </c>
      <c r="I486" s="22" t="n">
        <v>872</v>
      </c>
      <c r="J486" s="22" t="n">
        <v>19.1</v>
      </c>
      <c r="K486" s="22" t="n">
        <v>46</v>
      </c>
      <c r="L486" s="23" t="n">
        <v>0.18</v>
      </c>
      <c r="M486" s="22" t="n">
        <v>168.46</v>
      </c>
      <c r="N486" s="24" t="n">
        <v>7.2</v>
      </c>
      <c r="O486" s="24" t="n">
        <v>43</v>
      </c>
      <c r="P486" s="17" t="inlineStr">
        <is>
          <t>UPI</t>
        </is>
      </c>
      <c r="Q486" s="17" t="inlineStr">
        <is>
          <t>Delivered</t>
        </is>
      </c>
      <c r="R486" s="17" t="n">
        <v>3</v>
      </c>
      <c r="S486" s="17">
        <f>TEXT(B486,"yyyy-mm")</f>
        <v/>
      </c>
      <c r="T486" s="17">
        <f>VLOOKUP(D486,Customers!A:D,4,FALSE)</f>
        <v/>
      </c>
      <c r="U486" s="17">
        <f>CONCATENATE(A486,"-",G486)</f>
        <v/>
      </c>
      <c r="V486" s="17">
        <f>IF(N486="","",IF(N486&lt;=30,"Fast (&lt;30m)",IF(N486&lt;=45,"Moderate (30-45m)","Delayed (&gt;45m)")))</f>
        <v/>
      </c>
      <c r="W486" s="17">
        <f>IF(AND(I486&gt;600,P486="Delivered"),"High Value Delivered","Standard")</f>
        <v/>
      </c>
      <c r="X486" s="17">
        <f>IF(OR(N486&gt;50,Q486&lt;=2),"High Risk / Delayed","Normal")</f>
        <v/>
      </c>
      <c r="Y486" s="17">
        <f>IF(NOT(P486="Cancelled"),"Fulfilled","Cancelled")</f>
        <v/>
      </c>
      <c r="Z486" s="17">
        <f>IFERROR(Q486,0)</f>
        <v/>
      </c>
    </row>
    <row r="487">
      <c r="A487" s="25" t="inlineStr">
        <is>
          <t>ORD1486</t>
        </is>
      </c>
      <c r="B487" s="25" t="inlineStr">
        <is>
          <t>2025-01-14</t>
        </is>
      </c>
      <c r="C487" s="25" t="inlineStr">
        <is>
          <t>21:48:39</t>
        </is>
      </c>
      <c r="D487" s="25" t="n">
        <v>1038</v>
      </c>
      <c r="E487" s="25" t="n">
        <v>101</v>
      </c>
      <c r="F487" s="25" t="n">
        <v>223</v>
      </c>
      <c r="G487" s="25" t="inlineStr">
        <is>
          <t>Bangalore</t>
        </is>
      </c>
      <c r="H487" s="25" t="inlineStr">
        <is>
          <t>North Indian</t>
        </is>
      </c>
      <c r="I487" s="26" t="n">
        <v>851</v>
      </c>
      <c r="J487" s="26" t="n">
        <v>0</v>
      </c>
      <c r="K487" s="26" t="n">
        <v>25</v>
      </c>
      <c r="L487" s="27" t="n">
        <v>0.2</v>
      </c>
      <c r="M487" s="26" t="n">
        <v>176.45</v>
      </c>
      <c r="N487" s="28" t="n">
        <v>2.9</v>
      </c>
      <c r="O487" s="28" t="n">
        <v>33.3</v>
      </c>
      <c r="P487" s="25" t="inlineStr">
        <is>
          <t>Credit Card</t>
        </is>
      </c>
      <c r="Q487" s="25" t="inlineStr">
        <is>
          <t>Delivered</t>
        </is>
      </c>
      <c r="R487" s="25" t="n">
        <v>3</v>
      </c>
      <c r="S487" s="25">
        <f>TEXT(B487,"yyyy-mm")</f>
        <v/>
      </c>
      <c r="T487" s="25">
        <f>VLOOKUP(D487,Customers!A:D,4,FALSE)</f>
        <v/>
      </c>
      <c r="U487" s="25">
        <f>CONCATENATE(A487,"-",G487)</f>
        <v/>
      </c>
      <c r="V487" s="25">
        <f>IF(N487="","",IF(N487&lt;=30,"Fast (&lt;30m)",IF(N487&lt;=45,"Moderate (30-45m)","Delayed (&gt;45m)")))</f>
        <v/>
      </c>
      <c r="W487" s="25">
        <f>IF(AND(I487&gt;600,P487="Delivered"),"High Value Delivered","Standard")</f>
        <v/>
      </c>
      <c r="X487" s="25">
        <f>IF(OR(N487&gt;50,Q487&lt;=2),"High Risk / Delayed","Normal")</f>
        <v/>
      </c>
      <c r="Y487" s="25">
        <f>IF(NOT(P487="Cancelled"),"Fulfilled","Cancelled")</f>
        <v/>
      </c>
      <c r="Z487" s="25">
        <f>IFERROR(Q487,0)</f>
        <v/>
      </c>
    </row>
    <row r="488">
      <c r="A488" s="17" t="inlineStr">
        <is>
          <t>ORD1487</t>
        </is>
      </c>
      <c r="B488" s="17" t="inlineStr">
        <is>
          <t>2025-07-03</t>
        </is>
      </c>
      <c r="C488" s="17" t="inlineStr">
        <is>
          <t>12:05:44</t>
        </is>
      </c>
      <c r="D488" s="17" t="n">
        <v>1161</v>
      </c>
      <c r="E488" s="17" t="n">
        <v>109</v>
      </c>
      <c r="F488" s="17" t="n">
        <v>215</v>
      </c>
      <c r="G488" s="17" t="inlineStr">
        <is>
          <t>Hyderabad</t>
        </is>
      </c>
      <c r="H488" s="17" t="inlineStr">
        <is>
          <t>Biryani</t>
        </is>
      </c>
      <c r="I488" s="22" t="n">
        <v>708</v>
      </c>
      <c r="J488" s="22" t="n">
        <v>0</v>
      </c>
      <c r="K488" s="22" t="n">
        <v>46.5</v>
      </c>
      <c r="L488" s="23" t="n">
        <v>0.2</v>
      </c>
      <c r="M488" s="22" t="n">
        <v>153.22</v>
      </c>
      <c r="N488" s="24" t="n">
        <v>7.3</v>
      </c>
      <c r="O488" s="24" t="n">
        <v>48.3</v>
      </c>
      <c r="P488" s="17" t="inlineStr">
        <is>
          <t>Cash on Delivery</t>
        </is>
      </c>
      <c r="Q488" s="17" t="inlineStr">
        <is>
          <t>Delivered</t>
        </is>
      </c>
      <c r="R488" s="17" t="n">
        <v>5</v>
      </c>
      <c r="S488" s="17">
        <f>TEXT(B488,"yyyy-mm")</f>
        <v/>
      </c>
      <c r="T488" s="17">
        <f>VLOOKUP(D488,Customers!A:D,4,FALSE)</f>
        <v/>
      </c>
      <c r="U488" s="17">
        <f>CONCATENATE(A488,"-",G488)</f>
        <v/>
      </c>
      <c r="V488" s="17">
        <f>IF(N488="","",IF(N488&lt;=30,"Fast (&lt;30m)",IF(N488&lt;=45,"Moderate (30-45m)","Delayed (&gt;45m)")))</f>
        <v/>
      </c>
      <c r="W488" s="17">
        <f>IF(AND(I488&gt;600,P488="Delivered"),"High Value Delivered","Standard")</f>
        <v/>
      </c>
      <c r="X488" s="17">
        <f>IF(OR(N488&gt;50,Q488&lt;=2),"High Risk / Delayed","Normal")</f>
        <v/>
      </c>
      <c r="Y488" s="17">
        <f>IF(NOT(P488="Cancelled"),"Fulfilled","Cancelled")</f>
        <v/>
      </c>
      <c r="Z488" s="17">
        <f>IFERROR(Q488,0)</f>
        <v/>
      </c>
    </row>
    <row r="489">
      <c r="A489" s="25" t="inlineStr">
        <is>
          <t>ORD1488</t>
        </is>
      </c>
      <c r="B489" s="25" t="inlineStr">
        <is>
          <t>2025-09-09</t>
        </is>
      </c>
      <c r="C489" s="25" t="inlineStr">
        <is>
          <t>23:30:08</t>
        </is>
      </c>
      <c r="D489" s="25" t="n">
        <v>1242</v>
      </c>
      <c r="E489" s="25" t="n">
        <v>110</v>
      </c>
      <c r="F489" s="25" t="n">
        <v>209</v>
      </c>
      <c r="G489" s="25" t="inlineStr">
        <is>
          <t>Pune</t>
        </is>
      </c>
      <c r="H489" s="25" t="inlineStr">
        <is>
          <t>North Indian</t>
        </is>
      </c>
      <c r="I489" s="26" t="n">
        <v>536</v>
      </c>
      <c r="J489" s="26" t="n">
        <v>65.73</v>
      </c>
      <c r="K489" s="26" t="n">
        <v>0</v>
      </c>
      <c r="L489" s="27" t="n">
        <v>0.18</v>
      </c>
      <c r="M489" s="26" t="n">
        <v>96.48</v>
      </c>
      <c r="N489" s="28" t="n">
        <v>1.7</v>
      </c>
      <c r="O489" s="28" t="n">
        <v>24</v>
      </c>
      <c r="P489" s="25" t="inlineStr">
        <is>
          <t>UPI</t>
        </is>
      </c>
      <c r="Q489" s="25" t="inlineStr">
        <is>
          <t>Delivered</t>
        </is>
      </c>
      <c r="R489" s="25" t="n">
        <v>5</v>
      </c>
      <c r="S489" s="25">
        <f>TEXT(B489,"yyyy-mm")</f>
        <v/>
      </c>
      <c r="T489" s="25">
        <f>VLOOKUP(D489,Customers!A:D,4,FALSE)</f>
        <v/>
      </c>
      <c r="U489" s="25">
        <f>CONCATENATE(A489,"-",G489)</f>
        <v/>
      </c>
      <c r="V489" s="25">
        <f>IF(N489="","",IF(N489&lt;=30,"Fast (&lt;30m)",IF(N489&lt;=45,"Moderate (30-45m)","Delayed (&gt;45m)")))</f>
        <v/>
      </c>
      <c r="W489" s="25">
        <f>IF(AND(I489&gt;600,P489="Delivered"),"High Value Delivered","Standard")</f>
        <v/>
      </c>
      <c r="X489" s="25">
        <f>IF(OR(N489&gt;50,Q489&lt;=2),"High Risk / Delayed","Normal")</f>
        <v/>
      </c>
      <c r="Y489" s="25">
        <f>IF(NOT(P489="Cancelled"),"Fulfilled","Cancelled")</f>
        <v/>
      </c>
      <c r="Z489" s="25">
        <f>IFERROR(Q489,0)</f>
        <v/>
      </c>
    </row>
    <row r="490">
      <c r="A490" s="17" t="inlineStr">
        <is>
          <t>ORD1489</t>
        </is>
      </c>
      <c r="B490" s="17" t="inlineStr">
        <is>
          <t>2025-12-10</t>
        </is>
      </c>
      <c r="C490" s="17" t="inlineStr">
        <is>
          <t>15:12:48</t>
        </is>
      </c>
      <c r="D490" s="17" t="n">
        <v>1127</v>
      </c>
      <c r="E490" s="17" t="n">
        <v>112</v>
      </c>
      <c r="F490" s="17" t="n">
        <v>228</v>
      </c>
      <c r="G490" s="17" t="inlineStr">
        <is>
          <t>Delhi NCR</t>
        </is>
      </c>
      <c r="H490" s="17" t="inlineStr">
        <is>
          <t>North Indian</t>
        </is>
      </c>
      <c r="I490" s="22" t="n">
        <v>429</v>
      </c>
      <c r="J490" s="22" t="n">
        <v>23.44</v>
      </c>
      <c r="K490" s="22" t="n">
        <v>30</v>
      </c>
      <c r="L490" s="23" t="n">
        <v>0.22</v>
      </c>
      <c r="M490" s="22" t="n">
        <v>101.88</v>
      </c>
      <c r="N490" s="24" t="n">
        <v>4</v>
      </c>
      <c r="O490" s="24" t="n">
        <v>37.3</v>
      </c>
      <c r="P490" s="17" t="inlineStr">
        <is>
          <t>Cash on Delivery</t>
        </is>
      </c>
      <c r="Q490" s="17" t="inlineStr">
        <is>
          <t>Delivered</t>
        </is>
      </c>
      <c r="R490" s="17" t="n">
        <v>4</v>
      </c>
      <c r="S490" s="17">
        <f>TEXT(B490,"yyyy-mm")</f>
        <v/>
      </c>
      <c r="T490" s="17">
        <f>VLOOKUP(D490,Customers!A:D,4,FALSE)</f>
        <v/>
      </c>
      <c r="U490" s="17">
        <f>CONCATENATE(A490,"-",G490)</f>
        <v/>
      </c>
      <c r="V490" s="17">
        <f>IF(N490="","",IF(N490&lt;=30,"Fast (&lt;30m)",IF(N490&lt;=45,"Moderate (30-45m)","Delayed (&gt;45m)")))</f>
        <v/>
      </c>
      <c r="W490" s="17">
        <f>IF(AND(I490&gt;600,P490="Delivered"),"High Value Delivered","Standard")</f>
        <v/>
      </c>
      <c r="X490" s="17">
        <f>IF(OR(N490&gt;50,Q490&lt;=2),"High Risk / Delayed","Normal")</f>
        <v/>
      </c>
      <c r="Y490" s="17">
        <f>IF(NOT(P490="Cancelled"),"Fulfilled","Cancelled")</f>
        <v/>
      </c>
      <c r="Z490" s="17">
        <f>IFERROR(Q490,0)</f>
        <v/>
      </c>
    </row>
    <row r="491">
      <c r="A491" s="25" t="inlineStr">
        <is>
          <t>ORD1490</t>
        </is>
      </c>
      <c r="B491" s="25" t="inlineStr">
        <is>
          <t>2025-05-07</t>
        </is>
      </c>
      <c r="C491" s="25" t="inlineStr">
        <is>
          <t>11:27:25</t>
        </is>
      </c>
      <c r="D491" s="25" t="n">
        <v>1257</v>
      </c>
      <c r="E491" s="25" t="n">
        <v>116</v>
      </c>
      <c r="F491" s="25" t="n">
        <v>207</v>
      </c>
      <c r="G491" s="25" t="inlineStr">
        <is>
          <t>Pune</t>
        </is>
      </c>
      <c r="H491" s="25" t="inlineStr">
        <is>
          <t>Desserts</t>
        </is>
      </c>
      <c r="I491" s="26" t="n">
        <v>517</v>
      </c>
      <c r="J491" s="26" t="n">
        <v>89.72</v>
      </c>
      <c r="K491" s="26" t="n">
        <v>0</v>
      </c>
      <c r="L491" s="27" t="n">
        <v>0.25</v>
      </c>
      <c r="M491" s="26" t="n">
        <v>129.25</v>
      </c>
      <c r="N491" s="28" t="n">
        <v>3</v>
      </c>
      <c r="O491" s="28" t="n">
        <v>39.3</v>
      </c>
      <c r="P491" s="25" t="inlineStr">
        <is>
          <t>Debit Card</t>
        </is>
      </c>
      <c r="Q491" s="25" t="inlineStr">
        <is>
          <t>Delivered</t>
        </is>
      </c>
      <c r="R491" s="25" t="n">
        <v>5</v>
      </c>
      <c r="S491" s="25">
        <f>TEXT(B491,"yyyy-mm")</f>
        <v/>
      </c>
      <c r="T491" s="25">
        <f>VLOOKUP(D491,Customers!A:D,4,FALSE)</f>
        <v/>
      </c>
      <c r="U491" s="25">
        <f>CONCATENATE(A491,"-",G491)</f>
        <v/>
      </c>
      <c r="V491" s="25">
        <f>IF(N491="","",IF(N491&lt;=30,"Fast (&lt;30m)",IF(N491&lt;=45,"Moderate (30-45m)","Delayed (&gt;45m)")))</f>
        <v/>
      </c>
      <c r="W491" s="25">
        <f>IF(AND(I491&gt;600,P491="Delivered"),"High Value Delivered","Standard")</f>
        <v/>
      </c>
      <c r="X491" s="25">
        <f>IF(OR(N491&gt;50,Q491&lt;=2),"High Risk / Delayed","Normal")</f>
        <v/>
      </c>
      <c r="Y491" s="25">
        <f>IF(NOT(P491="Cancelled"),"Fulfilled","Cancelled")</f>
        <v/>
      </c>
      <c r="Z491" s="25">
        <f>IFERROR(Q491,0)</f>
        <v/>
      </c>
    </row>
    <row r="492">
      <c r="A492" s="17" t="inlineStr">
        <is>
          <t>ORD1491</t>
        </is>
      </c>
      <c r="B492" s="17" t="inlineStr">
        <is>
          <t>2025-08-20</t>
        </is>
      </c>
      <c r="C492" s="17" t="inlineStr">
        <is>
          <t>18:29:52</t>
        </is>
      </c>
      <c r="D492" s="17" t="n">
        <v>1300</v>
      </c>
      <c r="E492" s="17" t="n">
        <v>104</v>
      </c>
      <c r="F492" s="17" t="n">
        <v>219</v>
      </c>
      <c r="G492" s="17" t="inlineStr">
        <is>
          <t>Delhi NCR</t>
        </is>
      </c>
      <c r="H492" s="17" t="inlineStr">
        <is>
          <t>Fast Food</t>
        </is>
      </c>
      <c r="I492" s="22" t="n">
        <v>263</v>
      </c>
      <c r="J492" s="22" t="n">
        <v>5.17</v>
      </c>
      <c r="K492" s="22" t="n">
        <v>26</v>
      </c>
      <c r="L492" s="23" t="n">
        <v>0.18</v>
      </c>
      <c r="M492" s="22" t="n">
        <v>53.84</v>
      </c>
      <c r="N492" s="24" t="n">
        <v>3.2</v>
      </c>
      <c r="O492" s="24" t="n">
        <v>27.3</v>
      </c>
      <c r="P492" s="17" t="inlineStr">
        <is>
          <t>UPI</t>
        </is>
      </c>
      <c r="Q492" s="17" t="inlineStr">
        <is>
          <t>Delivered</t>
        </is>
      </c>
      <c r="R492" s="17" t="n">
        <v>5</v>
      </c>
      <c r="S492" s="17">
        <f>TEXT(B492,"yyyy-mm")</f>
        <v/>
      </c>
      <c r="T492" s="17">
        <f>VLOOKUP(D492,Customers!A:D,4,FALSE)</f>
        <v/>
      </c>
      <c r="U492" s="17">
        <f>CONCATENATE(A492,"-",G492)</f>
        <v/>
      </c>
      <c r="V492" s="17">
        <f>IF(N492="","",IF(N492&lt;=30,"Fast (&lt;30m)",IF(N492&lt;=45,"Moderate (30-45m)","Delayed (&gt;45m)")))</f>
        <v/>
      </c>
      <c r="W492" s="17">
        <f>IF(AND(I492&gt;600,P492="Delivered"),"High Value Delivered","Standard")</f>
        <v/>
      </c>
      <c r="X492" s="17">
        <f>IF(OR(N492&gt;50,Q492&lt;=2),"High Risk / Delayed","Normal")</f>
        <v/>
      </c>
      <c r="Y492" s="17">
        <f>IF(NOT(P492="Cancelled"),"Fulfilled","Cancelled")</f>
        <v/>
      </c>
      <c r="Z492" s="17">
        <f>IFERROR(Q492,0)</f>
        <v/>
      </c>
    </row>
    <row r="493">
      <c r="A493" s="25" t="inlineStr">
        <is>
          <t>ORD1492</t>
        </is>
      </c>
      <c r="B493" s="25" t="inlineStr">
        <is>
          <t>2025-05-30</t>
        </is>
      </c>
      <c r="C493" s="25" t="inlineStr">
        <is>
          <t>07:28:25</t>
        </is>
      </c>
      <c r="D493" s="25" t="n">
        <v>1290</v>
      </c>
      <c r="E493" s="25" t="n">
        <v>117</v>
      </c>
      <c r="F493" s="25" t="n">
        <v>206</v>
      </c>
      <c r="G493" s="25" t="inlineStr">
        <is>
          <t>Mumbai</t>
        </is>
      </c>
      <c r="H493" s="25" t="inlineStr">
        <is>
          <t>Chinese</t>
        </is>
      </c>
      <c r="I493" s="26" t="n">
        <v>531</v>
      </c>
      <c r="J493" s="26" t="n">
        <v>12.15</v>
      </c>
      <c r="K493" s="26" t="n">
        <v>29</v>
      </c>
      <c r="L493" s="27" t="n">
        <v>0.2</v>
      </c>
      <c r="M493" s="26" t="n">
        <v>113.45</v>
      </c>
      <c r="N493" s="28" t="n">
        <v>3.8</v>
      </c>
      <c r="O493" s="28" t="n">
        <v>29.9</v>
      </c>
      <c r="P493" s="25" t="inlineStr">
        <is>
          <t>Debit Card</t>
        </is>
      </c>
      <c r="Q493" s="25" t="inlineStr">
        <is>
          <t>Delivered</t>
        </is>
      </c>
      <c r="R493" s="25" t="n">
        <v>5</v>
      </c>
      <c r="S493" s="25">
        <f>TEXT(B493,"yyyy-mm")</f>
        <v/>
      </c>
      <c r="T493" s="25">
        <f>VLOOKUP(D493,Customers!A:D,4,FALSE)</f>
        <v/>
      </c>
      <c r="U493" s="25">
        <f>CONCATENATE(A493,"-",G493)</f>
        <v/>
      </c>
      <c r="V493" s="25">
        <f>IF(N493="","",IF(N493&lt;=30,"Fast (&lt;30m)",IF(N493&lt;=45,"Moderate (30-45m)","Delayed (&gt;45m)")))</f>
        <v/>
      </c>
      <c r="W493" s="25">
        <f>IF(AND(I493&gt;600,P493="Delivered"),"High Value Delivered","Standard")</f>
        <v/>
      </c>
      <c r="X493" s="25">
        <f>IF(OR(N493&gt;50,Q493&lt;=2),"High Risk / Delayed","Normal")</f>
        <v/>
      </c>
      <c r="Y493" s="25">
        <f>IF(NOT(P493="Cancelled"),"Fulfilled","Cancelled")</f>
        <v/>
      </c>
      <c r="Z493" s="25">
        <f>IFERROR(Q493,0)</f>
        <v/>
      </c>
    </row>
    <row r="494">
      <c r="A494" s="17" t="inlineStr">
        <is>
          <t>ORD1493</t>
        </is>
      </c>
      <c r="B494" s="17" t="inlineStr">
        <is>
          <t>2025-11-27</t>
        </is>
      </c>
      <c r="C494" s="17" t="inlineStr">
        <is>
          <t>12:28:05</t>
        </is>
      </c>
      <c r="D494" s="17" t="n">
        <v>1196</v>
      </c>
      <c r="E494" s="17" t="n">
        <v>110</v>
      </c>
      <c r="F494" s="17" t="n">
        <v>209</v>
      </c>
      <c r="G494" s="17" t="inlineStr">
        <is>
          <t>Pune</t>
        </is>
      </c>
      <c r="H494" s="17" t="inlineStr">
        <is>
          <t>North Indian</t>
        </is>
      </c>
      <c r="I494" s="22" t="n">
        <v>732</v>
      </c>
      <c r="J494" s="22" t="n">
        <v>0</v>
      </c>
      <c r="K494" s="22" t="n">
        <v>25</v>
      </c>
      <c r="L494" s="23" t="n">
        <v>0.18</v>
      </c>
      <c r="M494" s="22" t="n">
        <v>138.01</v>
      </c>
      <c r="N494" s="24" t="n">
        <v>2.2</v>
      </c>
      <c r="O494" s="24" t="n">
        <v>35.2</v>
      </c>
      <c r="P494" s="17" t="inlineStr">
        <is>
          <t>Digital Wallet</t>
        </is>
      </c>
      <c r="Q494" s="17" t="inlineStr">
        <is>
          <t>Delivered</t>
        </is>
      </c>
      <c r="R494" s="17" t="n">
        <v>5</v>
      </c>
      <c r="S494" s="17">
        <f>TEXT(B494,"yyyy-mm")</f>
        <v/>
      </c>
      <c r="T494" s="17">
        <f>VLOOKUP(D494,Customers!A:D,4,FALSE)</f>
        <v/>
      </c>
      <c r="U494" s="17">
        <f>CONCATENATE(A494,"-",G494)</f>
        <v/>
      </c>
      <c r="V494" s="17">
        <f>IF(N494="","",IF(N494&lt;=30,"Fast (&lt;30m)",IF(N494&lt;=45,"Moderate (30-45m)","Delayed (&gt;45m)")))</f>
        <v/>
      </c>
      <c r="W494" s="17">
        <f>IF(AND(I494&gt;600,P494="Delivered"),"High Value Delivered","Standard")</f>
        <v/>
      </c>
      <c r="X494" s="17">
        <f>IF(OR(N494&gt;50,Q494&lt;=2),"High Risk / Delayed","Normal")</f>
        <v/>
      </c>
      <c r="Y494" s="17">
        <f>IF(NOT(P494="Cancelled"),"Fulfilled","Cancelled")</f>
        <v/>
      </c>
      <c r="Z494" s="17">
        <f>IFERROR(Q494,0)</f>
        <v/>
      </c>
    </row>
    <row r="495">
      <c r="A495" s="25" t="inlineStr">
        <is>
          <t>ORD1494</t>
        </is>
      </c>
      <c r="B495" s="25" t="inlineStr">
        <is>
          <t>2025-07-31</t>
        </is>
      </c>
      <c r="C495" s="25" t="inlineStr">
        <is>
          <t>22:20:28</t>
        </is>
      </c>
      <c r="D495" s="25" t="n">
        <v>1277</v>
      </c>
      <c r="E495" s="25" t="n">
        <v>103</v>
      </c>
      <c r="F495" s="25" t="n">
        <v>229</v>
      </c>
      <c r="G495" s="25" t="inlineStr">
        <is>
          <t>Mumbai</t>
        </is>
      </c>
      <c r="H495" s="25" t="inlineStr">
        <is>
          <t>Italian</t>
        </is>
      </c>
      <c r="I495" s="26" t="n">
        <v>245</v>
      </c>
      <c r="J495" s="26" t="n">
        <v>15.32</v>
      </c>
      <c r="K495" s="26" t="n">
        <v>25</v>
      </c>
      <c r="L495" s="27" t="n">
        <v>0.18</v>
      </c>
      <c r="M495" s="26" t="n">
        <v>50.35</v>
      </c>
      <c r="N495" s="28" t="n">
        <v>2.1</v>
      </c>
      <c r="O495" s="28" t="n">
        <v>32.8</v>
      </c>
      <c r="P495" s="25" t="inlineStr">
        <is>
          <t>Credit Card</t>
        </is>
      </c>
      <c r="Q495" s="25" t="inlineStr">
        <is>
          <t>Delivered</t>
        </is>
      </c>
      <c r="R495" s="25" t="n">
        <v>5</v>
      </c>
      <c r="S495" s="25">
        <f>TEXT(B495,"yyyy-mm")</f>
        <v/>
      </c>
      <c r="T495" s="25">
        <f>VLOOKUP(D495,Customers!A:D,4,FALSE)</f>
        <v/>
      </c>
      <c r="U495" s="25">
        <f>CONCATENATE(A495,"-",G495)</f>
        <v/>
      </c>
      <c r="V495" s="25">
        <f>IF(N495="","",IF(N495&lt;=30,"Fast (&lt;30m)",IF(N495&lt;=45,"Moderate (30-45m)","Delayed (&gt;45m)")))</f>
        <v/>
      </c>
      <c r="W495" s="25">
        <f>IF(AND(I495&gt;600,P495="Delivered"),"High Value Delivered","Standard")</f>
        <v/>
      </c>
      <c r="X495" s="25">
        <f>IF(OR(N495&gt;50,Q495&lt;=2),"High Risk / Delayed","Normal")</f>
        <v/>
      </c>
      <c r="Y495" s="25">
        <f>IF(NOT(P495="Cancelled"),"Fulfilled","Cancelled")</f>
        <v/>
      </c>
      <c r="Z495" s="25">
        <f>IFERROR(Q495,0)</f>
        <v/>
      </c>
    </row>
    <row r="496">
      <c r="A496" s="17" t="inlineStr">
        <is>
          <t>ORD1495</t>
        </is>
      </c>
      <c r="B496" s="17" t="inlineStr">
        <is>
          <t>2025-06-15</t>
        </is>
      </c>
      <c r="C496" s="17" t="inlineStr">
        <is>
          <t>10:44:41</t>
        </is>
      </c>
      <c r="D496" s="17" t="n">
        <v>1298</v>
      </c>
      <c r="E496" s="17" t="n">
        <v>109</v>
      </c>
      <c r="F496" s="17" t="n">
        <v>215</v>
      </c>
      <c r="G496" s="17" t="inlineStr">
        <is>
          <t>Hyderabad</t>
        </is>
      </c>
      <c r="H496" s="17" t="inlineStr">
        <is>
          <t>Biryani</t>
        </is>
      </c>
      <c r="I496" s="22" t="n">
        <v>948</v>
      </c>
      <c r="J496" s="22" t="n">
        <v>54.48</v>
      </c>
      <c r="K496" s="22" t="n">
        <v>31.5</v>
      </c>
      <c r="L496" s="23" t="n">
        <v>0.2</v>
      </c>
      <c r="M496" s="22" t="n">
        <v>197.48</v>
      </c>
      <c r="N496" s="24" t="n">
        <v>4.3</v>
      </c>
      <c r="O496" s="24" t="n">
        <v>27.2</v>
      </c>
      <c r="P496" s="17" t="inlineStr">
        <is>
          <t>UPI</t>
        </is>
      </c>
      <c r="Q496" s="17" t="inlineStr">
        <is>
          <t>Delivered</t>
        </is>
      </c>
      <c r="R496" s="17" t="n">
        <v>4</v>
      </c>
      <c r="S496" s="17">
        <f>TEXT(B496,"yyyy-mm")</f>
        <v/>
      </c>
      <c r="T496" s="17">
        <f>VLOOKUP(D496,Customers!A:D,4,FALSE)</f>
        <v/>
      </c>
      <c r="U496" s="17">
        <f>CONCATENATE(A496,"-",G496)</f>
        <v/>
      </c>
      <c r="V496" s="17">
        <f>IF(N496="","",IF(N496&lt;=30,"Fast (&lt;30m)",IF(N496&lt;=45,"Moderate (30-45m)","Delayed (&gt;45m)")))</f>
        <v/>
      </c>
      <c r="W496" s="17">
        <f>IF(AND(I496&gt;600,P496="Delivered"),"High Value Delivered","Standard")</f>
        <v/>
      </c>
      <c r="X496" s="17">
        <f>IF(OR(N496&gt;50,Q496&lt;=2),"High Risk / Delayed","Normal")</f>
        <v/>
      </c>
      <c r="Y496" s="17">
        <f>IF(NOT(P496="Cancelled"),"Fulfilled","Cancelled")</f>
        <v/>
      </c>
      <c r="Z496" s="17">
        <f>IFERROR(Q496,0)</f>
        <v/>
      </c>
    </row>
    <row r="497">
      <c r="A497" s="25" t="inlineStr">
        <is>
          <t>ORD1496</t>
        </is>
      </c>
      <c r="B497" s="25" t="inlineStr">
        <is>
          <t>2025-09-26</t>
        </is>
      </c>
      <c r="C497" s="25" t="inlineStr">
        <is>
          <t>20:45:24</t>
        </is>
      </c>
      <c r="D497" s="25" t="n">
        <v>1204</v>
      </c>
      <c r="E497" s="25" t="n">
        <v>119</v>
      </c>
      <c r="F497" s="25" t="n">
        <v>225</v>
      </c>
      <c r="G497" s="25" t="inlineStr">
        <is>
          <t>Hyderabad</t>
        </is>
      </c>
      <c r="H497" s="25" t="inlineStr">
        <is>
          <t>Biryani</t>
        </is>
      </c>
      <c r="I497" s="26" t="n">
        <v>999</v>
      </c>
      <c r="J497" s="26" t="n">
        <v>194.78</v>
      </c>
      <c r="K497" s="26" t="n">
        <v>0</v>
      </c>
      <c r="L497" s="27" t="n">
        <v>0.2</v>
      </c>
      <c r="M497" s="26" t="n">
        <v>199.8</v>
      </c>
      <c r="N497" s="28" t="n">
        <v>3.2</v>
      </c>
      <c r="O497" s="28" t="n">
        <v/>
      </c>
      <c r="P497" s="25" t="inlineStr">
        <is>
          <t>Cash on Delivery</t>
        </is>
      </c>
      <c r="Q497" s="25" t="inlineStr">
        <is>
          <t>Cancelled</t>
        </is>
      </c>
      <c r="R497" s="25" t="n">
        <v/>
      </c>
      <c r="S497" s="25">
        <f>TEXT(B497,"yyyy-mm")</f>
        <v/>
      </c>
      <c r="T497" s="25">
        <f>VLOOKUP(D497,Customers!A:D,4,FALSE)</f>
        <v/>
      </c>
      <c r="U497" s="25">
        <f>CONCATENATE(A497,"-",G497)</f>
        <v/>
      </c>
      <c r="V497" s="25">
        <f>IF(N497="","",IF(N497&lt;=30,"Fast (&lt;30m)",IF(N497&lt;=45,"Moderate (30-45m)","Delayed (&gt;45m)")))</f>
        <v/>
      </c>
      <c r="W497" s="25">
        <f>IF(AND(I497&gt;600,P497="Delivered"),"High Value Delivered","Standard")</f>
        <v/>
      </c>
      <c r="X497" s="25">
        <f>IF(OR(N497&gt;50,Q497&lt;=2),"High Risk / Delayed","Normal")</f>
        <v/>
      </c>
      <c r="Y497" s="25">
        <f>IF(NOT(P497="Cancelled"),"Fulfilled","Cancelled")</f>
        <v/>
      </c>
      <c r="Z497" s="25">
        <f>IFERROR(Q497,0)</f>
        <v/>
      </c>
    </row>
    <row r="498">
      <c r="A498" s="17" t="inlineStr">
        <is>
          <t>ORD1497</t>
        </is>
      </c>
      <c r="B498" s="17" t="inlineStr">
        <is>
          <t>2025-06-21</t>
        </is>
      </c>
      <c r="C498" s="17" t="inlineStr">
        <is>
          <t>11:36:55</t>
        </is>
      </c>
      <c r="D498" s="17" t="n">
        <v>1120</v>
      </c>
      <c r="E498" s="17" t="n">
        <v>120</v>
      </c>
      <c r="F498" s="17" t="n">
        <v>217</v>
      </c>
      <c r="G498" s="17" t="inlineStr">
        <is>
          <t>Pune</t>
        </is>
      </c>
      <c r="H498" s="17" t="inlineStr">
        <is>
          <t>Fast Food</t>
        </is>
      </c>
      <c r="I498" s="22" t="n">
        <v>895</v>
      </c>
      <c r="J498" s="22" t="n">
        <v>11.61</v>
      </c>
      <c r="K498" s="22" t="n">
        <v>27.5</v>
      </c>
      <c r="L498" s="23" t="n">
        <v>0.18</v>
      </c>
      <c r="M498" s="22" t="n">
        <v>167.98</v>
      </c>
      <c r="N498" s="24" t="n">
        <v>3.5</v>
      </c>
      <c r="O498" s="24" t="n">
        <v>23.4</v>
      </c>
      <c r="P498" s="17" t="inlineStr">
        <is>
          <t>UPI</t>
        </is>
      </c>
      <c r="Q498" s="17" t="inlineStr">
        <is>
          <t>Delivered</t>
        </is>
      </c>
      <c r="R498" s="17" t="n">
        <v>5</v>
      </c>
      <c r="S498" s="17">
        <f>TEXT(B498,"yyyy-mm")</f>
        <v/>
      </c>
      <c r="T498" s="17">
        <f>VLOOKUP(D498,Customers!A:D,4,FALSE)</f>
        <v/>
      </c>
      <c r="U498" s="17">
        <f>CONCATENATE(A498,"-",G498)</f>
        <v/>
      </c>
      <c r="V498" s="17">
        <f>IF(N498="","",IF(N498&lt;=30,"Fast (&lt;30m)",IF(N498&lt;=45,"Moderate (30-45m)","Delayed (&gt;45m)")))</f>
        <v/>
      </c>
      <c r="W498" s="17">
        <f>IF(AND(I498&gt;600,P498="Delivered"),"High Value Delivered","Standard")</f>
        <v/>
      </c>
      <c r="X498" s="17">
        <f>IF(OR(N498&gt;50,Q498&lt;=2),"High Risk / Delayed","Normal")</f>
        <v/>
      </c>
      <c r="Y498" s="17">
        <f>IF(NOT(P498="Cancelled"),"Fulfilled","Cancelled")</f>
        <v/>
      </c>
      <c r="Z498" s="17">
        <f>IFERROR(Q498,0)</f>
        <v/>
      </c>
    </row>
    <row r="499">
      <c r="A499" s="25" t="inlineStr">
        <is>
          <t>ORD1498</t>
        </is>
      </c>
      <c r="B499" s="25" t="inlineStr">
        <is>
          <t>2025-08-17</t>
        </is>
      </c>
      <c r="C499" s="25" t="inlineStr">
        <is>
          <t>12:18:40</t>
        </is>
      </c>
      <c r="D499" s="25" t="n">
        <v>1169</v>
      </c>
      <c r="E499" s="25" t="n">
        <v>107</v>
      </c>
      <c r="F499" s="25" t="n">
        <v>202</v>
      </c>
      <c r="G499" s="25" t="inlineStr">
        <is>
          <t>Mumbai</t>
        </is>
      </c>
      <c r="H499" s="25" t="inlineStr">
        <is>
          <t>Desserts</t>
        </is>
      </c>
      <c r="I499" s="26" t="n">
        <v>405</v>
      </c>
      <c r="J499" s="26" t="n">
        <v>0</v>
      </c>
      <c r="K499" s="26" t="n">
        <v>36.5</v>
      </c>
      <c r="L499" s="27" t="n">
        <v>0.25</v>
      </c>
      <c r="M499" s="26" t="n">
        <v>110.38</v>
      </c>
      <c r="N499" s="28" t="n">
        <v>5.3</v>
      </c>
      <c r="O499" s="28" t="n">
        <v>35.1</v>
      </c>
      <c r="P499" s="25" t="inlineStr">
        <is>
          <t>Credit Card</t>
        </is>
      </c>
      <c r="Q499" s="25" t="inlineStr">
        <is>
          <t>Delivered</t>
        </is>
      </c>
      <c r="R499" s="25" t="n">
        <v>2</v>
      </c>
      <c r="S499" s="25">
        <f>TEXT(B499,"yyyy-mm")</f>
        <v/>
      </c>
      <c r="T499" s="25">
        <f>VLOOKUP(D499,Customers!A:D,4,FALSE)</f>
        <v/>
      </c>
      <c r="U499" s="25">
        <f>CONCATENATE(A499,"-",G499)</f>
        <v/>
      </c>
      <c r="V499" s="25">
        <f>IF(N499="","",IF(N499&lt;=30,"Fast (&lt;30m)",IF(N499&lt;=45,"Moderate (30-45m)","Delayed (&gt;45m)")))</f>
        <v/>
      </c>
      <c r="W499" s="25">
        <f>IF(AND(I499&gt;600,P499="Delivered"),"High Value Delivered","Standard")</f>
        <v/>
      </c>
      <c r="X499" s="25">
        <f>IF(OR(N499&gt;50,Q499&lt;=2),"High Risk / Delayed","Normal")</f>
        <v/>
      </c>
      <c r="Y499" s="25">
        <f>IF(NOT(P499="Cancelled"),"Fulfilled","Cancelled")</f>
        <v/>
      </c>
      <c r="Z499" s="25">
        <f>IFERROR(Q499,0)</f>
        <v/>
      </c>
    </row>
    <row r="500">
      <c r="A500" s="17" t="inlineStr">
        <is>
          <t>ORD1499</t>
        </is>
      </c>
      <c r="B500" s="17" t="inlineStr">
        <is>
          <t>2025-01-07</t>
        </is>
      </c>
      <c r="C500" s="17" t="inlineStr">
        <is>
          <t>12:29:31</t>
        </is>
      </c>
      <c r="D500" s="17" t="n">
        <v>1036</v>
      </c>
      <c r="E500" s="17" t="n">
        <v>117</v>
      </c>
      <c r="F500" s="17" t="n">
        <v>229</v>
      </c>
      <c r="G500" s="17" t="inlineStr">
        <is>
          <t>Mumbai</t>
        </is>
      </c>
      <c r="H500" s="17" t="inlineStr">
        <is>
          <t>Chinese</t>
        </is>
      </c>
      <c r="I500" s="22" t="n">
        <v>730</v>
      </c>
      <c r="J500" s="22" t="n">
        <v>64.27</v>
      </c>
      <c r="K500" s="22" t="n">
        <v>27</v>
      </c>
      <c r="L500" s="23" t="n">
        <v>0.2</v>
      </c>
      <c r="M500" s="22" t="n">
        <v>152.75</v>
      </c>
      <c r="N500" s="24" t="n">
        <v>3.4</v>
      </c>
      <c r="O500" s="24" t="n">
        <v>29.6</v>
      </c>
      <c r="P500" s="17" t="inlineStr">
        <is>
          <t>Cash on Delivery</t>
        </is>
      </c>
      <c r="Q500" s="17" t="inlineStr">
        <is>
          <t>Delivered</t>
        </is>
      </c>
      <c r="R500" s="17" t="n">
        <v>3</v>
      </c>
      <c r="S500" s="17">
        <f>TEXT(B500,"yyyy-mm")</f>
        <v/>
      </c>
      <c r="T500" s="17">
        <f>VLOOKUP(D500,Customers!A:D,4,FALSE)</f>
        <v/>
      </c>
      <c r="U500" s="17">
        <f>CONCATENATE(A500,"-",G500)</f>
        <v/>
      </c>
      <c r="V500" s="17">
        <f>IF(N500="","",IF(N500&lt;=30,"Fast (&lt;30m)",IF(N500&lt;=45,"Moderate (30-45m)","Delayed (&gt;45m)")))</f>
        <v/>
      </c>
      <c r="W500" s="17">
        <f>IF(AND(I500&gt;600,P500="Delivered"),"High Value Delivered","Standard")</f>
        <v/>
      </c>
      <c r="X500" s="17">
        <f>IF(OR(N500&gt;50,Q500&lt;=2),"High Risk / Delayed","Normal")</f>
        <v/>
      </c>
      <c r="Y500" s="17">
        <f>IF(NOT(P500="Cancelled"),"Fulfilled","Cancelled")</f>
        <v/>
      </c>
      <c r="Z500" s="17">
        <f>IFERROR(Q500,0)</f>
        <v/>
      </c>
    </row>
    <row r="501">
      <c r="A501" s="25" t="inlineStr">
        <is>
          <t>ORD1500</t>
        </is>
      </c>
      <c r="B501" s="25" t="inlineStr">
        <is>
          <t>2025-10-29</t>
        </is>
      </c>
      <c r="C501" s="25" t="inlineStr">
        <is>
          <t>10:42:30</t>
        </is>
      </c>
      <c r="D501" s="25" t="n">
        <v>1066</v>
      </c>
      <c r="E501" s="25" t="n">
        <v>106</v>
      </c>
      <c r="F501" s="25" t="n">
        <v>204</v>
      </c>
      <c r="G501" s="25" t="inlineStr">
        <is>
          <t>Pune</t>
        </is>
      </c>
      <c r="H501" s="25" t="inlineStr">
        <is>
          <t>South Indian</t>
        </is>
      </c>
      <c r="I501" s="26" t="n">
        <v>684</v>
      </c>
      <c r="J501" s="26" t="n">
        <v>0</v>
      </c>
      <c r="K501" s="26" t="n">
        <v>37.5</v>
      </c>
      <c r="L501" s="27" t="n">
        <v>0.15</v>
      </c>
      <c r="M501" s="26" t="n">
        <v>111.98</v>
      </c>
      <c r="N501" s="28" t="n">
        <v>5.5</v>
      </c>
      <c r="O501" s="28" t="n">
        <v>31.1</v>
      </c>
      <c r="P501" s="25" t="inlineStr">
        <is>
          <t>Digital Wallet</t>
        </is>
      </c>
      <c r="Q501" s="25" t="inlineStr">
        <is>
          <t>Delivered</t>
        </is>
      </c>
      <c r="R501" s="25" t="n">
        <v>4</v>
      </c>
      <c r="S501" s="25">
        <f>TEXT(B501,"yyyy-mm")</f>
        <v/>
      </c>
      <c r="T501" s="25">
        <f>VLOOKUP(D501,Customers!A:D,4,FALSE)</f>
        <v/>
      </c>
      <c r="U501" s="25">
        <f>CONCATENATE(A501,"-",G501)</f>
        <v/>
      </c>
      <c r="V501" s="25">
        <f>IF(N501="","",IF(N501&lt;=30,"Fast (&lt;30m)",IF(N501&lt;=45,"Moderate (30-45m)","Delayed (&gt;45m)")))</f>
        <v/>
      </c>
      <c r="W501" s="25">
        <f>IF(AND(I501&gt;600,P501="Delivered"),"High Value Delivered","Standard")</f>
        <v/>
      </c>
      <c r="X501" s="25">
        <f>IF(OR(N501&gt;50,Q501&lt;=2),"High Risk / Delayed","Normal")</f>
        <v/>
      </c>
      <c r="Y501" s="25">
        <f>IF(NOT(P501="Cancelled"),"Fulfilled","Cancelled")</f>
        <v/>
      </c>
      <c r="Z501" s="25">
        <f>IFERROR(Q501,0)</f>
        <v/>
      </c>
    </row>
    <row r="502">
      <c r="A502" s="17" t="inlineStr">
        <is>
          <t>ORD1501</t>
        </is>
      </c>
      <c r="B502" s="17" t="inlineStr">
        <is>
          <t>2025-10-08</t>
        </is>
      </c>
      <c r="C502" s="17" t="inlineStr">
        <is>
          <t>15:17:39</t>
        </is>
      </c>
      <c r="D502" s="17" t="n">
        <v>1262</v>
      </c>
      <c r="E502" s="17" t="n">
        <v>108</v>
      </c>
      <c r="F502" s="17" t="n">
        <v>219</v>
      </c>
      <c r="G502" s="17" t="inlineStr">
        <is>
          <t>Delhi NCR</t>
        </is>
      </c>
      <c r="H502" s="17" t="inlineStr">
        <is>
          <t>Fast Food</t>
        </is>
      </c>
      <c r="I502" s="22" t="n">
        <v>1105</v>
      </c>
      <c r="J502" s="22" t="n">
        <v>201.12</v>
      </c>
      <c r="K502" s="22" t="n">
        <v>0</v>
      </c>
      <c r="L502" s="23" t="n">
        <v>0.18</v>
      </c>
      <c r="M502" s="22" t="n">
        <v>198.9</v>
      </c>
      <c r="N502" s="24" t="n">
        <v>3.8</v>
      </c>
      <c r="O502" s="24" t="n">
        <v>24.8</v>
      </c>
      <c r="P502" s="17" t="inlineStr">
        <is>
          <t>Credit Card</t>
        </is>
      </c>
      <c r="Q502" s="17" t="inlineStr">
        <is>
          <t>Delivered</t>
        </is>
      </c>
      <c r="R502" s="17" t="n">
        <v>3</v>
      </c>
      <c r="S502" s="17">
        <f>TEXT(B502,"yyyy-mm")</f>
        <v/>
      </c>
      <c r="T502" s="17">
        <f>VLOOKUP(D502,Customers!A:D,4,FALSE)</f>
        <v/>
      </c>
      <c r="U502" s="17">
        <f>CONCATENATE(A502,"-",G502)</f>
        <v/>
      </c>
      <c r="V502" s="17">
        <f>IF(N502="","",IF(N502&lt;=30,"Fast (&lt;30m)",IF(N502&lt;=45,"Moderate (30-45m)","Delayed (&gt;45m)")))</f>
        <v/>
      </c>
      <c r="W502" s="17">
        <f>IF(AND(I502&gt;600,P502="Delivered"),"High Value Delivered","Standard")</f>
        <v/>
      </c>
      <c r="X502" s="17">
        <f>IF(OR(N502&gt;50,Q502&lt;=2),"High Risk / Delayed","Normal")</f>
        <v/>
      </c>
      <c r="Y502" s="17">
        <f>IF(NOT(P502="Cancelled"),"Fulfilled","Cancelled")</f>
        <v/>
      </c>
      <c r="Z502" s="17">
        <f>IFERROR(Q502,0)</f>
        <v/>
      </c>
    </row>
    <row r="503">
      <c r="A503" s="25" t="inlineStr">
        <is>
          <t>ORD1502</t>
        </is>
      </c>
      <c r="B503" s="25" t="inlineStr">
        <is>
          <t>2025-12-01</t>
        </is>
      </c>
      <c r="C503" s="25" t="inlineStr">
        <is>
          <t>18:22:02</t>
        </is>
      </c>
      <c r="D503" s="25" t="n">
        <v>1142</v>
      </c>
      <c r="E503" s="25" t="n">
        <v>114</v>
      </c>
      <c r="F503" s="25" t="n">
        <v>225</v>
      </c>
      <c r="G503" s="25" t="inlineStr">
        <is>
          <t>Hyderabad</t>
        </is>
      </c>
      <c r="H503" s="25" t="inlineStr">
        <is>
          <t>Biryani</t>
        </is>
      </c>
      <c r="I503" s="26" t="n">
        <v>368</v>
      </c>
      <c r="J503" s="26" t="n">
        <v>19.64</v>
      </c>
      <c r="K503" s="26" t="n">
        <v>33</v>
      </c>
      <c r="L503" s="27" t="n">
        <v>0.22</v>
      </c>
      <c r="M503" s="26" t="n">
        <v>89.20999999999999</v>
      </c>
      <c r="N503" s="28" t="n">
        <v>4.6</v>
      </c>
      <c r="O503" s="28" t="n">
        <v>43.2</v>
      </c>
      <c r="P503" s="25" t="inlineStr">
        <is>
          <t>Debit Card</t>
        </is>
      </c>
      <c r="Q503" s="25" t="inlineStr">
        <is>
          <t>Delivered</t>
        </is>
      </c>
      <c r="R503" s="25" t="n">
        <v>2</v>
      </c>
      <c r="S503" s="25">
        <f>TEXT(B503,"yyyy-mm")</f>
        <v/>
      </c>
      <c r="T503" s="25">
        <f>VLOOKUP(D503,Customers!A:D,4,FALSE)</f>
        <v/>
      </c>
      <c r="U503" s="25">
        <f>CONCATENATE(A503,"-",G503)</f>
        <v/>
      </c>
      <c r="V503" s="25">
        <f>IF(N503="","",IF(N503&lt;=30,"Fast (&lt;30m)",IF(N503&lt;=45,"Moderate (30-45m)","Delayed (&gt;45m)")))</f>
        <v/>
      </c>
      <c r="W503" s="25">
        <f>IF(AND(I503&gt;600,P503="Delivered"),"High Value Delivered","Standard")</f>
        <v/>
      </c>
      <c r="X503" s="25">
        <f>IF(OR(N503&gt;50,Q503&lt;=2),"High Risk / Delayed","Normal")</f>
        <v/>
      </c>
      <c r="Y503" s="25">
        <f>IF(NOT(P503="Cancelled"),"Fulfilled","Cancelled")</f>
        <v/>
      </c>
      <c r="Z503" s="25">
        <f>IFERROR(Q503,0)</f>
        <v/>
      </c>
    </row>
    <row r="504">
      <c r="A504" s="17" t="inlineStr">
        <is>
          <t>ORD1503</t>
        </is>
      </c>
      <c r="B504" s="17" t="inlineStr">
        <is>
          <t>2025-02-25</t>
        </is>
      </c>
      <c r="C504" s="17" t="inlineStr">
        <is>
          <t>18:26:11</t>
        </is>
      </c>
      <c r="D504" s="17" t="n">
        <v>1205</v>
      </c>
      <c r="E504" s="17" t="n">
        <v>103</v>
      </c>
      <c r="F504" s="17" t="n">
        <v>229</v>
      </c>
      <c r="G504" s="17" t="inlineStr">
        <is>
          <t>Mumbai</t>
        </is>
      </c>
      <c r="H504" s="17" t="inlineStr">
        <is>
          <t>Italian</t>
        </is>
      </c>
      <c r="I504" s="22" t="n">
        <v>385</v>
      </c>
      <c r="J504" s="22" t="n">
        <v>37.36</v>
      </c>
      <c r="K504" s="22" t="n">
        <v>48.5</v>
      </c>
      <c r="L504" s="23" t="n">
        <v>0.18</v>
      </c>
      <c r="M504" s="22" t="n">
        <v>81.42</v>
      </c>
      <c r="N504" s="24" t="n">
        <v>7.7</v>
      </c>
      <c r="O504" s="24" t="n">
        <v>41.1</v>
      </c>
      <c r="P504" s="17" t="inlineStr">
        <is>
          <t>Digital Wallet</t>
        </is>
      </c>
      <c r="Q504" s="17" t="inlineStr">
        <is>
          <t>Delivered</t>
        </is>
      </c>
      <c r="R504" s="17" t="n">
        <v>3</v>
      </c>
      <c r="S504" s="17">
        <f>TEXT(B504,"yyyy-mm")</f>
        <v/>
      </c>
      <c r="T504" s="17">
        <f>VLOOKUP(D504,Customers!A:D,4,FALSE)</f>
        <v/>
      </c>
      <c r="U504" s="17">
        <f>CONCATENATE(A504,"-",G504)</f>
        <v/>
      </c>
      <c r="V504" s="17">
        <f>IF(N504="","",IF(N504&lt;=30,"Fast (&lt;30m)",IF(N504&lt;=45,"Moderate (30-45m)","Delayed (&gt;45m)")))</f>
        <v/>
      </c>
      <c r="W504" s="17">
        <f>IF(AND(I504&gt;600,P504="Delivered"),"High Value Delivered","Standard")</f>
        <v/>
      </c>
      <c r="X504" s="17">
        <f>IF(OR(N504&gt;50,Q504&lt;=2),"High Risk / Delayed","Normal")</f>
        <v/>
      </c>
      <c r="Y504" s="17">
        <f>IF(NOT(P504="Cancelled"),"Fulfilled","Cancelled")</f>
        <v/>
      </c>
      <c r="Z504" s="17">
        <f>IFERROR(Q504,0)</f>
        <v/>
      </c>
    </row>
    <row r="505">
      <c r="A505" s="25" t="inlineStr">
        <is>
          <t>ORD1504</t>
        </is>
      </c>
      <c r="B505" s="25" t="inlineStr">
        <is>
          <t>2025-01-19</t>
        </is>
      </c>
      <c r="C505" s="25" t="inlineStr">
        <is>
          <t>17:05:49</t>
        </is>
      </c>
      <c r="D505" s="25" t="n">
        <v>1179</v>
      </c>
      <c r="E505" s="25" t="n">
        <v>107</v>
      </c>
      <c r="F505" s="25" t="n">
        <v>202</v>
      </c>
      <c r="G505" s="25" t="inlineStr">
        <is>
          <t>Mumbai</t>
        </is>
      </c>
      <c r="H505" s="25" t="inlineStr">
        <is>
          <t>Desserts</t>
        </is>
      </c>
      <c r="I505" s="26" t="n">
        <v>708</v>
      </c>
      <c r="J505" s="26" t="n">
        <v>96.89</v>
      </c>
      <c r="K505" s="26" t="n">
        <v>0</v>
      </c>
      <c r="L505" s="27" t="n">
        <v>0.25</v>
      </c>
      <c r="M505" s="26" t="n">
        <v>177</v>
      </c>
      <c r="N505" s="28" t="n">
        <v>2.7</v>
      </c>
      <c r="O505" s="28" t="n">
        <v>29.5</v>
      </c>
      <c r="P505" s="25" t="inlineStr">
        <is>
          <t>UPI</t>
        </is>
      </c>
      <c r="Q505" s="25" t="inlineStr">
        <is>
          <t>Returned</t>
        </is>
      </c>
      <c r="R505" s="25" t="n">
        <v>5</v>
      </c>
      <c r="S505" s="25">
        <f>TEXT(B505,"yyyy-mm")</f>
        <v/>
      </c>
      <c r="T505" s="25">
        <f>VLOOKUP(D505,Customers!A:D,4,FALSE)</f>
        <v/>
      </c>
      <c r="U505" s="25">
        <f>CONCATENATE(A505,"-",G505)</f>
        <v/>
      </c>
      <c r="V505" s="25">
        <f>IF(N505="","",IF(N505&lt;=30,"Fast (&lt;30m)",IF(N505&lt;=45,"Moderate (30-45m)","Delayed (&gt;45m)")))</f>
        <v/>
      </c>
      <c r="W505" s="25">
        <f>IF(AND(I505&gt;600,P505="Delivered"),"High Value Delivered","Standard")</f>
        <v/>
      </c>
      <c r="X505" s="25">
        <f>IF(OR(N505&gt;50,Q505&lt;=2),"High Risk / Delayed","Normal")</f>
        <v/>
      </c>
      <c r="Y505" s="25">
        <f>IF(NOT(P505="Cancelled"),"Fulfilled","Cancelled")</f>
        <v/>
      </c>
      <c r="Z505" s="25">
        <f>IFERROR(Q505,0)</f>
        <v/>
      </c>
    </row>
    <row r="506">
      <c r="A506" s="17" t="inlineStr">
        <is>
          <t>ORD1505</t>
        </is>
      </c>
      <c r="B506" s="17" t="inlineStr">
        <is>
          <t>2025-08-30</t>
        </is>
      </c>
      <c r="C506" s="17" t="inlineStr">
        <is>
          <t>21:08:07</t>
        </is>
      </c>
      <c r="D506" s="17" t="n">
        <v>1004</v>
      </c>
      <c r="E506" s="17" t="n">
        <v>110</v>
      </c>
      <c r="F506" s="17" t="n">
        <v>207</v>
      </c>
      <c r="G506" s="17" t="inlineStr">
        <is>
          <t>Pune</t>
        </is>
      </c>
      <c r="H506" s="17" t="inlineStr">
        <is>
          <t>North Indian</t>
        </is>
      </c>
      <c r="I506" s="22" t="n">
        <v>931</v>
      </c>
      <c r="J506" s="22" t="n">
        <v>24.52</v>
      </c>
      <c r="K506" s="22" t="n">
        <v>25</v>
      </c>
      <c r="L506" s="23" t="n">
        <v>0.18</v>
      </c>
      <c r="M506" s="22" t="n">
        <v>173.83</v>
      </c>
      <c r="N506" s="24" t="n">
        <v>2.4</v>
      </c>
      <c r="O506" s="24" t="n">
        <v>26.1</v>
      </c>
      <c r="P506" s="17" t="inlineStr">
        <is>
          <t>Credit Card</t>
        </is>
      </c>
      <c r="Q506" s="17" t="inlineStr">
        <is>
          <t>Delivered</t>
        </is>
      </c>
      <c r="R506" s="17" t="n">
        <v>2</v>
      </c>
      <c r="S506" s="17">
        <f>TEXT(B506,"yyyy-mm")</f>
        <v/>
      </c>
      <c r="T506" s="17">
        <f>VLOOKUP(D506,Customers!A:D,4,FALSE)</f>
        <v/>
      </c>
      <c r="U506" s="17">
        <f>CONCATENATE(A506,"-",G506)</f>
        <v/>
      </c>
      <c r="V506" s="17">
        <f>IF(N506="","",IF(N506&lt;=30,"Fast (&lt;30m)",IF(N506&lt;=45,"Moderate (30-45m)","Delayed (&gt;45m)")))</f>
        <v/>
      </c>
      <c r="W506" s="17">
        <f>IF(AND(I506&gt;600,P506="Delivered"),"High Value Delivered","Standard")</f>
        <v/>
      </c>
      <c r="X506" s="17">
        <f>IF(OR(N506&gt;50,Q506&lt;=2),"High Risk / Delayed","Normal")</f>
        <v/>
      </c>
      <c r="Y506" s="17">
        <f>IF(NOT(P506="Cancelled"),"Fulfilled","Cancelled")</f>
        <v/>
      </c>
      <c r="Z506" s="17">
        <f>IFERROR(Q506,0)</f>
        <v/>
      </c>
    </row>
    <row r="507">
      <c r="A507" s="25" t="inlineStr">
        <is>
          <t>ORD1506</t>
        </is>
      </c>
      <c r="B507" s="25" t="inlineStr">
        <is>
          <t>2025-10-20</t>
        </is>
      </c>
      <c r="C507" s="25" t="inlineStr">
        <is>
          <t>19:46:40</t>
        </is>
      </c>
      <c r="D507" s="25" t="n">
        <v>1099</v>
      </c>
      <c r="E507" s="25" t="n">
        <v>109</v>
      </c>
      <c r="F507" s="25" t="n">
        <v>215</v>
      </c>
      <c r="G507" s="25" t="inlineStr">
        <is>
          <t>Hyderabad</t>
        </is>
      </c>
      <c r="H507" s="25" t="inlineStr">
        <is>
          <t>Biryani</t>
        </is>
      </c>
      <c r="I507" s="26" t="n">
        <v>761</v>
      </c>
      <c r="J507" s="26" t="n">
        <v>29.45</v>
      </c>
      <c r="K507" s="26" t="n">
        <v>43</v>
      </c>
      <c r="L507" s="27" t="n">
        <v>0.2</v>
      </c>
      <c r="M507" s="26" t="n">
        <v>162.95</v>
      </c>
      <c r="N507" s="28" t="n">
        <v>6.6</v>
      </c>
      <c r="O507" s="28" t="n">
        <v>44</v>
      </c>
      <c r="P507" s="25" t="inlineStr">
        <is>
          <t>Debit Card</t>
        </is>
      </c>
      <c r="Q507" s="25" t="inlineStr">
        <is>
          <t>Delivered</t>
        </is>
      </c>
      <c r="R507" s="25" t="n">
        <v>3</v>
      </c>
      <c r="S507" s="25">
        <f>TEXT(B507,"yyyy-mm")</f>
        <v/>
      </c>
      <c r="T507" s="25">
        <f>VLOOKUP(D507,Customers!A:D,4,FALSE)</f>
        <v/>
      </c>
      <c r="U507" s="25">
        <f>CONCATENATE(A507,"-",G507)</f>
        <v/>
      </c>
      <c r="V507" s="25">
        <f>IF(N507="","",IF(N507&lt;=30,"Fast (&lt;30m)",IF(N507&lt;=45,"Moderate (30-45m)","Delayed (&gt;45m)")))</f>
        <v/>
      </c>
      <c r="W507" s="25">
        <f>IF(AND(I507&gt;600,P507="Delivered"),"High Value Delivered","Standard")</f>
        <v/>
      </c>
      <c r="X507" s="25">
        <f>IF(OR(N507&gt;50,Q507&lt;=2),"High Risk / Delayed","Normal")</f>
        <v/>
      </c>
      <c r="Y507" s="25">
        <f>IF(NOT(P507="Cancelled"),"Fulfilled","Cancelled")</f>
        <v/>
      </c>
      <c r="Z507" s="25">
        <f>IFERROR(Q507,0)</f>
        <v/>
      </c>
    </row>
    <row r="508">
      <c r="A508" s="17" t="inlineStr">
        <is>
          <t>ORD1507</t>
        </is>
      </c>
      <c r="B508" s="17" t="inlineStr">
        <is>
          <t>2025-09-27</t>
        </is>
      </c>
      <c r="C508" s="17" t="inlineStr">
        <is>
          <t>12:36:39</t>
        </is>
      </c>
      <c r="D508" s="17" t="n">
        <v>1239</v>
      </c>
      <c r="E508" s="17" t="n">
        <v>111</v>
      </c>
      <c r="F508" s="17" t="n">
        <v>201</v>
      </c>
      <c r="G508" s="17" t="inlineStr">
        <is>
          <t>Bangalore</t>
        </is>
      </c>
      <c r="H508" s="17" t="inlineStr">
        <is>
          <t>South Indian</t>
        </is>
      </c>
      <c r="I508" s="22" t="n">
        <v>582</v>
      </c>
      <c r="J508" s="22" t="n">
        <v>66.87</v>
      </c>
      <c r="K508" s="22" t="n">
        <v>39</v>
      </c>
      <c r="L508" s="23" t="n">
        <v>0.15</v>
      </c>
      <c r="M508" s="22" t="n">
        <v>97.05</v>
      </c>
      <c r="N508" s="24" t="n">
        <v>5.8</v>
      </c>
      <c r="O508" s="24" t="n">
        <v>47.4</v>
      </c>
      <c r="P508" s="17" t="inlineStr">
        <is>
          <t>Cash on Delivery</t>
        </is>
      </c>
      <c r="Q508" s="17" t="inlineStr">
        <is>
          <t>Delivered</t>
        </is>
      </c>
      <c r="R508" s="17" t="n">
        <v>2</v>
      </c>
      <c r="S508" s="17">
        <f>TEXT(B508,"yyyy-mm")</f>
        <v/>
      </c>
      <c r="T508" s="17">
        <f>VLOOKUP(D508,Customers!A:D,4,FALSE)</f>
        <v/>
      </c>
      <c r="U508" s="17">
        <f>CONCATENATE(A508,"-",G508)</f>
        <v/>
      </c>
      <c r="V508" s="17">
        <f>IF(N508="","",IF(N508&lt;=30,"Fast (&lt;30m)",IF(N508&lt;=45,"Moderate (30-45m)","Delayed (&gt;45m)")))</f>
        <v/>
      </c>
      <c r="W508" s="17">
        <f>IF(AND(I508&gt;600,P508="Delivered"),"High Value Delivered","Standard")</f>
        <v/>
      </c>
      <c r="X508" s="17">
        <f>IF(OR(N508&gt;50,Q508&lt;=2),"High Risk / Delayed","Normal")</f>
        <v/>
      </c>
      <c r="Y508" s="17">
        <f>IF(NOT(P508="Cancelled"),"Fulfilled","Cancelled")</f>
        <v/>
      </c>
      <c r="Z508" s="17">
        <f>IFERROR(Q508,0)</f>
        <v/>
      </c>
    </row>
    <row r="509">
      <c r="A509" s="25" t="inlineStr">
        <is>
          <t>ORD1508</t>
        </is>
      </c>
      <c r="B509" s="25" t="inlineStr">
        <is>
          <t>2025-11-09</t>
        </is>
      </c>
      <c r="C509" s="25" t="inlineStr">
        <is>
          <t>12:14:45</t>
        </is>
      </c>
      <c r="D509" s="25" t="n">
        <v>1176</v>
      </c>
      <c r="E509" s="25" t="n">
        <v>102</v>
      </c>
      <c r="F509" s="25" t="n">
        <v>215</v>
      </c>
      <c r="G509" s="25" t="inlineStr">
        <is>
          <t>Hyderabad</t>
        </is>
      </c>
      <c r="H509" s="25" t="inlineStr">
        <is>
          <t>Biryani</t>
        </is>
      </c>
      <c r="I509" s="26" t="n">
        <v>517</v>
      </c>
      <c r="J509" s="26" t="n">
        <v>0.07000000000000001</v>
      </c>
      <c r="K509" s="26" t="n">
        <v>30.5</v>
      </c>
      <c r="L509" s="27" t="n">
        <v>0.22</v>
      </c>
      <c r="M509" s="26" t="n">
        <v>121.36</v>
      </c>
      <c r="N509" s="28" t="n">
        <v>4.1</v>
      </c>
      <c r="O509" s="28" t="n">
        <v>32.3</v>
      </c>
      <c r="P509" s="25" t="inlineStr">
        <is>
          <t>UPI</t>
        </is>
      </c>
      <c r="Q509" s="25" t="inlineStr">
        <is>
          <t>Delivered</t>
        </is>
      </c>
      <c r="R509" s="25" t="n">
        <v>5</v>
      </c>
      <c r="S509" s="25">
        <f>TEXT(B509,"yyyy-mm")</f>
        <v/>
      </c>
      <c r="T509" s="25">
        <f>VLOOKUP(D509,Customers!A:D,4,FALSE)</f>
        <v/>
      </c>
      <c r="U509" s="25">
        <f>CONCATENATE(A509,"-",G509)</f>
        <v/>
      </c>
      <c r="V509" s="25">
        <f>IF(N509="","",IF(N509&lt;=30,"Fast (&lt;30m)",IF(N509&lt;=45,"Moderate (30-45m)","Delayed (&gt;45m)")))</f>
        <v/>
      </c>
      <c r="W509" s="25">
        <f>IF(AND(I509&gt;600,P509="Delivered"),"High Value Delivered","Standard")</f>
        <v/>
      </c>
      <c r="X509" s="25">
        <f>IF(OR(N509&gt;50,Q509&lt;=2),"High Risk / Delayed","Normal")</f>
        <v/>
      </c>
      <c r="Y509" s="25">
        <f>IF(NOT(P509="Cancelled"),"Fulfilled","Cancelled")</f>
        <v/>
      </c>
      <c r="Z509" s="25">
        <f>IFERROR(Q509,0)</f>
        <v/>
      </c>
    </row>
    <row r="510">
      <c r="A510" s="17" t="inlineStr">
        <is>
          <t>ORD1509</t>
        </is>
      </c>
      <c r="B510" s="17" t="inlineStr">
        <is>
          <t>2025-01-24</t>
        </is>
      </c>
      <c r="C510" s="17" t="inlineStr">
        <is>
          <t>12:21:22</t>
        </is>
      </c>
      <c r="D510" s="17" t="n">
        <v>1092</v>
      </c>
      <c r="E510" s="17" t="n">
        <v>108</v>
      </c>
      <c r="F510" s="17" t="n">
        <v>219</v>
      </c>
      <c r="G510" s="17" t="inlineStr">
        <is>
          <t>Delhi NCR</t>
        </is>
      </c>
      <c r="H510" s="17" t="inlineStr">
        <is>
          <t>Fast Food</t>
        </is>
      </c>
      <c r="I510" s="22" t="n">
        <v>793</v>
      </c>
      <c r="J510" s="22" t="n">
        <v>84.39</v>
      </c>
      <c r="K510" s="22" t="n">
        <v>25</v>
      </c>
      <c r="L510" s="23" t="n">
        <v>0.18</v>
      </c>
      <c r="M510" s="22" t="n">
        <v>148.99</v>
      </c>
      <c r="N510" s="24" t="n">
        <v>2.2</v>
      </c>
      <c r="O510" s="24" t="n">
        <v/>
      </c>
      <c r="P510" s="17" t="inlineStr">
        <is>
          <t>Credit Card</t>
        </is>
      </c>
      <c r="Q510" s="17" t="inlineStr">
        <is>
          <t>Cancelled</t>
        </is>
      </c>
      <c r="R510" s="17" t="n">
        <v/>
      </c>
      <c r="S510" s="17">
        <f>TEXT(B510,"yyyy-mm")</f>
        <v/>
      </c>
      <c r="T510" s="17">
        <f>VLOOKUP(D510,Customers!A:D,4,FALSE)</f>
        <v/>
      </c>
      <c r="U510" s="17">
        <f>CONCATENATE(A510,"-",G510)</f>
        <v/>
      </c>
      <c r="V510" s="17">
        <f>IF(N510="","",IF(N510&lt;=30,"Fast (&lt;30m)",IF(N510&lt;=45,"Moderate (30-45m)","Delayed (&gt;45m)")))</f>
        <v/>
      </c>
      <c r="W510" s="17">
        <f>IF(AND(I510&gt;600,P510="Delivered"),"High Value Delivered","Standard")</f>
        <v/>
      </c>
      <c r="X510" s="17">
        <f>IF(OR(N510&gt;50,Q510&lt;=2),"High Risk / Delayed","Normal")</f>
        <v/>
      </c>
      <c r="Y510" s="17">
        <f>IF(NOT(P510="Cancelled"),"Fulfilled","Cancelled")</f>
        <v/>
      </c>
      <c r="Z510" s="17">
        <f>IFERROR(Q510,0)</f>
        <v/>
      </c>
    </row>
    <row r="511">
      <c r="A511" s="25" t="inlineStr">
        <is>
          <t>ORD1510</t>
        </is>
      </c>
      <c r="B511" s="25" t="inlineStr">
        <is>
          <t>2025-06-07</t>
        </is>
      </c>
      <c r="C511" s="25" t="inlineStr">
        <is>
          <t>20:19:32</t>
        </is>
      </c>
      <c r="D511" s="25" t="n">
        <v>1131</v>
      </c>
      <c r="E511" s="25" t="n">
        <v>118</v>
      </c>
      <c r="F511" s="25" t="n">
        <v>230</v>
      </c>
      <c r="G511" s="25" t="inlineStr">
        <is>
          <t>Delhi NCR</t>
        </is>
      </c>
      <c r="H511" s="25" t="inlineStr">
        <is>
          <t>North Indian</t>
        </is>
      </c>
      <c r="I511" s="26" t="n">
        <v>783</v>
      </c>
      <c r="J511" s="26" t="n">
        <v>0</v>
      </c>
      <c r="K511" s="26" t="n">
        <v>25</v>
      </c>
      <c r="L511" s="27" t="n">
        <v>0.2</v>
      </c>
      <c r="M511" s="26" t="n">
        <v>162.85</v>
      </c>
      <c r="N511" s="28" t="n">
        <v>1.7</v>
      </c>
      <c r="O511" s="28" t="n">
        <v>22.5</v>
      </c>
      <c r="P511" s="25" t="inlineStr">
        <is>
          <t>Debit Card</t>
        </is>
      </c>
      <c r="Q511" s="25" t="inlineStr">
        <is>
          <t>Delivered</t>
        </is>
      </c>
      <c r="R511" s="25" t="n">
        <v>3</v>
      </c>
      <c r="S511" s="25">
        <f>TEXT(B511,"yyyy-mm")</f>
        <v/>
      </c>
      <c r="T511" s="25">
        <f>VLOOKUP(D511,Customers!A:D,4,FALSE)</f>
        <v/>
      </c>
      <c r="U511" s="25">
        <f>CONCATENATE(A511,"-",G511)</f>
        <v/>
      </c>
      <c r="V511" s="25">
        <f>IF(N511="","",IF(N511&lt;=30,"Fast (&lt;30m)",IF(N511&lt;=45,"Moderate (30-45m)","Delayed (&gt;45m)")))</f>
        <v/>
      </c>
      <c r="W511" s="25">
        <f>IF(AND(I511&gt;600,P511="Delivered"),"High Value Delivered","Standard")</f>
        <v/>
      </c>
      <c r="X511" s="25">
        <f>IF(OR(N511&gt;50,Q511&lt;=2),"High Risk / Delayed","Normal")</f>
        <v/>
      </c>
      <c r="Y511" s="25">
        <f>IF(NOT(P511="Cancelled"),"Fulfilled","Cancelled")</f>
        <v/>
      </c>
      <c r="Z511" s="25">
        <f>IFERROR(Q511,0)</f>
        <v/>
      </c>
    </row>
    <row r="512">
      <c r="A512" s="17" t="inlineStr">
        <is>
          <t>ORD1511</t>
        </is>
      </c>
      <c r="B512" s="17" t="inlineStr">
        <is>
          <t>2025-03-31</t>
        </is>
      </c>
      <c r="C512" s="17" t="inlineStr">
        <is>
          <t>12:12:21</t>
        </is>
      </c>
      <c r="D512" s="17" t="n">
        <v>1153</v>
      </c>
      <c r="E512" s="17" t="n">
        <v>105</v>
      </c>
      <c r="F512" s="17" t="n">
        <v>210</v>
      </c>
      <c r="G512" s="17" t="inlineStr">
        <is>
          <t>Bangalore</t>
        </is>
      </c>
      <c r="H512" s="17" t="inlineStr">
        <is>
          <t>Chinese</t>
        </is>
      </c>
      <c r="I512" s="22" t="n">
        <v>566</v>
      </c>
      <c r="J512" s="22" t="n">
        <v>21.69</v>
      </c>
      <c r="K512" s="22" t="n">
        <v>25</v>
      </c>
      <c r="L512" s="23" t="n">
        <v>0.2</v>
      </c>
      <c r="M512" s="22" t="n">
        <v>119.45</v>
      </c>
      <c r="N512" s="24" t="n">
        <v>2.1</v>
      </c>
      <c r="O512" s="24" t="n">
        <v>31.3</v>
      </c>
      <c r="P512" s="17" t="inlineStr">
        <is>
          <t>UPI</t>
        </is>
      </c>
      <c r="Q512" s="17" t="inlineStr">
        <is>
          <t>Delivered</t>
        </is>
      </c>
      <c r="R512" s="17" t="n">
        <v>4</v>
      </c>
      <c r="S512" s="17">
        <f>TEXT(B512,"yyyy-mm")</f>
        <v/>
      </c>
      <c r="T512" s="17">
        <f>VLOOKUP(D512,Customers!A:D,4,FALSE)</f>
        <v/>
      </c>
      <c r="U512" s="17">
        <f>CONCATENATE(A512,"-",G512)</f>
        <v/>
      </c>
      <c r="V512" s="17">
        <f>IF(N512="","",IF(N512&lt;=30,"Fast (&lt;30m)",IF(N512&lt;=45,"Moderate (30-45m)","Delayed (&gt;45m)")))</f>
        <v/>
      </c>
      <c r="W512" s="17">
        <f>IF(AND(I512&gt;600,P512="Delivered"),"High Value Delivered","Standard")</f>
        <v/>
      </c>
      <c r="X512" s="17">
        <f>IF(OR(N512&gt;50,Q512&lt;=2),"High Risk / Delayed","Normal")</f>
        <v/>
      </c>
      <c r="Y512" s="17">
        <f>IF(NOT(P512="Cancelled"),"Fulfilled","Cancelled")</f>
        <v/>
      </c>
      <c r="Z512" s="17">
        <f>IFERROR(Q512,0)</f>
        <v/>
      </c>
    </row>
    <row r="513">
      <c r="A513" s="25" t="inlineStr">
        <is>
          <t>ORD1512</t>
        </is>
      </c>
      <c r="B513" s="25" t="inlineStr">
        <is>
          <t>2025-11-18</t>
        </is>
      </c>
      <c r="C513" s="25" t="inlineStr">
        <is>
          <t>11:29:57</t>
        </is>
      </c>
      <c r="D513" s="25" t="n">
        <v>1143</v>
      </c>
      <c r="E513" s="25" t="n">
        <v>109</v>
      </c>
      <c r="F513" s="25" t="n">
        <v>225</v>
      </c>
      <c r="G513" s="25" t="inlineStr">
        <is>
          <t>Hyderabad</t>
        </is>
      </c>
      <c r="H513" s="25" t="inlineStr">
        <is>
          <t>Biryani</t>
        </is>
      </c>
      <c r="I513" s="26" t="n">
        <v>769</v>
      </c>
      <c r="J513" s="26" t="n">
        <v>28.45</v>
      </c>
      <c r="K513" s="26" t="n">
        <v>30</v>
      </c>
      <c r="L513" s="27" t="n">
        <v>0.2</v>
      </c>
      <c r="M513" s="26" t="n">
        <v>161.3</v>
      </c>
      <c r="N513" s="28" t="n">
        <v>4</v>
      </c>
      <c r="O513" s="28" t="n">
        <v>35</v>
      </c>
      <c r="P513" s="25" t="inlineStr">
        <is>
          <t>UPI</t>
        </is>
      </c>
      <c r="Q513" s="25" t="inlineStr">
        <is>
          <t>Delivered</t>
        </is>
      </c>
      <c r="R513" s="25" t="n">
        <v>3</v>
      </c>
      <c r="S513" s="25">
        <f>TEXT(B513,"yyyy-mm")</f>
        <v/>
      </c>
      <c r="T513" s="25">
        <f>VLOOKUP(D513,Customers!A:D,4,FALSE)</f>
        <v/>
      </c>
      <c r="U513" s="25">
        <f>CONCATENATE(A513,"-",G513)</f>
        <v/>
      </c>
      <c r="V513" s="25">
        <f>IF(N513="","",IF(N513&lt;=30,"Fast (&lt;30m)",IF(N513&lt;=45,"Moderate (30-45m)","Delayed (&gt;45m)")))</f>
        <v/>
      </c>
      <c r="W513" s="25">
        <f>IF(AND(I513&gt;600,P513="Delivered"),"High Value Delivered","Standard")</f>
        <v/>
      </c>
      <c r="X513" s="25">
        <f>IF(OR(N513&gt;50,Q513&lt;=2),"High Risk / Delayed","Normal")</f>
        <v/>
      </c>
      <c r="Y513" s="25">
        <f>IF(NOT(P513="Cancelled"),"Fulfilled","Cancelled")</f>
        <v/>
      </c>
      <c r="Z513" s="25">
        <f>IFERROR(Q513,0)</f>
        <v/>
      </c>
    </row>
    <row r="514">
      <c r="A514" s="17" t="inlineStr">
        <is>
          <t>ORD1513</t>
        </is>
      </c>
      <c r="B514" s="17" t="inlineStr">
        <is>
          <t>2025-04-17</t>
        </is>
      </c>
      <c r="C514" s="17" t="inlineStr">
        <is>
          <t>09:36:43</t>
        </is>
      </c>
      <c r="D514" s="17" t="n">
        <v>1055</v>
      </c>
      <c r="E514" s="17" t="n">
        <v>105</v>
      </c>
      <c r="F514" s="17" t="n">
        <v>213</v>
      </c>
      <c r="G514" s="17" t="inlineStr">
        <is>
          <t>Bangalore</t>
        </is>
      </c>
      <c r="H514" s="17" t="inlineStr">
        <is>
          <t>Chinese</t>
        </is>
      </c>
      <c r="I514" s="22" t="n">
        <v>559</v>
      </c>
      <c r="J514" s="22" t="n">
        <v>39.71</v>
      </c>
      <c r="K514" s="22" t="n">
        <v>25</v>
      </c>
      <c r="L514" s="23" t="n">
        <v>0.2</v>
      </c>
      <c r="M514" s="22" t="n">
        <v>118.05</v>
      </c>
      <c r="N514" s="24" t="n">
        <v>2.1</v>
      </c>
      <c r="O514" s="24" t="n">
        <v>36</v>
      </c>
      <c r="P514" s="17" t="inlineStr">
        <is>
          <t>Credit Card</t>
        </is>
      </c>
      <c r="Q514" s="17" t="inlineStr">
        <is>
          <t>Delivered</t>
        </is>
      </c>
      <c r="R514" s="17" t="n">
        <v>5</v>
      </c>
      <c r="S514" s="17">
        <f>TEXT(B514,"yyyy-mm")</f>
        <v/>
      </c>
      <c r="T514" s="17">
        <f>VLOOKUP(D514,Customers!A:D,4,FALSE)</f>
        <v/>
      </c>
      <c r="U514" s="17">
        <f>CONCATENATE(A514,"-",G514)</f>
        <v/>
      </c>
      <c r="V514" s="17">
        <f>IF(N514="","",IF(N514&lt;=30,"Fast (&lt;30m)",IF(N514&lt;=45,"Moderate (30-45m)","Delayed (&gt;45m)")))</f>
        <v/>
      </c>
      <c r="W514" s="17">
        <f>IF(AND(I514&gt;600,P514="Delivered"),"High Value Delivered","Standard")</f>
        <v/>
      </c>
      <c r="X514" s="17">
        <f>IF(OR(N514&gt;50,Q514&lt;=2),"High Risk / Delayed","Normal")</f>
        <v/>
      </c>
      <c r="Y514" s="17">
        <f>IF(NOT(P514="Cancelled"),"Fulfilled","Cancelled")</f>
        <v/>
      </c>
      <c r="Z514" s="17">
        <f>IFERROR(Q514,0)</f>
        <v/>
      </c>
    </row>
    <row r="515">
      <c r="A515" s="25" t="inlineStr">
        <is>
          <t>ORD1514</t>
        </is>
      </c>
      <c r="B515" s="25" t="inlineStr">
        <is>
          <t>2025-07-12</t>
        </is>
      </c>
      <c r="C515" s="25" t="inlineStr">
        <is>
          <t>22:40:34</t>
        </is>
      </c>
      <c r="D515" s="25" t="n">
        <v>1130</v>
      </c>
      <c r="E515" s="25" t="n">
        <v>119</v>
      </c>
      <c r="F515" s="25" t="n">
        <v>225</v>
      </c>
      <c r="G515" s="25" t="inlineStr">
        <is>
          <t>Hyderabad</t>
        </is>
      </c>
      <c r="H515" s="25" t="inlineStr">
        <is>
          <t>Biryani</t>
        </is>
      </c>
      <c r="I515" s="26" t="n">
        <v>389</v>
      </c>
      <c r="J515" s="26" t="n">
        <v>12.12</v>
      </c>
      <c r="K515" s="26" t="n">
        <v>29.5</v>
      </c>
      <c r="L515" s="27" t="n">
        <v>0.2</v>
      </c>
      <c r="M515" s="26" t="n">
        <v>85.18000000000001</v>
      </c>
      <c r="N515" s="28" t="n">
        <v>3.9</v>
      </c>
      <c r="O515" s="28" t="n">
        <v>32.3</v>
      </c>
      <c r="P515" s="25" t="inlineStr">
        <is>
          <t>Debit Card</t>
        </is>
      </c>
      <c r="Q515" s="25" t="inlineStr">
        <is>
          <t>Delivered</t>
        </is>
      </c>
      <c r="R515" s="25" t="n">
        <v>2</v>
      </c>
      <c r="S515" s="25">
        <f>TEXT(B515,"yyyy-mm")</f>
        <v/>
      </c>
      <c r="T515" s="25">
        <f>VLOOKUP(D515,Customers!A:D,4,FALSE)</f>
        <v/>
      </c>
      <c r="U515" s="25">
        <f>CONCATENATE(A515,"-",G515)</f>
        <v/>
      </c>
      <c r="V515" s="25">
        <f>IF(N515="","",IF(N515&lt;=30,"Fast (&lt;30m)",IF(N515&lt;=45,"Moderate (30-45m)","Delayed (&gt;45m)")))</f>
        <v/>
      </c>
      <c r="W515" s="25">
        <f>IF(AND(I515&gt;600,P515="Delivered"),"High Value Delivered","Standard")</f>
        <v/>
      </c>
      <c r="X515" s="25">
        <f>IF(OR(N515&gt;50,Q515&lt;=2),"High Risk / Delayed","Normal")</f>
        <v/>
      </c>
      <c r="Y515" s="25">
        <f>IF(NOT(P515="Cancelled"),"Fulfilled","Cancelled")</f>
        <v/>
      </c>
      <c r="Z515" s="25">
        <f>IFERROR(Q515,0)</f>
        <v/>
      </c>
    </row>
    <row r="516">
      <c r="A516" s="17" t="inlineStr">
        <is>
          <t>ORD1515</t>
        </is>
      </c>
      <c r="B516" s="17" t="inlineStr">
        <is>
          <t>2025-07-31</t>
        </is>
      </c>
      <c r="C516" s="17" t="inlineStr">
        <is>
          <t>20:05:31</t>
        </is>
      </c>
      <c r="D516" s="17" t="n">
        <v>1298</v>
      </c>
      <c r="E516" s="17" t="n">
        <v>119</v>
      </c>
      <c r="F516" s="17" t="n">
        <v>225</v>
      </c>
      <c r="G516" s="17" t="inlineStr">
        <is>
          <t>Hyderabad</t>
        </is>
      </c>
      <c r="H516" s="17" t="inlineStr">
        <is>
          <t>Biryani</t>
        </is>
      </c>
      <c r="I516" s="22" t="n">
        <v>463</v>
      </c>
      <c r="J516" s="22" t="n">
        <v>0</v>
      </c>
      <c r="K516" s="22" t="n">
        <v>30</v>
      </c>
      <c r="L516" s="23" t="n">
        <v>0.2</v>
      </c>
      <c r="M516" s="22" t="n">
        <v>100.1</v>
      </c>
      <c r="N516" s="24" t="n">
        <v>4</v>
      </c>
      <c r="O516" s="24" t="n">
        <v>37</v>
      </c>
      <c r="P516" s="17" t="inlineStr">
        <is>
          <t>Debit Card</t>
        </is>
      </c>
      <c r="Q516" s="17" t="inlineStr">
        <is>
          <t>Delivered</t>
        </is>
      </c>
      <c r="R516" s="17" t="n">
        <v>4</v>
      </c>
      <c r="S516" s="17">
        <f>TEXT(B516,"yyyy-mm")</f>
        <v/>
      </c>
      <c r="T516" s="17">
        <f>VLOOKUP(D516,Customers!A:D,4,FALSE)</f>
        <v/>
      </c>
      <c r="U516" s="17">
        <f>CONCATENATE(A516,"-",G516)</f>
        <v/>
      </c>
      <c r="V516" s="17">
        <f>IF(N516="","",IF(N516&lt;=30,"Fast (&lt;30m)",IF(N516&lt;=45,"Moderate (30-45m)","Delayed (&gt;45m)")))</f>
        <v/>
      </c>
      <c r="W516" s="17">
        <f>IF(AND(I516&gt;600,P516="Delivered"),"High Value Delivered","Standard")</f>
        <v/>
      </c>
      <c r="X516" s="17">
        <f>IF(OR(N516&gt;50,Q516&lt;=2),"High Risk / Delayed","Normal")</f>
        <v/>
      </c>
      <c r="Y516" s="17">
        <f>IF(NOT(P516="Cancelled"),"Fulfilled","Cancelled")</f>
        <v/>
      </c>
      <c r="Z516" s="17">
        <f>IFERROR(Q516,0)</f>
        <v/>
      </c>
    </row>
    <row r="517">
      <c r="A517" s="25" t="inlineStr">
        <is>
          <t>ORD1516</t>
        </is>
      </c>
      <c r="B517" s="25" t="inlineStr">
        <is>
          <t>2025-03-31</t>
        </is>
      </c>
      <c r="C517" s="25" t="inlineStr">
        <is>
          <t>12:07:23</t>
        </is>
      </c>
      <c r="D517" s="25" t="n">
        <v>1205</v>
      </c>
      <c r="E517" s="25" t="n">
        <v>107</v>
      </c>
      <c r="F517" s="25" t="n">
        <v>202</v>
      </c>
      <c r="G517" s="25" t="inlineStr">
        <is>
          <t>Mumbai</t>
        </is>
      </c>
      <c r="H517" s="25" t="inlineStr">
        <is>
          <t>Desserts</t>
        </is>
      </c>
      <c r="I517" s="26" t="n">
        <v>258</v>
      </c>
      <c r="J517" s="26" t="n">
        <v>26.95</v>
      </c>
      <c r="K517" s="26" t="n">
        <v>34</v>
      </c>
      <c r="L517" s="27" t="n">
        <v>0.25</v>
      </c>
      <c r="M517" s="26" t="n">
        <v>73</v>
      </c>
      <c r="N517" s="28" t="n">
        <v>4.8</v>
      </c>
      <c r="O517" s="28" t="n">
        <v>41.4</v>
      </c>
      <c r="P517" s="25" t="inlineStr">
        <is>
          <t>Cash on Delivery</t>
        </is>
      </c>
      <c r="Q517" s="25" t="inlineStr">
        <is>
          <t>Delivered</t>
        </is>
      </c>
      <c r="R517" s="25" t="n">
        <v>2</v>
      </c>
      <c r="S517" s="25">
        <f>TEXT(B517,"yyyy-mm")</f>
        <v/>
      </c>
      <c r="T517" s="25">
        <f>VLOOKUP(D517,Customers!A:D,4,FALSE)</f>
        <v/>
      </c>
      <c r="U517" s="25">
        <f>CONCATENATE(A517,"-",G517)</f>
        <v/>
      </c>
      <c r="V517" s="25">
        <f>IF(N517="","",IF(N517&lt;=30,"Fast (&lt;30m)",IF(N517&lt;=45,"Moderate (30-45m)","Delayed (&gt;45m)")))</f>
        <v/>
      </c>
      <c r="W517" s="25">
        <f>IF(AND(I517&gt;600,P517="Delivered"),"High Value Delivered","Standard")</f>
        <v/>
      </c>
      <c r="X517" s="25">
        <f>IF(OR(N517&gt;50,Q517&lt;=2),"High Risk / Delayed","Normal")</f>
        <v/>
      </c>
      <c r="Y517" s="25">
        <f>IF(NOT(P517="Cancelled"),"Fulfilled","Cancelled")</f>
        <v/>
      </c>
      <c r="Z517" s="25">
        <f>IFERROR(Q517,0)</f>
        <v/>
      </c>
    </row>
    <row r="518">
      <c r="A518" s="17" t="inlineStr">
        <is>
          <t>ORD1517</t>
        </is>
      </c>
      <c r="B518" s="17" t="inlineStr">
        <is>
          <t>2025-04-08</t>
        </is>
      </c>
      <c r="C518" s="17" t="inlineStr">
        <is>
          <t>12:21:59</t>
        </is>
      </c>
      <c r="D518" s="17" t="n">
        <v>1140</v>
      </c>
      <c r="E518" s="17" t="n">
        <v>110</v>
      </c>
      <c r="F518" s="17" t="n">
        <v>208</v>
      </c>
      <c r="G518" s="17" t="inlineStr">
        <is>
          <t>Pune</t>
        </is>
      </c>
      <c r="H518" s="17" t="inlineStr">
        <is>
          <t>North Indian</t>
        </is>
      </c>
      <c r="I518" s="22" t="n">
        <v>1002</v>
      </c>
      <c r="J518" s="22" t="n">
        <v>187.76</v>
      </c>
      <c r="K518" s="22" t="n">
        <v>0</v>
      </c>
      <c r="L518" s="23" t="n">
        <v>0.18</v>
      </c>
      <c r="M518" s="22" t="n">
        <v>180.36</v>
      </c>
      <c r="N518" s="24" t="n">
        <v>2.5</v>
      </c>
      <c r="O518" s="24" t="n">
        <v>28.2</v>
      </c>
      <c r="P518" s="17" t="inlineStr">
        <is>
          <t>Debit Card</t>
        </is>
      </c>
      <c r="Q518" s="17" t="inlineStr">
        <is>
          <t>Delivered</t>
        </is>
      </c>
      <c r="R518" s="17" t="n">
        <v>5</v>
      </c>
      <c r="S518" s="17">
        <f>TEXT(B518,"yyyy-mm")</f>
        <v/>
      </c>
      <c r="T518" s="17">
        <f>VLOOKUP(D518,Customers!A:D,4,FALSE)</f>
        <v/>
      </c>
      <c r="U518" s="17">
        <f>CONCATENATE(A518,"-",G518)</f>
        <v/>
      </c>
      <c r="V518" s="17">
        <f>IF(N518="","",IF(N518&lt;=30,"Fast (&lt;30m)",IF(N518&lt;=45,"Moderate (30-45m)","Delayed (&gt;45m)")))</f>
        <v/>
      </c>
      <c r="W518" s="17">
        <f>IF(AND(I518&gt;600,P518="Delivered"),"High Value Delivered","Standard")</f>
        <v/>
      </c>
      <c r="X518" s="17">
        <f>IF(OR(N518&gt;50,Q518&lt;=2),"High Risk / Delayed","Normal")</f>
        <v/>
      </c>
      <c r="Y518" s="17">
        <f>IF(NOT(P518="Cancelled"),"Fulfilled","Cancelled")</f>
        <v/>
      </c>
      <c r="Z518" s="17">
        <f>IFERROR(Q518,0)</f>
        <v/>
      </c>
    </row>
    <row r="519">
      <c r="A519" s="25" t="inlineStr">
        <is>
          <t>ORD1518</t>
        </is>
      </c>
      <c r="B519" s="25" t="inlineStr">
        <is>
          <t>2025-09-22</t>
        </is>
      </c>
      <c r="C519" s="25" t="inlineStr">
        <is>
          <t>12:43:08</t>
        </is>
      </c>
      <c r="D519" s="25" t="n">
        <v>1141</v>
      </c>
      <c r="E519" s="25" t="n">
        <v>112</v>
      </c>
      <c r="F519" s="25" t="n">
        <v>230</v>
      </c>
      <c r="G519" s="25" t="inlineStr">
        <is>
          <t>Delhi NCR</t>
        </is>
      </c>
      <c r="H519" s="25" t="inlineStr">
        <is>
          <t>North Indian</t>
        </is>
      </c>
      <c r="I519" s="26" t="n">
        <v>715</v>
      </c>
      <c r="J519" s="26" t="n">
        <v>74.11</v>
      </c>
      <c r="K519" s="26" t="n">
        <v>0</v>
      </c>
      <c r="L519" s="27" t="n">
        <v>0.22</v>
      </c>
      <c r="M519" s="26" t="n">
        <v>157.3</v>
      </c>
      <c r="N519" s="28" t="n">
        <v>3.1</v>
      </c>
      <c r="O519" s="28" t="n">
        <v>27.8</v>
      </c>
      <c r="P519" s="25" t="inlineStr">
        <is>
          <t>Digital Wallet</t>
        </is>
      </c>
      <c r="Q519" s="25" t="inlineStr">
        <is>
          <t>Delivered</t>
        </is>
      </c>
      <c r="R519" s="25" t="n">
        <v>5</v>
      </c>
      <c r="S519" s="25">
        <f>TEXT(B519,"yyyy-mm")</f>
        <v/>
      </c>
      <c r="T519" s="25">
        <f>VLOOKUP(D519,Customers!A:D,4,FALSE)</f>
        <v/>
      </c>
      <c r="U519" s="25">
        <f>CONCATENATE(A519,"-",G519)</f>
        <v/>
      </c>
      <c r="V519" s="25">
        <f>IF(N519="","",IF(N519&lt;=30,"Fast (&lt;30m)",IF(N519&lt;=45,"Moderate (30-45m)","Delayed (&gt;45m)")))</f>
        <v/>
      </c>
      <c r="W519" s="25">
        <f>IF(AND(I519&gt;600,P519="Delivered"),"High Value Delivered","Standard")</f>
        <v/>
      </c>
      <c r="X519" s="25">
        <f>IF(OR(N519&gt;50,Q519&lt;=2),"High Risk / Delayed","Normal")</f>
        <v/>
      </c>
      <c r="Y519" s="25">
        <f>IF(NOT(P519="Cancelled"),"Fulfilled","Cancelled")</f>
        <v/>
      </c>
      <c r="Z519" s="25">
        <f>IFERROR(Q519,0)</f>
        <v/>
      </c>
    </row>
    <row r="520">
      <c r="A520" s="17" t="inlineStr">
        <is>
          <t>ORD1519</t>
        </is>
      </c>
      <c r="B520" s="17" t="inlineStr">
        <is>
          <t>2025-06-09</t>
        </is>
      </c>
      <c r="C520" s="17" t="inlineStr">
        <is>
          <t>14:59:02</t>
        </is>
      </c>
      <c r="D520" s="17" t="n">
        <v>1220</v>
      </c>
      <c r="E520" s="17" t="n">
        <v>109</v>
      </c>
      <c r="F520" s="17" t="n">
        <v>225</v>
      </c>
      <c r="G520" s="17" t="inlineStr">
        <is>
          <t>Hyderabad</t>
        </is>
      </c>
      <c r="H520" s="17" t="inlineStr">
        <is>
          <t>Biryani</t>
        </is>
      </c>
      <c r="I520" s="22" t="n">
        <v>923</v>
      </c>
      <c r="J520" s="22" t="n">
        <v>100.95</v>
      </c>
      <c r="K520" s="22" t="n">
        <v>25</v>
      </c>
      <c r="L520" s="23" t="n">
        <v>0.2</v>
      </c>
      <c r="M520" s="22" t="n">
        <v>190.85</v>
      </c>
      <c r="N520" s="24" t="n">
        <v>1.4</v>
      </c>
      <c r="O520" s="24" t="n">
        <v>32.5</v>
      </c>
      <c r="P520" s="17" t="inlineStr">
        <is>
          <t>Debit Card</t>
        </is>
      </c>
      <c r="Q520" s="17" t="inlineStr">
        <is>
          <t>Delivered</t>
        </is>
      </c>
      <c r="R520" s="17" t="n">
        <v>5</v>
      </c>
      <c r="S520" s="17">
        <f>TEXT(B520,"yyyy-mm")</f>
        <v/>
      </c>
      <c r="T520" s="17">
        <f>VLOOKUP(D520,Customers!A:D,4,FALSE)</f>
        <v/>
      </c>
      <c r="U520" s="17">
        <f>CONCATENATE(A520,"-",G520)</f>
        <v/>
      </c>
      <c r="V520" s="17">
        <f>IF(N520="","",IF(N520&lt;=30,"Fast (&lt;30m)",IF(N520&lt;=45,"Moderate (30-45m)","Delayed (&gt;45m)")))</f>
        <v/>
      </c>
      <c r="W520" s="17">
        <f>IF(AND(I520&gt;600,P520="Delivered"),"High Value Delivered","Standard")</f>
        <v/>
      </c>
      <c r="X520" s="17">
        <f>IF(OR(N520&gt;50,Q520&lt;=2),"High Risk / Delayed","Normal")</f>
        <v/>
      </c>
      <c r="Y520" s="17">
        <f>IF(NOT(P520="Cancelled"),"Fulfilled","Cancelled")</f>
        <v/>
      </c>
      <c r="Z520" s="17">
        <f>IFERROR(Q520,0)</f>
        <v/>
      </c>
    </row>
    <row r="521">
      <c r="A521" s="25" t="inlineStr">
        <is>
          <t>ORD1520</t>
        </is>
      </c>
      <c r="B521" s="25" t="inlineStr">
        <is>
          <t>2025-09-24</t>
        </is>
      </c>
      <c r="C521" s="25" t="inlineStr">
        <is>
          <t>21:49:42</t>
        </is>
      </c>
      <c r="D521" s="25" t="n">
        <v>1272</v>
      </c>
      <c r="E521" s="25" t="n">
        <v>108</v>
      </c>
      <c r="F521" s="25" t="n">
        <v>211</v>
      </c>
      <c r="G521" s="25" t="inlineStr">
        <is>
          <t>Delhi NCR</t>
        </is>
      </c>
      <c r="H521" s="25" t="inlineStr">
        <is>
          <t>Fast Food</t>
        </is>
      </c>
      <c r="I521" s="26" t="n">
        <v>539</v>
      </c>
      <c r="J521" s="26" t="n">
        <v>27.8</v>
      </c>
      <c r="K521" s="26" t="n">
        <v>35.5</v>
      </c>
      <c r="L521" s="27" t="n">
        <v>0.18</v>
      </c>
      <c r="M521" s="26" t="n">
        <v>105.9</v>
      </c>
      <c r="N521" s="28" t="n">
        <v>5.1</v>
      </c>
      <c r="O521" s="28" t="n">
        <v>40.4</v>
      </c>
      <c r="P521" s="25" t="inlineStr">
        <is>
          <t>Credit Card</t>
        </is>
      </c>
      <c r="Q521" s="25" t="inlineStr">
        <is>
          <t>Delivered</t>
        </is>
      </c>
      <c r="R521" s="25" t="n">
        <v>2</v>
      </c>
      <c r="S521" s="25">
        <f>TEXT(B521,"yyyy-mm")</f>
        <v/>
      </c>
      <c r="T521" s="25">
        <f>VLOOKUP(D521,Customers!A:D,4,FALSE)</f>
        <v/>
      </c>
      <c r="U521" s="25">
        <f>CONCATENATE(A521,"-",G521)</f>
        <v/>
      </c>
      <c r="V521" s="25">
        <f>IF(N521="","",IF(N521&lt;=30,"Fast (&lt;30m)",IF(N521&lt;=45,"Moderate (30-45m)","Delayed (&gt;45m)")))</f>
        <v/>
      </c>
      <c r="W521" s="25">
        <f>IF(AND(I521&gt;600,P521="Delivered"),"High Value Delivered","Standard")</f>
        <v/>
      </c>
      <c r="X521" s="25">
        <f>IF(OR(N521&gt;50,Q521&lt;=2),"High Risk / Delayed","Normal")</f>
        <v/>
      </c>
      <c r="Y521" s="25">
        <f>IF(NOT(P521="Cancelled"),"Fulfilled","Cancelled")</f>
        <v/>
      </c>
      <c r="Z521" s="25">
        <f>IFERROR(Q521,0)</f>
        <v/>
      </c>
    </row>
    <row r="522">
      <c r="A522" s="17" t="inlineStr">
        <is>
          <t>ORD1521</t>
        </is>
      </c>
      <c r="B522" s="17" t="inlineStr">
        <is>
          <t>2025-05-27</t>
        </is>
      </c>
      <c r="C522" s="17" t="inlineStr">
        <is>
          <t>13:17:34</t>
        </is>
      </c>
      <c r="D522" s="17" t="n">
        <v>1126</v>
      </c>
      <c r="E522" s="17" t="n">
        <v>109</v>
      </c>
      <c r="F522" s="17" t="n">
        <v>225</v>
      </c>
      <c r="G522" s="17" t="inlineStr">
        <is>
          <t>Hyderabad</t>
        </is>
      </c>
      <c r="H522" s="17" t="inlineStr">
        <is>
          <t>Biryani</t>
        </is>
      </c>
      <c r="I522" s="22" t="n">
        <v>546</v>
      </c>
      <c r="J522" s="22" t="n">
        <v>29.31</v>
      </c>
      <c r="K522" s="22" t="n">
        <v>35</v>
      </c>
      <c r="L522" s="23" t="n">
        <v>0.2</v>
      </c>
      <c r="M522" s="22" t="n">
        <v>117.95</v>
      </c>
      <c r="N522" s="24" t="n">
        <v>5</v>
      </c>
      <c r="O522" s="24" t="n">
        <v>35.3</v>
      </c>
      <c r="P522" s="17" t="inlineStr">
        <is>
          <t>Credit Card</t>
        </is>
      </c>
      <c r="Q522" s="17" t="inlineStr">
        <is>
          <t>Delivered</t>
        </is>
      </c>
      <c r="R522" s="17" t="n">
        <v>5</v>
      </c>
      <c r="S522" s="17">
        <f>TEXT(B522,"yyyy-mm")</f>
        <v/>
      </c>
      <c r="T522" s="17">
        <f>VLOOKUP(D522,Customers!A:D,4,FALSE)</f>
        <v/>
      </c>
      <c r="U522" s="17">
        <f>CONCATENATE(A522,"-",G522)</f>
        <v/>
      </c>
      <c r="V522" s="17">
        <f>IF(N522="","",IF(N522&lt;=30,"Fast (&lt;30m)",IF(N522&lt;=45,"Moderate (30-45m)","Delayed (&gt;45m)")))</f>
        <v/>
      </c>
      <c r="W522" s="17">
        <f>IF(AND(I522&gt;600,P522="Delivered"),"High Value Delivered","Standard")</f>
        <v/>
      </c>
      <c r="X522" s="17">
        <f>IF(OR(N522&gt;50,Q522&lt;=2),"High Risk / Delayed","Normal")</f>
        <v/>
      </c>
      <c r="Y522" s="17">
        <f>IF(NOT(P522="Cancelled"),"Fulfilled","Cancelled")</f>
        <v/>
      </c>
      <c r="Z522" s="17">
        <f>IFERROR(Q522,0)</f>
        <v/>
      </c>
    </row>
    <row r="523">
      <c r="A523" s="25" t="inlineStr">
        <is>
          <t>ORD1522</t>
        </is>
      </c>
      <c r="B523" s="25" t="inlineStr">
        <is>
          <t>2025-11-15</t>
        </is>
      </c>
      <c r="C523" s="25" t="inlineStr">
        <is>
          <t>21:35:32</t>
        </is>
      </c>
      <c r="D523" s="25" t="n">
        <v>1163</v>
      </c>
      <c r="E523" s="25" t="n">
        <v>107</v>
      </c>
      <c r="F523" s="25" t="n">
        <v>222</v>
      </c>
      <c r="G523" s="25" t="inlineStr">
        <is>
          <t>Mumbai</t>
        </is>
      </c>
      <c r="H523" s="25" t="inlineStr">
        <is>
          <t>Desserts</t>
        </is>
      </c>
      <c r="I523" s="26" t="n">
        <v>324</v>
      </c>
      <c r="J523" s="26" t="n">
        <v>20.89</v>
      </c>
      <c r="K523" s="26" t="n">
        <v>61</v>
      </c>
      <c r="L523" s="27" t="n">
        <v>0.25</v>
      </c>
      <c r="M523" s="26" t="n">
        <v>96.25</v>
      </c>
      <c r="N523" s="28" t="n">
        <v>10.2</v>
      </c>
      <c r="O523" s="28" t="n">
        <v>55.4</v>
      </c>
      <c r="P523" s="25" t="inlineStr">
        <is>
          <t>Debit Card</t>
        </is>
      </c>
      <c r="Q523" s="25" t="inlineStr">
        <is>
          <t>Delivered</t>
        </is>
      </c>
      <c r="R523" s="25" t="n">
        <v>2</v>
      </c>
      <c r="S523" s="25">
        <f>TEXT(B523,"yyyy-mm")</f>
        <v/>
      </c>
      <c r="T523" s="25">
        <f>VLOOKUP(D523,Customers!A:D,4,FALSE)</f>
        <v/>
      </c>
      <c r="U523" s="25">
        <f>CONCATENATE(A523,"-",G523)</f>
        <v/>
      </c>
      <c r="V523" s="25">
        <f>IF(N523="","",IF(N523&lt;=30,"Fast (&lt;30m)",IF(N523&lt;=45,"Moderate (30-45m)","Delayed (&gt;45m)")))</f>
        <v/>
      </c>
      <c r="W523" s="25">
        <f>IF(AND(I523&gt;600,P523="Delivered"),"High Value Delivered","Standard")</f>
        <v/>
      </c>
      <c r="X523" s="25">
        <f>IF(OR(N523&gt;50,Q523&lt;=2),"High Risk / Delayed","Normal")</f>
        <v/>
      </c>
      <c r="Y523" s="25">
        <f>IF(NOT(P523="Cancelled"),"Fulfilled","Cancelled")</f>
        <v/>
      </c>
      <c r="Z523" s="25">
        <f>IFERROR(Q523,0)</f>
        <v/>
      </c>
    </row>
    <row r="524">
      <c r="A524" s="17" t="inlineStr">
        <is>
          <t>ORD1523</t>
        </is>
      </c>
      <c r="B524" s="17" t="inlineStr">
        <is>
          <t>2025-10-21</t>
        </is>
      </c>
      <c r="C524" s="17" t="inlineStr">
        <is>
          <t>09:15:10</t>
        </is>
      </c>
      <c r="D524" s="17" t="n">
        <v>1141</v>
      </c>
      <c r="E524" s="17" t="n">
        <v>104</v>
      </c>
      <c r="F524" s="17" t="n">
        <v>212</v>
      </c>
      <c r="G524" s="17" t="inlineStr">
        <is>
          <t>Delhi NCR</t>
        </is>
      </c>
      <c r="H524" s="17" t="inlineStr">
        <is>
          <t>Fast Food</t>
        </is>
      </c>
      <c r="I524" s="22" t="n">
        <v>471</v>
      </c>
      <c r="J524" s="22" t="n">
        <v>75.98</v>
      </c>
      <c r="K524" s="22" t="n">
        <v>25</v>
      </c>
      <c r="L524" s="23" t="n">
        <v>0.18</v>
      </c>
      <c r="M524" s="22" t="n">
        <v>91.03</v>
      </c>
      <c r="N524" s="24" t="n">
        <v>2</v>
      </c>
      <c r="O524" s="24" t="n">
        <v>27.9</v>
      </c>
      <c r="P524" s="17" t="inlineStr">
        <is>
          <t>Cash on Delivery</t>
        </is>
      </c>
      <c r="Q524" s="17" t="inlineStr">
        <is>
          <t>Delivered</t>
        </is>
      </c>
      <c r="R524" s="17" t="n">
        <v>4</v>
      </c>
      <c r="S524" s="17">
        <f>TEXT(B524,"yyyy-mm")</f>
        <v/>
      </c>
      <c r="T524" s="17">
        <f>VLOOKUP(D524,Customers!A:D,4,FALSE)</f>
        <v/>
      </c>
      <c r="U524" s="17">
        <f>CONCATENATE(A524,"-",G524)</f>
        <v/>
      </c>
      <c r="V524" s="17">
        <f>IF(N524="","",IF(N524&lt;=30,"Fast (&lt;30m)",IF(N524&lt;=45,"Moderate (30-45m)","Delayed (&gt;45m)")))</f>
        <v/>
      </c>
      <c r="W524" s="17">
        <f>IF(AND(I524&gt;600,P524="Delivered"),"High Value Delivered","Standard")</f>
        <v/>
      </c>
      <c r="X524" s="17">
        <f>IF(OR(N524&gt;50,Q524&lt;=2),"High Risk / Delayed","Normal")</f>
        <v/>
      </c>
      <c r="Y524" s="17">
        <f>IF(NOT(P524="Cancelled"),"Fulfilled","Cancelled")</f>
        <v/>
      </c>
      <c r="Z524" s="17">
        <f>IFERROR(Q524,0)</f>
        <v/>
      </c>
    </row>
    <row r="525">
      <c r="A525" s="25" t="inlineStr">
        <is>
          <t>ORD1524</t>
        </is>
      </c>
      <c r="B525" s="25" t="inlineStr">
        <is>
          <t>2025-01-15</t>
        </is>
      </c>
      <c r="C525" s="25" t="inlineStr">
        <is>
          <t>21:30:57</t>
        </is>
      </c>
      <c r="D525" s="25" t="n">
        <v>1134</v>
      </c>
      <c r="E525" s="25" t="n">
        <v>102</v>
      </c>
      <c r="F525" s="25" t="n">
        <v>225</v>
      </c>
      <c r="G525" s="25" t="inlineStr">
        <is>
          <t>Hyderabad</t>
        </is>
      </c>
      <c r="H525" s="25" t="inlineStr">
        <is>
          <t>Biryani</t>
        </is>
      </c>
      <c r="I525" s="26" t="n">
        <v>911</v>
      </c>
      <c r="J525" s="26" t="n">
        <v>0</v>
      </c>
      <c r="K525" s="26" t="n">
        <v>45.5</v>
      </c>
      <c r="L525" s="27" t="n">
        <v>0.22</v>
      </c>
      <c r="M525" s="26" t="n">
        <v>211.8</v>
      </c>
      <c r="N525" s="28" t="n">
        <v>7.1</v>
      </c>
      <c r="O525" s="28" t="n">
        <v>43</v>
      </c>
      <c r="P525" s="25" t="inlineStr">
        <is>
          <t>UPI</t>
        </is>
      </c>
      <c r="Q525" s="25" t="inlineStr">
        <is>
          <t>Delivered</t>
        </is>
      </c>
      <c r="R525" s="25" t="n">
        <v>1</v>
      </c>
      <c r="S525" s="25">
        <f>TEXT(B525,"yyyy-mm")</f>
        <v/>
      </c>
      <c r="T525" s="25">
        <f>VLOOKUP(D525,Customers!A:D,4,FALSE)</f>
        <v/>
      </c>
      <c r="U525" s="25">
        <f>CONCATENATE(A525,"-",G525)</f>
        <v/>
      </c>
      <c r="V525" s="25">
        <f>IF(N525="","",IF(N525&lt;=30,"Fast (&lt;30m)",IF(N525&lt;=45,"Moderate (30-45m)","Delayed (&gt;45m)")))</f>
        <v/>
      </c>
      <c r="W525" s="25">
        <f>IF(AND(I525&gt;600,P525="Delivered"),"High Value Delivered","Standard")</f>
        <v/>
      </c>
      <c r="X525" s="25">
        <f>IF(OR(N525&gt;50,Q525&lt;=2),"High Risk / Delayed","Normal")</f>
        <v/>
      </c>
      <c r="Y525" s="25">
        <f>IF(NOT(P525="Cancelled"),"Fulfilled","Cancelled")</f>
        <v/>
      </c>
      <c r="Z525" s="25">
        <f>IFERROR(Q525,0)</f>
        <v/>
      </c>
    </row>
    <row r="526">
      <c r="A526" s="17" t="inlineStr">
        <is>
          <t>ORD1525</t>
        </is>
      </c>
      <c r="B526" s="17" t="inlineStr">
        <is>
          <t>2025-12-27</t>
        </is>
      </c>
      <c r="C526" s="17" t="inlineStr">
        <is>
          <t>13:38:57</t>
        </is>
      </c>
      <c r="D526" s="17" t="n">
        <v>1097</v>
      </c>
      <c r="E526" s="17" t="n">
        <v>101</v>
      </c>
      <c r="F526" s="17" t="n">
        <v>218</v>
      </c>
      <c r="G526" s="17" t="inlineStr">
        <is>
          <t>Bangalore</t>
        </is>
      </c>
      <c r="H526" s="17" t="inlineStr">
        <is>
          <t>North Indian</t>
        </is>
      </c>
      <c r="I526" s="22" t="n">
        <v>826</v>
      </c>
      <c r="J526" s="22" t="n">
        <v>45.6</v>
      </c>
      <c r="K526" s="22" t="n">
        <v>26</v>
      </c>
      <c r="L526" s="23" t="n">
        <v>0.2</v>
      </c>
      <c r="M526" s="22" t="n">
        <v>171.7</v>
      </c>
      <c r="N526" s="24" t="n">
        <v>3.2</v>
      </c>
      <c r="O526" s="24" t="n">
        <v>31.2</v>
      </c>
      <c r="P526" s="17" t="inlineStr">
        <is>
          <t>Debit Card</t>
        </is>
      </c>
      <c r="Q526" s="17" t="inlineStr">
        <is>
          <t>Delivered</t>
        </is>
      </c>
      <c r="R526" s="17" t="n">
        <v>4</v>
      </c>
      <c r="S526" s="17">
        <f>TEXT(B526,"yyyy-mm")</f>
        <v/>
      </c>
      <c r="T526" s="17">
        <f>VLOOKUP(D526,Customers!A:D,4,FALSE)</f>
        <v/>
      </c>
      <c r="U526" s="17">
        <f>CONCATENATE(A526,"-",G526)</f>
        <v/>
      </c>
      <c r="V526" s="17">
        <f>IF(N526="","",IF(N526&lt;=30,"Fast (&lt;30m)",IF(N526&lt;=45,"Moderate (30-45m)","Delayed (&gt;45m)")))</f>
        <v/>
      </c>
      <c r="W526" s="17">
        <f>IF(AND(I526&gt;600,P526="Delivered"),"High Value Delivered","Standard")</f>
        <v/>
      </c>
      <c r="X526" s="17">
        <f>IF(OR(N526&gt;50,Q526&lt;=2),"High Risk / Delayed","Normal")</f>
        <v/>
      </c>
      <c r="Y526" s="17">
        <f>IF(NOT(P526="Cancelled"),"Fulfilled","Cancelled")</f>
        <v/>
      </c>
      <c r="Z526" s="17">
        <f>IFERROR(Q526,0)</f>
        <v/>
      </c>
    </row>
    <row r="527">
      <c r="A527" s="25" t="inlineStr">
        <is>
          <t>ORD1526</t>
        </is>
      </c>
      <c r="B527" s="25" t="inlineStr">
        <is>
          <t>2025-12-10</t>
        </is>
      </c>
      <c r="C527" s="25" t="inlineStr">
        <is>
          <t>19:51:34</t>
        </is>
      </c>
      <c r="D527" s="25" t="n">
        <v>1245</v>
      </c>
      <c r="E527" s="25" t="n">
        <v>117</v>
      </c>
      <c r="F527" s="25" t="n">
        <v>202</v>
      </c>
      <c r="G527" s="25" t="inlineStr">
        <is>
          <t>Mumbai</t>
        </is>
      </c>
      <c r="H527" s="25" t="inlineStr">
        <is>
          <t>Chinese</t>
        </is>
      </c>
      <c r="I527" s="26" t="n">
        <v>300</v>
      </c>
      <c r="J527" s="26" t="n">
        <v>18.14</v>
      </c>
      <c r="K527" s="26" t="n">
        <v>25</v>
      </c>
      <c r="L527" s="27" t="n">
        <v>0.2</v>
      </c>
      <c r="M527" s="26" t="n">
        <v>66.25</v>
      </c>
      <c r="N527" s="28" t="n">
        <v>1.6</v>
      </c>
      <c r="O527" s="28" t="n">
        <v>22.8</v>
      </c>
      <c r="P527" s="25" t="inlineStr">
        <is>
          <t>Credit Card</t>
        </is>
      </c>
      <c r="Q527" s="25" t="inlineStr">
        <is>
          <t>Delivered</t>
        </is>
      </c>
      <c r="R527" s="25" t="n">
        <v>3</v>
      </c>
      <c r="S527" s="25">
        <f>TEXT(B527,"yyyy-mm")</f>
        <v/>
      </c>
      <c r="T527" s="25">
        <f>VLOOKUP(D527,Customers!A:D,4,FALSE)</f>
        <v/>
      </c>
      <c r="U527" s="25">
        <f>CONCATENATE(A527,"-",G527)</f>
        <v/>
      </c>
      <c r="V527" s="25">
        <f>IF(N527="","",IF(N527&lt;=30,"Fast (&lt;30m)",IF(N527&lt;=45,"Moderate (30-45m)","Delayed (&gt;45m)")))</f>
        <v/>
      </c>
      <c r="W527" s="25">
        <f>IF(AND(I527&gt;600,P527="Delivered"),"High Value Delivered","Standard")</f>
        <v/>
      </c>
      <c r="X527" s="25">
        <f>IF(OR(N527&gt;50,Q527&lt;=2),"High Risk / Delayed","Normal")</f>
        <v/>
      </c>
      <c r="Y527" s="25">
        <f>IF(NOT(P527="Cancelled"),"Fulfilled","Cancelled")</f>
        <v/>
      </c>
      <c r="Z527" s="25">
        <f>IFERROR(Q527,0)</f>
        <v/>
      </c>
    </row>
    <row r="528">
      <c r="A528" s="17" t="inlineStr">
        <is>
          <t>ORD1527</t>
        </is>
      </c>
      <c r="B528" s="17" t="inlineStr">
        <is>
          <t>2025-02-19</t>
        </is>
      </c>
      <c r="C528" s="17" t="inlineStr">
        <is>
          <t>13:29:19</t>
        </is>
      </c>
      <c r="D528" s="17" t="n">
        <v>1129</v>
      </c>
      <c r="E528" s="17" t="n">
        <v>110</v>
      </c>
      <c r="F528" s="17" t="n">
        <v>208</v>
      </c>
      <c r="G528" s="17" t="inlineStr">
        <is>
          <t>Pune</t>
        </is>
      </c>
      <c r="H528" s="17" t="inlineStr">
        <is>
          <t>North Indian</t>
        </is>
      </c>
      <c r="I528" s="22" t="n">
        <v>920</v>
      </c>
      <c r="J528" s="22" t="n">
        <v>56.41</v>
      </c>
      <c r="K528" s="22" t="n">
        <v>25</v>
      </c>
      <c r="L528" s="23" t="n">
        <v>0.18</v>
      </c>
      <c r="M528" s="22" t="n">
        <v>171.85</v>
      </c>
      <c r="N528" s="24" t="n">
        <v>2.9</v>
      </c>
      <c r="O528" s="24" t="n">
        <v>34.3</v>
      </c>
      <c r="P528" s="17" t="inlineStr">
        <is>
          <t>Credit Card</t>
        </is>
      </c>
      <c r="Q528" s="17" t="inlineStr">
        <is>
          <t>Delivered</t>
        </is>
      </c>
      <c r="R528" s="17" t="n">
        <v>3</v>
      </c>
      <c r="S528" s="17">
        <f>TEXT(B528,"yyyy-mm")</f>
        <v/>
      </c>
      <c r="T528" s="17">
        <f>VLOOKUP(D528,Customers!A:D,4,FALSE)</f>
        <v/>
      </c>
      <c r="U528" s="17">
        <f>CONCATENATE(A528,"-",G528)</f>
        <v/>
      </c>
      <c r="V528" s="17">
        <f>IF(N528="","",IF(N528&lt;=30,"Fast (&lt;30m)",IF(N528&lt;=45,"Moderate (30-45m)","Delayed (&gt;45m)")))</f>
        <v/>
      </c>
      <c r="W528" s="17">
        <f>IF(AND(I528&gt;600,P528="Delivered"),"High Value Delivered","Standard")</f>
        <v/>
      </c>
      <c r="X528" s="17">
        <f>IF(OR(N528&gt;50,Q528&lt;=2),"High Risk / Delayed","Normal")</f>
        <v/>
      </c>
      <c r="Y528" s="17">
        <f>IF(NOT(P528="Cancelled"),"Fulfilled","Cancelled")</f>
        <v/>
      </c>
      <c r="Z528" s="17">
        <f>IFERROR(Q528,0)</f>
        <v/>
      </c>
    </row>
    <row r="529">
      <c r="A529" s="25" t="inlineStr">
        <is>
          <t>ORD1528</t>
        </is>
      </c>
      <c r="B529" s="25" t="inlineStr">
        <is>
          <t>2025-07-06</t>
        </is>
      </c>
      <c r="C529" s="25" t="inlineStr">
        <is>
          <t>20:25:11</t>
        </is>
      </c>
      <c r="D529" s="25" t="n">
        <v>1193</v>
      </c>
      <c r="E529" s="25" t="n">
        <v>108</v>
      </c>
      <c r="F529" s="25" t="n">
        <v>212</v>
      </c>
      <c r="G529" s="25" t="inlineStr">
        <is>
          <t>Delhi NCR</t>
        </is>
      </c>
      <c r="H529" s="25" t="inlineStr">
        <is>
          <t>Fast Food</t>
        </is>
      </c>
      <c r="I529" s="26" t="n">
        <v>1270</v>
      </c>
      <c r="J529" s="26" t="n">
        <v>211.48</v>
      </c>
      <c r="K529" s="26" t="n">
        <v>0</v>
      </c>
      <c r="L529" s="27" t="n">
        <v>0.18</v>
      </c>
      <c r="M529" s="26" t="n">
        <v>228.6</v>
      </c>
      <c r="N529" s="28" t="n">
        <v>4.7</v>
      </c>
      <c r="O529" s="28" t="n">
        <v>37.8</v>
      </c>
      <c r="P529" s="25" t="inlineStr">
        <is>
          <t>Debit Card</t>
        </is>
      </c>
      <c r="Q529" s="25" t="inlineStr">
        <is>
          <t>Delivered</t>
        </is>
      </c>
      <c r="R529" s="25" t="n">
        <v>4</v>
      </c>
      <c r="S529" s="25">
        <f>TEXT(B529,"yyyy-mm")</f>
        <v/>
      </c>
      <c r="T529" s="25">
        <f>VLOOKUP(D529,Customers!A:D,4,FALSE)</f>
        <v/>
      </c>
      <c r="U529" s="25">
        <f>CONCATENATE(A529,"-",G529)</f>
        <v/>
      </c>
      <c r="V529" s="25">
        <f>IF(N529="","",IF(N529&lt;=30,"Fast (&lt;30m)",IF(N529&lt;=45,"Moderate (30-45m)","Delayed (&gt;45m)")))</f>
        <v/>
      </c>
      <c r="W529" s="25">
        <f>IF(AND(I529&gt;600,P529="Delivered"),"High Value Delivered","Standard")</f>
        <v/>
      </c>
      <c r="X529" s="25">
        <f>IF(OR(N529&gt;50,Q529&lt;=2),"High Risk / Delayed","Normal")</f>
        <v/>
      </c>
      <c r="Y529" s="25">
        <f>IF(NOT(P529="Cancelled"),"Fulfilled","Cancelled")</f>
        <v/>
      </c>
      <c r="Z529" s="25">
        <f>IFERROR(Q529,0)</f>
        <v/>
      </c>
    </row>
    <row r="530">
      <c r="A530" s="17" t="inlineStr">
        <is>
          <t>ORD1529</t>
        </is>
      </c>
      <c r="B530" s="17" t="inlineStr">
        <is>
          <t>2025-02-03</t>
        </is>
      </c>
      <c r="C530" s="17" t="inlineStr">
        <is>
          <t>19:30:07</t>
        </is>
      </c>
      <c r="D530" s="17" t="n">
        <v>1231</v>
      </c>
      <c r="E530" s="17" t="n">
        <v>111</v>
      </c>
      <c r="F530" s="17" t="n">
        <v>218</v>
      </c>
      <c r="G530" s="17" t="inlineStr">
        <is>
          <t>Bangalore</t>
        </is>
      </c>
      <c r="H530" s="17" t="inlineStr">
        <is>
          <t>South Indian</t>
        </is>
      </c>
      <c r="I530" s="22" t="n">
        <v>579</v>
      </c>
      <c r="J530" s="22" t="n">
        <v>48.35</v>
      </c>
      <c r="K530" s="22" t="n">
        <v>41</v>
      </c>
      <c r="L530" s="23" t="n">
        <v>0.15</v>
      </c>
      <c r="M530" s="22" t="n">
        <v>97.09999999999999</v>
      </c>
      <c r="N530" s="24" t="n">
        <v>6.2</v>
      </c>
      <c r="O530" s="24" t="n">
        <v>44.3</v>
      </c>
      <c r="P530" s="17" t="inlineStr">
        <is>
          <t>Debit Card</t>
        </is>
      </c>
      <c r="Q530" s="17" t="inlineStr">
        <is>
          <t>Delivered</t>
        </is>
      </c>
      <c r="R530" s="17" t="n">
        <v>2</v>
      </c>
      <c r="S530" s="17">
        <f>TEXT(B530,"yyyy-mm")</f>
        <v/>
      </c>
      <c r="T530" s="17">
        <f>VLOOKUP(D530,Customers!A:D,4,FALSE)</f>
        <v/>
      </c>
      <c r="U530" s="17">
        <f>CONCATENATE(A530,"-",G530)</f>
        <v/>
      </c>
      <c r="V530" s="17">
        <f>IF(N530="","",IF(N530&lt;=30,"Fast (&lt;30m)",IF(N530&lt;=45,"Moderate (30-45m)","Delayed (&gt;45m)")))</f>
        <v/>
      </c>
      <c r="W530" s="17">
        <f>IF(AND(I530&gt;600,P530="Delivered"),"High Value Delivered","Standard")</f>
        <v/>
      </c>
      <c r="X530" s="17">
        <f>IF(OR(N530&gt;50,Q530&lt;=2),"High Risk / Delayed","Normal")</f>
        <v/>
      </c>
      <c r="Y530" s="17">
        <f>IF(NOT(P530="Cancelled"),"Fulfilled","Cancelled")</f>
        <v/>
      </c>
      <c r="Z530" s="17">
        <f>IFERROR(Q530,0)</f>
        <v/>
      </c>
    </row>
    <row r="531">
      <c r="A531" s="25" t="inlineStr">
        <is>
          <t>ORD1530</t>
        </is>
      </c>
      <c r="B531" s="25" t="inlineStr">
        <is>
          <t>2025-07-27</t>
        </is>
      </c>
      <c r="C531" s="25" t="inlineStr">
        <is>
          <t>19:52:45</t>
        </is>
      </c>
      <c r="D531" s="25" t="n">
        <v>1008</v>
      </c>
      <c r="E531" s="25" t="n">
        <v>113</v>
      </c>
      <c r="F531" s="25" t="n">
        <v>222</v>
      </c>
      <c r="G531" s="25" t="inlineStr">
        <is>
          <t>Mumbai</t>
        </is>
      </c>
      <c r="H531" s="25" t="inlineStr">
        <is>
          <t>Fast Food</t>
        </is>
      </c>
      <c r="I531" s="26" t="n">
        <v>512</v>
      </c>
      <c r="J531" s="26" t="n">
        <v>79.67</v>
      </c>
      <c r="K531" s="26" t="n">
        <v>0</v>
      </c>
      <c r="L531" s="27" t="n">
        <v>0.18</v>
      </c>
      <c r="M531" s="26" t="n">
        <v>92.16</v>
      </c>
      <c r="N531" s="28" t="n">
        <v>10.8</v>
      </c>
      <c r="O531" s="28" t="n">
        <v>58.8</v>
      </c>
      <c r="P531" s="25" t="inlineStr">
        <is>
          <t>Debit Card</t>
        </is>
      </c>
      <c r="Q531" s="25" t="inlineStr">
        <is>
          <t>Delivered</t>
        </is>
      </c>
      <c r="R531" s="25" t="n">
        <v>3</v>
      </c>
      <c r="S531" s="25">
        <f>TEXT(B531,"yyyy-mm")</f>
        <v/>
      </c>
      <c r="T531" s="25">
        <f>VLOOKUP(D531,Customers!A:D,4,FALSE)</f>
        <v/>
      </c>
      <c r="U531" s="25">
        <f>CONCATENATE(A531,"-",G531)</f>
        <v/>
      </c>
      <c r="V531" s="25">
        <f>IF(N531="","",IF(N531&lt;=30,"Fast (&lt;30m)",IF(N531&lt;=45,"Moderate (30-45m)","Delayed (&gt;45m)")))</f>
        <v/>
      </c>
      <c r="W531" s="25">
        <f>IF(AND(I531&gt;600,P531="Delivered"),"High Value Delivered","Standard")</f>
        <v/>
      </c>
      <c r="X531" s="25">
        <f>IF(OR(N531&gt;50,Q531&lt;=2),"High Risk / Delayed","Normal")</f>
        <v/>
      </c>
      <c r="Y531" s="25">
        <f>IF(NOT(P531="Cancelled"),"Fulfilled","Cancelled")</f>
        <v/>
      </c>
      <c r="Z531" s="25">
        <f>IFERROR(Q531,0)</f>
        <v/>
      </c>
    </row>
    <row r="532">
      <c r="A532" s="17" t="inlineStr">
        <is>
          <t>ORD1531</t>
        </is>
      </c>
      <c r="B532" s="17" t="inlineStr">
        <is>
          <t>2025-05-03</t>
        </is>
      </c>
      <c r="C532" s="17" t="inlineStr">
        <is>
          <t>16:39:15</t>
        </is>
      </c>
      <c r="D532" s="17" t="n">
        <v>1036</v>
      </c>
      <c r="E532" s="17" t="n">
        <v>103</v>
      </c>
      <c r="F532" s="17" t="n">
        <v>206</v>
      </c>
      <c r="G532" s="17" t="inlineStr">
        <is>
          <t>Mumbai</t>
        </is>
      </c>
      <c r="H532" s="17" t="inlineStr">
        <is>
          <t>Italian</t>
        </is>
      </c>
      <c r="I532" s="22" t="n">
        <v>781</v>
      </c>
      <c r="J532" s="22" t="n">
        <v>47.74</v>
      </c>
      <c r="K532" s="22" t="n">
        <v>43</v>
      </c>
      <c r="L532" s="23" t="n">
        <v>0.18</v>
      </c>
      <c r="M532" s="22" t="n">
        <v>151.33</v>
      </c>
      <c r="N532" s="24" t="n">
        <v>6.6</v>
      </c>
      <c r="O532" s="24" t="n">
        <v>37.3</v>
      </c>
      <c r="P532" s="17" t="inlineStr">
        <is>
          <t>UPI</t>
        </is>
      </c>
      <c r="Q532" s="17" t="inlineStr">
        <is>
          <t>Delivered</t>
        </is>
      </c>
      <c r="R532" s="17" t="n">
        <v>3</v>
      </c>
      <c r="S532" s="17">
        <f>TEXT(B532,"yyyy-mm")</f>
        <v/>
      </c>
      <c r="T532" s="17">
        <f>VLOOKUP(D532,Customers!A:D,4,FALSE)</f>
        <v/>
      </c>
      <c r="U532" s="17">
        <f>CONCATENATE(A532,"-",G532)</f>
        <v/>
      </c>
      <c r="V532" s="17">
        <f>IF(N532="","",IF(N532&lt;=30,"Fast (&lt;30m)",IF(N532&lt;=45,"Moderate (30-45m)","Delayed (&gt;45m)")))</f>
        <v/>
      </c>
      <c r="W532" s="17">
        <f>IF(AND(I532&gt;600,P532="Delivered"),"High Value Delivered","Standard")</f>
        <v/>
      </c>
      <c r="X532" s="17">
        <f>IF(OR(N532&gt;50,Q532&lt;=2),"High Risk / Delayed","Normal")</f>
        <v/>
      </c>
      <c r="Y532" s="17">
        <f>IF(NOT(P532="Cancelled"),"Fulfilled","Cancelled")</f>
        <v/>
      </c>
      <c r="Z532" s="17">
        <f>IFERROR(Q532,0)</f>
        <v/>
      </c>
    </row>
    <row r="533">
      <c r="A533" s="25" t="inlineStr">
        <is>
          <t>ORD1532</t>
        </is>
      </c>
      <c r="B533" s="25" t="inlineStr">
        <is>
          <t>2025-08-11</t>
        </is>
      </c>
      <c r="C533" s="25" t="inlineStr">
        <is>
          <t>12:36:50</t>
        </is>
      </c>
      <c r="D533" s="25" t="n">
        <v>1126</v>
      </c>
      <c r="E533" s="25" t="n">
        <v>114</v>
      </c>
      <c r="F533" s="25" t="n">
        <v>225</v>
      </c>
      <c r="G533" s="25" t="inlineStr">
        <is>
          <t>Hyderabad</t>
        </is>
      </c>
      <c r="H533" s="25" t="inlineStr">
        <is>
          <t>Biryani</t>
        </is>
      </c>
      <c r="I533" s="26" t="n">
        <v>570</v>
      </c>
      <c r="J533" s="26" t="n">
        <v>10.77</v>
      </c>
      <c r="K533" s="26" t="n">
        <v>26.5</v>
      </c>
      <c r="L533" s="27" t="n">
        <v>0.22</v>
      </c>
      <c r="M533" s="26" t="n">
        <v>132.02</v>
      </c>
      <c r="N533" s="28" t="n">
        <v>3.3</v>
      </c>
      <c r="O533" s="28" t="n">
        <v>31.9</v>
      </c>
      <c r="P533" s="25" t="inlineStr">
        <is>
          <t>UPI</t>
        </is>
      </c>
      <c r="Q533" s="25" t="inlineStr">
        <is>
          <t>Delivered</t>
        </is>
      </c>
      <c r="R533" s="25" t="n">
        <v>5</v>
      </c>
      <c r="S533" s="25">
        <f>TEXT(B533,"yyyy-mm")</f>
        <v/>
      </c>
      <c r="T533" s="25">
        <f>VLOOKUP(D533,Customers!A:D,4,FALSE)</f>
        <v/>
      </c>
      <c r="U533" s="25">
        <f>CONCATENATE(A533,"-",G533)</f>
        <v/>
      </c>
      <c r="V533" s="25">
        <f>IF(N533="","",IF(N533&lt;=30,"Fast (&lt;30m)",IF(N533&lt;=45,"Moderate (30-45m)","Delayed (&gt;45m)")))</f>
        <v/>
      </c>
      <c r="W533" s="25">
        <f>IF(AND(I533&gt;600,P533="Delivered"),"High Value Delivered","Standard")</f>
        <v/>
      </c>
      <c r="X533" s="25">
        <f>IF(OR(N533&gt;50,Q533&lt;=2),"High Risk / Delayed","Normal")</f>
        <v/>
      </c>
      <c r="Y533" s="25">
        <f>IF(NOT(P533="Cancelled"),"Fulfilled","Cancelled")</f>
        <v/>
      </c>
      <c r="Z533" s="25">
        <f>IFERROR(Q533,0)</f>
        <v/>
      </c>
    </row>
    <row r="534">
      <c r="A534" s="17" t="inlineStr">
        <is>
          <t>ORD1533</t>
        </is>
      </c>
      <c r="B534" s="17" t="inlineStr">
        <is>
          <t>2025-06-16</t>
        </is>
      </c>
      <c r="C534" s="17" t="inlineStr">
        <is>
          <t>09:35:06</t>
        </is>
      </c>
      <c r="D534" s="17" t="n">
        <v>1273</v>
      </c>
      <c r="E534" s="17" t="n">
        <v>119</v>
      </c>
      <c r="F534" s="17" t="n">
        <v>225</v>
      </c>
      <c r="G534" s="17" t="inlineStr">
        <is>
          <t>Hyderabad</t>
        </is>
      </c>
      <c r="H534" s="17" t="inlineStr">
        <is>
          <t>Biryani</t>
        </is>
      </c>
      <c r="I534" s="22" t="n">
        <v>820</v>
      </c>
      <c r="J534" s="22" t="n">
        <v>107.26</v>
      </c>
      <c r="K534" s="22" t="n">
        <v>0</v>
      </c>
      <c r="L534" s="23" t="n">
        <v>0.2</v>
      </c>
      <c r="M534" s="22" t="n">
        <v>164</v>
      </c>
      <c r="N534" s="24" t="n">
        <v>6.2</v>
      </c>
      <c r="O534" s="24" t="n">
        <v/>
      </c>
      <c r="P534" s="17" t="inlineStr">
        <is>
          <t>Digital Wallet</t>
        </is>
      </c>
      <c r="Q534" s="17" t="inlineStr">
        <is>
          <t>Cancelled</t>
        </is>
      </c>
      <c r="R534" s="17" t="n">
        <v/>
      </c>
      <c r="S534" s="17">
        <f>TEXT(B534,"yyyy-mm")</f>
        <v/>
      </c>
      <c r="T534" s="17">
        <f>VLOOKUP(D534,Customers!A:D,4,FALSE)</f>
        <v/>
      </c>
      <c r="U534" s="17">
        <f>CONCATENATE(A534,"-",G534)</f>
        <v/>
      </c>
      <c r="V534" s="17">
        <f>IF(N534="","",IF(N534&lt;=30,"Fast (&lt;30m)",IF(N534&lt;=45,"Moderate (30-45m)","Delayed (&gt;45m)")))</f>
        <v/>
      </c>
      <c r="W534" s="17">
        <f>IF(AND(I534&gt;600,P534="Delivered"),"High Value Delivered","Standard")</f>
        <v/>
      </c>
      <c r="X534" s="17">
        <f>IF(OR(N534&gt;50,Q534&lt;=2),"High Risk / Delayed","Normal")</f>
        <v/>
      </c>
      <c r="Y534" s="17">
        <f>IF(NOT(P534="Cancelled"),"Fulfilled","Cancelled")</f>
        <v/>
      </c>
      <c r="Z534" s="17">
        <f>IFERROR(Q534,0)</f>
        <v/>
      </c>
    </row>
    <row r="535">
      <c r="A535" s="25" t="inlineStr">
        <is>
          <t>ORD1534</t>
        </is>
      </c>
      <c r="B535" s="25" t="inlineStr">
        <is>
          <t>2025-06-17</t>
        </is>
      </c>
      <c r="C535" s="25" t="inlineStr">
        <is>
          <t>12:31:41</t>
        </is>
      </c>
      <c r="D535" s="25" t="n">
        <v>1277</v>
      </c>
      <c r="E535" s="25" t="n">
        <v>103</v>
      </c>
      <c r="F535" s="25" t="n">
        <v>206</v>
      </c>
      <c r="G535" s="25" t="inlineStr">
        <is>
          <t>Mumbai</t>
        </is>
      </c>
      <c r="H535" s="25" t="inlineStr">
        <is>
          <t>Italian</t>
        </is>
      </c>
      <c r="I535" s="26" t="n">
        <v>896</v>
      </c>
      <c r="J535" s="26" t="n">
        <v>48.66</v>
      </c>
      <c r="K535" s="26" t="n">
        <v>39.5</v>
      </c>
      <c r="L535" s="27" t="n">
        <v>0.18</v>
      </c>
      <c r="M535" s="26" t="n">
        <v>171.16</v>
      </c>
      <c r="N535" s="28" t="n">
        <v>5.9</v>
      </c>
      <c r="O535" s="28" t="n">
        <v>45.6</v>
      </c>
      <c r="P535" s="25" t="inlineStr">
        <is>
          <t>Credit Card</t>
        </is>
      </c>
      <c r="Q535" s="25" t="inlineStr">
        <is>
          <t>Delivered</t>
        </is>
      </c>
      <c r="R535" s="25" t="n">
        <v>3</v>
      </c>
      <c r="S535" s="25">
        <f>TEXT(B535,"yyyy-mm")</f>
        <v/>
      </c>
      <c r="T535" s="25">
        <f>VLOOKUP(D535,Customers!A:D,4,FALSE)</f>
        <v/>
      </c>
      <c r="U535" s="25">
        <f>CONCATENATE(A535,"-",G535)</f>
        <v/>
      </c>
      <c r="V535" s="25">
        <f>IF(N535="","",IF(N535&lt;=30,"Fast (&lt;30m)",IF(N535&lt;=45,"Moderate (30-45m)","Delayed (&gt;45m)")))</f>
        <v/>
      </c>
      <c r="W535" s="25">
        <f>IF(AND(I535&gt;600,P535="Delivered"),"High Value Delivered","Standard")</f>
        <v/>
      </c>
      <c r="X535" s="25">
        <f>IF(OR(N535&gt;50,Q535&lt;=2),"High Risk / Delayed","Normal")</f>
        <v/>
      </c>
      <c r="Y535" s="25">
        <f>IF(NOT(P535="Cancelled"),"Fulfilled","Cancelled")</f>
        <v/>
      </c>
      <c r="Z535" s="25">
        <f>IFERROR(Q535,0)</f>
        <v/>
      </c>
    </row>
    <row r="536">
      <c r="A536" s="17" t="inlineStr">
        <is>
          <t>ORD1535</t>
        </is>
      </c>
      <c r="B536" s="17" t="inlineStr">
        <is>
          <t>2025-08-20</t>
        </is>
      </c>
      <c r="C536" s="17" t="inlineStr">
        <is>
          <t>19:34:18</t>
        </is>
      </c>
      <c r="D536" s="17" t="n">
        <v>1257</v>
      </c>
      <c r="E536" s="17" t="n">
        <v>110</v>
      </c>
      <c r="F536" s="17" t="n">
        <v>209</v>
      </c>
      <c r="G536" s="17" t="inlineStr">
        <is>
          <t>Pune</t>
        </is>
      </c>
      <c r="H536" s="17" t="inlineStr">
        <is>
          <t>North Indian</t>
        </is>
      </c>
      <c r="I536" s="22" t="n">
        <v>876</v>
      </c>
      <c r="J536" s="22" t="n">
        <v>138.23</v>
      </c>
      <c r="K536" s="22" t="n">
        <v>0</v>
      </c>
      <c r="L536" s="23" t="n">
        <v>0.18</v>
      </c>
      <c r="M536" s="22" t="n">
        <v>157.68</v>
      </c>
      <c r="N536" s="24" t="n">
        <v>2.9</v>
      </c>
      <c r="O536" s="24" t="n">
        <v>31.4</v>
      </c>
      <c r="P536" s="17" t="inlineStr">
        <is>
          <t>Debit Card</t>
        </is>
      </c>
      <c r="Q536" s="17" t="inlineStr">
        <is>
          <t>Delivered</t>
        </is>
      </c>
      <c r="R536" s="17" t="n">
        <v>4</v>
      </c>
      <c r="S536" s="17">
        <f>TEXT(B536,"yyyy-mm")</f>
        <v/>
      </c>
      <c r="T536" s="17">
        <f>VLOOKUP(D536,Customers!A:D,4,FALSE)</f>
        <v/>
      </c>
      <c r="U536" s="17">
        <f>CONCATENATE(A536,"-",G536)</f>
        <v/>
      </c>
      <c r="V536" s="17">
        <f>IF(N536="","",IF(N536&lt;=30,"Fast (&lt;30m)",IF(N536&lt;=45,"Moderate (30-45m)","Delayed (&gt;45m)")))</f>
        <v/>
      </c>
      <c r="W536" s="17">
        <f>IF(AND(I536&gt;600,P536="Delivered"),"High Value Delivered","Standard")</f>
        <v/>
      </c>
      <c r="X536" s="17">
        <f>IF(OR(N536&gt;50,Q536&lt;=2),"High Risk / Delayed","Normal")</f>
        <v/>
      </c>
      <c r="Y536" s="17">
        <f>IF(NOT(P536="Cancelled"),"Fulfilled","Cancelled")</f>
        <v/>
      </c>
      <c r="Z536" s="17">
        <f>IFERROR(Q536,0)</f>
        <v/>
      </c>
    </row>
    <row r="537">
      <c r="A537" s="25" t="inlineStr">
        <is>
          <t>ORD1536</t>
        </is>
      </c>
      <c r="B537" s="25" t="inlineStr">
        <is>
          <t>2025-06-26</t>
        </is>
      </c>
      <c r="C537" s="25" t="inlineStr">
        <is>
          <t>17:05:37</t>
        </is>
      </c>
      <c r="D537" s="25" t="n">
        <v>1015</v>
      </c>
      <c r="E537" s="25" t="n">
        <v>102</v>
      </c>
      <c r="F537" s="25" t="n">
        <v>225</v>
      </c>
      <c r="G537" s="25" t="inlineStr">
        <is>
          <t>Hyderabad</t>
        </is>
      </c>
      <c r="H537" s="25" t="inlineStr">
        <is>
          <t>Biryani</t>
        </is>
      </c>
      <c r="I537" s="26" t="n">
        <v>228</v>
      </c>
      <c r="J537" s="26" t="n">
        <v>9.31</v>
      </c>
      <c r="K537" s="26" t="n">
        <v>26.5</v>
      </c>
      <c r="L537" s="27" t="n">
        <v>0.22</v>
      </c>
      <c r="M537" s="26" t="n">
        <v>56.78</v>
      </c>
      <c r="N537" s="28" t="n">
        <v>3.3</v>
      </c>
      <c r="O537" s="28" t="n">
        <v>31.6</v>
      </c>
      <c r="P537" s="25" t="inlineStr">
        <is>
          <t>Debit Card</t>
        </is>
      </c>
      <c r="Q537" s="25" t="inlineStr">
        <is>
          <t>Delivered</t>
        </is>
      </c>
      <c r="R537" s="25" t="n">
        <v>4</v>
      </c>
      <c r="S537" s="25">
        <f>TEXT(B537,"yyyy-mm")</f>
        <v/>
      </c>
      <c r="T537" s="25">
        <f>VLOOKUP(D537,Customers!A:D,4,FALSE)</f>
        <v/>
      </c>
      <c r="U537" s="25">
        <f>CONCATENATE(A537,"-",G537)</f>
        <v/>
      </c>
      <c r="V537" s="25">
        <f>IF(N537="","",IF(N537&lt;=30,"Fast (&lt;30m)",IF(N537&lt;=45,"Moderate (30-45m)","Delayed (&gt;45m)")))</f>
        <v/>
      </c>
      <c r="W537" s="25">
        <f>IF(AND(I537&gt;600,P537="Delivered"),"High Value Delivered","Standard")</f>
        <v/>
      </c>
      <c r="X537" s="25">
        <f>IF(OR(N537&gt;50,Q537&lt;=2),"High Risk / Delayed","Normal")</f>
        <v/>
      </c>
      <c r="Y537" s="25">
        <f>IF(NOT(P537="Cancelled"),"Fulfilled","Cancelled")</f>
        <v/>
      </c>
      <c r="Z537" s="25">
        <f>IFERROR(Q537,0)</f>
        <v/>
      </c>
    </row>
    <row r="538">
      <c r="A538" s="17" t="inlineStr">
        <is>
          <t>ORD1537</t>
        </is>
      </c>
      <c r="B538" s="17" t="inlineStr">
        <is>
          <t>2025-10-09</t>
        </is>
      </c>
      <c r="C538" s="17" t="inlineStr">
        <is>
          <t>20:03:00</t>
        </is>
      </c>
      <c r="D538" s="17" t="n">
        <v>1156</v>
      </c>
      <c r="E538" s="17" t="n">
        <v>110</v>
      </c>
      <c r="F538" s="17" t="n">
        <v>208</v>
      </c>
      <c r="G538" s="17" t="inlineStr">
        <is>
          <t>Pune</t>
        </is>
      </c>
      <c r="H538" s="17" t="inlineStr">
        <is>
          <t>North Indian</t>
        </is>
      </c>
      <c r="I538" s="22" t="n">
        <v>940</v>
      </c>
      <c r="J538" s="22" t="n">
        <v>73.59999999999999</v>
      </c>
      <c r="K538" s="22" t="n">
        <v>25</v>
      </c>
      <c r="L538" s="23" t="n">
        <v>0.18</v>
      </c>
      <c r="M538" s="22" t="n">
        <v>175.45</v>
      </c>
      <c r="N538" s="24" t="n">
        <v>1.8</v>
      </c>
      <c r="O538" s="24" t="n">
        <v>23.9</v>
      </c>
      <c r="P538" s="17" t="inlineStr">
        <is>
          <t>Debit Card</t>
        </is>
      </c>
      <c r="Q538" s="17" t="inlineStr">
        <is>
          <t>Delivered</t>
        </is>
      </c>
      <c r="R538" s="17" t="n">
        <v>4</v>
      </c>
      <c r="S538" s="17">
        <f>TEXT(B538,"yyyy-mm")</f>
        <v/>
      </c>
      <c r="T538" s="17">
        <f>VLOOKUP(D538,Customers!A:D,4,FALSE)</f>
        <v/>
      </c>
      <c r="U538" s="17">
        <f>CONCATENATE(A538,"-",G538)</f>
        <v/>
      </c>
      <c r="V538" s="17">
        <f>IF(N538="","",IF(N538&lt;=30,"Fast (&lt;30m)",IF(N538&lt;=45,"Moderate (30-45m)","Delayed (&gt;45m)")))</f>
        <v/>
      </c>
      <c r="W538" s="17">
        <f>IF(AND(I538&gt;600,P538="Delivered"),"High Value Delivered","Standard")</f>
        <v/>
      </c>
      <c r="X538" s="17">
        <f>IF(OR(N538&gt;50,Q538&lt;=2),"High Risk / Delayed","Normal")</f>
        <v/>
      </c>
      <c r="Y538" s="17">
        <f>IF(NOT(P538="Cancelled"),"Fulfilled","Cancelled")</f>
        <v/>
      </c>
      <c r="Z538" s="17">
        <f>IFERROR(Q538,0)</f>
        <v/>
      </c>
    </row>
    <row r="539">
      <c r="A539" s="25" t="inlineStr">
        <is>
          <t>ORD1538</t>
        </is>
      </c>
      <c r="B539" s="25" t="inlineStr">
        <is>
          <t>2025-08-10</t>
        </is>
      </c>
      <c r="C539" s="25" t="inlineStr">
        <is>
          <t>16:44:37</t>
        </is>
      </c>
      <c r="D539" s="25" t="n">
        <v>1057</v>
      </c>
      <c r="E539" s="25" t="n">
        <v>113</v>
      </c>
      <c r="F539" s="25" t="n">
        <v>206</v>
      </c>
      <c r="G539" s="25" t="inlineStr">
        <is>
          <t>Mumbai</t>
        </is>
      </c>
      <c r="H539" s="25" t="inlineStr">
        <is>
          <t>Fast Food</t>
        </is>
      </c>
      <c r="I539" s="26" t="n">
        <v>623</v>
      </c>
      <c r="J539" s="26" t="n">
        <v>35.47</v>
      </c>
      <c r="K539" s="26" t="n">
        <v>27</v>
      </c>
      <c r="L539" s="27" t="n">
        <v>0.18</v>
      </c>
      <c r="M539" s="26" t="n">
        <v>118.89</v>
      </c>
      <c r="N539" s="28" t="n">
        <v>3.4</v>
      </c>
      <c r="O539" s="28" t="n">
        <v>31.8</v>
      </c>
      <c r="P539" s="25" t="inlineStr">
        <is>
          <t>Cash on Delivery</t>
        </is>
      </c>
      <c r="Q539" s="25" t="inlineStr">
        <is>
          <t>Delivered</t>
        </is>
      </c>
      <c r="R539" s="25" t="n">
        <v>4</v>
      </c>
      <c r="S539" s="25">
        <f>TEXT(B539,"yyyy-mm")</f>
        <v/>
      </c>
      <c r="T539" s="25">
        <f>VLOOKUP(D539,Customers!A:D,4,FALSE)</f>
        <v/>
      </c>
      <c r="U539" s="25">
        <f>CONCATENATE(A539,"-",G539)</f>
        <v/>
      </c>
      <c r="V539" s="25">
        <f>IF(N539="","",IF(N539&lt;=30,"Fast (&lt;30m)",IF(N539&lt;=45,"Moderate (30-45m)","Delayed (&gt;45m)")))</f>
        <v/>
      </c>
      <c r="W539" s="25">
        <f>IF(AND(I539&gt;600,P539="Delivered"),"High Value Delivered","Standard")</f>
        <v/>
      </c>
      <c r="X539" s="25">
        <f>IF(OR(N539&gt;50,Q539&lt;=2),"High Risk / Delayed","Normal")</f>
        <v/>
      </c>
      <c r="Y539" s="25">
        <f>IF(NOT(P539="Cancelled"),"Fulfilled","Cancelled")</f>
        <v/>
      </c>
      <c r="Z539" s="25">
        <f>IFERROR(Q539,0)</f>
        <v/>
      </c>
    </row>
    <row r="540">
      <c r="A540" s="17" t="inlineStr">
        <is>
          <t>ORD1539</t>
        </is>
      </c>
      <c r="B540" s="17" t="inlineStr">
        <is>
          <t>2025-03-13</t>
        </is>
      </c>
      <c r="C540" s="17" t="inlineStr">
        <is>
          <t>20:12:35</t>
        </is>
      </c>
      <c r="D540" s="17" t="n">
        <v>1220</v>
      </c>
      <c r="E540" s="17" t="n">
        <v>114</v>
      </c>
      <c r="F540" s="17" t="n">
        <v>216</v>
      </c>
      <c r="G540" s="17" t="inlineStr">
        <is>
          <t>Hyderabad</t>
        </is>
      </c>
      <c r="H540" s="17" t="inlineStr">
        <is>
          <t>Biryani</t>
        </is>
      </c>
      <c r="I540" s="22" t="n">
        <v>613</v>
      </c>
      <c r="J540" s="22" t="n">
        <v>66.84</v>
      </c>
      <c r="K540" s="22" t="n">
        <v>40.5</v>
      </c>
      <c r="L540" s="23" t="n">
        <v>0.22</v>
      </c>
      <c r="M540" s="22" t="n">
        <v>144.99</v>
      </c>
      <c r="N540" s="24" t="n">
        <v>6.1</v>
      </c>
      <c r="O540" s="24" t="n">
        <v>39.3</v>
      </c>
      <c r="P540" s="17" t="inlineStr">
        <is>
          <t>Cash on Delivery</t>
        </is>
      </c>
      <c r="Q540" s="17" t="inlineStr">
        <is>
          <t>Delivered</t>
        </is>
      </c>
      <c r="R540" s="17" t="n">
        <v>5</v>
      </c>
      <c r="S540" s="17">
        <f>TEXT(B540,"yyyy-mm")</f>
        <v/>
      </c>
      <c r="T540" s="17">
        <f>VLOOKUP(D540,Customers!A:D,4,FALSE)</f>
        <v/>
      </c>
      <c r="U540" s="17">
        <f>CONCATENATE(A540,"-",G540)</f>
        <v/>
      </c>
      <c r="V540" s="17">
        <f>IF(N540="","",IF(N540&lt;=30,"Fast (&lt;30m)",IF(N540&lt;=45,"Moderate (30-45m)","Delayed (&gt;45m)")))</f>
        <v/>
      </c>
      <c r="W540" s="17">
        <f>IF(AND(I540&gt;600,P540="Delivered"),"High Value Delivered","Standard")</f>
        <v/>
      </c>
      <c r="X540" s="17">
        <f>IF(OR(N540&gt;50,Q540&lt;=2),"High Risk / Delayed","Normal")</f>
        <v/>
      </c>
      <c r="Y540" s="17">
        <f>IF(NOT(P540="Cancelled"),"Fulfilled","Cancelled")</f>
        <v/>
      </c>
      <c r="Z540" s="17">
        <f>IFERROR(Q540,0)</f>
        <v/>
      </c>
    </row>
    <row r="541">
      <c r="A541" s="25" t="inlineStr">
        <is>
          <t>ORD1540</t>
        </is>
      </c>
      <c r="B541" s="25" t="inlineStr">
        <is>
          <t>2025-12-10</t>
        </is>
      </c>
      <c r="C541" s="25" t="inlineStr">
        <is>
          <t>12:08:08</t>
        </is>
      </c>
      <c r="D541" s="25" t="n">
        <v>1078</v>
      </c>
      <c r="E541" s="25" t="n">
        <v>118</v>
      </c>
      <c r="F541" s="25" t="n">
        <v>219</v>
      </c>
      <c r="G541" s="25" t="inlineStr">
        <is>
          <t>Delhi NCR</t>
        </is>
      </c>
      <c r="H541" s="25" t="inlineStr">
        <is>
          <t>North Indian</t>
        </is>
      </c>
      <c r="I541" s="26" t="n">
        <v>231</v>
      </c>
      <c r="J541" s="26" t="n">
        <v>0</v>
      </c>
      <c r="K541" s="26" t="n">
        <v>26</v>
      </c>
      <c r="L541" s="27" t="n">
        <v>0.2</v>
      </c>
      <c r="M541" s="26" t="n">
        <v>52.7</v>
      </c>
      <c r="N541" s="28" t="n">
        <v>3.2</v>
      </c>
      <c r="O541" s="28" t="n">
        <v>25.7</v>
      </c>
      <c r="P541" s="25" t="inlineStr">
        <is>
          <t>Cash on Delivery</t>
        </is>
      </c>
      <c r="Q541" s="25" t="inlineStr">
        <is>
          <t>Delivered</t>
        </is>
      </c>
      <c r="R541" s="25" t="n">
        <v>3</v>
      </c>
      <c r="S541" s="25">
        <f>TEXT(B541,"yyyy-mm")</f>
        <v/>
      </c>
      <c r="T541" s="25">
        <f>VLOOKUP(D541,Customers!A:D,4,FALSE)</f>
        <v/>
      </c>
      <c r="U541" s="25">
        <f>CONCATENATE(A541,"-",G541)</f>
        <v/>
      </c>
      <c r="V541" s="25">
        <f>IF(N541="","",IF(N541&lt;=30,"Fast (&lt;30m)",IF(N541&lt;=45,"Moderate (30-45m)","Delayed (&gt;45m)")))</f>
        <v/>
      </c>
      <c r="W541" s="25">
        <f>IF(AND(I541&gt;600,P541="Delivered"),"High Value Delivered","Standard")</f>
        <v/>
      </c>
      <c r="X541" s="25">
        <f>IF(OR(N541&gt;50,Q541&lt;=2),"High Risk / Delayed","Normal")</f>
        <v/>
      </c>
      <c r="Y541" s="25">
        <f>IF(NOT(P541="Cancelled"),"Fulfilled","Cancelled")</f>
        <v/>
      </c>
      <c r="Z541" s="25">
        <f>IFERROR(Q541,0)</f>
        <v/>
      </c>
    </row>
    <row r="542">
      <c r="A542" s="17" t="inlineStr">
        <is>
          <t>ORD1541</t>
        </is>
      </c>
      <c r="B542" s="17" t="inlineStr">
        <is>
          <t>2025-03-12</t>
        </is>
      </c>
      <c r="C542" s="17" t="inlineStr">
        <is>
          <t>20:41:51</t>
        </is>
      </c>
      <c r="D542" s="17" t="n">
        <v>1225</v>
      </c>
      <c r="E542" s="17" t="n">
        <v>110</v>
      </c>
      <c r="F542" s="17" t="n">
        <v>224</v>
      </c>
      <c r="G542" s="17" t="inlineStr">
        <is>
          <t>Pune</t>
        </is>
      </c>
      <c r="H542" s="17" t="inlineStr">
        <is>
          <t>North Indian</t>
        </is>
      </c>
      <c r="I542" s="22" t="n">
        <v>645</v>
      </c>
      <c r="J542" s="22" t="n">
        <v>46.11</v>
      </c>
      <c r="K542" s="22" t="n">
        <v>25</v>
      </c>
      <c r="L542" s="23" t="n">
        <v>0.18</v>
      </c>
      <c r="M542" s="22" t="n">
        <v>122.35</v>
      </c>
      <c r="N542" s="24" t="n">
        <v>2.2</v>
      </c>
      <c r="O542" s="24" t="n">
        <v>44.6</v>
      </c>
      <c r="P542" s="17" t="inlineStr">
        <is>
          <t>Cash on Delivery</t>
        </is>
      </c>
      <c r="Q542" s="17" t="inlineStr">
        <is>
          <t>Delivered</t>
        </is>
      </c>
      <c r="R542" s="17" t="n">
        <v>3</v>
      </c>
      <c r="S542" s="17">
        <f>TEXT(B542,"yyyy-mm")</f>
        <v/>
      </c>
      <c r="T542" s="17">
        <f>VLOOKUP(D542,Customers!A:D,4,FALSE)</f>
        <v/>
      </c>
      <c r="U542" s="17">
        <f>CONCATENATE(A542,"-",G542)</f>
        <v/>
      </c>
      <c r="V542" s="17">
        <f>IF(N542="","",IF(N542&lt;=30,"Fast (&lt;30m)",IF(N542&lt;=45,"Moderate (30-45m)","Delayed (&gt;45m)")))</f>
        <v/>
      </c>
      <c r="W542" s="17">
        <f>IF(AND(I542&gt;600,P542="Delivered"),"High Value Delivered","Standard")</f>
        <v/>
      </c>
      <c r="X542" s="17">
        <f>IF(OR(N542&gt;50,Q542&lt;=2),"High Risk / Delayed","Normal")</f>
        <v/>
      </c>
      <c r="Y542" s="17">
        <f>IF(NOT(P542="Cancelled"),"Fulfilled","Cancelled")</f>
        <v/>
      </c>
      <c r="Z542" s="17">
        <f>IFERROR(Q542,0)</f>
        <v/>
      </c>
    </row>
    <row r="543">
      <c r="A543" s="25" t="inlineStr">
        <is>
          <t>ORD1542</t>
        </is>
      </c>
      <c r="B543" s="25" t="inlineStr">
        <is>
          <t>2025-10-10</t>
        </is>
      </c>
      <c r="C543" s="25" t="inlineStr">
        <is>
          <t>22:52:28</t>
        </is>
      </c>
      <c r="D543" s="25" t="n">
        <v>1084</v>
      </c>
      <c r="E543" s="25" t="n">
        <v>104</v>
      </c>
      <c r="F543" s="25" t="n">
        <v>219</v>
      </c>
      <c r="G543" s="25" t="inlineStr">
        <is>
          <t>Delhi NCR</t>
        </is>
      </c>
      <c r="H543" s="25" t="inlineStr">
        <is>
          <t>Fast Food</t>
        </is>
      </c>
      <c r="I543" s="26" t="n">
        <v>613</v>
      </c>
      <c r="J543" s="26" t="n">
        <v>0</v>
      </c>
      <c r="K543" s="26" t="n">
        <v>25</v>
      </c>
      <c r="L543" s="27" t="n">
        <v>0.18</v>
      </c>
      <c r="M543" s="26" t="n">
        <v>116.59</v>
      </c>
      <c r="N543" s="28" t="n">
        <v>1.8</v>
      </c>
      <c r="O543" s="28" t="n">
        <v>19</v>
      </c>
      <c r="P543" s="25" t="inlineStr">
        <is>
          <t>Digital Wallet</t>
        </is>
      </c>
      <c r="Q543" s="25" t="inlineStr">
        <is>
          <t>Delivered</t>
        </is>
      </c>
      <c r="R543" s="25" t="n">
        <v>5</v>
      </c>
      <c r="S543" s="25">
        <f>TEXT(B543,"yyyy-mm")</f>
        <v/>
      </c>
      <c r="T543" s="25">
        <f>VLOOKUP(D543,Customers!A:D,4,FALSE)</f>
        <v/>
      </c>
      <c r="U543" s="25">
        <f>CONCATENATE(A543,"-",G543)</f>
        <v/>
      </c>
      <c r="V543" s="25">
        <f>IF(N543="","",IF(N543&lt;=30,"Fast (&lt;30m)",IF(N543&lt;=45,"Moderate (30-45m)","Delayed (&gt;45m)")))</f>
        <v/>
      </c>
      <c r="W543" s="25">
        <f>IF(AND(I543&gt;600,P543="Delivered"),"High Value Delivered","Standard")</f>
        <v/>
      </c>
      <c r="X543" s="25">
        <f>IF(OR(N543&gt;50,Q543&lt;=2),"High Risk / Delayed","Normal")</f>
        <v/>
      </c>
      <c r="Y543" s="25">
        <f>IF(NOT(P543="Cancelled"),"Fulfilled","Cancelled")</f>
        <v/>
      </c>
      <c r="Z543" s="25">
        <f>IFERROR(Q543,0)</f>
        <v/>
      </c>
    </row>
    <row r="544">
      <c r="A544" s="17" t="inlineStr">
        <is>
          <t>ORD1543</t>
        </is>
      </c>
      <c r="B544" s="17" t="inlineStr">
        <is>
          <t>2025-05-02</t>
        </is>
      </c>
      <c r="C544" s="17" t="inlineStr">
        <is>
          <t>20:45:32</t>
        </is>
      </c>
      <c r="D544" s="17" t="n">
        <v>1099</v>
      </c>
      <c r="E544" s="17" t="n">
        <v>102</v>
      </c>
      <c r="F544" s="17" t="n">
        <v>216</v>
      </c>
      <c r="G544" s="17" t="inlineStr">
        <is>
          <t>Hyderabad</t>
        </is>
      </c>
      <c r="H544" s="17" t="inlineStr">
        <is>
          <t>Biryani</t>
        </is>
      </c>
      <c r="I544" s="22" t="n">
        <v>495</v>
      </c>
      <c r="J544" s="22" t="n">
        <v>0</v>
      </c>
      <c r="K544" s="22" t="n">
        <v>25</v>
      </c>
      <c r="L544" s="23" t="n">
        <v>0.22</v>
      </c>
      <c r="M544" s="22" t="n">
        <v>115.15</v>
      </c>
      <c r="N544" s="24" t="n">
        <v>3</v>
      </c>
      <c r="O544" s="24" t="n">
        <v>30.1</v>
      </c>
      <c r="P544" s="17" t="inlineStr">
        <is>
          <t>Debit Card</t>
        </is>
      </c>
      <c r="Q544" s="17" t="inlineStr">
        <is>
          <t>Delivered</t>
        </is>
      </c>
      <c r="R544" s="17" t="n">
        <v>5</v>
      </c>
      <c r="S544" s="17">
        <f>TEXT(B544,"yyyy-mm")</f>
        <v/>
      </c>
      <c r="T544" s="17">
        <f>VLOOKUP(D544,Customers!A:D,4,FALSE)</f>
        <v/>
      </c>
      <c r="U544" s="17">
        <f>CONCATENATE(A544,"-",G544)</f>
        <v/>
      </c>
      <c r="V544" s="17">
        <f>IF(N544="","",IF(N544&lt;=30,"Fast (&lt;30m)",IF(N544&lt;=45,"Moderate (30-45m)","Delayed (&gt;45m)")))</f>
        <v/>
      </c>
      <c r="W544" s="17">
        <f>IF(AND(I544&gt;600,P544="Delivered"),"High Value Delivered","Standard")</f>
        <v/>
      </c>
      <c r="X544" s="17">
        <f>IF(OR(N544&gt;50,Q544&lt;=2),"High Risk / Delayed","Normal")</f>
        <v/>
      </c>
      <c r="Y544" s="17">
        <f>IF(NOT(P544="Cancelled"),"Fulfilled","Cancelled")</f>
        <v/>
      </c>
      <c r="Z544" s="17">
        <f>IFERROR(Q544,0)</f>
        <v/>
      </c>
    </row>
    <row r="545">
      <c r="A545" s="25" t="inlineStr">
        <is>
          <t>ORD1544</t>
        </is>
      </c>
      <c r="B545" s="25" t="inlineStr">
        <is>
          <t>2025-10-18</t>
        </is>
      </c>
      <c r="C545" s="25" t="inlineStr">
        <is>
          <t>12:30:45</t>
        </is>
      </c>
      <c r="D545" s="25" t="n">
        <v>1110</v>
      </c>
      <c r="E545" s="25" t="n">
        <v>113</v>
      </c>
      <c r="F545" s="25" t="n">
        <v>202</v>
      </c>
      <c r="G545" s="25" t="inlineStr">
        <is>
          <t>Mumbai</t>
        </is>
      </c>
      <c r="H545" s="25" t="inlineStr">
        <is>
          <t>Fast Food</t>
        </is>
      </c>
      <c r="I545" s="26" t="n">
        <v>597</v>
      </c>
      <c r="J545" s="26" t="n">
        <v>0</v>
      </c>
      <c r="K545" s="26" t="n">
        <v>47</v>
      </c>
      <c r="L545" s="27" t="n">
        <v>0.18</v>
      </c>
      <c r="M545" s="26" t="n">
        <v>119.21</v>
      </c>
      <c r="N545" s="28" t="n">
        <v>7.4</v>
      </c>
      <c r="O545" s="28" t="n">
        <v>46.7</v>
      </c>
      <c r="P545" s="25" t="inlineStr">
        <is>
          <t>UPI</t>
        </is>
      </c>
      <c r="Q545" s="25" t="inlineStr">
        <is>
          <t>Delivered</t>
        </is>
      </c>
      <c r="R545" s="25" t="n">
        <v>3</v>
      </c>
      <c r="S545" s="25">
        <f>TEXT(B545,"yyyy-mm")</f>
        <v/>
      </c>
      <c r="T545" s="25">
        <f>VLOOKUP(D545,Customers!A:D,4,FALSE)</f>
        <v/>
      </c>
      <c r="U545" s="25">
        <f>CONCATENATE(A545,"-",G545)</f>
        <v/>
      </c>
      <c r="V545" s="25">
        <f>IF(N545="","",IF(N545&lt;=30,"Fast (&lt;30m)",IF(N545&lt;=45,"Moderate (30-45m)","Delayed (&gt;45m)")))</f>
        <v/>
      </c>
      <c r="W545" s="25">
        <f>IF(AND(I545&gt;600,P545="Delivered"),"High Value Delivered","Standard")</f>
        <v/>
      </c>
      <c r="X545" s="25">
        <f>IF(OR(N545&gt;50,Q545&lt;=2),"High Risk / Delayed","Normal")</f>
        <v/>
      </c>
      <c r="Y545" s="25">
        <f>IF(NOT(P545="Cancelled"),"Fulfilled","Cancelled")</f>
        <v/>
      </c>
      <c r="Z545" s="25">
        <f>IFERROR(Q545,0)</f>
        <v/>
      </c>
    </row>
    <row r="546">
      <c r="A546" s="17" t="inlineStr">
        <is>
          <t>ORD1545</t>
        </is>
      </c>
      <c r="B546" s="17" t="inlineStr">
        <is>
          <t>2025-08-27</t>
        </is>
      </c>
      <c r="C546" s="17" t="inlineStr">
        <is>
          <t>11:33:05</t>
        </is>
      </c>
      <c r="D546" s="17" t="n">
        <v>1182</v>
      </c>
      <c r="E546" s="17" t="n">
        <v>102</v>
      </c>
      <c r="F546" s="17" t="n">
        <v>215</v>
      </c>
      <c r="G546" s="17" t="inlineStr">
        <is>
          <t>Hyderabad</t>
        </is>
      </c>
      <c r="H546" s="17" t="inlineStr">
        <is>
          <t>Biryani</t>
        </is>
      </c>
      <c r="I546" s="22" t="n">
        <v>755</v>
      </c>
      <c r="J546" s="22" t="n">
        <v>5.34</v>
      </c>
      <c r="K546" s="22" t="n">
        <v>26</v>
      </c>
      <c r="L546" s="23" t="n">
        <v>0.22</v>
      </c>
      <c r="M546" s="22" t="n">
        <v>172.6</v>
      </c>
      <c r="N546" s="24" t="n">
        <v>3.2</v>
      </c>
      <c r="O546" s="24" t="n">
        <v>27</v>
      </c>
      <c r="P546" s="17" t="inlineStr">
        <is>
          <t>UPI</t>
        </is>
      </c>
      <c r="Q546" s="17" t="inlineStr">
        <is>
          <t>Delivered</t>
        </is>
      </c>
      <c r="R546" s="17" t="n">
        <v>4</v>
      </c>
      <c r="S546" s="17">
        <f>TEXT(B546,"yyyy-mm")</f>
        <v/>
      </c>
      <c r="T546" s="17">
        <f>VLOOKUP(D546,Customers!A:D,4,FALSE)</f>
        <v/>
      </c>
      <c r="U546" s="17">
        <f>CONCATENATE(A546,"-",G546)</f>
        <v/>
      </c>
      <c r="V546" s="17">
        <f>IF(N546="","",IF(N546&lt;=30,"Fast (&lt;30m)",IF(N546&lt;=45,"Moderate (30-45m)","Delayed (&gt;45m)")))</f>
        <v/>
      </c>
      <c r="W546" s="17">
        <f>IF(AND(I546&gt;600,P546="Delivered"),"High Value Delivered","Standard")</f>
        <v/>
      </c>
      <c r="X546" s="17">
        <f>IF(OR(N546&gt;50,Q546&lt;=2),"High Risk / Delayed","Normal")</f>
        <v/>
      </c>
      <c r="Y546" s="17">
        <f>IF(NOT(P546="Cancelled"),"Fulfilled","Cancelled")</f>
        <v/>
      </c>
      <c r="Z546" s="17">
        <f>IFERROR(Q546,0)</f>
        <v/>
      </c>
    </row>
    <row r="547">
      <c r="A547" s="25" t="inlineStr">
        <is>
          <t>ORD1546</t>
        </is>
      </c>
      <c r="B547" s="25" t="inlineStr">
        <is>
          <t>2025-10-01</t>
        </is>
      </c>
      <c r="C547" s="25" t="inlineStr">
        <is>
          <t>11:49:00</t>
        </is>
      </c>
      <c r="D547" s="25" t="n">
        <v>1126</v>
      </c>
      <c r="E547" s="25" t="n">
        <v>102</v>
      </c>
      <c r="F547" s="25" t="n">
        <v>215</v>
      </c>
      <c r="G547" s="25" t="inlineStr">
        <is>
          <t>Hyderabad</t>
        </is>
      </c>
      <c r="H547" s="25" t="inlineStr">
        <is>
          <t>Biryani</t>
        </is>
      </c>
      <c r="I547" s="26" t="n">
        <v>700</v>
      </c>
      <c r="J547" s="26" t="n">
        <v>0</v>
      </c>
      <c r="K547" s="26" t="n">
        <v>36</v>
      </c>
      <c r="L547" s="27" t="n">
        <v>0.22</v>
      </c>
      <c r="M547" s="26" t="n">
        <v>163</v>
      </c>
      <c r="N547" s="28" t="n">
        <v>5.2</v>
      </c>
      <c r="O547" s="28" t="n">
        <v>35.7</v>
      </c>
      <c r="P547" s="25" t="inlineStr">
        <is>
          <t>Digital Wallet</t>
        </is>
      </c>
      <c r="Q547" s="25" t="inlineStr">
        <is>
          <t>Delivered</t>
        </is>
      </c>
      <c r="R547" s="25" t="n">
        <v>4</v>
      </c>
      <c r="S547" s="25">
        <f>TEXT(B547,"yyyy-mm")</f>
        <v/>
      </c>
      <c r="T547" s="25">
        <f>VLOOKUP(D547,Customers!A:D,4,FALSE)</f>
        <v/>
      </c>
      <c r="U547" s="25">
        <f>CONCATENATE(A547,"-",G547)</f>
        <v/>
      </c>
      <c r="V547" s="25">
        <f>IF(N547="","",IF(N547&lt;=30,"Fast (&lt;30m)",IF(N547&lt;=45,"Moderate (30-45m)","Delayed (&gt;45m)")))</f>
        <v/>
      </c>
      <c r="W547" s="25">
        <f>IF(AND(I547&gt;600,P547="Delivered"),"High Value Delivered","Standard")</f>
        <v/>
      </c>
      <c r="X547" s="25">
        <f>IF(OR(N547&gt;50,Q547&lt;=2),"High Risk / Delayed","Normal")</f>
        <v/>
      </c>
      <c r="Y547" s="25">
        <f>IF(NOT(P547="Cancelled"),"Fulfilled","Cancelled")</f>
        <v/>
      </c>
      <c r="Z547" s="25">
        <f>IFERROR(Q547,0)</f>
        <v/>
      </c>
    </row>
    <row r="548">
      <c r="A548" s="17" t="inlineStr">
        <is>
          <t>ORD1547</t>
        </is>
      </c>
      <c r="B548" s="17" t="inlineStr">
        <is>
          <t>2025-05-31</t>
        </is>
      </c>
      <c r="C548" s="17" t="inlineStr">
        <is>
          <t>14:18:10</t>
        </is>
      </c>
      <c r="D548" s="17" t="n">
        <v>1105</v>
      </c>
      <c r="E548" s="17" t="n">
        <v>115</v>
      </c>
      <c r="F548" s="17" t="n">
        <v>213</v>
      </c>
      <c r="G548" s="17" t="inlineStr">
        <is>
          <t>Bangalore</t>
        </is>
      </c>
      <c r="H548" s="17" t="inlineStr">
        <is>
          <t>Italian</t>
        </is>
      </c>
      <c r="I548" s="22" t="n">
        <v>533</v>
      </c>
      <c r="J548" s="22" t="n">
        <v>102.49</v>
      </c>
      <c r="K548" s="22" t="n">
        <v>0</v>
      </c>
      <c r="L548" s="23" t="n">
        <v>0.2</v>
      </c>
      <c r="M548" s="22" t="n">
        <v>106.6</v>
      </c>
      <c r="N548" s="24" t="n">
        <v>3.4</v>
      </c>
      <c r="O548" s="24" t="n">
        <v>34.9</v>
      </c>
      <c r="P548" s="17" t="inlineStr">
        <is>
          <t>Digital Wallet</t>
        </is>
      </c>
      <c r="Q548" s="17" t="inlineStr">
        <is>
          <t>Delivered</t>
        </is>
      </c>
      <c r="R548" s="17" t="n">
        <v>5</v>
      </c>
      <c r="S548" s="17">
        <f>TEXT(B548,"yyyy-mm")</f>
        <v/>
      </c>
      <c r="T548" s="17">
        <f>VLOOKUP(D548,Customers!A:D,4,FALSE)</f>
        <v/>
      </c>
      <c r="U548" s="17">
        <f>CONCATENATE(A548,"-",G548)</f>
        <v/>
      </c>
      <c r="V548" s="17">
        <f>IF(N548="","",IF(N548&lt;=30,"Fast (&lt;30m)",IF(N548&lt;=45,"Moderate (30-45m)","Delayed (&gt;45m)")))</f>
        <v/>
      </c>
      <c r="W548" s="17">
        <f>IF(AND(I548&gt;600,P548="Delivered"),"High Value Delivered","Standard")</f>
        <v/>
      </c>
      <c r="X548" s="17">
        <f>IF(OR(N548&gt;50,Q548&lt;=2),"High Risk / Delayed","Normal")</f>
        <v/>
      </c>
      <c r="Y548" s="17">
        <f>IF(NOT(P548="Cancelled"),"Fulfilled","Cancelled")</f>
        <v/>
      </c>
      <c r="Z548" s="17">
        <f>IFERROR(Q548,0)</f>
        <v/>
      </c>
    </row>
    <row r="549">
      <c r="A549" s="25" t="inlineStr">
        <is>
          <t>ORD1548</t>
        </is>
      </c>
      <c r="B549" s="25" t="inlineStr">
        <is>
          <t>2025-10-24</t>
        </is>
      </c>
      <c r="C549" s="25" t="inlineStr">
        <is>
          <t>12:10:36</t>
        </is>
      </c>
      <c r="D549" s="25" t="n">
        <v>1205</v>
      </c>
      <c r="E549" s="25" t="n">
        <v>107</v>
      </c>
      <c r="F549" s="25" t="n">
        <v>206</v>
      </c>
      <c r="G549" s="25" t="inlineStr">
        <is>
          <t>Mumbai</t>
        </is>
      </c>
      <c r="H549" s="25" t="inlineStr">
        <is>
          <t>Desserts</t>
        </is>
      </c>
      <c r="I549" s="26" t="n">
        <v>272</v>
      </c>
      <c r="J549" s="26" t="n">
        <v>26.1</v>
      </c>
      <c r="K549" s="26" t="n">
        <v>25</v>
      </c>
      <c r="L549" s="27" t="n">
        <v>0.25</v>
      </c>
      <c r="M549" s="26" t="n">
        <v>74.25</v>
      </c>
      <c r="N549" s="28" t="n">
        <v>2.4</v>
      </c>
      <c r="O549" s="28" t="n">
        <v>24.2</v>
      </c>
      <c r="P549" s="25" t="inlineStr">
        <is>
          <t>Digital Wallet</t>
        </is>
      </c>
      <c r="Q549" s="25" t="inlineStr">
        <is>
          <t>Delivered</t>
        </is>
      </c>
      <c r="R549" s="25" t="n">
        <v>5</v>
      </c>
      <c r="S549" s="25">
        <f>TEXT(B549,"yyyy-mm")</f>
        <v/>
      </c>
      <c r="T549" s="25">
        <f>VLOOKUP(D549,Customers!A:D,4,FALSE)</f>
        <v/>
      </c>
      <c r="U549" s="25">
        <f>CONCATENATE(A549,"-",G549)</f>
        <v/>
      </c>
      <c r="V549" s="25">
        <f>IF(N549="","",IF(N549&lt;=30,"Fast (&lt;30m)",IF(N549&lt;=45,"Moderate (30-45m)","Delayed (&gt;45m)")))</f>
        <v/>
      </c>
      <c r="W549" s="25">
        <f>IF(AND(I549&gt;600,P549="Delivered"),"High Value Delivered","Standard")</f>
        <v/>
      </c>
      <c r="X549" s="25">
        <f>IF(OR(N549&gt;50,Q549&lt;=2),"High Risk / Delayed","Normal")</f>
        <v/>
      </c>
      <c r="Y549" s="25">
        <f>IF(NOT(P549="Cancelled"),"Fulfilled","Cancelled")</f>
        <v/>
      </c>
      <c r="Z549" s="25">
        <f>IFERROR(Q549,0)</f>
        <v/>
      </c>
    </row>
    <row r="550">
      <c r="A550" s="17" t="inlineStr">
        <is>
          <t>ORD1549</t>
        </is>
      </c>
      <c r="B550" s="17" t="inlineStr">
        <is>
          <t>2025-09-06</t>
        </is>
      </c>
      <c r="C550" s="17" t="inlineStr">
        <is>
          <t>19:05:08</t>
        </is>
      </c>
      <c r="D550" s="17" t="n">
        <v>1156</v>
      </c>
      <c r="E550" s="17" t="n">
        <v>110</v>
      </c>
      <c r="F550" s="17" t="n">
        <v>209</v>
      </c>
      <c r="G550" s="17" t="inlineStr">
        <is>
          <t>Pune</t>
        </is>
      </c>
      <c r="H550" s="17" t="inlineStr">
        <is>
          <t>North Indian</t>
        </is>
      </c>
      <c r="I550" s="22" t="n">
        <v>737</v>
      </c>
      <c r="J550" s="22" t="n">
        <v>0</v>
      </c>
      <c r="K550" s="22" t="n">
        <v>38.5</v>
      </c>
      <c r="L550" s="23" t="n">
        <v>0.18</v>
      </c>
      <c r="M550" s="22" t="n">
        <v>142.28</v>
      </c>
      <c r="N550" s="24" t="n">
        <v>5.7</v>
      </c>
      <c r="O550" s="24" t="n">
        <v>42.6</v>
      </c>
      <c r="P550" s="17" t="inlineStr">
        <is>
          <t>Debit Card</t>
        </is>
      </c>
      <c r="Q550" s="17" t="inlineStr">
        <is>
          <t>Delivered</t>
        </is>
      </c>
      <c r="R550" s="17" t="n">
        <v>2</v>
      </c>
      <c r="S550" s="17">
        <f>TEXT(B550,"yyyy-mm")</f>
        <v/>
      </c>
      <c r="T550" s="17">
        <f>VLOOKUP(D550,Customers!A:D,4,FALSE)</f>
        <v/>
      </c>
      <c r="U550" s="17">
        <f>CONCATENATE(A550,"-",G550)</f>
        <v/>
      </c>
      <c r="V550" s="17">
        <f>IF(N550="","",IF(N550&lt;=30,"Fast (&lt;30m)",IF(N550&lt;=45,"Moderate (30-45m)","Delayed (&gt;45m)")))</f>
        <v/>
      </c>
      <c r="W550" s="17">
        <f>IF(AND(I550&gt;600,P550="Delivered"),"High Value Delivered","Standard")</f>
        <v/>
      </c>
      <c r="X550" s="17">
        <f>IF(OR(N550&gt;50,Q550&lt;=2),"High Risk / Delayed","Normal")</f>
        <v/>
      </c>
      <c r="Y550" s="17">
        <f>IF(NOT(P550="Cancelled"),"Fulfilled","Cancelled")</f>
        <v/>
      </c>
      <c r="Z550" s="17">
        <f>IFERROR(Q550,0)</f>
        <v/>
      </c>
    </row>
    <row r="551">
      <c r="A551" s="25" t="inlineStr">
        <is>
          <t>ORD1550</t>
        </is>
      </c>
      <c r="B551" s="25" t="inlineStr">
        <is>
          <t>2025-05-21</t>
        </is>
      </c>
      <c r="C551" s="25" t="inlineStr">
        <is>
          <t>12:54:16</t>
        </is>
      </c>
      <c r="D551" s="25" t="n">
        <v>1124</v>
      </c>
      <c r="E551" s="25" t="n">
        <v>104</v>
      </c>
      <c r="F551" s="25" t="n">
        <v>219</v>
      </c>
      <c r="G551" s="25" t="inlineStr">
        <is>
          <t>Delhi NCR</t>
        </is>
      </c>
      <c r="H551" s="25" t="inlineStr">
        <is>
          <t>Fast Food</t>
        </is>
      </c>
      <c r="I551" s="26" t="n">
        <v>234</v>
      </c>
      <c r="J551" s="26" t="n">
        <v>11.3</v>
      </c>
      <c r="K551" s="26" t="n">
        <v>28</v>
      </c>
      <c r="L551" s="27" t="n">
        <v>0.18</v>
      </c>
      <c r="M551" s="26" t="n">
        <v>49.12</v>
      </c>
      <c r="N551" s="28" t="n">
        <v>3.6</v>
      </c>
      <c r="O551" s="28" t="n">
        <v>41.8</v>
      </c>
      <c r="P551" s="25" t="inlineStr">
        <is>
          <t>Credit Card</t>
        </is>
      </c>
      <c r="Q551" s="25" t="inlineStr">
        <is>
          <t>Delivered</t>
        </is>
      </c>
      <c r="R551" s="25" t="n">
        <v>2</v>
      </c>
      <c r="S551" s="25">
        <f>TEXT(B551,"yyyy-mm")</f>
        <v/>
      </c>
      <c r="T551" s="25">
        <f>VLOOKUP(D551,Customers!A:D,4,FALSE)</f>
        <v/>
      </c>
      <c r="U551" s="25">
        <f>CONCATENATE(A551,"-",G551)</f>
        <v/>
      </c>
      <c r="V551" s="25">
        <f>IF(N551="","",IF(N551&lt;=30,"Fast (&lt;30m)",IF(N551&lt;=45,"Moderate (30-45m)","Delayed (&gt;45m)")))</f>
        <v/>
      </c>
      <c r="W551" s="25">
        <f>IF(AND(I551&gt;600,P551="Delivered"),"High Value Delivered","Standard")</f>
        <v/>
      </c>
      <c r="X551" s="25">
        <f>IF(OR(N551&gt;50,Q551&lt;=2),"High Risk / Delayed","Normal")</f>
        <v/>
      </c>
      <c r="Y551" s="25">
        <f>IF(NOT(P551="Cancelled"),"Fulfilled","Cancelled")</f>
        <v/>
      </c>
      <c r="Z551" s="25">
        <f>IFERROR(Q551,0)</f>
        <v/>
      </c>
    </row>
    <row r="552">
      <c r="A552" s="17" t="inlineStr">
        <is>
          <t>ORD1551</t>
        </is>
      </c>
      <c r="B552" s="17" t="inlineStr">
        <is>
          <t>2025-05-14</t>
        </is>
      </c>
      <c r="C552" s="17" t="inlineStr">
        <is>
          <t>13:50:44</t>
        </is>
      </c>
      <c r="D552" s="17" t="n">
        <v>1260</v>
      </c>
      <c r="E552" s="17" t="n">
        <v>110</v>
      </c>
      <c r="F552" s="17" t="n">
        <v>217</v>
      </c>
      <c r="G552" s="17" t="inlineStr">
        <is>
          <t>Pune</t>
        </is>
      </c>
      <c r="H552" s="17" t="inlineStr">
        <is>
          <t>North Indian</t>
        </is>
      </c>
      <c r="I552" s="22" t="n">
        <v>461</v>
      </c>
      <c r="J552" s="22" t="n">
        <v>0</v>
      </c>
      <c r="K552" s="22" t="n">
        <v>28</v>
      </c>
      <c r="L552" s="23" t="n">
        <v>0.18</v>
      </c>
      <c r="M552" s="22" t="n">
        <v>89.98</v>
      </c>
      <c r="N552" s="24" t="n">
        <v>3.6</v>
      </c>
      <c r="O552" s="24" t="n">
        <v>35.5</v>
      </c>
      <c r="P552" s="17" t="inlineStr">
        <is>
          <t>UPI</t>
        </is>
      </c>
      <c r="Q552" s="17" t="inlineStr">
        <is>
          <t>Delivered</t>
        </is>
      </c>
      <c r="R552" s="17" t="n">
        <v>5</v>
      </c>
      <c r="S552" s="17">
        <f>TEXT(B552,"yyyy-mm")</f>
        <v/>
      </c>
      <c r="T552" s="17">
        <f>VLOOKUP(D552,Customers!A:D,4,FALSE)</f>
        <v/>
      </c>
      <c r="U552" s="17">
        <f>CONCATENATE(A552,"-",G552)</f>
        <v/>
      </c>
      <c r="V552" s="17">
        <f>IF(N552="","",IF(N552&lt;=30,"Fast (&lt;30m)",IF(N552&lt;=45,"Moderate (30-45m)","Delayed (&gt;45m)")))</f>
        <v/>
      </c>
      <c r="W552" s="17">
        <f>IF(AND(I552&gt;600,P552="Delivered"),"High Value Delivered","Standard")</f>
        <v/>
      </c>
      <c r="X552" s="17">
        <f>IF(OR(N552&gt;50,Q552&lt;=2),"High Risk / Delayed","Normal")</f>
        <v/>
      </c>
      <c r="Y552" s="17">
        <f>IF(NOT(P552="Cancelled"),"Fulfilled","Cancelled")</f>
        <v/>
      </c>
      <c r="Z552" s="17">
        <f>IFERROR(Q552,0)</f>
        <v/>
      </c>
    </row>
    <row r="553">
      <c r="A553" s="25" t="inlineStr">
        <is>
          <t>ORD1552</t>
        </is>
      </c>
      <c r="B553" s="25" t="inlineStr">
        <is>
          <t>2025-11-01</t>
        </is>
      </c>
      <c r="C553" s="25" t="inlineStr">
        <is>
          <t>20:59:52</t>
        </is>
      </c>
      <c r="D553" s="25" t="n">
        <v>1260</v>
      </c>
      <c r="E553" s="25" t="n">
        <v>110</v>
      </c>
      <c r="F553" s="25" t="n">
        <v>214</v>
      </c>
      <c r="G553" s="25" t="inlineStr">
        <is>
          <t>Pune</t>
        </is>
      </c>
      <c r="H553" s="25" t="inlineStr">
        <is>
          <t>North Indian</t>
        </is>
      </c>
      <c r="I553" s="26" t="n">
        <v>377</v>
      </c>
      <c r="J553" s="26" t="n">
        <v>22.7</v>
      </c>
      <c r="K553" s="26" t="n">
        <v>25</v>
      </c>
      <c r="L553" s="27" t="n">
        <v>0.18</v>
      </c>
      <c r="M553" s="26" t="n">
        <v>74.11</v>
      </c>
      <c r="N553" s="28" t="n">
        <v>2.2</v>
      </c>
      <c r="O553" s="28" t="n">
        <v>37.9</v>
      </c>
      <c r="P553" s="25" t="inlineStr">
        <is>
          <t>Cash on Delivery</t>
        </is>
      </c>
      <c r="Q553" s="25" t="inlineStr">
        <is>
          <t>Delivered</t>
        </is>
      </c>
      <c r="R553" s="25" t="n">
        <v>5</v>
      </c>
      <c r="S553" s="25">
        <f>TEXT(B553,"yyyy-mm")</f>
        <v/>
      </c>
      <c r="T553" s="25">
        <f>VLOOKUP(D553,Customers!A:D,4,FALSE)</f>
        <v/>
      </c>
      <c r="U553" s="25">
        <f>CONCATENATE(A553,"-",G553)</f>
        <v/>
      </c>
      <c r="V553" s="25">
        <f>IF(N553="","",IF(N553&lt;=30,"Fast (&lt;30m)",IF(N553&lt;=45,"Moderate (30-45m)","Delayed (&gt;45m)")))</f>
        <v/>
      </c>
      <c r="W553" s="25">
        <f>IF(AND(I553&gt;600,P553="Delivered"),"High Value Delivered","Standard")</f>
        <v/>
      </c>
      <c r="X553" s="25">
        <f>IF(OR(N553&gt;50,Q553&lt;=2),"High Risk / Delayed","Normal")</f>
        <v/>
      </c>
      <c r="Y553" s="25">
        <f>IF(NOT(P553="Cancelled"),"Fulfilled","Cancelled")</f>
        <v/>
      </c>
      <c r="Z553" s="25">
        <f>IFERROR(Q553,0)</f>
        <v/>
      </c>
    </row>
    <row r="554">
      <c r="A554" s="17" t="inlineStr">
        <is>
          <t>ORD1553</t>
        </is>
      </c>
      <c r="B554" s="17" t="inlineStr">
        <is>
          <t>2025-11-23</t>
        </is>
      </c>
      <c r="C554" s="17" t="inlineStr">
        <is>
          <t>13:10:13</t>
        </is>
      </c>
      <c r="D554" s="17" t="n">
        <v>1276</v>
      </c>
      <c r="E554" s="17" t="n">
        <v>101</v>
      </c>
      <c r="F554" s="17" t="n">
        <v>220</v>
      </c>
      <c r="G554" s="17" t="inlineStr">
        <is>
          <t>Bangalore</t>
        </is>
      </c>
      <c r="H554" s="17" t="inlineStr">
        <is>
          <t>North Indian</t>
        </is>
      </c>
      <c r="I554" s="22" t="n">
        <v>811</v>
      </c>
      <c r="J554" s="22" t="n">
        <v>22.39</v>
      </c>
      <c r="K554" s="22" t="n">
        <v>28</v>
      </c>
      <c r="L554" s="23" t="n">
        <v>0.2</v>
      </c>
      <c r="M554" s="22" t="n">
        <v>169.2</v>
      </c>
      <c r="N554" s="24" t="n">
        <v>3.6</v>
      </c>
      <c r="O554" s="24" t="n">
        <v>34.4</v>
      </c>
      <c r="P554" s="17" t="inlineStr">
        <is>
          <t>UPI</t>
        </is>
      </c>
      <c r="Q554" s="17" t="inlineStr">
        <is>
          <t>Delivered</t>
        </is>
      </c>
      <c r="R554" s="17" t="n">
        <v>4</v>
      </c>
      <c r="S554" s="17">
        <f>TEXT(B554,"yyyy-mm")</f>
        <v/>
      </c>
      <c r="T554" s="17">
        <f>VLOOKUP(D554,Customers!A:D,4,FALSE)</f>
        <v/>
      </c>
      <c r="U554" s="17">
        <f>CONCATENATE(A554,"-",G554)</f>
        <v/>
      </c>
      <c r="V554" s="17">
        <f>IF(N554="","",IF(N554&lt;=30,"Fast (&lt;30m)",IF(N554&lt;=45,"Moderate (30-45m)","Delayed (&gt;45m)")))</f>
        <v/>
      </c>
      <c r="W554" s="17">
        <f>IF(AND(I554&gt;600,P554="Delivered"),"High Value Delivered","Standard")</f>
        <v/>
      </c>
      <c r="X554" s="17">
        <f>IF(OR(N554&gt;50,Q554&lt;=2),"High Risk / Delayed","Normal")</f>
        <v/>
      </c>
      <c r="Y554" s="17">
        <f>IF(NOT(P554="Cancelled"),"Fulfilled","Cancelled")</f>
        <v/>
      </c>
      <c r="Z554" s="17">
        <f>IFERROR(Q554,0)</f>
        <v/>
      </c>
    </row>
    <row r="555">
      <c r="A555" s="25" t="inlineStr">
        <is>
          <t>ORD1554</t>
        </is>
      </c>
      <c r="B555" s="25" t="inlineStr">
        <is>
          <t>2025-08-26</t>
        </is>
      </c>
      <c r="C555" s="25" t="inlineStr">
        <is>
          <t>16:25:30</t>
        </is>
      </c>
      <c r="D555" s="25" t="n">
        <v>1237</v>
      </c>
      <c r="E555" s="25" t="n">
        <v>104</v>
      </c>
      <c r="F555" s="25" t="n">
        <v>230</v>
      </c>
      <c r="G555" s="25" t="inlineStr">
        <is>
          <t>Delhi NCR</t>
        </is>
      </c>
      <c r="H555" s="25" t="inlineStr">
        <is>
          <t>Fast Food</t>
        </is>
      </c>
      <c r="I555" s="26" t="n">
        <v>528</v>
      </c>
      <c r="J555" s="26" t="n">
        <v>0</v>
      </c>
      <c r="K555" s="26" t="n">
        <v>25</v>
      </c>
      <c r="L555" s="27" t="n">
        <v>0.18</v>
      </c>
      <c r="M555" s="26" t="n">
        <v>101.29</v>
      </c>
      <c r="N555" s="28" t="n">
        <v>2.1</v>
      </c>
      <c r="O555" s="28" t="n">
        <v>27.6</v>
      </c>
      <c r="P555" s="25" t="inlineStr">
        <is>
          <t>Digital Wallet</t>
        </is>
      </c>
      <c r="Q555" s="25" t="inlineStr">
        <is>
          <t>Delivered</t>
        </is>
      </c>
      <c r="R555" s="25" t="n">
        <v>4</v>
      </c>
      <c r="S555" s="25">
        <f>TEXT(B555,"yyyy-mm")</f>
        <v/>
      </c>
      <c r="T555" s="25">
        <f>VLOOKUP(D555,Customers!A:D,4,FALSE)</f>
        <v/>
      </c>
      <c r="U555" s="25">
        <f>CONCATENATE(A555,"-",G555)</f>
        <v/>
      </c>
      <c r="V555" s="25">
        <f>IF(N555="","",IF(N555&lt;=30,"Fast (&lt;30m)",IF(N555&lt;=45,"Moderate (30-45m)","Delayed (&gt;45m)")))</f>
        <v/>
      </c>
      <c r="W555" s="25">
        <f>IF(AND(I555&gt;600,P555="Delivered"),"High Value Delivered","Standard")</f>
        <v/>
      </c>
      <c r="X555" s="25">
        <f>IF(OR(N555&gt;50,Q555&lt;=2),"High Risk / Delayed","Normal")</f>
        <v/>
      </c>
      <c r="Y555" s="25">
        <f>IF(NOT(P555="Cancelled"),"Fulfilled","Cancelled")</f>
        <v/>
      </c>
      <c r="Z555" s="25">
        <f>IFERROR(Q555,0)</f>
        <v/>
      </c>
    </row>
    <row r="556">
      <c r="A556" s="17" t="inlineStr">
        <is>
          <t>ORD1555</t>
        </is>
      </c>
      <c r="B556" s="17" t="inlineStr">
        <is>
          <t>2025-12-16</t>
        </is>
      </c>
      <c r="C556" s="17" t="inlineStr">
        <is>
          <t>13:45:24</t>
        </is>
      </c>
      <c r="D556" s="17" t="n">
        <v>1174</v>
      </c>
      <c r="E556" s="17" t="n">
        <v>114</v>
      </c>
      <c r="F556" s="17" t="n">
        <v>215</v>
      </c>
      <c r="G556" s="17" t="inlineStr">
        <is>
          <t>Hyderabad</t>
        </is>
      </c>
      <c r="H556" s="17" t="inlineStr">
        <is>
          <t>Biryani</t>
        </is>
      </c>
      <c r="I556" s="22" t="n">
        <v>705</v>
      </c>
      <c r="J556" s="22" t="n">
        <v>0</v>
      </c>
      <c r="K556" s="22" t="n">
        <v>37</v>
      </c>
      <c r="L556" s="23" t="n">
        <v>0.22</v>
      </c>
      <c r="M556" s="22" t="n">
        <v>164.35</v>
      </c>
      <c r="N556" s="24" t="n">
        <v>5.4</v>
      </c>
      <c r="O556" s="24" t="n">
        <v>37.9</v>
      </c>
      <c r="P556" s="17" t="inlineStr">
        <is>
          <t>Cash on Delivery</t>
        </is>
      </c>
      <c r="Q556" s="17" t="inlineStr">
        <is>
          <t>Delivered</t>
        </is>
      </c>
      <c r="R556" s="17" t="n">
        <v>5</v>
      </c>
      <c r="S556" s="17">
        <f>TEXT(B556,"yyyy-mm")</f>
        <v/>
      </c>
      <c r="T556" s="17">
        <f>VLOOKUP(D556,Customers!A:D,4,FALSE)</f>
        <v/>
      </c>
      <c r="U556" s="17">
        <f>CONCATENATE(A556,"-",G556)</f>
        <v/>
      </c>
      <c r="V556" s="17">
        <f>IF(N556="","",IF(N556&lt;=30,"Fast (&lt;30m)",IF(N556&lt;=45,"Moderate (30-45m)","Delayed (&gt;45m)")))</f>
        <v/>
      </c>
      <c r="W556" s="17">
        <f>IF(AND(I556&gt;600,P556="Delivered"),"High Value Delivered","Standard")</f>
        <v/>
      </c>
      <c r="X556" s="17">
        <f>IF(OR(N556&gt;50,Q556&lt;=2),"High Risk / Delayed","Normal")</f>
        <v/>
      </c>
      <c r="Y556" s="17">
        <f>IF(NOT(P556="Cancelled"),"Fulfilled","Cancelled")</f>
        <v/>
      </c>
      <c r="Z556" s="17">
        <f>IFERROR(Q556,0)</f>
        <v/>
      </c>
    </row>
    <row r="557">
      <c r="A557" s="25" t="inlineStr">
        <is>
          <t>ORD1556</t>
        </is>
      </c>
      <c r="B557" s="25" t="inlineStr">
        <is>
          <t>2025-08-18</t>
        </is>
      </c>
      <c r="C557" s="25" t="inlineStr">
        <is>
          <t>22:24:43</t>
        </is>
      </c>
      <c r="D557" s="25" t="n">
        <v>1205</v>
      </c>
      <c r="E557" s="25" t="n">
        <v>103</v>
      </c>
      <c r="F557" s="25" t="n">
        <v>229</v>
      </c>
      <c r="G557" s="25" t="inlineStr">
        <is>
          <t>Mumbai</t>
        </is>
      </c>
      <c r="H557" s="25" t="inlineStr">
        <is>
          <t>Italian</t>
        </is>
      </c>
      <c r="I557" s="26" t="n">
        <v>543</v>
      </c>
      <c r="J557" s="26" t="n">
        <v>63.71</v>
      </c>
      <c r="K557" s="26" t="n">
        <v>46</v>
      </c>
      <c r="L557" s="27" t="n">
        <v>0.18</v>
      </c>
      <c r="M557" s="26" t="n">
        <v>109.24</v>
      </c>
      <c r="N557" s="28" t="n">
        <v>7.2</v>
      </c>
      <c r="O557" s="28" t="n">
        <v>43</v>
      </c>
      <c r="P557" s="25" t="inlineStr">
        <is>
          <t>UPI</t>
        </is>
      </c>
      <c r="Q557" s="25" t="inlineStr">
        <is>
          <t>Delivered</t>
        </is>
      </c>
      <c r="R557" s="25" t="n">
        <v>4</v>
      </c>
      <c r="S557" s="25">
        <f>TEXT(B557,"yyyy-mm")</f>
        <v/>
      </c>
      <c r="T557" s="25">
        <f>VLOOKUP(D557,Customers!A:D,4,FALSE)</f>
        <v/>
      </c>
      <c r="U557" s="25">
        <f>CONCATENATE(A557,"-",G557)</f>
        <v/>
      </c>
      <c r="V557" s="25">
        <f>IF(N557="","",IF(N557&lt;=30,"Fast (&lt;30m)",IF(N557&lt;=45,"Moderate (30-45m)","Delayed (&gt;45m)")))</f>
        <v/>
      </c>
      <c r="W557" s="25">
        <f>IF(AND(I557&gt;600,P557="Delivered"),"High Value Delivered","Standard")</f>
        <v/>
      </c>
      <c r="X557" s="25">
        <f>IF(OR(N557&gt;50,Q557&lt;=2),"High Risk / Delayed","Normal")</f>
        <v/>
      </c>
      <c r="Y557" s="25">
        <f>IF(NOT(P557="Cancelled"),"Fulfilled","Cancelled")</f>
        <v/>
      </c>
      <c r="Z557" s="25">
        <f>IFERROR(Q557,0)</f>
        <v/>
      </c>
    </row>
    <row r="558">
      <c r="A558" s="17" t="inlineStr">
        <is>
          <t>ORD1557</t>
        </is>
      </c>
      <c r="B558" s="17" t="inlineStr">
        <is>
          <t>2025-08-10</t>
        </is>
      </c>
      <c r="C558" s="17" t="inlineStr">
        <is>
          <t>18:39:58</t>
        </is>
      </c>
      <c r="D558" s="17" t="n">
        <v>1215</v>
      </c>
      <c r="E558" s="17" t="n">
        <v>116</v>
      </c>
      <c r="F558" s="17" t="n">
        <v>217</v>
      </c>
      <c r="G558" s="17" t="inlineStr">
        <is>
          <t>Pune</t>
        </is>
      </c>
      <c r="H558" s="17" t="inlineStr">
        <is>
          <t>Desserts</t>
        </is>
      </c>
      <c r="I558" s="22" t="n">
        <v>887</v>
      </c>
      <c r="J558" s="22" t="n">
        <v>97.65000000000001</v>
      </c>
      <c r="K558" s="22" t="n">
        <v>25</v>
      </c>
      <c r="L558" s="23" t="n">
        <v>0.25</v>
      </c>
      <c r="M558" s="22" t="n">
        <v>228</v>
      </c>
      <c r="N558" s="24" t="n">
        <v>1.7</v>
      </c>
      <c r="O558" s="24" t="n">
        <v>24.3</v>
      </c>
      <c r="P558" s="17" t="inlineStr">
        <is>
          <t>Debit Card</t>
        </is>
      </c>
      <c r="Q558" s="17" t="inlineStr">
        <is>
          <t>Delivered</t>
        </is>
      </c>
      <c r="R558" s="17" t="n">
        <v>5</v>
      </c>
      <c r="S558" s="17">
        <f>TEXT(B558,"yyyy-mm")</f>
        <v/>
      </c>
      <c r="T558" s="17">
        <f>VLOOKUP(D558,Customers!A:D,4,FALSE)</f>
        <v/>
      </c>
      <c r="U558" s="17">
        <f>CONCATENATE(A558,"-",G558)</f>
        <v/>
      </c>
      <c r="V558" s="17">
        <f>IF(N558="","",IF(N558&lt;=30,"Fast (&lt;30m)",IF(N558&lt;=45,"Moderate (30-45m)","Delayed (&gt;45m)")))</f>
        <v/>
      </c>
      <c r="W558" s="17">
        <f>IF(AND(I558&gt;600,P558="Delivered"),"High Value Delivered","Standard")</f>
        <v/>
      </c>
      <c r="X558" s="17">
        <f>IF(OR(N558&gt;50,Q558&lt;=2),"High Risk / Delayed","Normal")</f>
        <v/>
      </c>
      <c r="Y558" s="17">
        <f>IF(NOT(P558="Cancelled"),"Fulfilled","Cancelled")</f>
        <v/>
      </c>
      <c r="Z558" s="17">
        <f>IFERROR(Q558,0)</f>
        <v/>
      </c>
    </row>
    <row r="559">
      <c r="A559" s="25" t="inlineStr">
        <is>
          <t>ORD1558</t>
        </is>
      </c>
      <c r="B559" s="25" t="inlineStr">
        <is>
          <t>2025-12-02</t>
        </is>
      </c>
      <c r="C559" s="25" t="inlineStr">
        <is>
          <t>12:37:25</t>
        </is>
      </c>
      <c r="D559" s="25" t="n">
        <v>1038</v>
      </c>
      <c r="E559" s="25" t="n">
        <v>115</v>
      </c>
      <c r="F559" s="25" t="n">
        <v>205</v>
      </c>
      <c r="G559" s="25" t="inlineStr">
        <is>
          <t>Bangalore</t>
        </is>
      </c>
      <c r="H559" s="25" t="inlineStr">
        <is>
          <t>Italian</t>
        </is>
      </c>
      <c r="I559" s="26" t="n">
        <v>692</v>
      </c>
      <c r="J559" s="26" t="n">
        <v>41.47</v>
      </c>
      <c r="K559" s="26" t="n">
        <v>42.5</v>
      </c>
      <c r="L559" s="27" t="n">
        <v>0.2</v>
      </c>
      <c r="M559" s="26" t="n">
        <v>149.02</v>
      </c>
      <c r="N559" s="28" t="n">
        <v>6.5</v>
      </c>
      <c r="O559" s="28" t="n">
        <v>44.9</v>
      </c>
      <c r="P559" s="25" t="inlineStr">
        <is>
          <t>Digital Wallet</t>
        </is>
      </c>
      <c r="Q559" s="25" t="inlineStr">
        <is>
          <t>Delivered</t>
        </is>
      </c>
      <c r="R559" s="25" t="n">
        <v>3</v>
      </c>
      <c r="S559" s="25">
        <f>TEXT(B559,"yyyy-mm")</f>
        <v/>
      </c>
      <c r="T559" s="25">
        <f>VLOOKUP(D559,Customers!A:D,4,FALSE)</f>
        <v/>
      </c>
      <c r="U559" s="25">
        <f>CONCATENATE(A559,"-",G559)</f>
        <v/>
      </c>
      <c r="V559" s="25">
        <f>IF(N559="","",IF(N559&lt;=30,"Fast (&lt;30m)",IF(N559&lt;=45,"Moderate (30-45m)","Delayed (&gt;45m)")))</f>
        <v/>
      </c>
      <c r="W559" s="25">
        <f>IF(AND(I559&gt;600,P559="Delivered"),"High Value Delivered","Standard")</f>
        <v/>
      </c>
      <c r="X559" s="25">
        <f>IF(OR(N559&gt;50,Q559&lt;=2),"High Risk / Delayed","Normal")</f>
        <v/>
      </c>
      <c r="Y559" s="25">
        <f>IF(NOT(P559="Cancelled"),"Fulfilled","Cancelled")</f>
        <v/>
      </c>
      <c r="Z559" s="25">
        <f>IFERROR(Q559,0)</f>
        <v/>
      </c>
    </row>
    <row r="560">
      <c r="A560" s="17" t="inlineStr">
        <is>
          <t>ORD1559</t>
        </is>
      </c>
      <c r="B560" s="17" t="inlineStr">
        <is>
          <t>2025-12-13</t>
        </is>
      </c>
      <c r="C560" s="17" t="inlineStr">
        <is>
          <t>16:44:11</t>
        </is>
      </c>
      <c r="D560" s="17" t="n">
        <v>1282</v>
      </c>
      <c r="E560" s="17" t="n">
        <v>112</v>
      </c>
      <c r="F560" s="17" t="n">
        <v>221</v>
      </c>
      <c r="G560" s="17" t="inlineStr">
        <is>
          <t>Delhi NCR</t>
        </is>
      </c>
      <c r="H560" s="17" t="inlineStr">
        <is>
          <t>North Indian</t>
        </is>
      </c>
      <c r="I560" s="22" t="n">
        <v>540</v>
      </c>
      <c r="J560" s="22" t="n">
        <v>29.07</v>
      </c>
      <c r="K560" s="22" t="n">
        <v>32</v>
      </c>
      <c r="L560" s="23" t="n">
        <v>0.22</v>
      </c>
      <c r="M560" s="22" t="n">
        <v>126.8</v>
      </c>
      <c r="N560" s="24" t="n">
        <v>4.4</v>
      </c>
      <c r="O560" s="24" t="n">
        <v>38.3</v>
      </c>
      <c r="P560" s="17" t="inlineStr">
        <is>
          <t>UPI</t>
        </is>
      </c>
      <c r="Q560" s="17" t="inlineStr">
        <is>
          <t>Delivered</t>
        </is>
      </c>
      <c r="R560" s="17" t="n">
        <v>4</v>
      </c>
      <c r="S560" s="17">
        <f>TEXT(B560,"yyyy-mm")</f>
        <v/>
      </c>
      <c r="T560" s="17">
        <f>VLOOKUP(D560,Customers!A:D,4,FALSE)</f>
        <v/>
      </c>
      <c r="U560" s="17">
        <f>CONCATENATE(A560,"-",G560)</f>
        <v/>
      </c>
      <c r="V560" s="17">
        <f>IF(N560="","",IF(N560&lt;=30,"Fast (&lt;30m)",IF(N560&lt;=45,"Moderate (30-45m)","Delayed (&gt;45m)")))</f>
        <v/>
      </c>
      <c r="W560" s="17">
        <f>IF(AND(I560&gt;600,P560="Delivered"),"High Value Delivered","Standard")</f>
        <v/>
      </c>
      <c r="X560" s="17">
        <f>IF(OR(N560&gt;50,Q560&lt;=2),"High Risk / Delayed","Normal")</f>
        <v/>
      </c>
      <c r="Y560" s="17">
        <f>IF(NOT(P560="Cancelled"),"Fulfilled","Cancelled")</f>
        <v/>
      </c>
      <c r="Z560" s="17">
        <f>IFERROR(Q560,0)</f>
        <v/>
      </c>
    </row>
    <row r="561">
      <c r="A561" s="25" t="inlineStr">
        <is>
          <t>ORD1560</t>
        </is>
      </c>
      <c r="B561" s="25" t="inlineStr">
        <is>
          <t>2025-12-17</t>
        </is>
      </c>
      <c r="C561" s="25" t="inlineStr">
        <is>
          <t>22:28:22</t>
        </is>
      </c>
      <c r="D561" s="25" t="n">
        <v>1015</v>
      </c>
      <c r="E561" s="25" t="n">
        <v>114</v>
      </c>
      <c r="F561" s="25" t="n">
        <v>215</v>
      </c>
      <c r="G561" s="25" t="inlineStr">
        <is>
          <t>Hyderabad</t>
        </is>
      </c>
      <c r="H561" s="25" t="inlineStr">
        <is>
          <t>Biryani</t>
        </is>
      </c>
      <c r="I561" s="26" t="n">
        <v>444</v>
      </c>
      <c r="J561" s="26" t="n">
        <v>8.949999999999999</v>
      </c>
      <c r="K561" s="26" t="n">
        <v>25</v>
      </c>
      <c r="L561" s="27" t="n">
        <v>0.22</v>
      </c>
      <c r="M561" s="26" t="n">
        <v>103.93</v>
      </c>
      <c r="N561" s="28" t="n">
        <v>2.1</v>
      </c>
      <c r="O561" s="28" t="n">
        <v>23.6</v>
      </c>
      <c r="P561" s="25" t="inlineStr">
        <is>
          <t>Digital Wallet</t>
        </is>
      </c>
      <c r="Q561" s="25" t="inlineStr">
        <is>
          <t>Delivered</t>
        </is>
      </c>
      <c r="R561" s="25" t="n">
        <v>4</v>
      </c>
      <c r="S561" s="25">
        <f>TEXT(B561,"yyyy-mm")</f>
        <v/>
      </c>
      <c r="T561" s="25">
        <f>VLOOKUP(D561,Customers!A:D,4,FALSE)</f>
        <v/>
      </c>
      <c r="U561" s="25">
        <f>CONCATENATE(A561,"-",G561)</f>
        <v/>
      </c>
      <c r="V561" s="25">
        <f>IF(N561="","",IF(N561&lt;=30,"Fast (&lt;30m)",IF(N561&lt;=45,"Moderate (30-45m)","Delayed (&gt;45m)")))</f>
        <v/>
      </c>
      <c r="W561" s="25">
        <f>IF(AND(I561&gt;600,P561="Delivered"),"High Value Delivered","Standard")</f>
        <v/>
      </c>
      <c r="X561" s="25">
        <f>IF(OR(N561&gt;50,Q561&lt;=2),"High Risk / Delayed","Normal")</f>
        <v/>
      </c>
      <c r="Y561" s="25">
        <f>IF(NOT(P561="Cancelled"),"Fulfilled","Cancelled")</f>
        <v/>
      </c>
      <c r="Z561" s="25">
        <f>IFERROR(Q561,0)</f>
        <v/>
      </c>
    </row>
    <row r="562">
      <c r="A562" s="17" t="inlineStr">
        <is>
          <t>ORD1561</t>
        </is>
      </c>
      <c r="B562" s="17" t="inlineStr">
        <is>
          <t>2025-11-01</t>
        </is>
      </c>
      <c r="C562" s="17" t="inlineStr">
        <is>
          <t>12:42:57</t>
        </is>
      </c>
      <c r="D562" s="17" t="n">
        <v>1207</v>
      </c>
      <c r="E562" s="17" t="n">
        <v>112</v>
      </c>
      <c r="F562" s="17" t="n">
        <v>211</v>
      </c>
      <c r="G562" s="17" t="inlineStr">
        <is>
          <t>Delhi NCR</t>
        </is>
      </c>
      <c r="H562" s="17" t="inlineStr">
        <is>
          <t>North Indian</t>
        </is>
      </c>
      <c r="I562" s="22" t="n">
        <v>442</v>
      </c>
      <c r="J562" s="22" t="n">
        <v>22.56</v>
      </c>
      <c r="K562" s="22" t="n">
        <v>31</v>
      </c>
      <c r="L562" s="23" t="n">
        <v>0.22</v>
      </c>
      <c r="M562" s="22" t="n">
        <v>104.99</v>
      </c>
      <c r="N562" s="24" t="n">
        <v>4.2</v>
      </c>
      <c r="O562" s="24" t="n">
        <v>37.3</v>
      </c>
      <c r="P562" s="17" t="inlineStr">
        <is>
          <t>UPI</t>
        </is>
      </c>
      <c r="Q562" s="17" t="inlineStr">
        <is>
          <t>Delivered</t>
        </is>
      </c>
      <c r="R562" s="17" t="n">
        <v>5</v>
      </c>
      <c r="S562" s="17">
        <f>TEXT(B562,"yyyy-mm")</f>
        <v/>
      </c>
      <c r="T562" s="17">
        <f>VLOOKUP(D562,Customers!A:D,4,FALSE)</f>
        <v/>
      </c>
      <c r="U562" s="17">
        <f>CONCATENATE(A562,"-",G562)</f>
        <v/>
      </c>
      <c r="V562" s="17">
        <f>IF(N562="","",IF(N562&lt;=30,"Fast (&lt;30m)",IF(N562&lt;=45,"Moderate (30-45m)","Delayed (&gt;45m)")))</f>
        <v/>
      </c>
      <c r="W562" s="17">
        <f>IF(AND(I562&gt;600,P562="Delivered"),"High Value Delivered","Standard")</f>
        <v/>
      </c>
      <c r="X562" s="17">
        <f>IF(OR(N562&gt;50,Q562&lt;=2),"High Risk / Delayed","Normal")</f>
        <v/>
      </c>
      <c r="Y562" s="17">
        <f>IF(NOT(P562="Cancelled"),"Fulfilled","Cancelled")</f>
        <v/>
      </c>
      <c r="Z562" s="17">
        <f>IFERROR(Q562,0)</f>
        <v/>
      </c>
    </row>
    <row r="563">
      <c r="A563" s="25" t="inlineStr">
        <is>
          <t>ORD1562</t>
        </is>
      </c>
      <c r="B563" s="25" t="inlineStr">
        <is>
          <t>2025-07-12</t>
        </is>
      </c>
      <c r="C563" s="25" t="inlineStr">
        <is>
          <t>07:42:48</t>
        </is>
      </c>
      <c r="D563" s="25" t="n">
        <v>1033</v>
      </c>
      <c r="E563" s="25" t="n">
        <v>109</v>
      </c>
      <c r="F563" s="25" t="n">
        <v>216</v>
      </c>
      <c r="G563" s="25" t="inlineStr">
        <is>
          <t>Hyderabad</t>
        </is>
      </c>
      <c r="H563" s="25" t="inlineStr">
        <is>
          <t>Biryani</t>
        </is>
      </c>
      <c r="I563" s="26" t="n">
        <v>883</v>
      </c>
      <c r="J563" s="26" t="n">
        <v>68.31999999999999</v>
      </c>
      <c r="K563" s="26" t="n">
        <v>25</v>
      </c>
      <c r="L563" s="27" t="n">
        <v>0.2</v>
      </c>
      <c r="M563" s="26" t="n">
        <v>182.85</v>
      </c>
      <c r="N563" s="28" t="n">
        <v>2.7</v>
      </c>
      <c r="O563" s="28" t="n">
        <v>32.4</v>
      </c>
      <c r="P563" s="25" t="inlineStr">
        <is>
          <t>Credit Card</t>
        </is>
      </c>
      <c r="Q563" s="25" t="inlineStr">
        <is>
          <t>Delivered</t>
        </is>
      </c>
      <c r="R563" s="25" t="n">
        <v>4</v>
      </c>
      <c r="S563" s="25">
        <f>TEXT(B563,"yyyy-mm")</f>
        <v/>
      </c>
      <c r="T563" s="25">
        <f>VLOOKUP(D563,Customers!A:D,4,FALSE)</f>
        <v/>
      </c>
      <c r="U563" s="25">
        <f>CONCATENATE(A563,"-",G563)</f>
        <v/>
      </c>
      <c r="V563" s="25">
        <f>IF(N563="","",IF(N563&lt;=30,"Fast (&lt;30m)",IF(N563&lt;=45,"Moderate (30-45m)","Delayed (&gt;45m)")))</f>
        <v/>
      </c>
      <c r="W563" s="25">
        <f>IF(AND(I563&gt;600,P563="Delivered"),"High Value Delivered","Standard")</f>
        <v/>
      </c>
      <c r="X563" s="25">
        <f>IF(OR(N563&gt;50,Q563&lt;=2),"High Risk / Delayed","Normal")</f>
        <v/>
      </c>
      <c r="Y563" s="25">
        <f>IF(NOT(P563="Cancelled"),"Fulfilled","Cancelled")</f>
        <v/>
      </c>
      <c r="Z563" s="25">
        <f>IFERROR(Q563,0)</f>
        <v/>
      </c>
    </row>
    <row r="564">
      <c r="A564" s="17" t="inlineStr">
        <is>
          <t>ORD1563</t>
        </is>
      </c>
      <c r="B564" s="17" t="inlineStr">
        <is>
          <t>2025-12-05</t>
        </is>
      </c>
      <c r="C564" s="17" t="inlineStr">
        <is>
          <t>21:59:04</t>
        </is>
      </c>
      <c r="D564" s="17" t="n">
        <v>1245</v>
      </c>
      <c r="E564" s="17" t="n">
        <v>113</v>
      </c>
      <c r="F564" s="17" t="n">
        <v>206</v>
      </c>
      <c r="G564" s="17" t="inlineStr">
        <is>
          <t>Mumbai</t>
        </is>
      </c>
      <c r="H564" s="17" t="inlineStr">
        <is>
          <t>Fast Food</t>
        </is>
      </c>
      <c r="I564" s="22" t="n">
        <v>874</v>
      </c>
      <c r="J564" s="22" t="n">
        <v>0</v>
      </c>
      <c r="K564" s="22" t="n">
        <v>25</v>
      </c>
      <c r="L564" s="23" t="n">
        <v>0.18</v>
      </c>
      <c r="M564" s="22" t="n">
        <v>163.57</v>
      </c>
      <c r="N564" s="24" t="n">
        <v>1.7</v>
      </c>
      <c r="O564" s="24" t="n">
        <v>29.1</v>
      </c>
      <c r="P564" s="17" t="inlineStr">
        <is>
          <t>Cash on Delivery</t>
        </is>
      </c>
      <c r="Q564" s="17" t="inlineStr">
        <is>
          <t>Delivered</t>
        </is>
      </c>
      <c r="R564" s="17" t="n">
        <v>4</v>
      </c>
      <c r="S564" s="17">
        <f>TEXT(B564,"yyyy-mm")</f>
        <v/>
      </c>
      <c r="T564" s="17">
        <f>VLOOKUP(D564,Customers!A:D,4,FALSE)</f>
        <v/>
      </c>
      <c r="U564" s="17">
        <f>CONCATENATE(A564,"-",G564)</f>
        <v/>
      </c>
      <c r="V564" s="17">
        <f>IF(N564="","",IF(N564&lt;=30,"Fast (&lt;30m)",IF(N564&lt;=45,"Moderate (30-45m)","Delayed (&gt;45m)")))</f>
        <v/>
      </c>
      <c r="W564" s="17">
        <f>IF(AND(I564&gt;600,P564="Delivered"),"High Value Delivered","Standard")</f>
        <v/>
      </c>
      <c r="X564" s="17">
        <f>IF(OR(N564&gt;50,Q564&lt;=2),"High Risk / Delayed","Normal")</f>
        <v/>
      </c>
      <c r="Y564" s="17">
        <f>IF(NOT(P564="Cancelled"),"Fulfilled","Cancelled")</f>
        <v/>
      </c>
      <c r="Z564" s="17">
        <f>IFERROR(Q564,0)</f>
        <v/>
      </c>
    </row>
    <row r="565">
      <c r="A565" s="25" t="inlineStr">
        <is>
          <t>ORD1564</t>
        </is>
      </c>
      <c r="B565" s="25" t="inlineStr">
        <is>
          <t>2025-02-07</t>
        </is>
      </c>
      <c r="C565" s="25" t="inlineStr">
        <is>
          <t>20:17:49</t>
        </is>
      </c>
      <c r="D565" s="25" t="n">
        <v>1007</v>
      </c>
      <c r="E565" s="25" t="n">
        <v>111</v>
      </c>
      <c r="F565" s="25" t="n">
        <v>205</v>
      </c>
      <c r="G565" s="25" t="inlineStr">
        <is>
          <t>Bangalore</t>
        </is>
      </c>
      <c r="H565" s="25" t="inlineStr">
        <is>
          <t>South Indian</t>
        </is>
      </c>
      <c r="I565" s="26" t="n">
        <v>283</v>
      </c>
      <c r="J565" s="26" t="n">
        <v>0</v>
      </c>
      <c r="K565" s="26" t="n">
        <v>32.5</v>
      </c>
      <c r="L565" s="27" t="n">
        <v>0.15</v>
      </c>
      <c r="M565" s="26" t="n">
        <v>50.58</v>
      </c>
      <c r="N565" s="28" t="n">
        <v>4.5</v>
      </c>
      <c r="O565" s="28" t="n">
        <v>38.5</v>
      </c>
      <c r="P565" s="25" t="inlineStr">
        <is>
          <t>UPI</t>
        </is>
      </c>
      <c r="Q565" s="25" t="inlineStr">
        <is>
          <t>Delivered</t>
        </is>
      </c>
      <c r="R565" s="25" t="n">
        <v>4</v>
      </c>
      <c r="S565" s="25">
        <f>TEXT(B565,"yyyy-mm")</f>
        <v/>
      </c>
      <c r="T565" s="25">
        <f>VLOOKUP(D565,Customers!A:D,4,FALSE)</f>
        <v/>
      </c>
      <c r="U565" s="25">
        <f>CONCATENATE(A565,"-",G565)</f>
        <v/>
      </c>
      <c r="V565" s="25">
        <f>IF(N565="","",IF(N565&lt;=30,"Fast (&lt;30m)",IF(N565&lt;=45,"Moderate (30-45m)","Delayed (&gt;45m)")))</f>
        <v/>
      </c>
      <c r="W565" s="25">
        <f>IF(AND(I565&gt;600,P565="Delivered"),"High Value Delivered","Standard")</f>
        <v/>
      </c>
      <c r="X565" s="25">
        <f>IF(OR(N565&gt;50,Q565&lt;=2),"High Risk / Delayed","Normal")</f>
        <v/>
      </c>
      <c r="Y565" s="25">
        <f>IF(NOT(P565="Cancelled"),"Fulfilled","Cancelled")</f>
        <v/>
      </c>
      <c r="Z565" s="25">
        <f>IFERROR(Q565,0)</f>
        <v/>
      </c>
    </row>
    <row r="566">
      <c r="A566" s="17" t="inlineStr">
        <is>
          <t>ORD1565</t>
        </is>
      </c>
      <c r="B566" s="17" t="inlineStr">
        <is>
          <t>2025-08-14</t>
        </is>
      </c>
      <c r="C566" s="17" t="inlineStr">
        <is>
          <t>13:04:31</t>
        </is>
      </c>
      <c r="D566" s="17" t="n">
        <v>1017</v>
      </c>
      <c r="E566" s="17" t="n">
        <v>113</v>
      </c>
      <c r="F566" s="17" t="n">
        <v>222</v>
      </c>
      <c r="G566" s="17" t="inlineStr">
        <is>
          <t>Mumbai</t>
        </is>
      </c>
      <c r="H566" s="17" t="inlineStr">
        <is>
          <t>Fast Food</t>
        </is>
      </c>
      <c r="I566" s="22" t="n">
        <v>425</v>
      </c>
      <c r="J566" s="22" t="n">
        <v>6.07</v>
      </c>
      <c r="K566" s="22" t="n">
        <v>25</v>
      </c>
      <c r="L566" s="23" t="n">
        <v>0.18</v>
      </c>
      <c r="M566" s="22" t="n">
        <v>82.75</v>
      </c>
      <c r="N566" s="24" t="n">
        <v>3</v>
      </c>
      <c r="O566" s="24" t="n">
        <v>28.9</v>
      </c>
      <c r="P566" s="17" t="inlineStr">
        <is>
          <t>Credit Card</t>
        </is>
      </c>
      <c r="Q566" s="17" t="inlineStr">
        <is>
          <t>Delivered</t>
        </is>
      </c>
      <c r="R566" s="17" t="n">
        <v>2</v>
      </c>
      <c r="S566" s="17">
        <f>TEXT(B566,"yyyy-mm")</f>
        <v/>
      </c>
      <c r="T566" s="17">
        <f>VLOOKUP(D566,Customers!A:D,4,FALSE)</f>
        <v/>
      </c>
      <c r="U566" s="17">
        <f>CONCATENATE(A566,"-",G566)</f>
        <v/>
      </c>
      <c r="V566" s="17">
        <f>IF(N566="","",IF(N566&lt;=30,"Fast (&lt;30m)",IF(N566&lt;=45,"Moderate (30-45m)","Delayed (&gt;45m)")))</f>
        <v/>
      </c>
      <c r="W566" s="17">
        <f>IF(AND(I566&gt;600,P566="Delivered"),"High Value Delivered","Standard")</f>
        <v/>
      </c>
      <c r="X566" s="17">
        <f>IF(OR(N566&gt;50,Q566&lt;=2),"High Risk / Delayed","Normal")</f>
        <v/>
      </c>
      <c r="Y566" s="17">
        <f>IF(NOT(P566="Cancelled"),"Fulfilled","Cancelled")</f>
        <v/>
      </c>
      <c r="Z566" s="17">
        <f>IFERROR(Q566,0)</f>
        <v/>
      </c>
    </row>
    <row r="567">
      <c r="A567" s="25" t="inlineStr">
        <is>
          <t>ORD1566</t>
        </is>
      </c>
      <c r="B567" s="25" t="inlineStr">
        <is>
          <t>2025-08-15</t>
        </is>
      </c>
      <c r="C567" s="25" t="inlineStr">
        <is>
          <t>20:45:16</t>
        </is>
      </c>
      <c r="D567" s="25" t="n">
        <v>1093</v>
      </c>
      <c r="E567" s="25" t="n">
        <v>104</v>
      </c>
      <c r="F567" s="25" t="n">
        <v>212</v>
      </c>
      <c r="G567" s="25" t="inlineStr">
        <is>
          <t>Delhi NCR</t>
        </is>
      </c>
      <c r="H567" s="25" t="inlineStr">
        <is>
          <t>Fast Food</t>
        </is>
      </c>
      <c r="I567" s="26" t="n">
        <v>325</v>
      </c>
      <c r="J567" s="26" t="n">
        <v>17.04</v>
      </c>
      <c r="K567" s="26" t="n">
        <v>58</v>
      </c>
      <c r="L567" s="27" t="n">
        <v>0.18</v>
      </c>
      <c r="M567" s="26" t="n">
        <v>73</v>
      </c>
      <c r="N567" s="28" t="n">
        <v>9.6</v>
      </c>
      <c r="O567" s="28" t="n">
        <v>59.9</v>
      </c>
      <c r="P567" s="25" t="inlineStr">
        <is>
          <t>Debit Card</t>
        </is>
      </c>
      <c r="Q567" s="25" t="inlineStr">
        <is>
          <t>Delivered</t>
        </is>
      </c>
      <c r="R567" s="25" t="n">
        <v>1</v>
      </c>
      <c r="S567" s="25">
        <f>TEXT(B567,"yyyy-mm")</f>
        <v/>
      </c>
      <c r="T567" s="25">
        <f>VLOOKUP(D567,Customers!A:D,4,FALSE)</f>
        <v/>
      </c>
      <c r="U567" s="25">
        <f>CONCATENATE(A567,"-",G567)</f>
        <v/>
      </c>
      <c r="V567" s="25">
        <f>IF(N567="","",IF(N567&lt;=30,"Fast (&lt;30m)",IF(N567&lt;=45,"Moderate (30-45m)","Delayed (&gt;45m)")))</f>
        <v/>
      </c>
      <c r="W567" s="25">
        <f>IF(AND(I567&gt;600,P567="Delivered"),"High Value Delivered","Standard")</f>
        <v/>
      </c>
      <c r="X567" s="25">
        <f>IF(OR(N567&gt;50,Q567&lt;=2),"High Risk / Delayed","Normal")</f>
        <v/>
      </c>
      <c r="Y567" s="25">
        <f>IF(NOT(P567="Cancelled"),"Fulfilled","Cancelled")</f>
        <v/>
      </c>
      <c r="Z567" s="25">
        <f>IFERROR(Q567,0)</f>
        <v/>
      </c>
    </row>
    <row r="568">
      <c r="A568" s="17" t="inlineStr">
        <is>
          <t>ORD1567</t>
        </is>
      </c>
      <c r="B568" s="17" t="inlineStr">
        <is>
          <t>2025-03-18</t>
        </is>
      </c>
      <c r="C568" s="17" t="inlineStr">
        <is>
          <t>19:41:40</t>
        </is>
      </c>
      <c r="D568" s="17" t="n">
        <v>1126</v>
      </c>
      <c r="E568" s="17" t="n">
        <v>102</v>
      </c>
      <c r="F568" s="17" t="n">
        <v>215</v>
      </c>
      <c r="G568" s="17" t="inlineStr">
        <is>
          <t>Hyderabad</t>
        </is>
      </c>
      <c r="H568" s="17" t="inlineStr">
        <is>
          <t>Biryani</t>
        </is>
      </c>
      <c r="I568" s="22" t="n">
        <v>220</v>
      </c>
      <c r="J568" s="22" t="n">
        <v>11.7</v>
      </c>
      <c r="K568" s="22" t="n">
        <v>57.5</v>
      </c>
      <c r="L568" s="23" t="n">
        <v>0.22</v>
      </c>
      <c r="M568" s="22" t="n">
        <v>62.78</v>
      </c>
      <c r="N568" s="24" t="n">
        <v>9.5</v>
      </c>
      <c r="O568" s="24" t="n">
        <v>53.2</v>
      </c>
      <c r="P568" s="17" t="inlineStr">
        <is>
          <t>Debit Card</t>
        </is>
      </c>
      <c r="Q568" s="17" t="inlineStr">
        <is>
          <t>Delivered</t>
        </is>
      </c>
      <c r="R568" s="17" t="n">
        <v>3</v>
      </c>
      <c r="S568" s="17">
        <f>TEXT(B568,"yyyy-mm")</f>
        <v/>
      </c>
      <c r="T568" s="17">
        <f>VLOOKUP(D568,Customers!A:D,4,FALSE)</f>
        <v/>
      </c>
      <c r="U568" s="17">
        <f>CONCATENATE(A568,"-",G568)</f>
        <v/>
      </c>
      <c r="V568" s="17">
        <f>IF(N568="","",IF(N568&lt;=30,"Fast (&lt;30m)",IF(N568&lt;=45,"Moderate (30-45m)","Delayed (&gt;45m)")))</f>
        <v/>
      </c>
      <c r="W568" s="17">
        <f>IF(AND(I568&gt;600,P568="Delivered"),"High Value Delivered","Standard")</f>
        <v/>
      </c>
      <c r="X568" s="17">
        <f>IF(OR(N568&gt;50,Q568&lt;=2),"High Risk / Delayed","Normal")</f>
        <v/>
      </c>
      <c r="Y568" s="17">
        <f>IF(NOT(P568="Cancelled"),"Fulfilled","Cancelled")</f>
        <v/>
      </c>
      <c r="Z568" s="17">
        <f>IFERROR(Q568,0)</f>
        <v/>
      </c>
    </row>
    <row r="569">
      <c r="A569" s="25" t="inlineStr">
        <is>
          <t>ORD1568</t>
        </is>
      </c>
      <c r="B569" s="25" t="inlineStr">
        <is>
          <t>2025-09-02</t>
        </is>
      </c>
      <c r="C569" s="25" t="inlineStr">
        <is>
          <t>21:27:25</t>
        </is>
      </c>
      <c r="D569" s="25" t="n">
        <v>1189</v>
      </c>
      <c r="E569" s="25" t="n">
        <v>109</v>
      </c>
      <c r="F569" s="25" t="n">
        <v>215</v>
      </c>
      <c r="G569" s="25" t="inlineStr">
        <is>
          <t>Hyderabad</t>
        </is>
      </c>
      <c r="H569" s="25" t="inlineStr">
        <is>
          <t>Biryani</t>
        </is>
      </c>
      <c r="I569" s="26" t="n">
        <v>291</v>
      </c>
      <c r="J569" s="26" t="n">
        <v>0.08</v>
      </c>
      <c r="K569" s="26" t="n">
        <v>27</v>
      </c>
      <c r="L569" s="27" t="n">
        <v>0.2</v>
      </c>
      <c r="M569" s="26" t="n">
        <v>64.95</v>
      </c>
      <c r="N569" s="28" t="n">
        <v>3.4</v>
      </c>
      <c r="O569" s="28" t="n">
        <v>39.8</v>
      </c>
      <c r="P569" s="25" t="inlineStr">
        <is>
          <t>Cash on Delivery</t>
        </is>
      </c>
      <c r="Q569" s="25" t="inlineStr">
        <is>
          <t>Delivered</t>
        </is>
      </c>
      <c r="R569" s="25" t="n">
        <v>5</v>
      </c>
      <c r="S569" s="25">
        <f>TEXT(B569,"yyyy-mm")</f>
        <v/>
      </c>
      <c r="T569" s="25">
        <f>VLOOKUP(D569,Customers!A:D,4,FALSE)</f>
        <v/>
      </c>
      <c r="U569" s="25">
        <f>CONCATENATE(A569,"-",G569)</f>
        <v/>
      </c>
      <c r="V569" s="25">
        <f>IF(N569="","",IF(N569&lt;=30,"Fast (&lt;30m)",IF(N569&lt;=45,"Moderate (30-45m)","Delayed (&gt;45m)")))</f>
        <v/>
      </c>
      <c r="W569" s="25">
        <f>IF(AND(I569&gt;600,P569="Delivered"),"High Value Delivered","Standard")</f>
        <v/>
      </c>
      <c r="X569" s="25">
        <f>IF(OR(N569&gt;50,Q569&lt;=2),"High Risk / Delayed","Normal")</f>
        <v/>
      </c>
      <c r="Y569" s="25">
        <f>IF(NOT(P569="Cancelled"),"Fulfilled","Cancelled")</f>
        <v/>
      </c>
      <c r="Z569" s="25">
        <f>IFERROR(Q569,0)</f>
        <v/>
      </c>
    </row>
    <row r="570">
      <c r="A570" s="17" t="inlineStr">
        <is>
          <t>ORD1569</t>
        </is>
      </c>
      <c r="B570" s="17" t="inlineStr">
        <is>
          <t>2025-06-20</t>
        </is>
      </c>
      <c r="C570" s="17" t="inlineStr">
        <is>
          <t>22:43:19</t>
        </is>
      </c>
      <c r="D570" s="17" t="n">
        <v>1187</v>
      </c>
      <c r="E570" s="17" t="n">
        <v>113</v>
      </c>
      <c r="F570" s="17" t="n">
        <v>206</v>
      </c>
      <c r="G570" s="17" t="inlineStr">
        <is>
          <t>Mumbai</t>
        </is>
      </c>
      <c r="H570" s="17" t="inlineStr">
        <is>
          <t>Fast Food</t>
        </is>
      </c>
      <c r="I570" s="22" t="n">
        <v>630</v>
      </c>
      <c r="J570" s="22" t="n">
        <v>33.93</v>
      </c>
      <c r="K570" s="22" t="n">
        <v>28</v>
      </c>
      <c r="L570" s="23" t="n">
        <v>0.18</v>
      </c>
      <c r="M570" s="22" t="n">
        <v>120.4</v>
      </c>
      <c r="N570" s="24" t="n">
        <v>3.6</v>
      </c>
      <c r="O570" s="24" t="n">
        <v>34.3</v>
      </c>
      <c r="P570" s="17" t="inlineStr">
        <is>
          <t>UPI</t>
        </is>
      </c>
      <c r="Q570" s="17" t="inlineStr">
        <is>
          <t>Delivered</t>
        </is>
      </c>
      <c r="R570" s="17" t="n">
        <v>4</v>
      </c>
      <c r="S570" s="17">
        <f>TEXT(B570,"yyyy-mm")</f>
        <v/>
      </c>
      <c r="T570" s="17">
        <f>VLOOKUP(D570,Customers!A:D,4,FALSE)</f>
        <v/>
      </c>
      <c r="U570" s="17">
        <f>CONCATENATE(A570,"-",G570)</f>
        <v/>
      </c>
      <c r="V570" s="17">
        <f>IF(N570="","",IF(N570&lt;=30,"Fast (&lt;30m)",IF(N570&lt;=45,"Moderate (30-45m)","Delayed (&gt;45m)")))</f>
        <v/>
      </c>
      <c r="W570" s="17">
        <f>IF(AND(I570&gt;600,P570="Delivered"),"High Value Delivered","Standard")</f>
        <v/>
      </c>
      <c r="X570" s="17">
        <f>IF(OR(N570&gt;50,Q570&lt;=2),"High Risk / Delayed","Normal")</f>
        <v/>
      </c>
      <c r="Y570" s="17">
        <f>IF(NOT(P570="Cancelled"),"Fulfilled","Cancelled")</f>
        <v/>
      </c>
      <c r="Z570" s="17">
        <f>IFERROR(Q570,0)</f>
        <v/>
      </c>
    </row>
    <row r="571">
      <c r="A571" s="25" t="inlineStr">
        <is>
          <t>ORD1570</t>
        </is>
      </c>
      <c r="B571" s="25" t="inlineStr">
        <is>
          <t>2025-08-24</t>
        </is>
      </c>
      <c r="C571" s="25" t="inlineStr">
        <is>
          <t>13:48:49</t>
        </is>
      </c>
      <c r="D571" s="25" t="n">
        <v>1143</v>
      </c>
      <c r="E571" s="25" t="n">
        <v>119</v>
      </c>
      <c r="F571" s="25" t="n">
        <v>215</v>
      </c>
      <c r="G571" s="25" t="inlineStr">
        <is>
          <t>Hyderabad</t>
        </is>
      </c>
      <c r="H571" s="25" t="inlineStr">
        <is>
          <t>Biryani</t>
        </is>
      </c>
      <c r="I571" s="26" t="n">
        <v>516</v>
      </c>
      <c r="J571" s="26" t="n">
        <v>7.29</v>
      </c>
      <c r="K571" s="26" t="n">
        <v>56</v>
      </c>
      <c r="L571" s="27" t="n">
        <v>0.2</v>
      </c>
      <c r="M571" s="26" t="n">
        <v>117.2</v>
      </c>
      <c r="N571" s="28" t="n">
        <v>9.199999999999999</v>
      </c>
      <c r="O571" s="28" t="n">
        <v>47.5</v>
      </c>
      <c r="P571" s="25" t="inlineStr">
        <is>
          <t>Cash on Delivery</t>
        </is>
      </c>
      <c r="Q571" s="25" t="inlineStr">
        <is>
          <t>Delivered</t>
        </is>
      </c>
      <c r="R571" s="25" t="n">
        <v>3</v>
      </c>
      <c r="S571" s="25">
        <f>TEXT(B571,"yyyy-mm")</f>
        <v/>
      </c>
      <c r="T571" s="25">
        <f>VLOOKUP(D571,Customers!A:D,4,FALSE)</f>
        <v/>
      </c>
      <c r="U571" s="25">
        <f>CONCATENATE(A571,"-",G571)</f>
        <v/>
      </c>
      <c r="V571" s="25">
        <f>IF(N571="","",IF(N571&lt;=30,"Fast (&lt;30m)",IF(N571&lt;=45,"Moderate (30-45m)","Delayed (&gt;45m)")))</f>
        <v/>
      </c>
      <c r="W571" s="25">
        <f>IF(AND(I571&gt;600,P571="Delivered"),"High Value Delivered","Standard")</f>
        <v/>
      </c>
      <c r="X571" s="25">
        <f>IF(OR(N571&gt;50,Q571&lt;=2),"High Risk / Delayed","Normal")</f>
        <v/>
      </c>
      <c r="Y571" s="25">
        <f>IF(NOT(P571="Cancelled"),"Fulfilled","Cancelled")</f>
        <v/>
      </c>
      <c r="Z571" s="25">
        <f>IFERROR(Q571,0)</f>
        <v/>
      </c>
    </row>
    <row r="572">
      <c r="A572" s="17" t="inlineStr">
        <is>
          <t>ORD1571</t>
        </is>
      </c>
      <c r="B572" s="17" t="inlineStr">
        <is>
          <t>2025-02-24</t>
        </is>
      </c>
      <c r="C572" s="17" t="inlineStr">
        <is>
          <t>19:40:44</t>
        </is>
      </c>
      <c r="D572" s="17" t="n">
        <v>1096</v>
      </c>
      <c r="E572" s="17" t="n">
        <v>119</v>
      </c>
      <c r="F572" s="17" t="n">
        <v>216</v>
      </c>
      <c r="G572" s="17" t="inlineStr">
        <is>
          <t>Hyderabad</t>
        </is>
      </c>
      <c r="H572" s="17" t="inlineStr">
        <is>
          <t>Biryani</t>
        </is>
      </c>
      <c r="I572" s="22" t="n">
        <v>587</v>
      </c>
      <c r="J572" s="22" t="n">
        <v>0</v>
      </c>
      <c r="K572" s="22" t="n">
        <v>30.5</v>
      </c>
      <c r="L572" s="23" t="n">
        <v>0.2</v>
      </c>
      <c r="M572" s="22" t="n">
        <v>125.02</v>
      </c>
      <c r="N572" s="24" t="n">
        <v>4.1</v>
      </c>
      <c r="O572" s="24" t="n">
        <v>37</v>
      </c>
      <c r="P572" s="17" t="inlineStr">
        <is>
          <t>Cash on Delivery</t>
        </is>
      </c>
      <c r="Q572" s="17" t="inlineStr">
        <is>
          <t>Delivered</t>
        </is>
      </c>
      <c r="R572" s="17" t="n">
        <v>3</v>
      </c>
      <c r="S572" s="17">
        <f>TEXT(B572,"yyyy-mm")</f>
        <v/>
      </c>
      <c r="T572" s="17">
        <f>VLOOKUP(D572,Customers!A:D,4,FALSE)</f>
        <v/>
      </c>
      <c r="U572" s="17">
        <f>CONCATENATE(A572,"-",G572)</f>
        <v/>
      </c>
      <c r="V572" s="17">
        <f>IF(N572="","",IF(N572&lt;=30,"Fast (&lt;30m)",IF(N572&lt;=45,"Moderate (30-45m)","Delayed (&gt;45m)")))</f>
        <v/>
      </c>
      <c r="W572" s="17">
        <f>IF(AND(I572&gt;600,P572="Delivered"),"High Value Delivered","Standard")</f>
        <v/>
      </c>
      <c r="X572" s="17">
        <f>IF(OR(N572&gt;50,Q572&lt;=2),"High Risk / Delayed","Normal")</f>
        <v/>
      </c>
      <c r="Y572" s="17">
        <f>IF(NOT(P572="Cancelled"),"Fulfilled","Cancelled")</f>
        <v/>
      </c>
      <c r="Z572" s="17">
        <f>IFERROR(Q572,0)</f>
        <v/>
      </c>
    </row>
    <row r="573">
      <c r="A573" s="25" t="inlineStr">
        <is>
          <t>ORD1572</t>
        </is>
      </c>
      <c r="B573" s="25" t="inlineStr">
        <is>
          <t>2025-04-09</t>
        </is>
      </c>
      <c r="C573" s="25" t="inlineStr">
        <is>
          <t>22:01:46</t>
        </is>
      </c>
      <c r="D573" s="25" t="n">
        <v>1115</v>
      </c>
      <c r="E573" s="25" t="n">
        <v>102</v>
      </c>
      <c r="F573" s="25" t="n">
        <v>225</v>
      </c>
      <c r="G573" s="25" t="inlineStr">
        <is>
          <t>Hyderabad</t>
        </is>
      </c>
      <c r="H573" s="25" t="inlineStr">
        <is>
          <t>Biryani</t>
        </is>
      </c>
      <c r="I573" s="26" t="n">
        <v>827</v>
      </c>
      <c r="J573" s="26" t="n">
        <v>55.16</v>
      </c>
      <c r="K573" s="26" t="n">
        <v>35</v>
      </c>
      <c r="L573" s="27" t="n">
        <v>0.22</v>
      </c>
      <c r="M573" s="26" t="n">
        <v>190.69</v>
      </c>
      <c r="N573" s="28" t="n">
        <v>5</v>
      </c>
      <c r="O573" s="28" t="n">
        <v>30.7</v>
      </c>
      <c r="P573" s="25" t="inlineStr">
        <is>
          <t>Digital Wallet</t>
        </is>
      </c>
      <c r="Q573" s="25" t="inlineStr">
        <is>
          <t>Delivered</t>
        </is>
      </c>
      <c r="R573" s="25" t="n">
        <v>5</v>
      </c>
      <c r="S573" s="25">
        <f>TEXT(B573,"yyyy-mm")</f>
        <v/>
      </c>
      <c r="T573" s="25">
        <f>VLOOKUP(D573,Customers!A:D,4,FALSE)</f>
        <v/>
      </c>
      <c r="U573" s="25">
        <f>CONCATENATE(A573,"-",G573)</f>
        <v/>
      </c>
      <c r="V573" s="25">
        <f>IF(N573="","",IF(N573&lt;=30,"Fast (&lt;30m)",IF(N573&lt;=45,"Moderate (30-45m)","Delayed (&gt;45m)")))</f>
        <v/>
      </c>
      <c r="W573" s="25">
        <f>IF(AND(I573&gt;600,P573="Delivered"),"High Value Delivered","Standard")</f>
        <v/>
      </c>
      <c r="X573" s="25">
        <f>IF(OR(N573&gt;50,Q573&lt;=2),"High Risk / Delayed","Normal")</f>
        <v/>
      </c>
      <c r="Y573" s="25">
        <f>IF(NOT(P573="Cancelled"),"Fulfilled","Cancelled")</f>
        <v/>
      </c>
      <c r="Z573" s="25">
        <f>IFERROR(Q573,0)</f>
        <v/>
      </c>
    </row>
    <row r="574">
      <c r="A574" s="17" t="inlineStr">
        <is>
          <t>ORD1573</t>
        </is>
      </c>
      <c r="B574" s="17" t="inlineStr">
        <is>
          <t>2025-01-09</t>
        </is>
      </c>
      <c r="C574" s="17" t="inlineStr">
        <is>
          <t>19:02:21</t>
        </is>
      </c>
      <c r="D574" s="17" t="n">
        <v>1127</v>
      </c>
      <c r="E574" s="17" t="n">
        <v>112</v>
      </c>
      <c r="F574" s="17" t="n">
        <v>212</v>
      </c>
      <c r="G574" s="17" t="inlineStr">
        <is>
          <t>Delhi NCR</t>
        </is>
      </c>
      <c r="H574" s="17" t="inlineStr">
        <is>
          <t>North Indian</t>
        </is>
      </c>
      <c r="I574" s="22" t="n">
        <v>277</v>
      </c>
      <c r="J574" s="22" t="n">
        <v>20.4</v>
      </c>
      <c r="K574" s="22" t="n">
        <v>38.5</v>
      </c>
      <c r="L574" s="23" t="n">
        <v>0.22</v>
      </c>
      <c r="M574" s="22" t="n">
        <v>70.56</v>
      </c>
      <c r="N574" s="24" t="n">
        <v>5.7</v>
      </c>
      <c r="O574" s="24" t="n">
        <v>49.4</v>
      </c>
      <c r="P574" s="17" t="inlineStr">
        <is>
          <t>Cash on Delivery</t>
        </is>
      </c>
      <c r="Q574" s="17" t="inlineStr">
        <is>
          <t>Delivered</t>
        </is>
      </c>
      <c r="R574" s="17" t="n">
        <v>1</v>
      </c>
      <c r="S574" s="17">
        <f>TEXT(B574,"yyyy-mm")</f>
        <v/>
      </c>
      <c r="T574" s="17">
        <f>VLOOKUP(D574,Customers!A:D,4,FALSE)</f>
        <v/>
      </c>
      <c r="U574" s="17">
        <f>CONCATENATE(A574,"-",G574)</f>
        <v/>
      </c>
      <c r="V574" s="17">
        <f>IF(N574="","",IF(N574&lt;=30,"Fast (&lt;30m)",IF(N574&lt;=45,"Moderate (30-45m)","Delayed (&gt;45m)")))</f>
        <v/>
      </c>
      <c r="W574" s="17">
        <f>IF(AND(I574&gt;600,P574="Delivered"),"High Value Delivered","Standard")</f>
        <v/>
      </c>
      <c r="X574" s="17">
        <f>IF(OR(N574&gt;50,Q574&lt;=2),"High Risk / Delayed","Normal")</f>
        <v/>
      </c>
      <c r="Y574" s="17">
        <f>IF(NOT(P574="Cancelled"),"Fulfilled","Cancelled")</f>
        <v/>
      </c>
      <c r="Z574" s="17">
        <f>IFERROR(Q574,0)</f>
        <v/>
      </c>
    </row>
    <row r="575">
      <c r="A575" s="25" t="inlineStr">
        <is>
          <t>ORD1574</t>
        </is>
      </c>
      <c r="B575" s="25" t="inlineStr">
        <is>
          <t>2025-12-01</t>
        </is>
      </c>
      <c r="C575" s="25" t="inlineStr">
        <is>
          <t>21:42:33</t>
        </is>
      </c>
      <c r="D575" s="25" t="n">
        <v>1264</v>
      </c>
      <c r="E575" s="25" t="n">
        <v>115</v>
      </c>
      <c r="F575" s="25" t="n">
        <v>220</v>
      </c>
      <c r="G575" s="25" t="inlineStr">
        <is>
          <t>Bangalore</t>
        </is>
      </c>
      <c r="H575" s="25" t="inlineStr">
        <is>
          <t>Italian</t>
        </is>
      </c>
      <c r="I575" s="26" t="n">
        <v>689</v>
      </c>
      <c r="J575" s="26" t="n">
        <v>47.97</v>
      </c>
      <c r="K575" s="26" t="n">
        <v>69.5</v>
      </c>
      <c r="L575" s="27" t="n">
        <v>0.2</v>
      </c>
      <c r="M575" s="26" t="n">
        <v>155.18</v>
      </c>
      <c r="N575" s="28" t="n">
        <v>11.9</v>
      </c>
      <c r="O575" s="28" t="n">
        <v>66.3</v>
      </c>
      <c r="P575" s="25" t="inlineStr">
        <is>
          <t>Digital Wallet</t>
        </is>
      </c>
      <c r="Q575" s="25" t="inlineStr">
        <is>
          <t>Delivered</t>
        </is>
      </c>
      <c r="R575" s="25" t="n">
        <v>4</v>
      </c>
      <c r="S575" s="25">
        <f>TEXT(B575,"yyyy-mm")</f>
        <v/>
      </c>
      <c r="T575" s="25">
        <f>VLOOKUP(D575,Customers!A:D,4,FALSE)</f>
        <v/>
      </c>
      <c r="U575" s="25">
        <f>CONCATENATE(A575,"-",G575)</f>
        <v/>
      </c>
      <c r="V575" s="25">
        <f>IF(N575="","",IF(N575&lt;=30,"Fast (&lt;30m)",IF(N575&lt;=45,"Moderate (30-45m)","Delayed (&gt;45m)")))</f>
        <v/>
      </c>
      <c r="W575" s="25">
        <f>IF(AND(I575&gt;600,P575="Delivered"),"High Value Delivered","Standard")</f>
        <v/>
      </c>
      <c r="X575" s="25">
        <f>IF(OR(N575&gt;50,Q575&lt;=2),"High Risk / Delayed","Normal")</f>
        <v/>
      </c>
      <c r="Y575" s="25">
        <f>IF(NOT(P575="Cancelled"),"Fulfilled","Cancelled")</f>
        <v/>
      </c>
      <c r="Z575" s="25">
        <f>IFERROR(Q575,0)</f>
        <v/>
      </c>
    </row>
    <row r="576">
      <c r="A576" s="17" t="inlineStr">
        <is>
          <t>ORD1575</t>
        </is>
      </c>
      <c r="B576" s="17" t="inlineStr">
        <is>
          <t>2025-01-19</t>
        </is>
      </c>
      <c r="C576" s="17" t="inlineStr">
        <is>
          <t>20:47:09</t>
        </is>
      </c>
      <c r="D576" s="17" t="n">
        <v>1152</v>
      </c>
      <c r="E576" s="17" t="n">
        <v>119</v>
      </c>
      <c r="F576" s="17" t="n">
        <v>215</v>
      </c>
      <c r="G576" s="17" t="inlineStr">
        <is>
          <t>Hyderabad</t>
        </is>
      </c>
      <c r="H576" s="17" t="inlineStr">
        <is>
          <t>Biryani</t>
        </is>
      </c>
      <c r="I576" s="22" t="n">
        <v>720</v>
      </c>
      <c r="J576" s="22" t="n">
        <v>27.14</v>
      </c>
      <c r="K576" s="22" t="n">
        <v>31.5</v>
      </c>
      <c r="L576" s="23" t="n">
        <v>0.2</v>
      </c>
      <c r="M576" s="22" t="n">
        <v>151.88</v>
      </c>
      <c r="N576" s="24" t="n">
        <v>4.3</v>
      </c>
      <c r="O576" s="24" t="n">
        <v/>
      </c>
      <c r="P576" s="17" t="inlineStr">
        <is>
          <t>UPI</t>
        </is>
      </c>
      <c r="Q576" s="17" t="inlineStr">
        <is>
          <t>Cancelled</t>
        </is>
      </c>
      <c r="R576" s="17" t="n">
        <v/>
      </c>
      <c r="S576" s="17">
        <f>TEXT(B576,"yyyy-mm")</f>
        <v/>
      </c>
      <c r="T576" s="17">
        <f>VLOOKUP(D576,Customers!A:D,4,FALSE)</f>
        <v/>
      </c>
      <c r="U576" s="17">
        <f>CONCATENATE(A576,"-",G576)</f>
        <v/>
      </c>
      <c r="V576" s="17">
        <f>IF(N576="","",IF(N576&lt;=30,"Fast (&lt;30m)",IF(N576&lt;=45,"Moderate (30-45m)","Delayed (&gt;45m)")))</f>
        <v/>
      </c>
      <c r="W576" s="17">
        <f>IF(AND(I576&gt;600,P576="Delivered"),"High Value Delivered","Standard")</f>
        <v/>
      </c>
      <c r="X576" s="17">
        <f>IF(OR(N576&gt;50,Q576&lt;=2),"High Risk / Delayed","Normal")</f>
        <v/>
      </c>
      <c r="Y576" s="17">
        <f>IF(NOT(P576="Cancelled"),"Fulfilled","Cancelled")</f>
        <v/>
      </c>
      <c r="Z576" s="17">
        <f>IFERROR(Q576,0)</f>
        <v/>
      </c>
    </row>
    <row r="577">
      <c r="A577" s="25" t="inlineStr">
        <is>
          <t>ORD1576</t>
        </is>
      </c>
      <c r="B577" s="25" t="inlineStr">
        <is>
          <t>2025-01-08</t>
        </is>
      </c>
      <c r="C577" s="25" t="inlineStr">
        <is>
          <t>12:11:40</t>
        </is>
      </c>
      <c r="D577" s="25" t="n">
        <v>1105</v>
      </c>
      <c r="E577" s="25" t="n">
        <v>111</v>
      </c>
      <c r="F577" s="25" t="n">
        <v>218</v>
      </c>
      <c r="G577" s="25" t="inlineStr">
        <is>
          <t>Bangalore</t>
        </is>
      </c>
      <c r="H577" s="25" t="inlineStr">
        <is>
          <t>South Indian</t>
        </is>
      </c>
      <c r="I577" s="26" t="n">
        <v>602</v>
      </c>
      <c r="J577" s="26" t="n">
        <v>78.7</v>
      </c>
      <c r="K577" s="26" t="n">
        <v>0</v>
      </c>
      <c r="L577" s="27" t="n">
        <v>0.15</v>
      </c>
      <c r="M577" s="26" t="n">
        <v>90.3</v>
      </c>
      <c r="N577" s="28" t="n">
        <v>2.4</v>
      </c>
      <c r="O577" s="28" t="n">
        <v>29.6</v>
      </c>
      <c r="P577" s="25" t="inlineStr">
        <is>
          <t>Cash on Delivery</t>
        </is>
      </c>
      <c r="Q577" s="25" t="inlineStr">
        <is>
          <t>Delivered</t>
        </is>
      </c>
      <c r="R577" s="25" t="n">
        <v>4</v>
      </c>
      <c r="S577" s="25">
        <f>TEXT(B577,"yyyy-mm")</f>
        <v/>
      </c>
      <c r="T577" s="25">
        <f>VLOOKUP(D577,Customers!A:D,4,FALSE)</f>
        <v/>
      </c>
      <c r="U577" s="25">
        <f>CONCATENATE(A577,"-",G577)</f>
        <v/>
      </c>
      <c r="V577" s="25">
        <f>IF(N577="","",IF(N577&lt;=30,"Fast (&lt;30m)",IF(N577&lt;=45,"Moderate (30-45m)","Delayed (&gt;45m)")))</f>
        <v/>
      </c>
      <c r="W577" s="25">
        <f>IF(AND(I577&gt;600,P577="Delivered"),"High Value Delivered","Standard")</f>
        <v/>
      </c>
      <c r="X577" s="25">
        <f>IF(OR(N577&gt;50,Q577&lt;=2),"High Risk / Delayed","Normal")</f>
        <v/>
      </c>
      <c r="Y577" s="25">
        <f>IF(NOT(P577="Cancelled"),"Fulfilled","Cancelled")</f>
        <v/>
      </c>
      <c r="Z577" s="25">
        <f>IFERROR(Q577,0)</f>
        <v/>
      </c>
    </row>
    <row r="578">
      <c r="A578" s="17" t="inlineStr">
        <is>
          <t>ORD1577</t>
        </is>
      </c>
      <c r="B578" s="17" t="inlineStr">
        <is>
          <t>2025-02-28</t>
        </is>
      </c>
      <c r="C578" s="17" t="inlineStr">
        <is>
          <t>13:31:38</t>
        </is>
      </c>
      <c r="D578" s="17" t="n">
        <v>1160</v>
      </c>
      <c r="E578" s="17" t="n">
        <v>116</v>
      </c>
      <c r="F578" s="17" t="n">
        <v>204</v>
      </c>
      <c r="G578" s="17" t="inlineStr">
        <is>
          <t>Pune</t>
        </is>
      </c>
      <c r="H578" s="17" t="inlineStr">
        <is>
          <t>Desserts</t>
        </is>
      </c>
      <c r="I578" s="22" t="n">
        <v>850</v>
      </c>
      <c r="J578" s="22" t="n">
        <v>55.62</v>
      </c>
      <c r="K578" s="22" t="n">
        <v>36</v>
      </c>
      <c r="L578" s="23" t="n">
        <v>0.25</v>
      </c>
      <c r="M578" s="22" t="n">
        <v>221.5</v>
      </c>
      <c r="N578" s="24" t="n">
        <v>5.2</v>
      </c>
      <c r="O578" s="24" t="n">
        <v>40.1</v>
      </c>
      <c r="P578" s="17" t="inlineStr">
        <is>
          <t>Cash on Delivery</t>
        </is>
      </c>
      <c r="Q578" s="17" t="inlineStr">
        <is>
          <t>Delivered</t>
        </is>
      </c>
      <c r="R578" s="17" t="n">
        <v>2</v>
      </c>
      <c r="S578" s="17">
        <f>TEXT(B578,"yyyy-mm")</f>
        <v/>
      </c>
      <c r="T578" s="17">
        <f>VLOOKUP(D578,Customers!A:D,4,FALSE)</f>
        <v/>
      </c>
      <c r="U578" s="17">
        <f>CONCATENATE(A578,"-",G578)</f>
        <v/>
      </c>
      <c r="V578" s="17">
        <f>IF(N578="","",IF(N578&lt;=30,"Fast (&lt;30m)",IF(N578&lt;=45,"Moderate (30-45m)","Delayed (&gt;45m)")))</f>
        <v/>
      </c>
      <c r="W578" s="17">
        <f>IF(AND(I578&gt;600,P578="Delivered"),"High Value Delivered","Standard")</f>
        <v/>
      </c>
      <c r="X578" s="17">
        <f>IF(OR(N578&gt;50,Q578&lt;=2),"High Risk / Delayed","Normal")</f>
        <v/>
      </c>
      <c r="Y578" s="17">
        <f>IF(NOT(P578="Cancelled"),"Fulfilled","Cancelled")</f>
        <v/>
      </c>
      <c r="Z578" s="17">
        <f>IFERROR(Q578,0)</f>
        <v/>
      </c>
    </row>
    <row r="579">
      <c r="A579" s="25" t="inlineStr">
        <is>
          <t>ORD1578</t>
        </is>
      </c>
      <c r="B579" s="25" t="inlineStr">
        <is>
          <t>2025-03-03</t>
        </is>
      </c>
      <c r="C579" s="25" t="inlineStr">
        <is>
          <t>13:43:36</t>
        </is>
      </c>
      <c r="D579" s="25" t="n">
        <v>1166</v>
      </c>
      <c r="E579" s="25" t="n">
        <v>101</v>
      </c>
      <c r="F579" s="25" t="n">
        <v>203</v>
      </c>
      <c r="G579" s="25" t="inlineStr">
        <is>
          <t>Bangalore</t>
        </is>
      </c>
      <c r="H579" s="25" t="inlineStr">
        <is>
          <t>North Indian</t>
        </is>
      </c>
      <c r="I579" s="26" t="n">
        <v>778</v>
      </c>
      <c r="J579" s="26" t="n">
        <v>46.38</v>
      </c>
      <c r="K579" s="26" t="n">
        <v>28</v>
      </c>
      <c r="L579" s="27" t="n">
        <v>0.2</v>
      </c>
      <c r="M579" s="26" t="n">
        <v>162.6</v>
      </c>
      <c r="N579" s="28" t="n">
        <v>3.6</v>
      </c>
      <c r="O579" s="28" t="n">
        <v>35.9</v>
      </c>
      <c r="P579" s="25" t="inlineStr">
        <is>
          <t>Credit Card</t>
        </is>
      </c>
      <c r="Q579" s="25" t="inlineStr">
        <is>
          <t>Delivered</t>
        </is>
      </c>
      <c r="R579" s="25" t="n">
        <v>4</v>
      </c>
      <c r="S579" s="25">
        <f>TEXT(B579,"yyyy-mm")</f>
        <v/>
      </c>
      <c r="T579" s="25">
        <f>VLOOKUP(D579,Customers!A:D,4,FALSE)</f>
        <v/>
      </c>
      <c r="U579" s="25">
        <f>CONCATENATE(A579,"-",G579)</f>
        <v/>
      </c>
      <c r="V579" s="25">
        <f>IF(N579="","",IF(N579&lt;=30,"Fast (&lt;30m)",IF(N579&lt;=45,"Moderate (30-45m)","Delayed (&gt;45m)")))</f>
        <v/>
      </c>
      <c r="W579" s="25">
        <f>IF(AND(I579&gt;600,P579="Delivered"),"High Value Delivered","Standard")</f>
        <v/>
      </c>
      <c r="X579" s="25">
        <f>IF(OR(N579&gt;50,Q579&lt;=2),"High Risk / Delayed","Normal")</f>
        <v/>
      </c>
      <c r="Y579" s="25">
        <f>IF(NOT(P579="Cancelled"),"Fulfilled","Cancelled")</f>
        <v/>
      </c>
      <c r="Z579" s="25">
        <f>IFERROR(Q579,0)</f>
        <v/>
      </c>
    </row>
    <row r="580">
      <c r="A580" s="17" t="inlineStr">
        <is>
          <t>ORD1579</t>
        </is>
      </c>
      <c r="B580" s="17" t="inlineStr">
        <is>
          <t>2025-06-21</t>
        </is>
      </c>
      <c r="C580" s="17" t="inlineStr">
        <is>
          <t>10:04:07</t>
        </is>
      </c>
      <c r="D580" s="17" t="n">
        <v>1165</v>
      </c>
      <c r="E580" s="17" t="n">
        <v>117</v>
      </c>
      <c r="F580" s="17" t="n">
        <v>222</v>
      </c>
      <c r="G580" s="17" t="inlineStr">
        <is>
          <t>Mumbai</t>
        </is>
      </c>
      <c r="H580" s="17" t="inlineStr">
        <is>
          <t>Chinese</t>
        </is>
      </c>
      <c r="I580" s="22" t="n">
        <v>500</v>
      </c>
      <c r="J580" s="22" t="n">
        <v>0</v>
      </c>
      <c r="K580" s="22" t="n">
        <v>48</v>
      </c>
      <c r="L580" s="23" t="n">
        <v>0.2</v>
      </c>
      <c r="M580" s="22" t="n">
        <v>112</v>
      </c>
      <c r="N580" s="24" t="n">
        <v>7.6</v>
      </c>
      <c r="O580" s="24" t="n">
        <v>42.7</v>
      </c>
      <c r="P580" s="17" t="inlineStr">
        <is>
          <t>Debit Card</t>
        </is>
      </c>
      <c r="Q580" s="17" t="inlineStr">
        <is>
          <t>Delivered</t>
        </is>
      </c>
      <c r="R580" s="17" t="n">
        <v>3</v>
      </c>
      <c r="S580" s="17">
        <f>TEXT(B580,"yyyy-mm")</f>
        <v/>
      </c>
      <c r="T580" s="17">
        <f>VLOOKUP(D580,Customers!A:D,4,FALSE)</f>
        <v/>
      </c>
      <c r="U580" s="17">
        <f>CONCATENATE(A580,"-",G580)</f>
        <v/>
      </c>
      <c r="V580" s="17">
        <f>IF(N580="","",IF(N580&lt;=30,"Fast (&lt;30m)",IF(N580&lt;=45,"Moderate (30-45m)","Delayed (&gt;45m)")))</f>
        <v/>
      </c>
      <c r="W580" s="17">
        <f>IF(AND(I580&gt;600,P580="Delivered"),"High Value Delivered","Standard")</f>
        <v/>
      </c>
      <c r="X580" s="17">
        <f>IF(OR(N580&gt;50,Q580&lt;=2),"High Risk / Delayed","Normal")</f>
        <v/>
      </c>
      <c r="Y580" s="17">
        <f>IF(NOT(P580="Cancelled"),"Fulfilled","Cancelled")</f>
        <v/>
      </c>
      <c r="Z580" s="17">
        <f>IFERROR(Q580,0)</f>
        <v/>
      </c>
    </row>
    <row r="581">
      <c r="A581" s="25" t="inlineStr">
        <is>
          <t>ORD1580</t>
        </is>
      </c>
      <c r="B581" s="25" t="inlineStr">
        <is>
          <t>2025-10-25</t>
        </is>
      </c>
      <c r="C581" s="25" t="inlineStr">
        <is>
          <t>12:02:08</t>
        </is>
      </c>
      <c r="D581" s="25" t="n">
        <v>1108</v>
      </c>
      <c r="E581" s="25" t="n">
        <v>116</v>
      </c>
      <c r="F581" s="25" t="n">
        <v>208</v>
      </c>
      <c r="G581" s="25" t="inlineStr">
        <is>
          <t>Pune</t>
        </is>
      </c>
      <c r="H581" s="25" t="inlineStr">
        <is>
          <t>Desserts</t>
        </is>
      </c>
      <c r="I581" s="26" t="n">
        <v>322</v>
      </c>
      <c r="J581" s="26" t="n">
        <v>33.93</v>
      </c>
      <c r="K581" s="26" t="n">
        <v>29.5</v>
      </c>
      <c r="L581" s="27" t="n">
        <v>0.25</v>
      </c>
      <c r="M581" s="26" t="n">
        <v>87.88</v>
      </c>
      <c r="N581" s="28" t="n">
        <v>3.9</v>
      </c>
      <c r="O581" s="28" t="n">
        <v>33.4</v>
      </c>
      <c r="P581" s="25" t="inlineStr">
        <is>
          <t>Cash on Delivery</t>
        </is>
      </c>
      <c r="Q581" s="25" t="inlineStr">
        <is>
          <t>Delivered</t>
        </is>
      </c>
      <c r="R581" s="25" t="n">
        <v>4</v>
      </c>
      <c r="S581" s="25">
        <f>TEXT(B581,"yyyy-mm")</f>
        <v/>
      </c>
      <c r="T581" s="25">
        <f>VLOOKUP(D581,Customers!A:D,4,FALSE)</f>
        <v/>
      </c>
      <c r="U581" s="25">
        <f>CONCATENATE(A581,"-",G581)</f>
        <v/>
      </c>
      <c r="V581" s="25">
        <f>IF(N581="","",IF(N581&lt;=30,"Fast (&lt;30m)",IF(N581&lt;=45,"Moderate (30-45m)","Delayed (&gt;45m)")))</f>
        <v/>
      </c>
      <c r="W581" s="25">
        <f>IF(AND(I581&gt;600,P581="Delivered"),"High Value Delivered","Standard")</f>
        <v/>
      </c>
      <c r="X581" s="25">
        <f>IF(OR(N581&gt;50,Q581&lt;=2),"High Risk / Delayed","Normal")</f>
        <v/>
      </c>
      <c r="Y581" s="25">
        <f>IF(NOT(P581="Cancelled"),"Fulfilled","Cancelled")</f>
        <v/>
      </c>
      <c r="Z581" s="25">
        <f>IFERROR(Q581,0)</f>
        <v/>
      </c>
    </row>
    <row r="582">
      <c r="A582" s="17" t="inlineStr">
        <is>
          <t>ORD1581</t>
        </is>
      </c>
      <c r="B582" s="17" t="inlineStr">
        <is>
          <t>2025-09-07</t>
        </is>
      </c>
      <c r="C582" s="17" t="inlineStr">
        <is>
          <t>00:05:00</t>
        </is>
      </c>
      <c r="D582" s="17" t="n">
        <v>1119</v>
      </c>
      <c r="E582" s="17" t="n">
        <v>112</v>
      </c>
      <c r="F582" s="17" t="n">
        <v>211</v>
      </c>
      <c r="G582" s="17" t="inlineStr">
        <is>
          <t>Delhi NCR</t>
        </is>
      </c>
      <c r="H582" s="17" t="inlineStr">
        <is>
          <t>North Indian</t>
        </is>
      </c>
      <c r="I582" s="22" t="n">
        <v>372</v>
      </c>
      <c r="J582" s="22" t="n">
        <v>71.65000000000001</v>
      </c>
      <c r="K582" s="22" t="n">
        <v>30</v>
      </c>
      <c r="L582" s="23" t="n">
        <v>0.22</v>
      </c>
      <c r="M582" s="22" t="n">
        <v>89.34</v>
      </c>
      <c r="N582" s="24" t="n">
        <v>4</v>
      </c>
      <c r="O582" s="24" t="n">
        <v>33.1</v>
      </c>
      <c r="P582" s="17" t="inlineStr">
        <is>
          <t>Digital Wallet</t>
        </is>
      </c>
      <c r="Q582" s="17" t="inlineStr">
        <is>
          <t>Delivered</t>
        </is>
      </c>
      <c r="R582" s="17" t="n">
        <v>4</v>
      </c>
      <c r="S582" s="17">
        <f>TEXT(B582,"yyyy-mm")</f>
        <v/>
      </c>
      <c r="T582" s="17">
        <f>VLOOKUP(D582,Customers!A:D,4,FALSE)</f>
        <v/>
      </c>
      <c r="U582" s="17">
        <f>CONCATENATE(A582,"-",G582)</f>
        <v/>
      </c>
      <c r="V582" s="17">
        <f>IF(N582="","",IF(N582&lt;=30,"Fast (&lt;30m)",IF(N582&lt;=45,"Moderate (30-45m)","Delayed (&gt;45m)")))</f>
        <v/>
      </c>
      <c r="W582" s="17">
        <f>IF(AND(I582&gt;600,P582="Delivered"),"High Value Delivered","Standard")</f>
        <v/>
      </c>
      <c r="X582" s="17">
        <f>IF(OR(N582&gt;50,Q582&lt;=2),"High Risk / Delayed","Normal")</f>
        <v/>
      </c>
      <c r="Y582" s="17">
        <f>IF(NOT(P582="Cancelled"),"Fulfilled","Cancelled")</f>
        <v/>
      </c>
      <c r="Z582" s="17">
        <f>IFERROR(Q582,0)</f>
        <v/>
      </c>
    </row>
    <row r="583">
      <c r="A583" s="25" t="inlineStr">
        <is>
          <t>ORD1582</t>
        </is>
      </c>
      <c r="B583" s="25" t="inlineStr">
        <is>
          <t>2025-12-21</t>
        </is>
      </c>
      <c r="C583" s="25" t="inlineStr">
        <is>
          <t>19:08:13</t>
        </is>
      </c>
      <c r="D583" s="25" t="n">
        <v>1191</v>
      </c>
      <c r="E583" s="25" t="n">
        <v>108</v>
      </c>
      <c r="F583" s="25" t="n">
        <v>219</v>
      </c>
      <c r="G583" s="25" t="inlineStr">
        <is>
          <t>Delhi NCR</t>
        </is>
      </c>
      <c r="H583" s="25" t="inlineStr">
        <is>
          <t>Fast Food</t>
        </is>
      </c>
      <c r="I583" s="26" t="n">
        <v>366</v>
      </c>
      <c r="J583" s="26" t="n">
        <v>15.32</v>
      </c>
      <c r="K583" s="26" t="n">
        <v>25</v>
      </c>
      <c r="L583" s="27" t="n">
        <v>0.18</v>
      </c>
      <c r="M583" s="26" t="n">
        <v>72.13</v>
      </c>
      <c r="N583" s="28" t="n">
        <v>2.4</v>
      </c>
      <c r="O583" s="28" t="n">
        <v>25.6</v>
      </c>
      <c r="P583" s="25" t="inlineStr">
        <is>
          <t>Credit Card</t>
        </is>
      </c>
      <c r="Q583" s="25" t="inlineStr">
        <is>
          <t>Delivered</t>
        </is>
      </c>
      <c r="R583" s="25" t="n">
        <v>5</v>
      </c>
      <c r="S583" s="25">
        <f>TEXT(B583,"yyyy-mm")</f>
        <v/>
      </c>
      <c r="T583" s="25">
        <f>VLOOKUP(D583,Customers!A:D,4,FALSE)</f>
        <v/>
      </c>
      <c r="U583" s="25">
        <f>CONCATENATE(A583,"-",G583)</f>
        <v/>
      </c>
      <c r="V583" s="25">
        <f>IF(N583="","",IF(N583&lt;=30,"Fast (&lt;30m)",IF(N583&lt;=45,"Moderate (30-45m)","Delayed (&gt;45m)")))</f>
        <v/>
      </c>
      <c r="W583" s="25">
        <f>IF(AND(I583&gt;600,P583="Delivered"),"High Value Delivered","Standard")</f>
        <v/>
      </c>
      <c r="X583" s="25">
        <f>IF(OR(N583&gt;50,Q583&lt;=2),"High Risk / Delayed","Normal")</f>
        <v/>
      </c>
      <c r="Y583" s="25">
        <f>IF(NOT(P583="Cancelled"),"Fulfilled","Cancelled")</f>
        <v/>
      </c>
      <c r="Z583" s="25">
        <f>IFERROR(Q583,0)</f>
        <v/>
      </c>
    </row>
    <row r="584">
      <c r="A584" s="17" t="inlineStr">
        <is>
          <t>ORD1583</t>
        </is>
      </c>
      <c r="B584" s="17" t="inlineStr">
        <is>
          <t>2025-11-10</t>
        </is>
      </c>
      <c r="C584" s="17" t="inlineStr">
        <is>
          <t>15:05:40</t>
        </is>
      </c>
      <c r="D584" s="17" t="n">
        <v>1217</v>
      </c>
      <c r="E584" s="17" t="n">
        <v>119</v>
      </c>
      <c r="F584" s="17" t="n">
        <v>216</v>
      </c>
      <c r="G584" s="17" t="inlineStr">
        <is>
          <t>Hyderabad</t>
        </is>
      </c>
      <c r="H584" s="17" t="inlineStr">
        <is>
          <t>Biryani</t>
        </is>
      </c>
      <c r="I584" s="22" t="n">
        <v>528</v>
      </c>
      <c r="J584" s="22" t="n">
        <v>0</v>
      </c>
      <c r="K584" s="22" t="n">
        <v>28</v>
      </c>
      <c r="L584" s="23" t="n">
        <v>0.2</v>
      </c>
      <c r="M584" s="22" t="n">
        <v>112.6</v>
      </c>
      <c r="N584" s="24" t="n">
        <v>3.6</v>
      </c>
      <c r="O584" s="24" t="n">
        <v>22.9</v>
      </c>
      <c r="P584" s="17" t="inlineStr">
        <is>
          <t>Credit Card</t>
        </is>
      </c>
      <c r="Q584" s="17" t="inlineStr">
        <is>
          <t>Delivered</t>
        </is>
      </c>
      <c r="R584" s="17" t="n">
        <v>2</v>
      </c>
      <c r="S584" s="17">
        <f>TEXT(B584,"yyyy-mm")</f>
        <v/>
      </c>
      <c r="T584" s="17">
        <f>VLOOKUP(D584,Customers!A:D,4,FALSE)</f>
        <v/>
      </c>
      <c r="U584" s="17">
        <f>CONCATENATE(A584,"-",G584)</f>
        <v/>
      </c>
      <c r="V584" s="17">
        <f>IF(N584="","",IF(N584&lt;=30,"Fast (&lt;30m)",IF(N584&lt;=45,"Moderate (30-45m)","Delayed (&gt;45m)")))</f>
        <v/>
      </c>
      <c r="W584" s="17">
        <f>IF(AND(I584&gt;600,P584="Delivered"),"High Value Delivered","Standard")</f>
        <v/>
      </c>
      <c r="X584" s="17">
        <f>IF(OR(N584&gt;50,Q584&lt;=2),"High Risk / Delayed","Normal")</f>
        <v/>
      </c>
      <c r="Y584" s="17">
        <f>IF(NOT(P584="Cancelled"),"Fulfilled","Cancelled")</f>
        <v/>
      </c>
      <c r="Z584" s="17">
        <f>IFERROR(Q584,0)</f>
        <v/>
      </c>
    </row>
    <row r="585">
      <c r="A585" s="25" t="inlineStr">
        <is>
          <t>ORD1584</t>
        </is>
      </c>
      <c r="B585" s="25" t="inlineStr">
        <is>
          <t>2025-09-29</t>
        </is>
      </c>
      <c r="C585" s="25" t="inlineStr">
        <is>
          <t>14:06:39</t>
        </is>
      </c>
      <c r="D585" s="25" t="n">
        <v>1104</v>
      </c>
      <c r="E585" s="25" t="n">
        <v>103</v>
      </c>
      <c r="F585" s="25" t="n">
        <v>202</v>
      </c>
      <c r="G585" s="25" t="inlineStr">
        <is>
          <t>Mumbai</t>
        </is>
      </c>
      <c r="H585" s="25" t="inlineStr">
        <is>
          <t>Italian</t>
        </is>
      </c>
      <c r="I585" s="26" t="n">
        <v>590</v>
      </c>
      <c r="J585" s="26" t="n">
        <v>46.58</v>
      </c>
      <c r="K585" s="26" t="n">
        <v>36.5</v>
      </c>
      <c r="L585" s="27" t="n">
        <v>0.18</v>
      </c>
      <c r="M585" s="26" t="n">
        <v>115.32</v>
      </c>
      <c r="N585" s="28" t="n">
        <v>5.3</v>
      </c>
      <c r="O585" s="28" t="n">
        <v>42.8</v>
      </c>
      <c r="P585" s="25" t="inlineStr">
        <is>
          <t>Cash on Delivery</t>
        </is>
      </c>
      <c r="Q585" s="25" t="inlineStr">
        <is>
          <t>Delivered</t>
        </is>
      </c>
      <c r="R585" s="25" t="n">
        <v>2</v>
      </c>
      <c r="S585" s="25">
        <f>TEXT(B585,"yyyy-mm")</f>
        <v/>
      </c>
      <c r="T585" s="25">
        <f>VLOOKUP(D585,Customers!A:D,4,FALSE)</f>
        <v/>
      </c>
      <c r="U585" s="25">
        <f>CONCATENATE(A585,"-",G585)</f>
        <v/>
      </c>
      <c r="V585" s="25">
        <f>IF(N585="","",IF(N585&lt;=30,"Fast (&lt;30m)",IF(N585&lt;=45,"Moderate (30-45m)","Delayed (&gt;45m)")))</f>
        <v/>
      </c>
      <c r="W585" s="25">
        <f>IF(AND(I585&gt;600,P585="Delivered"),"High Value Delivered","Standard")</f>
        <v/>
      </c>
      <c r="X585" s="25">
        <f>IF(OR(N585&gt;50,Q585&lt;=2),"High Risk / Delayed","Normal")</f>
        <v/>
      </c>
      <c r="Y585" s="25">
        <f>IF(NOT(P585="Cancelled"),"Fulfilled","Cancelled")</f>
        <v/>
      </c>
      <c r="Z585" s="25">
        <f>IFERROR(Q585,0)</f>
        <v/>
      </c>
    </row>
    <row r="586">
      <c r="A586" s="17" t="inlineStr">
        <is>
          <t>ORD1585</t>
        </is>
      </c>
      <c r="B586" s="17" t="inlineStr">
        <is>
          <t>2025-04-10</t>
        </is>
      </c>
      <c r="C586" s="17" t="inlineStr">
        <is>
          <t>21:07:50</t>
        </is>
      </c>
      <c r="D586" s="17" t="n">
        <v>1230</v>
      </c>
      <c r="E586" s="17" t="n">
        <v>102</v>
      </c>
      <c r="F586" s="17" t="n">
        <v>216</v>
      </c>
      <c r="G586" s="17" t="inlineStr">
        <is>
          <t>Hyderabad</t>
        </is>
      </c>
      <c r="H586" s="17" t="inlineStr">
        <is>
          <t>Biryani</t>
        </is>
      </c>
      <c r="I586" s="22" t="n">
        <v>372</v>
      </c>
      <c r="J586" s="22" t="n">
        <v>36.44</v>
      </c>
      <c r="K586" s="22" t="n">
        <v>25</v>
      </c>
      <c r="L586" s="23" t="n">
        <v>0.22</v>
      </c>
      <c r="M586" s="22" t="n">
        <v>88.09</v>
      </c>
      <c r="N586" s="24" t="n">
        <v>1.8</v>
      </c>
      <c r="O586" s="24" t="n">
        <v>29</v>
      </c>
      <c r="P586" s="17" t="inlineStr">
        <is>
          <t>Cash on Delivery</t>
        </is>
      </c>
      <c r="Q586" s="17" t="inlineStr">
        <is>
          <t>Delivered</t>
        </is>
      </c>
      <c r="R586" s="17" t="n">
        <v>5</v>
      </c>
      <c r="S586" s="17">
        <f>TEXT(B586,"yyyy-mm")</f>
        <v/>
      </c>
      <c r="T586" s="17">
        <f>VLOOKUP(D586,Customers!A:D,4,FALSE)</f>
        <v/>
      </c>
      <c r="U586" s="17">
        <f>CONCATENATE(A586,"-",G586)</f>
        <v/>
      </c>
      <c r="V586" s="17">
        <f>IF(N586="","",IF(N586&lt;=30,"Fast (&lt;30m)",IF(N586&lt;=45,"Moderate (30-45m)","Delayed (&gt;45m)")))</f>
        <v/>
      </c>
      <c r="W586" s="17">
        <f>IF(AND(I586&gt;600,P586="Delivered"),"High Value Delivered","Standard")</f>
        <v/>
      </c>
      <c r="X586" s="17">
        <f>IF(OR(N586&gt;50,Q586&lt;=2),"High Risk / Delayed","Normal")</f>
        <v/>
      </c>
      <c r="Y586" s="17">
        <f>IF(NOT(P586="Cancelled"),"Fulfilled","Cancelled")</f>
        <v/>
      </c>
      <c r="Z586" s="17">
        <f>IFERROR(Q586,0)</f>
        <v/>
      </c>
    </row>
    <row r="587">
      <c r="A587" s="25" t="inlineStr">
        <is>
          <t>ORD1586</t>
        </is>
      </c>
      <c r="B587" s="25" t="inlineStr">
        <is>
          <t>2025-12-10</t>
        </is>
      </c>
      <c r="C587" s="25" t="inlineStr">
        <is>
          <t>11:59:02</t>
        </is>
      </c>
      <c r="D587" s="25" t="n">
        <v>1272</v>
      </c>
      <c r="E587" s="25" t="n">
        <v>112</v>
      </c>
      <c r="F587" s="25" t="n">
        <v>219</v>
      </c>
      <c r="G587" s="25" t="inlineStr">
        <is>
          <t>Delhi NCR</t>
        </is>
      </c>
      <c r="H587" s="25" t="inlineStr">
        <is>
          <t>North Indian</t>
        </is>
      </c>
      <c r="I587" s="26" t="n">
        <v>275</v>
      </c>
      <c r="J587" s="26" t="n">
        <v>26.16</v>
      </c>
      <c r="K587" s="26" t="n">
        <v>25</v>
      </c>
      <c r="L587" s="27" t="n">
        <v>0.22</v>
      </c>
      <c r="M587" s="26" t="n">
        <v>66.75</v>
      </c>
      <c r="N587" s="28" t="n">
        <v>2.8</v>
      </c>
      <c r="O587" s="28" t="n">
        <v>22.7</v>
      </c>
      <c r="P587" s="25" t="inlineStr">
        <is>
          <t>Cash on Delivery</t>
        </is>
      </c>
      <c r="Q587" s="25" t="inlineStr">
        <is>
          <t>Delivered</t>
        </is>
      </c>
      <c r="R587" s="25" t="n">
        <v>4</v>
      </c>
      <c r="S587" s="25">
        <f>TEXT(B587,"yyyy-mm")</f>
        <v/>
      </c>
      <c r="T587" s="25">
        <f>VLOOKUP(D587,Customers!A:D,4,FALSE)</f>
        <v/>
      </c>
      <c r="U587" s="25">
        <f>CONCATENATE(A587,"-",G587)</f>
        <v/>
      </c>
      <c r="V587" s="25">
        <f>IF(N587="","",IF(N587&lt;=30,"Fast (&lt;30m)",IF(N587&lt;=45,"Moderate (30-45m)","Delayed (&gt;45m)")))</f>
        <v/>
      </c>
      <c r="W587" s="25">
        <f>IF(AND(I587&gt;600,P587="Delivered"),"High Value Delivered","Standard")</f>
        <v/>
      </c>
      <c r="X587" s="25">
        <f>IF(OR(N587&gt;50,Q587&lt;=2),"High Risk / Delayed","Normal")</f>
        <v/>
      </c>
      <c r="Y587" s="25">
        <f>IF(NOT(P587="Cancelled"),"Fulfilled","Cancelled")</f>
        <v/>
      </c>
      <c r="Z587" s="25">
        <f>IFERROR(Q587,0)</f>
        <v/>
      </c>
    </row>
    <row r="588">
      <c r="A588" s="17" t="inlineStr">
        <is>
          <t>ORD1587</t>
        </is>
      </c>
      <c r="B588" s="17" t="inlineStr">
        <is>
          <t>2025-01-23</t>
        </is>
      </c>
      <c r="C588" s="17" t="inlineStr">
        <is>
          <t>21:06:47</t>
        </is>
      </c>
      <c r="D588" s="17" t="n">
        <v>1126</v>
      </c>
      <c r="E588" s="17" t="n">
        <v>109</v>
      </c>
      <c r="F588" s="17" t="n">
        <v>216</v>
      </c>
      <c r="G588" s="17" t="inlineStr">
        <is>
          <t>Hyderabad</t>
        </is>
      </c>
      <c r="H588" s="17" t="inlineStr">
        <is>
          <t>Biryani</t>
        </is>
      </c>
      <c r="I588" s="22" t="n">
        <v>273</v>
      </c>
      <c r="J588" s="22" t="n">
        <v>3.84</v>
      </c>
      <c r="K588" s="22" t="n">
        <v>28.5</v>
      </c>
      <c r="L588" s="23" t="n">
        <v>0.2</v>
      </c>
      <c r="M588" s="22" t="n">
        <v>61.72</v>
      </c>
      <c r="N588" s="24" t="n">
        <v>3.7</v>
      </c>
      <c r="O588" s="24" t="n">
        <v>36.3</v>
      </c>
      <c r="P588" s="17" t="inlineStr">
        <is>
          <t>Cash on Delivery</t>
        </is>
      </c>
      <c r="Q588" s="17" t="inlineStr">
        <is>
          <t>Delivered</t>
        </is>
      </c>
      <c r="R588" s="17" t="n">
        <v>3</v>
      </c>
      <c r="S588" s="17">
        <f>TEXT(B588,"yyyy-mm")</f>
        <v/>
      </c>
      <c r="T588" s="17">
        <f>VLOOKUP(D588,Customers!A:D,4,FALSE)</f>
        <v/>
      </c>
      <c r="U588" s="17">
        <f>CONCATENATE(A588,"-",G588)</f>
        <v/>
      </c>
      <c r="V588" s="17">
        <f>IF(N588="","",IF(N588&lt;=30,"Fast (&lt;30m)",IF(N588&lt;=45,"Moderate (30-45m)","Delayed (&gt;45m)")))</f>
        <v/>
      </c>
      <c r="W588" s="17">
        <f>IF(AND(I588&gt;600,P588="Delivered"),"High Value Delivered","Standard")</f>
        <v/>
      </c>
      <c r="X588" s="17">
        <f>IF(OR(N588&gt;50,Q588&lt;=2),"High Risk / Delayed","Normal")</f>
        <v/>
      </c>
      <c r="Y588" s="17">
        <f>IF(NOT(P588="Cancelled"),"Fulfilled","Cancelled")</f>
        <v/>
      </c>
      <c r="Z588" s="17">
        <f>IFERROR(Q588,0)</f>
        <v/>
      </c>
    </row>
    <row r="589">
      <c r="A589" s="25" t="inlineStr">
        <is>
          <t>ORD1588</t>
        </is>
      </c>
      <c r="B589" s="25" t="inlineStr">
        <is>
          <t>2025-08-16</t>
        </is>
      </c>
      <c r="C589" s="25" t="inlineStr">
        <is>
          <t>00:37:37</t>
        </is>
      </c>
      <c r="D589" s="25" t="n">
        <v>1262</v>
      </c>
      <c r="E589" s="25" t="n">
        <v>118</v>
      </c>
      <c r="F589" s="25" t="n">
        <v>211</v>
      </c>
      <c r="G589" s="25" t="inlineStr">
        <is>
          <t>Delhi NCR</t>
        </is>
      </c>
      <c r="H589" s="25" t="inlineStr">
        <is>
          <t>North Indian</t>
        </is>
      </c>
      <c r="I589" s="26" t="n">
        <v>760</v>
      </c>
      <c r="J589" s="26" t="n">
        <v>91.11</v>
      </c>
      <c r="K589" s="26" t="n">
        <v>0</v>
      </c>
      <c r="L589" s="27" t="n">
        <v>0.2</v>
      </c>
      <c r="M589" s="26" t="n">
        <v>152</v>
      </c>
      <c r="N589" s="28" t="n">
        <v>5.5</v>
      </c>
      <c r="O589" s="28" t="n">
        <v>40.9</v>
      </c>
      <c r="P589" s="25" t="inlineStr">
        <is>
          <t>Debit Card</t>
        </is>
      </c>
      <c r="Q589" s="25" t="inlineStr">
        <is>
          <t>Delivered</t>
        </is>
      </c>
      <c r="R589" s="25" t="n">
        <v>3</v>
      </c>
      <c r="S589" s="25">
        <f>TEXT(B589,"yyyy-mm")</f>
        <v/>
      </c>
      <c r="T589" s="25">
        <f>VLOOKUP(D589,Customers!A:D,4,FALSE)</f>
        <v/>
      </c>
      <c r="U589" s="25">
        <f>CONCATENATE(A589,"-",G589)</f>
        <v/>
      </c>
      <c r="V589" s="25">
        <f>IF(N589="","",IF(N589&lt;=30,"Fast (&lt;30m)",IF(N589&lt;=45,"Moderate (30-45m)","Delayed (&gt;45m)")))</f>
        <v/>
      </c>
      <c r="W589" s="25">
        <f>IF(AND(I589&gt;600,P589="Delivered"),"High Value Delivered","Standard")</f>
        <v/>
      </c>
      <c r="X589" s="25">
        <f>IF(OR(N589&gt;50,Q589&lt;=2),"High Risk / Delayed","Normal")</f>
        <v/>
      </c>
      <c r="Y589" s="25">
        <f>IF(NOT(P589="Cancelled"),"Fulfilled","Cancelled")</f>
        <v/>
      </c>
      <c r="Z589" s="25">
        <f>IFERROR(Q589,0)</f>
        <v/>
      </c>
    </row>
    <row r="590">
      <c r="A590" s="17" t="inlineStr">
        <is>
          <t>ORD1589</t>
        </is>
      </c>
      <c r="B590" s="17" t="inlineStr">
        <is>
          <t>2025-06-16</t>
        </is>
      </c>
      <c r="C590" s="17" t="inlineStr">
        <is>
          <t>00:14:06</t>
        </is>
      </c>
      <c r="D590" s="17" t="n">
        <v>1062</v>
      </c>
      <c r="E590" s="17" t="n">
        <v>113</v>
      </c>
      <c r="F590" s="17" t="n">
        <v>206</v>
      </c>
      <c r="G590" s="17" t="inlineStr">
        <is>
          <t>Mumbai</t>
        </is>
      </c>
      <c r="H590" s="17" t="inlineStr">
        <is>
          <t>Fast Food</t>
        </is>
      </c>
      <c r="I590" s="22" t="n">
        <v>462</v>
      </c>
      <c r="J590" s="22" t="n">
        <v>32.15</v>
      </c>
      <c r="K590" s="22" t="n">
        <v>35</v>
      </c>
      <c r="L590" s="23" t="n">
        <v>0.18</v>
      </c>
      <c r="M590" s="22" t="n">
        <v>91.91</v>
      </c>
      <c r="N590" s="24" t="n">
        <v>5</v>
      </c>
      <c r="O590" s="24" t="n">
        <v>31.4</v>
      </c>
      <c r="P590" s="17" t="inlineStr">
        <is>
          <t>Credit Card</t>
        </is>
      </c>
      <c r="Q590" s="17" t="inlineStr">
        <is>
          <t>Delivered</t>
        </is>
      </c>
      <c r="R590" s="17" t="n">
        <v>4</v>
      </c>
      <c r="S590" s="17">
        <f>TEXT(B590,"yyyy-mm")</f>
        <v/>
      </c>
      <c r="T590" s="17">
        <f>VLOOKUP(D590,Customers!A:D,4,FALSE)</f>
        <v/>
      </c>
      <c r="U590" s="17">
        <f>CONCATENATE(A590,"-",G590)</f>
        <v/>
      </c>
      <c r="V590" s="17">
        <f>IF(N590="","",IF(N590&lt;=30,"Fast (&lt;30m)",IF(N590&lt;=45,"Moderate (30-45m)","Delayed (&gt;45m)")))</f>
        <v/>
      </c>
      <c r="W590" s="17">
        <f>IF(AND(I590&gt;600,P590="Delivered"),"High Value Delivered","Standard")</f>
        <v/>
      </c>
      <c r="X590" s="17">
        <f>IF(OR(N590&gt;50,Q590&lt;=2),"High Risk / Delayed","Normal")</f>
        <v/>
      </c>
      <c r="Y590" s="17">
        <f>IF(NOT(P590="Cancelled"),"Fulfilled","Cancelled")</f>
        <v/>
      </c>
      <c r="Z590" s="17">
        <f>IFERROR(Q590,0)</f>
        <v/>
      </c>
    </row>
    <row r="591">
      <c r="A591" s="25" t="inlineStr">
        <is>
          <t>ORD1590</t>
        </is>
      </c>
      <c r="B591" s="25" t="inlineStr">
        <is>
          <t>2025-10-27</t>
        </is>
      </c>
      <c r="C591" s="25" t="inlineStr">
        <is>
          <t>12:31:03</t>
        </is>
      </c>
      <c r="D591" s="25" t="n">
        <v>1205</v>
      </c>
      <c r="E591" s="25" t="n">
        <v>103</v>
      </c>
      <c r="F591" s="25" t="n">
        <v>222</v>
      </c>
      <c r="G591" s="25" t="inlineStr">
        <is>
          <t>Mumbai</t>
        </is>
      </c>
      <c r="H591" s="25" t="inlineStr">
        <is>
          <t>Italian</t>
        </is>
      </c>
      <c r="I591" s="26" t="n">
        <v>666</v>
      </c>
      <c r="J591" s="26" t="n">
        <v>40.06</v>
      </c>
      <c r="K591" s="26" t="n">
        <v>49</v>
      </c>
      <c r="L591" s="27" t="n">
        <v>0.18</v>
      </c>
      <c r="M591" s="26" t="n">
        <v>132.13</v>
      </c>
      <c r="N591" s="28" t="n">
        <v>7.8</v>
      </c>
      <c r="O591" s="28" t="n">
        <v>51.3</v>
      </c>
      <c r="P591" s="25" t="inlineStr">
        <is>
          <t>Cash on Delivery</t>
        </is>
      </c>
      <c r="Q591" s="25" t="inlineStr">
        <is>
          <t>Delivered</t>
        </is>
      </c>
      <c r="R591" s="25" t="n">
        <v>3</v>
      </c>
      <c r="S591" s="25">
        <f>TEXT(B591,"yyyy-mm")</f>
        <v/>
      </c>
      <c r="T591" s="25">
        <f>VLOOKUP(D591,Customers!A:D,4,FALSE)</f>
        <v/>
      </c>
      <c r="U591" s="25">
        <f>CONCATENATE(A591,"-",G591)</f>
        <v/>
      </c>
      <c r="V591" s="25">
        <f>IF(N591="","",IF(N591&lt;=30,"Fast (&lt;30m)",IF(N591&lt;=45,"Moderate (30-45m)","Delayed (&gt;45m)")))</f>
        <v/>
      </c>
      <c r="W591" s="25">
        <f>IF(AND(I591&gt;600,P591="Delivered"),"High Value Delivered","Standard")</f>
        <v/>
      </c>
      <c r="X591" s="25">
        <f>IF(OR(N591&gt;50,Q591&lt;=2),"High Risk / Delayed","Normal")</f>
        <v/>
      </c>
      <c r="Y591" s="25">
        <f>IF(NOT(P591="Cancelled"),"Fulfilled","Cancelled")</f>
        <v/>
      </c>
      <c r="Z591" s="25">
        <f>IFERROR(Q591,0)</f>
        <v/>
      </c>
    </row>
    <row r="592">
      <c r="A592" s="17" t="inlineStr">
        <is>
          <t>ORD1591</t>
        </is>
      </c>
      <c r="B592" s="17" t="inlineStr">
        <is>
          <t>2025-07-11</t>
        </is>
      </c>
      <c r="C592" s="17" t="inlineStr">
        <is>
          <t>19:08:29</t>
        </is>
      </c>
      <c r="D592" s="17" t="n">
        <v>1035</v>
      </c>
      <c r="E592" s="17" t="n">
        <v>111</v>
      </c>
      <c r="F592" s="17" t="n">
        <v>201</v>
      </c>
      <c r="G592" s="17" t="inlineStr">
        <is>
          <t>Bangalore</t>
        </is>
      </c>
      <c r="H592" s="17" t="inlineStr">
        <is>
          <t>South Indian</t>
        </is>
      </c>
      <c r="I592" s="22" t="n">
        <v>679</v>
      </c>
      <c r="J592" s="22" t="n">
        <v>92.25</v>
      </c>
      <c r="K592" s="22" t="n">
        <v>0</v>
      </c>
      <c r="L592" s="23" t="n">
        <v>0.15</v>
      </c>
      <c r="M592" s="22" t="n">
        <v>101.85</v>
      </c>
      <c r="N592" s="24" t="n">
        <v>1.9</v>
      </c>
      <c r="O592" s="24" t="n">
        <v>22.8</v>
      </c>
      <c r="P592" s="17" t="inlineStr">
        <is>
          <t>Debit Card</t>
        </is>
      </c>
      <c r="Q592" s="17" t="inlineStr">
        <is>
          <t>Delivered</t>
        </is>
      </c>
      <c r="R592" s="17" t="n">
        <v>4</v>
      </c>
      <c r="S592" s="17">
        <f>TEXT(B592,"yyyy-mm")</f>
        <v/>
      </c>
      <c r="T592" s="17">
        <f>VLOOKUP(D592,Customers!A:D,4,FALSE)</f>
        <v/>
      </c>
      <c r="U592" s="17">
        <f>CONCATENATE(A592,"-",G592)</f>
        <v/>
      </c>
      <c r="V592" s="17">
        <f>IF(N592="","",IF(N592&lt;=30,"Fast (&lt;30m)",IF(N592&lt;=45,"Moderate (30-45m)","Delayed (&gt;45m)")))</f>
        <v/>
      </c>
      <c r="W592" s="17">
        <f>IF(AND(I592&gt;600,P592="Delivered"),"High Value Delivered","Standard")</f>
        <v/>
      </c>
      <c r="X592" s="17">
        <f>IF(OR(N592&gt;50,Q592&lt;=2),"High Risk / Delayed","Normal")</f>
        <v/>
      </c>
      <c r="Y592" s="17">
        <f>IF(NOT(P592="Cancelled"),"Fulfilled","Cancelled")</f>
        <v/>
      </c>
      <c r="Z592" s="17">
        <f>IFERROR(Q592,0)</f>
        <v/>
      </c>
    </row>
    <row r="593">
      <c r="A593" s="25" t="inlineStr">
        <is>
          <t>ORD1592</t>
        </is>
      </c>
      <c r="B593" s="25" t="inlineStr">
        <is>
          <t>2025-12-21</t>
        </is>
      </c>
      <c r="C593" s="25" t="inlineStr">
        <is>
          <t>21:36:03</t>
        </is>
      </c>
      <c r="D593" s="25" t="n">
        <v>1190</v>
      </c>
      <c r="E593" s="25" t="n">
        <v>119</v>
      </c>
      <c r="F593" s="25" t="n">
        <v>225</v>
      </c>
      <c r="G593" s="25" t="inlineStr">
        <is>
          <t>Hyderabad</t>
        </is>
      </c>
      <c r="H593" s="25" t="inlineStr">
        <is>
          <t>Biryani</t>
        </is>
      </c>
      <c r="I593" s="26" t="n">
        <v>507</v>
      </c>
      <c r="J593" s="26" t="n">
        <v>0</v>
      </c>
      <c r="K593" s="26" t="n">
        <v>32.5</v>
      </c>
      <c r="L593" s="27" t="n">
        <v>0.2</v>
      </c>
      <c r="M593" s="26" t="n">
        <v>109.52</v>
      </c>
      <c r="N593" s="28" t="n">
        <v>4.5</v>
      </c>
      <c r="O593" s="28" t="n">
        <v>38.5</v>
      </c>
      <c r="P593" s="25" t="inlineStr">
        <is>
          <t>Cash on Delivery</t>
        </is>
      </c>
      <c r="Q593" s="25" t="inlineStr">
        <is>
          <t>Delivered</t>
        </is>
      </c>
      <c r="R593" s="25" t="n">
        <v>4</v>
      </c>
      <c r="S593" s="25">
        <f>TEXT(B593,"yyyy-mm")</f>
        <v/>
      </c>
      <c r="T593" s="25">
        <f>VLOOKUP(D593,Customers!A:D,4,FALSE)</f>
        <v/>
      </c>
      <c r="U593" s="25">
        <f>CONCATENATE(A593,"-",G593)</f>
        <v/>
      </c>
      <c r="V593" s="25">
        <f>IF(N593="","",IF(N593&lt;=30,"Fast (&lt;30m)",IF(N593&lt;=45,"Moderate (30-45m)","Delayed (&gt;45m)")))</f>
        <v/>
      </c>
      <c r="W593" s="25">
        <f>IF(AND(I593&gt;600,P593="Delivered"),"High Value Delivered","Standard")</f>
        <v/>
      </c>
      <c r="X593" s="25">
        <f>IF(OR(N593&gt;50,Q593&lt;=2),"High Risk / Delayed","Normal")</f>
        <v/>
      </c>
      <c r="Y593" s="25">
        <f>IF(NOT(P593="Cancelled"),"Fulfilled","Cancelled")</f>
        <v/>
      </c>
      <c r="Z593" s="25">
        <f>IFERROR(Q593,0)</f>
        <v/>
      </c>
    </row>
    <row r="594">
      <c r="A594" s="17" t="inlineStr">
        <is>
          <t>ORD1593</t>
        </is>
      </c>
      <c r="B594" s="17" t="inlineStr">
        <is>
          <t>2025-04-23</t>
        </is>
      </c>
      <c r="C594" s="17" t="inlineStr">
        <is>
          <t>08:56:18</t>
        </is>
      </c>
      <c r="D594" s="17" t="n">
        <v>1019</v>
      </c>
      <c r="E594" s="17" t="n">
        <v>110</v>
      </c>
      <c r="F594" s="17" t="n">
        <v>226</v>
      </c>
      <c r="G594" s="17" t="inlineStr">
        <is>
          <t>Pune</t>
        </is>
      </c>
      <c r="H594" s="17" t="inlineStr">
        <is>
          <t>North Indian</t>
        </is>
      </c>
      <c r="I594" s="22" t="n">
        <v>838</v>
      </c>
      <c r="J594" s="22" t="n">
        <v>0</v>
      </c>
      <c r="K594" s="22" t="n">
        <v>25.5</v>
      </c>
      <c r="L594" s="23" t="n">
        <v>0.18</v>
      </c>
      <c r="M594" s="22" t="n">
        <v>157.22</v>
      </c>
      <c r="N594" s="24" t="n">
        <v>3.1</v>
      </c>
      <c r="O594" s="24" t="n">
        <v>29.5</v>
      </c>
      <c r="P594" s="17" t="inlineStr">
        <is>
          <t>Digital Wallet</t>
        </is>
      </c>
      <c r="Q594" s="17" t="inlineStr">
        <is>
          <t>Delivered</t>
        </is>
      </c>
      <c r="R594" s="17" t="n">
        <v>4</v>
      </c>
      <c r="S594" s="17">
        <f>TEXT(B594,"yyyy-mm")</f>
        <v/>
      </c>
      <c r="T594" s="17">
        <f>VLOOKUP(D594,Customers!A:D,4,FALSE)</f>
        <v/>
      </c>
      <c r="U594" s="17">
        <f>CONCATENATE(A594,"-",G594)</f>
        <v/>
      </c>
      <c r="V594" s="17">
        <f>IF(N594="","",IF(N594&lt;=30,"Fast (&lt;30m)",IF(N594&lt;=45,"Moderate (30-45m)","Delayed (&gt;45m)")))</f>
        <v/>
      </c>
      <c r="W594" s="17">
        <f>IF(AND(I594&gt;600,P594="Delivered"),"High Value Delivered","Standard")</f>
        <v/>
      </c>
      <c r="X594" s="17">
        <f>IF(OR(N594&gt;50,Q594&lt;=2),"High Risk / Delayed","Normal")</f>
        <v/>
      </c>
      <c r="Y594" s="17">
        <f>IF(NOT(P594="Cancelled"),"Fulfilled","Cancelled")</f>
        <v/>
      </c>
      <c r="Z594" s="17">
        <f>IFERROR(Q594,0)</f>
        <v/>
      </c>
    </row>
    <row r="595">
      <c r="A595" s="25" t="inlineStr">
        <is>
          <t>ORD1594</t>
        </is>
      </c>
      <c r="B595" s="25" t="inlineStr">
        <is>
          <t>2025-02-14</t>
        </is>
      </c>
      <c r="C595" s="25" t="inlineStr">
        <is>
          <t>12:26:54</t>
        </is>
      </c>
      <c r="D595" s="25" t="n">
        <v>1191</v>
      </c>
      <c r="E595" s="25" t="n">
        <v>112</v>
      </c>
      <c r="F595" s="25" t="n">
        <v>228</v>
      </c>
      <c r="G595" s="25" t="inlineStr">
        <is>
          <t>Delhi NCR</t>
        </is>
      </c>
      <c r="H595" s="25" t="inlineStr">
        <is>
          <t>North Indian</t>
        </is>
      </c>
      <c r="I595" s="26" t="n">
        <v>754</v>
      </c>
      <c r="J595" s="26" t="n">
        <v>0</v>
      </c>
      <c r="K595" s="26" t="n">
        <v>27</v>
      </c>
      <c r="L595" s="27" t="n">
        <v>0.22</v>
      </c>
      <c r="M595" s="26" t="n">
        <v>172.63</v>
      </c>
      <c r="N595" s="28" t="n">
        <v>3.4</v>
      </c>
      <c r="O595" s="28" t="n">
        <v>37.2</v>
      </c>
      <c r="P595" s="25" t="inlineStr">
        <is>
          <t>Digital Wallet</t>
        </is>
      </c>
      <c r="Q595" s="25" t="inlineStr">
        <is>
          <t>Delivered</t>
        </is>
      </c>
      <c r="R595" s="25" t="n">
        <v>4</v>
      </c>
      <c r="S595" s="25">
        <f>TEXT(B595,"yyyy-mm")</f>
        <v/>
      </c>
      <c r="T595" s="25">
        <f>VLOOKUP(D595,Customers!A:D,4,FALSE)</f>
        <v/>
      </c>
      <c r="U595" s="25">
        <f>CONCATENATE(A595,"-",G595)</f>
        <v/>
      </c>
      <c r="V595" s="25">
        <f>IF(N595="","",IF(N595&lt;=30,"Fast (&lt;30m)",IF(N595&lt;=45,"Moderate (30-45m)","Delayed (&gt;45m)")))</f>
        <v/>
      </c>
      <c r="W595" s="25">
        <f>IF(AND(I595&gt;600,P595="Delivered"),"High Value Delivered","Standard")</f>
        <v/>
      </c>
      <c r="X595" s="25">
        <f>IF(OR(N595&gt;50,Q595&lt;=2),"High Risk / Delayed","Normal")</f>
        <v/>
      </c>
      <c r="Y595" s="25">
        <f>IF(NOT(P595="Cancelled"),"Fulfilled","Cancelled")</f>
        <v/>
      </c>
      <c r="Z595" s="25">
        <f>IFERROR(Q595,0)</f>
        <v/>
      </c>
    </row>
    <row r="596">
      <c r="A596" s="17" t="inlineStr">
        <is>
          <t>ORD1595</t>
        </is>
      </c>
      <c r="B596" s="17" t="inlineStr">
        <is>
          <t>2025-01-08</t>
        </is>
      </c>
      <c r="C596" s="17" t="inlineStr">
        <is>
          <t>15:46:27</t>
        </is>
      </c>
      <c r="D596" s="17" t="n">
        <v>1295</v>
      </c>
      <c r="E596" s="17" t="n">
        <v>118</v>
      </c>
      <c r="F596" s="17" t="n">
        <v>212</v>
      </c>
      <c r="G596" s="17" t="inlineStr">
        <is>
          <t>Delhi NCR</t>
        </is>
      </c>
      <c r="H596" s="17" t="inlineStr">
        <is>
          <t>North Indian</t>
        </is>
      </c>
      <c r="I596" s="22" t="n">
        <v>472</v>
      </c>
      <c r="J596" s="22" t="n">
        <v>0</v>
      </c>
      <c r="K596" s="22" t="n">
        <v>47</v>
      </c>
      <c r="L596" s="23" t="n">
        <v>0.2</v>
      </c>
      <c r="M596" s="22" t="n">
        <v>106.15</v>
      </c>
      <c r="N596" s="24" t="n">
        <v>7.4</v>
      </c>
      <c r="O596" s="24" t="n">
        <v>39.4</v>
      </c>
      <c r="P596" s="17" t="inlineStr">
        <is>
          <t>Credit Card</t>
        </is>
      </c>
      <c r="Q596" s="17" t="inlineStr">
        <is>
          <t>Delivered</t>
        </is>
      </c>
      <c r="R596" s="17" t="n">
        <v>5</v>
      </c>
      <c r="S596" s="17">
        <f>TEXT(B596,"yyyy-mm")</f>
        <v/>
      </c>
      <c r="T596" s="17">
        <f>VLOOKUP(D596,Customers!A:D,4,FALSE)</f>
        <v/>
      </c>
      <c r="U596" s="17">
        <f>CONCATENATE(A596,"-",G596)</f>
        <v/>
      </c>
      <c r="V596" s="17">
        <f>IF(N596="","",IF(N596&lt;=30,"Fast (&lt;30m)",IF(N596&lt;=45,"Moderate (30-45m)","Delayed (&gt;45m)")))</f>
        <v/>
      </c>
      <c r="W596" s="17">
        <f>IF(AND(I596&gt;600,P596="Delivered"),"High Value Delivered","Standard")</f>
        <v/>
      </c>
      <c r="X596" s="17">
        <f>IF(OR(N596&gt;50,Q596&lt;=2),"High Risk / Delayed","Normal")</f>
        <v/>
      </c>
      <c r="Y596" s="17">
        <f>IF(NOT(P596="Cancelled"),"Fulfilled","Cancelled")</f>
        <v/>
      </c>
      <c r="Z596" s="17">
        <f>IFERROR(Q596,0)</f>
        <v/>
      </c>
    </row>
    <row r="597">
      <c r="A597" s="25" t="inlineStr">
        <is>
          <t>ORD1596</t>
        </is>
      </c>
      <c r="B597" s="25" t="inlineStr">
        <is>
          <t>2025-01-23</t>
        </is>
      </c>
      <c r="C597" s="25" t="inlineStr">
        <is>
          <t>21:02:30</t>
        </is>
      </c>
      <c r="D597" s="25" t="n">
        <v>1045</v>
      </c>
      <c r="E597" s="25" t="n">
        <v>111</v>
      </c>
      <c r="F597" s="25" t="n">
        <v>220</v>
      </c>
      <c r="G597" s="25" t="inlineStr">
        <is>
          <t>Bangalore</t>
        </is>
      </c>
      <c r="H597" s="25" t="inlineStr">
        <is>
          <t>South Indian</t>
        </is>
      </c>
      <c r="I597" s="26" t="n">
        <v>736</v>
      </c>
      <c r="J597" s="26" t="n">
        <v>0</v>
      </c>
      <c r="K597" s="26" t="n">
        <v>25</v>
      </c>
      <c r="L597" s="27" t="n">
        <v>0.15</v>
      </c>
      <c r="M597" s="26" t="n">
        <v>116.65</v>
      </c>
      <c r="N597" s="28" t="n">
        <v>1.4</v>
      </c>
      <c r="O597" s="28" t="n">
        <v>23.5</v>
      </c>
      <c r="P597" s="25" t="inlineStr">
        <is>
          <t>Cash on Delivery</t>
        </is>
      </c>
      <c r="Q597" s="25" t="inlineStr">
        <is>
          <t>Delivered</t>
        </is>
      </c>
      <c r="R597" s="25" t="n">
        <v>4</v>
      </c>
      <c r="S597" s="25">
        <f>TEXT(B597,"yyyy-mm")</f>
        <v/>
      </c>
      <c r="T597" s="25">
        <f>VLOOKUP(D597,Customers!A:D,4,FALSE)</f>
        <v/>
      </c>
      <c r="U597" s="25">
        <f>CONCATENATE(A597,"-",G597)</f>
        <v/>
      </c>
      <c r="V597" s="25">
        <f>IF(N597="","",IF(N597&lt;=30,"Fast (&lt;30m)",IF(N597&lt;=45,"Moderate (30-45m)","Delayed (&gt;45m)")))</f>
        <v/>
      </c>
      <c r="W597" s="25">
        <f>IF(AND(I597&gt;600,P597="Delivered"),"High Value Delivered","Standard")</f>
        <v/>
      </c>
      <c r="X597" s="25">
        <f>IF(OR(N597&gt;50,Q597&lt;=2),"High Risk / Delayed","Normal")</f>
        <v/>
      </c>
      <c r="Y597" s="25">
        <f>IF(NOT(P597="Cancelled"),"Fulfilled","Cancelled")</f>
        <v/>
      </c>
      <c r="Z597" s="25">
        <f>IFERROR(Q597,0)</f>
        <v/>
      </c>
    </row>
    <row r="598">
      <c r="A598" s="17" t="inlineStr">
        <is>
          <t>ORD1597</t>
        </is>
      </c>
      <c r="B598" s="17" t="inlineStr">
        <is>
          <t>2025-05-04</t>
        </is>
      </c>
      <c r="C598" s="17" t="inlineStr">
        <is>
          <t>13:05:35</t>
        </is>
      </c>
      <c r="D598" s="17" t="n">
        <v>1049</v>
      </c>
      <c r="E598" s="17" t="n">
        <v>107</v>
      </c>
      <c r="F598" s="17" t="n">
        <v>222</v>
      </c>
      <c r="G598" s="17" t="inlineStr">
        <is>
          <t>Mumbai</t>
        </is>
      </c>
      <c r="H598" s="17" t="inlineStr">
        <is>
          <t>Desserts</t>
        </is>
      </c>
      <c r="I598" s="22" t="n">
        <v>232</v>
      </c>
      <c r="J598" s="22" t="n">
        <v>7.55</v>
      </c>
      <c r="K598" s="22" t="n">
        <v>25.5</v>
      </c>
      <c r="L598" s="23" t="n">
        <v>0.25</v>
      </c>
      <c r="M598" s="22" t="n">
        <v>64.38</v>
      </c>
      <c r="N598" s="24" t="n">
        <v>3.1</v>
      </c>
      <c r="O598" s="24" t="n">
        <v>26.5</v>
      </c>
      <c r="P598" s="17" t="inlineStr">
        <is>
          <t>Debit Card</t>
        </is>
      </c>
      <c r="Q598" s="17" t="inlineStr">
        <is>
          <t>Delivered</t>
        </is>
      </c>
      <c r="R598" s="17" t="n">
        <v>4</v>
      </c>
      <c r="S598" s="17">
        <f>TEXT(B598,"yyyy-mm")</f>
        <v/>
      </c>
      <c r="T598" s="17">
        <f>VLOOKUP(D598,Customers!A:D,4,FALSE)</f>
        <v/>
      </c>
      <c r="U598" s="17">
        <f>CONCATENATE(A598,"-",G598)</f>
        <v/>
      </c>
      <c r="V598" s="17">
        <f>IF(N598="","",IF(N598&lt;=30,"Fast (&lt;30m)",IF(N598&lt;=45,"Moderate (30-45m)","Delayed (&gt;45m)")))</f>
        <v/>
      </c>
      <c r="W598" s="17">
        <f>IF(AND(I598&gt;600,P598="Delivered"),"High Value Delivered","Standard")</f>
        <v/>
      </c>
      <c r="X598" s="17">
        <f>IF(OR(N598&gt;50,Q598&lt;=2),"High Risk / Delayed","Normal")</f>
        <v/>
      </c>
      <c r="Y598" s="17">
        <f>IF(NOT(P598="Cancelled"),"Fulfilled","Cancelled")</f>
        <v/>
      </c>
      <c r="Z598" s="17">
        <f>IFERROR(Q598,0)</f>
        <v/>
      </c>
    </row>
    <row r="599">
      <c r="A599" s="25" t="inlineStr">
        <is>
          <t>ORD1598</t>
        </is>
      </c>
      <c r="B599" s="25" t="inlineStr">
        <is>
          <t>2025-01-09</t>
        </is>
      </c>
      <c r="C599" s="25" t="inlineStr">
        <is>
          <t>12:30:42</t>
        </is>
      </c>
      <c r="D599" s="25" t="n">
        <v>1090</v>
      </c>
      <c r="E599" s="25" t="n">
        <v>111</v>
      </c>
      <c r="F599" s="25" t="n">
        <v>218</v>
      </c>
      <c r="G599" s="25" t="inlineStr">
        <is>
          <t>Bangalore</t>
        </is>
      </c>
      <c r="H599" s="25" t="inlineStr">
        <is>
          <t>South Indian</t>
        </is>
      </c>
      <c r="I599" s="26" t="n">
        <v>532</v>
      </c>
      <c r="J599" s="26" t="n">
        <v>0</v>
      </c>
      <c r="K599" s="26" t="n">
        <v>31.5</v>
      </c>
      <c r="L599" s="27" t="n">
        <v>0.15</v>
      </c>
      <c r="M599" s="26" t="n">
        <v>87.68000000000001</v>
      </c>
      <c r="N599" s="28" t="n">
        <v>4.3</v>
      </c>
      <c r="O599" s="28" t="n">
        <v>37</v>
      </c>
      <c r="P599" s="25" t="inlineStr">
        <is>
          <t>Digital Wallet</t>
        </is>
      </c>
      <c r="Q599" s="25" t="inlineStr">
        <is>
          <t>Delivered</t>
        </is>
      </c>
      <c r="R599" s="25" t="n">
        <v>4</v>
      </c>
      <c r="S599" s="25">
        <f>TEXT(B599,"yyyy-mm")</f>
        <v/>
      </c>
      <c r="T599" s="25">
        <f>VLOOKUP(D599,Customers!A:D,4,FALSE)</f>
        <v/>
      </c>
      <c r="U599" s="25">
        <f>CONCATENATE(A599,"-",G599)</f>
        <v/>
      </c>
      <c r="V599" s="25">
        <f>IF(N599="","",IF(N599&lt;=30,"Fast (&lt;30m)",IF(N599&lt;=45,"Moderate (30-45m)","Delayed (&gt;45m)")))</f>
        <v/>
      </c>
      <c r="W599" s="25">
        <f>IF(AND(I599&gt;600,P599="Delivered"),"High Value Delivered","Standard")</f>
        <v/>
      </c>
      <c r="X599" s="25">
        <f>IF(OR(N599&gt;50,Q599&lt;=2),"High Risk / Delayed","Normal")</f>
        <v/>
      </c>
      <c r="Y599" s="25">
        <f>IF(NOT(P599="Cancelled"),"Fulfilled","Cancelled")</f>
        <v/>
      </c>
      <c r="Z599" s="25">
        <f>IFERROR(Q599,0)</f>
        <v/>
      </c>
    </row>
    <row r="600">
      <c r="A600" s="17" t="inlineStr">
        <is>
          <t>ORD1599</t>
        </is>
      </c>
      <c r="B600" s="17" t="inlineStr">
        <is>
          <t>2025-03-12</t>
        </is>
      </c>
      <c r="C600" s="17" t="inlineStr">
        <is>
          <t>18:55:45</t>
        </is>
      </c>
      <c r="D600" s="17" t="n">
        <v>1012</v>
      </c>
      <c r="E600" s="17" t="n">
        <v>110</v>
      </c>
      <c r="F600" s="17" t="n">
        <v>226</v>
      </c>
      <c r="G600" s="17" t="inlineStr">
        <is>
          <t>Pune</t>
        </is>
      </c>
      <c r="H600" s="17" t="inlineStr">
        <is>
          <t>North Indian</t>
        </is>
      </c>
      <c r="I600" s="22" t="n">
        <v>782</v>
      </c>
      <c r="J600" s="22" t="n">
        <v>139.97</v>
      </c>
      <c r="K600" s="22" t="n">
        <v>0</v>
      </c>
      <c r="L600" s="23" t="n">
        <v>0.18</v>
      </c>
      <c r="M600" s="22" t="n">
        <v>140.76</v>
      </c>
      <c r="N600" s="24" t="n">
        <v>3.2</v>
      </c>
      <c r="O600" s="24" t="n">
        <v>50.2</v>
      </c>
      <c r="P600" s="17" t="inlineStr">
        <is>
          <t>Cash on Delivery</t>
        </is>
      </c>
      <c r="Q600" s="17" t="inlineStr">
        <is>
          <t>Delivered</t>
        </is>
      </c>
      <c r="R600" s="17" t="n">
        <v>2</v>
      </c>
      <c r="S600" s="17">
        <f>TEXT(B600,"yyyy-mm")</f>
        <v/>
      </c>
      <c r="T600" s="17">
        <f>VLOOKUP(D600,Customers!A:D,4,FALSE)</f>
        <v/>
      </c>
      <c r="U600" s="17">
        <f>CONCATENATE(A600,"-",G600)</f>
        <v/>
      </c>
      <c r="V600" s="17">
        <f>IF(N600="","",IF(N600&lt;=30,"Fast (&lt;30m)",IF(N600&lt;=45,"Moderate (30-45m)","Delayed (&gt;45m)")))</f>
        <v/>
      </c>
      <c r="W600" s="17">
        <f>IF(AND(I600&gt;600,P600="Delivered"),"High Value Delivered","Standard")</f>
        <v/>
      </c>
      <c r="X600" s="17">
        <f>IF(OR(N600&gt;50,Q600&lt;=2),"High Risk / Delayed","Normal")</f>
        <v/>
      </c>
      <c r="Y600" s="17">
        <f>IF(NOT(P600="Cancelled"),"Fulfilled","Cancelled")</f>
        <v/>
      </c>
      <c r="Z600" s="17">
        <f>IFERROR(Q600,0)</f>
        <v/>
      </c>
    </row>
    <row r="601">
      <c r="A601" s="25" t="inlineStr">
        <is>
          <t>ORD1600</t>
        </is>
      </c>
      <c r="B601" s="25" t="inlineStr">
        <is>
          <t>2025-12-20</t>
        </is>
      </c>
      <c r="C601" s="25" t="inlineStr">
        <is>
          <t>12:21:33</t>
        </is>
      </c>
      <c r="D601" s="25" t="n">
        <v>1058</v>
      </c>
      <c r="E601" s="25" t="n">
        <v>103</v>
      </c>
      <c r="F601" s="25" t="n">
        <v>229</v>
      </c>
      <c r="G601" s="25" t="inlineStr">
        <is>
          <t>Mumbai</t>
        </is>
      </c>
      <c r="H601" s="25" t="inlineStr">
        <is>
          <t>Italian</t>
        </is>
      </c>
      <c r="I601" s="26" t="n">
        <v>253</v>
      </c>
      <c r="J601" s="26" t="n">
        <v>0</v>
      </c>
      <c r="K601" s="26" t="n">
        <v>25.5</v>
      </c>
      <c r="L601" s="27" t="n">
        <v>0.18</v>
      </c>
      <c r="M601" s="26" t="n">
        <v>51.92</v>
      </c>
      <c r="N601" s="28" t="n">
        <v>3.1</v>
      </c>
      <c r="O601" s="28" t="n">
        <v>36.2</v>
      </c>
      <c r="P601" s="25" t="inlineStr">
        <is>
          <t>Digital Wallet</t>
        </is>
      </c>
      <c r="Q601" s="25" t="inlineStr">
        <is>
          <t>Delivered</t>
        </is>
      </c>
      <c r="R601" s="25" t="n">
        <v>5</v>
      </c>
      <c r="S601" s="25">
        <f>TEXT(B601,"yyyy-mm")</f>
        <v/>
      </c>
      <c r="T601" s="25">
        <f>VLOOKUP(D601,Customers!A:D,4,FALSE)</f>
        <v/>
      </c>
      <c r="U601" s="25">
        <f>CONCATENATE(A601,"-",G601)</f>
        <v/>
      </c>
      <c r="V601" s="25">
        <f>IF(N601="","",IF(N601&lt;=30,"Fast (&lt;30m)",IF(N601&lt;=45,"Moderate (30-45m)","Delayed (&gt;45m)")))</f>
        <v/>
      </c>
      <c r="W601" s="25">
        <f>IF(AND(I601&gt;600,P601="Delivered"),"High Value Delivered","Standard")</f>
        <v/>
      </c>
      <c r="X601" s="25">
        <f>IF(OR(N601&gt;50,Q601&lt;=2),"High Risk / Delayed","Normal")</f>
        <v/>
      </c>
      <c r="Y601" s="25">
        <f>IF(NOT(P601="Cancelled"),"Fulfilled","Cancelled")</f>
        <v/>
      </c>
      <c r="Z601" s="25">
        <f>IFERROR(Q601,0)</f>
        <v/>
      </c>
    </row>
    <row r="602">
      <c r="A602" s="17" t="inlineStr">
        <is>
          <t>ORD1601</t>
        </is>
      </c>
      <c r="B602" s="17" t="inlineStr">
        <is>
          <t>2025-01-29</t>
        </is>
      </c>
      <c r="C602" s="17" t="inlineStr">
        <is>
          <t>16:32:58</t>
        </is>
      </c>
      <c r="D602" s="17" t="n">
        <v>1158</v>
      </c>
      <c r="E602" s="17" t="n">
        <v>110</v>
      </c>
      <c r="F602" s="17" t="n">
        <v>217</v>
      </c>
      <c r="G602" s="17" t="inlineStr">
        <is>
          <t>Pune</t>
        </is>
      </c>
      <c r="H602" s="17" t="inlineStr">
        <is>
          <t>North Indian</t>
        </is>
      </c>
      <c r="I602" s="22" t="n">
        <v>910</v>
      </c>
      <c r="J602" s="22" t="n">
        <v>68.69</v>
      </c>
      <c r="K602" s="22" t="n">
        <v>25</v>
      </c>
      <c r="L602" s="23" t="n">
        <v>0.18</v>
      </c>
      <c r="M602" s="22" t="n">
        <v>170.05</v>
      </c>
      <c r="N602" s="24" t="n">
        <v>2.9</v>
      </c>
      <c r="O602" s="24" t="n">
        <v>20.8</v>
      </c>
      <c r="P602" s="17" t="inlineStr">
        <is>
          <t>Cash on Delivery</t>
        </is>
      </c>
      <c r="Q602" s="17" t="inlineStr">
        <is>
          <t>Delivered</t>
        </is>
      </c>
      <c r="R602" s="17" t="n">
        <v>4</v>
      </c>
      <c r="S602" s="17">
        <f>TEXT(B602,"yyyy-mm")</f>
        <v/>
      </c>
      <c r="T602" s="17">
        <f>VLOOKUP(D602,Customers!A:D,4,FALSE)</f>
        <v/>
      </c>
      <c r="U602" s="17">
        <f>CONCATENATE(A602,"-",G602)</f>
        <v/>
      </c>
      <c r="V602" s="17">
        <f>IF(N602="","",IF(N602&lt;=30,"Fast (&lt;30m)",IF(N602&lt;=45,"Moderate (30-45m)","Delayed (&gt;45m)")))</f>
        <v/>
      </c>
      <c r="W602" s="17">
        <f>IF(AND(I602&gt;600,P602="Delivered"),"High Value Delivered","Standard")</f>
        <v/>
      </c>
      <c r="X602" s="17">
        <f>IF(OR(N602&gt;50,Q602&lt;=2),"High Risk / Delayed","Normal")</f>
        <v/>
      </c>
      <c r="Y602" s="17">
        <f>IF(NOT(P602="Cancelled"),"Fulfilled","Cancelled")</f>
        <v/>
      </c>
      <c r="Z602" s="17">
        <f>IFERROR(Q602,0)</f>
        <v/>
      </c>
    </row>
    <row r="603">
      <c r="A603" s="25" t="inlineStr">
        <is>
          <t>ORD1602</t>
        </is>
      </c>
      <c r="B603" s="25" t="inlineStr">
        <is>
          <t>2025-07-07</t>
        </is>
      </c>
      <c r="C603" s="25" t="inlineStr">
        <is>
          <t>16:23:11</t>
        </is>
      </c>
      <c r="D603" s="25" t="n">
        <v>1096</v>
      </c>
      <c r="E603" s="25" t="n">
        <v>109</v>
      </c>
      <c r="F603" s="25" t="n">
        <v>216</v>
      </c>
      <c r="G603" s="25" t="inlineStr">
        <is>
          <t>Hyderabad</t>
        </is>
      </c>
      <c r="H603" s="25" t="inlineStr">
        <is>
          <t>Biryani</t>
        </is>
      </c>
      <c r="I603" s="26" t="n">
        <v>883</v>
      </c>
      <c r="J603" s="26" t="n">
        <v>4.73</v>
      </c>
      <c r="K603" s="26" t="n">
        <v>32</v>
      </c>
      <c r="L603" s="27" t="n">
        <v>0.2</v>
      </c>
      <c r="M603" s="26" t="n">
        <v>184.6</v>
      </c>
      <c r="N603" s="28" t="n">
        <v>4.4</v>
      </c>
      <c r="O603" s="28" t="n">
        <v>37.4</v>
      </c>
      <c r="P603" s="25" t="inlineStr">
        <is>
          <t>Credit Card</t>
        </is>
      </c>
      <c r="Q603" s="25" t="inlineStr">
        <is>
          <t>Delivered</t>
        </is>
      </c>
      <c r="R603" s="25" t="n">
        <v>4</v>
      </c>
      <c r="S603" s="25">
        <f>TEXT(B603,"yyyy-mm")</f>
        <v/>
      </c>
      <c r="T603" s="25">
        <f>VLOOKUP(D603,Customers!A:D,4,FALSE)</f>
        <v/>
      </c>
      <c r="U603" s="25">
        <f>CONCATENATE(A603,"-",G603)</f>
        <v/>
      </c>
      <c r="V603" s="25">
        <f>IF(N603="","",IF(N603&lt;=30,"Fast (&lt;30m)",IF(N603&lt;=45,"Moderate (30-45m)","Delayed (&gt;45m)")))</f>
        <v/>
      </c>
      <c r="W603" s="25">
        <f>IF(AND(I603&gt;600,P603="Delivered"),"High Value Delivered","Standard")</f>
        <v/>
      </c>
      <c r="X603" s="25">
        <f>IF(OR(N603&gt;50,Q603&lt;=2),"High Risk / Delayed","Normal")</f>
        <v/>
      </c>
      <c r="Y603" s="25">
        <f>IF(NOT(P603="Cancelled"),"Fulfilled","Cancelled")</f>
        <v/>
      </c>
      <c r="Z603" s="25">
        <f>IFERROR(Q603,0)</f>
        <v/>
      </c>
    </row>
    <row r="604">
      <c r="A604" s="17" t="inlineStr">
        <is>
          <t>ORD1603</t>
        </is>
      </c>
      <c r="B604" s="17" t="inlineStr">
        <is>
          <t>2025-05-03</t>
        </is>
      </c>
      <c r="C604" s="17" t="inlineStr">
        <is>
          <t>19:34:07</t>
        </is>
      </c>
      <c r="D604" s="17" t="n">
        <v>1047</v>
      </c>
      <c r="E604" s="17" t="n">
        <v>101</v>
      </c>
      <c r="F604" s="17" t="n">
        <v>210</v>
      </c>
      <c r="G604" s="17" t="inlineStr">
        <is>
          <t>Bangalore</t>
        </is>
      </c>
      <c r="H604" s="17" t="inlineStr">
        <is>
          <t>North Indian</t>
        </is>
      </c>
      <c r="I604" s="22" t="n">
        <v>884</v>
      </c>
      <c r="J604" s="22" t="n">
        <v>0</v>
      </c>
      <c r="K604" s="22" t="n">
        <v>25</v>
      </c>
      <c r="L604" s="23" t="n">
        <v>0.2</v>
      </c>
      <c r="M604" s="22" t="n">
        <v>183.05</v>
      </c>
      <c r="N604" s="24" t="n">
        <v>2.6</v>
      </c>
      <c r="O604" s="24" t="n">
        <v/>
      </c>
      <c r="P604" s="17" t="inlineStr">
        <is>
          <t>Digital Wallet</t>
        </is>
      </c>
      <c r="Q604" s="17" t="inlineStr">
        <is>
          <t>Cancelled</t>
        </is>
      </c>
      <c r="R604" s="17" t="n">
        <v/>
      </c>
      <c r="S604" s="17">
        <f>TEXT(B604,"yyyy-mm")</f>
        <v/>
      </c>
      <c r="T604" s="17">
        <f>VLOOKUP(D604,Customers!A:D,4,FALSE)</f>
        <v/>
      </c>
      <c r="U604" s="17">
        <f>CONCATENATE(A604,"-",G604)</f>
        <v/>
      </c>
      <c r="V604" s="17">
        <f>IF(N604="","",IF(N604&lt;=30,"Fast (&lt;30m)",IF(N604&lt;=45,"Moderate (30-45m)","Delayed (&gt;45m)")))</f>
        <v/>
      </c>
      <c r="W604" s="17">
        <f>IF(AND(I604&gt;600,P604="Delivered"),"High Value Delivered","Standard")</f>
        <v/>
      </c>
      <c r="X604" s="17">
        <f>IF(OR(N604&gt;50,Q604&lt;=2),"High Risk / Delayed","Normal")</f>
        <v/>
      </c>
      <c r="Y604" s="17">
        <f>IF(NOT(P604="Cancelled"),"Fulfilled","Cancelled")</f>
        <v/>
      </c>
      <c r="Z604" s="17">
        <f>IFERROR(Q604,0)</f>
        <v/>
      </c>
    </row>
    <row r="605">
      <c r="A605" s="25" t="inlineStr">
        <is>
          <t>ORD1604</t>
        </is>
      </c>
      <c r="B605" s="25" t="inlineStr">
        <is>
          <t>2025-06-30</t>
        </is>
      </c>
      <c r="C605" s="25" t="inlineStr">
        <is>
          <t>12:57:17</t>
        </is>
      </c>
      <c r="D605" s="25" t="n">
        <v>1099</v>
      </c>
      <c r="E605" s="25" t="n">
        <v>119</v>
      </c>
      <c r="F605" s="25" t="n">
        <v>215</v>
      </c>
      <c r="G605" s="25" t="inlineStr">
        <is>
          <t>Hyderabad</t>
        </is>
      </c>
      <c r="H605" s="25" t="inlineStr">
        <is>
          <t>Biryani</t>
        </is>
      </c>
      <c r="I605" s="26" t="n">
        <v>735</v>
      </c>
      <c r="J605" s="26" t="n">
        <v>16.3</v>
      </c>
      <c r="K605" s="26" t="n">
        <v>25</v>
      </c>
      <c r="L605" s="27" t="n">
        <v>0.2</v>
      </c>
      <c r="M605" s="26" t="n">
        <v>153.25</v>
      </c>
      <c r="N605" s="28" t="n">
        <v>2.4</v>
      </c>
      <c r="O605" s="28" t="n">
        <v>30.1</v>
      </c>
      <c r="P605" s="25" t="inlineStr">
        <is>
          <t>Debit Card</t>
        </is>
      </c>
      <c r="Q605" s="25" t="inlineStr">
        <is>
          <t>Delivered</t>
        </is>
      </c>
      <c r="R605" s="25" t="n">
        <v>4</v>
      </c>
      <c r="S605" s="25">
        <f>TEXT(B605,"yyyy-mm")</f>
        <v/>
      </c>
      <c r="T605" s="25">
        <f>VLOOKUP(D605,Customers!A:D,4,FALSE)</f>
        <v/>
      </c>
      <c r="U605" s="25">
        <f>CONCATENATE(A605,"-",G605)</f>
        <v/>
      </c>
      <c r="V605" s="25">
        <f>IF(N605="","",IF(N605&lt;=30,"Fast (&lt;30m)",IF(N605&lt;=45,"Moderate (30-45m)","Delayed (&gt;45m)")))</f>
        <v/>
      </c>
      <c r="W605" s="25">
        <f>IF(AND(I605&gt;600,P605="Delivered"),"High Value Delivered","Standard")</f>
        <v/>
      </c>
      <c r="X605" s="25">
        <f>IF(OR(N605&gt;50,Q605&lt;=2),"High Risk / Delayed","Normal")</f>
        <v/>
      </c>
      <c r="Y605" s="25">
        <f>IF(NOT(P605="Cancelled"),"Fulfilled","Cancelled")</f>
        <v/>
      </c>
      <c r="Z605" s="25">
        <f>IFERROR(Q605,0)</f>
        <v/>
      </c>
    </row>
    <row r="606">
      <c r="A606" s="17" t="inlineStr">
        <is>
          <t>ORD1605</t>
        </is>
      </c>
      <c r="B606" s="17" t="inlineStr">
        <is>
          <t>2025-08-29</t>
        </is>
      </c>
      <c r="C606" s="17" t="inlineStr">
        <is>
          <t>10:45:34</t>
        </is>
      </c>
      <c r="D606" s="17" t="n">
        <v>1219</v>
      </c>
      <c r="E606" s="17" t="n">
        <v>108</v>
      </c>
      <c r="F606" s="17" t="n">
        <v>221</v>
      </c>
      <c r="G606" s="17" t="inlineStr">
        <is>
          <t>Delhi NCR</t>
        </is>
      </c>
      <c r="H606" s="17" t="inlineStr">
        <is>
          <t>Fast Food</t>
        </is>
      </c>
      <c r="I606" s="22" t="n">
        <v>914</v>
      </c>
      <c r="J606" s="22" t="n">
        <v>98.51000000000001</v>
      </c>
      <c r="K606" s="22" t="n">
        <v>33</v>
      </c>
      <c r="L606" s="23" t="n">
        <v>0.18</v>
      </c>
      <c r="M606" s="22" t="n">
        <v>172.77</v>
      </c>
      <c r="N606" s="24" t="n">
        <v>4.6</v>
      </c>
      <c r="O606" s="24" t="n">
        <v>38.6</v>
      </c>
      <c r="P606" s="17" t="inlineStr">
        <is>
          <t>Cash on Delivery</t>
        </is>
      </c>
      <c r="Q606" s="17" t="inlineStr">
        <is>
          <t>Delivered</t>
        </is>
      </c>
      <c r="R606" s="17" t="n">
        <v>4</v>
      </c>
      <c r="S606" s="17">
        <f>TEXT(B606,"yyyy-mm")</f>
        <v/>
      </c>
      <c r="T606" s="17">
        <f>VLOOKUP(D606,Customers!A:D,4,FALSE)</f>
        <v/>
      </c>
      <c r="U606" s="17">
        <f>CONCATENATE(A606,"-",G606)</f>
        <v/>
      </c>
      <c r="V606" s="17">
        <f>IF(N606="","",IF(N606&lt;=30,"Fast (&lt;30m)",IF(N606&lt;=45,"Moderate (30-45m)","Delayed (&gt;45m)")))</f>
        <v/>
      </c>
      <c r="W606" s="17">
        <f>IF(AND(I606&gt;600,P606="Delivered"),"High Value Delivered","Standard")</f>
        <v/>
      </c>
      <c r="X606" s="17">
        <f>IF(OR(N606&gt;50,Q606&lt;=2),"High Risk / Delayed","Normal")</f>
        <v/>
      </c>
      <c r="Y606" s="17">
        <f>IF(NOT(P606="Cancelled"),"Fulfilled","Cancelled")</f>
        <v/>
      </c>
      <c r="Z606" s="17">
        <f>IFERROR(Q606,0)</f>
        <v/>
      </c>
    </row>
    <row r="607">
      <c r="A607" s="25" t="inlineStr">
        <is>
          <t>ORD1606</t>
        </is>
      </c>
      <c r="B607" s="25" t="inlineStr">
        <is>
          <t>2025-08-23</t>
        </is>
      </c>
      <c r="C607" s="25" t="inlineStr">
        <is>
          <t>21:05:05</t>
        </is>
      </c>
      <c r="D607" s="25" t="n">
        <v>1107</v>
      </c>
      <c r="E607" s="25" t="n">
        <v>113</v>
      </c>
      <c r="F607" s="25" t="n">
        <v>202</v>
      </c>
      <c r="G607" s="25" t="inlineStr">
        <is>
          <t>Mumbai</t>
        </is>
      </c>
      <c r="H607" s="25" t="inlineStr">
        <is>
          <t>Fast Food</t>
        </is>
      </c>
      <c r="I607" s="26" t="n">
        <v>620</v>
      </c>
      <c r="J607" s="26" t="n">
        <v>14.3</v>
      </c>
      <c r="K607" s="26" t="n">
        <v>25</v>
      </c>
      <c r="L607" s="27" t="n">
        <v>0.18</v>
      </c>
      <c r="M607" s="26" t="n">
        <v>117.85</v>
      </c>
      <c r="N607" s="28" t="n">
        <v>1.3</v>
      </c>
      <c r="O607" s="28" t="n">
        <v>30.8</v>
      </c>
      <c r="P607" s="25" t="inlineStr">
        <is>
          <t>UPI</t>
        </is>
      </c>
      <c r="Q607" s="25" t="inlineStr">
        <is>
          <t>Delivered</t>
        </is>
      </c>
      <c r="R607" s="25" t="n">
        <v>3</v>
      </c>
      <c r="S607" s="25">
        <f>TEXT(B607,"yyyy-mm")</f>
        <v/>
      </c>
      <c r="T607" s="25">
        <f>VLOOKUP(D607,Customers!A:D,4,FALSE)</f>
        <v/>
      </c>
      <c r="U607" s="25">
        <f>CONCATENATE(A607,"-",G607)</f>
        <v/>
      </c>
      <c r="V607" s="25">
        <f>IF(N607="","",IF(N607&lt;=30,"Fast (&lt;30m)",IF(N607&lt;=45,"Moderate (30-45m)","Delayed (&gt;45m)")))</f>
        <v/>
      </c>
      <c r="W607" s="25">
        <f>IF(AND(I607&gt;600,P607="Delivered"),"High Value Delivered","Standard")</f>
        <v/>
      </c>
      <c r="X607" s="25">
        <f>IF(OR(N607&gt;50,Q607&lt;=2),"High Risk / Delayed","Normal")</f>
        <v/>
      </c>
      <c r="Y607" s="25">
        <f>IF(NOT(P607="Cancelled"),"Fulfilled","Cancelled")</f>
        <v/>
      </c>
      <c r="Z607" s="25">
        <f>IFERROR(Q607,0)</f>
        <v/>
      </c>
    </row>
    <row r="608">
      <c r="A608" s="17" t="inlineStr">
        <is>
          <t>ORD1607</t>
        </is>
      </c>
      <c r="B608" s="17" t="inlineStr">
        <is>
          <t>2025-02-27</t>
        </is>
      </c>
      <c r="C608" s="17" t="inlineStr">
        <is>
          <t>15:44:09</t>
        </is>
      </c>
      <c r="D608" s="17" t="n">
        <v>1064</v>
      </c>
      <c r="E608" s="17" t="n">
        <v>110</v>
      </c>
      <c r="F608" s="17" t="n">
        <v>214</v>
      </c>
      <c r="G608" s="17" t="inlineStr">
        <is>
          <t>Pune</t>
        </is>
      </c>
      <c r="H608" s="17" t="inlineStr">
        <is>
          <t>North Indian</t>
        </is>
      </c>
      <c r="I608" s="22" t="n">
        <v>728</v>
      </c>
      <c r="J608" s="22" t="n">
        <v>0</v>
      </c>
      <c r="K608" s="22" t="n">
        <v>31.5</v>
      </c>
      <c r="L608" s="23" t="n">
        <v>0.18</v>
      </c>
      <c r="M608" s="22" t="n">
        <v>138.92</v>
      </c>
      <c r="N608" s="24" t="n">
        <v>4.3</v>
      </c>
      <c r="O608" s="24" t="n">
        <v>28</v>
      </c>
      <c r="P608" s="17" t="inlineStr">
        <is>
          <t>UPI</t>
        </is>
      </c>
      <c r="Q608" s="17" t="inlineStr">
        <is>
          <t>Delivered</t>
        </is>
      </c>
      <c r="R608" s="17" t="n">
        <v>4</v>
      </c>
      <c r="S608" s="17">
        <f>TEXT(B608,"yyyy-mm")</f>
        <v/>
      </c>
      <c r="T608" s="17">
        <f>VLOOKUP(D608,Customers!A:D,4,FALSE)</f>
        <v/>
      </c>
      <c r="U608" s="17">
        <f>CONCATENATE(A608,"-",G608)</f>
        <v/>
      </c>
      <c r="V608" s="17">
        <f>IF(N608="","",IF(N608&lt;=30,"Fast (&lt;30m)",IF(N608&lt;=45,"Moderate (30-45m)","Delayed (&gt;45m)")))</f>
        <v/>
      </c>
      <c r="W608" s="17">
        <f>IF(AND(I608&gt;600,P608="Delivered"),"High Value Delivered","Standard")</f>
        <v/>
      </c>
      <c r="X608" s="17">
        <f>IF(OR(N608&gt;50,Q608&lt;=2),"High Risk / Delayed","Normal")</f>
        <v/>
      </c>
      <c r="Y608" s="17">
        <f>IF(NOT(P608="Cancelled"),"Fulfilled","Cancelled")</f>
        <v/>
      </c>
      <c r="Z608" s="17">
        <f>IFERROR(Q608,0)</f>
        <v/>
      </c>
    </row>
    <row r="609">
      <c r="A609" s="25" t="inlineStr">
        <is>
          <t>ORD1608</t>
        </is>
      </c>
      <c r="B609" s="25" t="inlineStr">
        <is>
          <t>2025-08-31</t>
        </is>
      </c>
      <c r="C609" s="25" t="inlineStr">
        <is>
          <t>17:22:26</t>
        </is>
      </c>
      <c r="D609" s="25" t="n">
        <v>1071</v>
      </c>
      <c r="E609" s="25" t="n">
        <v>120</v>
      </c>
      <c r="F609" s="25" t="n">
        <v>204</v>
      </c>
      <c r="G609" s="25" t="inlineStr">
        <is>
          <t>Pune</t>
        </is>
      </c>
      <c r="H609" s="25" t="inlineStr">
        <is>
          <t>Fast Food</t>
        </is>
      </c>
      <c r="I609" s="26" t="n">
        <v>674</v>
      </c>
      <c r="J609" s="26" t="n">
        <v>68.51000000000001</v>
      </c>
      <c r="K609" s="26" t="n">
        <v>39.5</v>
      </c>
      <c r="L609" s="27" t="n">
        <v>0.18</v>
      </c>
      <c r="M609" s="26" t="n">
        <v>131.2</v>
      </c>
      <c r="N609" s="28" t="n">
        <v>5.9</v>
      </c>
      <c r="O609" s="28" t="n">
        <v>34.6</v>
      </c>
      <c r="P609" s="25" t="inlineStr">
        <is>
          <t>Credit Card</t>
        </is>
      </c>
      <c r="Q609" s="25" t="inlineStr">
        <is>
          <t>Delivered</t>
        </is>
      </c>
      <c r="R609" s="25" t="n">
        <v>4</v>
      </c>
      <c r="S609" s="25">
        <f>TEXT(B609,"yyyy-mm")</f>
        <v/>
      </c>
      <c r="T609" s="25">
        <f>VLOOKUP(D609,Customers!A:D,4,FALSE)</f>
        <v/>
      </c>
      <c r="U609" s="25">
        <f>CONCATENATE(A609,"-",G609)</f>
        <v/>
      </c>
      <c r="V609" s="25">
        <f>IF(N609="","",IF(N609&lt;=30,"Fast (&lt;30m)",IF(N609&lt;=45,"Moderate (30-45m)","Delayed (&gt;45m)")))</f>
        <v/>
      </c>
      <c r="W609" s="25">
        <f>IF(AND(I609&gt;600,P609="Delivered"),"High Value Delivered","Standard")</f>
        <v/>
      </c>
      <c r="X609" s="25">
        <f>IF(OR(N609&gt;50,Q609&lt;=2),"High Risk / Delayed","Normal")</f>
        <v/>
      </c>
      <c r="Y609" s="25">
        <f>IF(NOT(P609="Cancelled"),"Fulfilled","Cancelled")</f>
        <v/>
      </c>
      <c r="Z609" s="25">
        <f>IFERROR(Q609,0)</f>
        <v/>
      </c>
    </row>
    <row r="610">
      <c r="A610" s="17" t="inlineStr">
        <is>
          <t>ORD1609</t>
        </is>
      </c>
      <c r="B610" s="17" t="inlineStr">
        <is>
          <t>2025-04-29</t>
        </is>
      </c>
      <c r="C610" s="17" t="inlineStr">
        <is>
          <t>17:53:33</t>
        </is>
      </c>
      <c r="D610" s="17" t="n">
        <v>1173</v>
      </c>
      <c r="E610" s="17" t="n">
        <v>115</v>
      </c>
      <c r="F610" s="17" t="n">
        <v>210</v>
      </c>
      <c r="G610" s="17" t="inlineStr">
        <is>
          <t>Bangalore</t>
        </is>
      </c>
      <c r="H610" s="17" t="inlineStr">
        <is>
          <t>Italian</t>
        </is>
      </c>
      <c r="I610" s="22" t="n">
        <v>880</v>
      </c>
      <c r="J610" s="22" t="n">
        <v>0</v>
      </c>
      <c r="K610" s="22" t="n">
        <v>27.5</v>
      </c>
      <c r="L610" s="23" t="n">
        <v>0.2</v>
      </c>
      <c r="M610" s="22" t="n">
        <v>182.88</v>
      </c>
      <c r="N610" s="24" t="n">
        <v>3.5</v>
      </c>
      <c r="O610" s="24" t="n">
        <v>30.5</v>
      </c>
      <c r="P610" s="17" t="inlineStr">
        <is>
          <t>Debit Card</t>
        </is>
      </c>
      <c r="Q610" s="17" t="inlineStr">
        <is>
          <t>Delivered</t>
        </is>
      </c>
      <c r="R610" s="17" t="n">
        <v>5</v>
      </c>
      <c r="S610" s="17">
        <f>TEXT(B610,"yyyy-mm")</f>
        <v/>
      </c>
      <c r="T610" s="17">
        <f>VLOOKUP(D610,Customers!A:D,4,FALSE)</f>
        <v/>
      </c>
      <c r="U610" s="17">
        <f>CONCATENATE(A610,"-",G610)</f>
        <v/>
      </c>
      <c r="V610" s="17">
        <f>IF(N610="","",IF(N610&lt;=30,"Fast (&lt;30m)",IF(N610&lt;=45,"Moderate (30-45m)","Delayed (&gt;45m)")))</f>
        <v/>
      </c>
      <c r="W610" s="17">
        <f>IF(AND(I610&gt;600,P610="Delivered"),"High Value Delivered","Standard")</f>
        <v/>
      </c>
      <c r="X610" s="17">
        <f>IF(OR(N610&gt;50,Q610&lt;=2),"High Risk / Delayed","Normal")</f>
        <v/>
      </c>
      <c r="Y610" s="17">
        <f>IF(NOT(P610="Cancelled"),"Fulfilled","Cancelled")</f>
        <v/>
      </c>
      <c r="Z610" s="17">
        <f>IFERROR(Q610,0)</f>
        <v/>
      </c>
    </row>
    <row r="611">
      <c r="A611" s="25" t="inlineStr">
        <is>
          <t>ORD1610</t>
        </is>
      </c>
      <c r="B611" s="25" t="inlineStr">
        <is>
          <t>2025-06-05</t>
        </is>
      </c>
      <c r="C611" s="25" t="inlineStr">
        <is>
          <t>19:36:08</t>
        </is>
      </c>
      <c r="D611" s="25" t="n">
        <v>1118</v>
      </c>
      <c r="E611" s="25" t="n">
        <v>104</v>
      </c>
      <c r="F611" s="25" t="n">
        <v>221</v>
      </c>
      <c r="G611" s="25" t="inlineStr">
        <is>
          <t>Delhi NCR</t>
        </is>
      </c>
      <c r="H611" s="25" t="inlineStr">
        <is>
          <t>Fast Food</t>
        </is>
      </c>
      <c r="I611" s="26" t="n">
        <v>533</v>
      </c>
      <c r="J611" s="26" t="n">
        <v>0</v>
      </c>
      <c r="K611" s="26" t="n">
        <v>29.5</v>
      </c>
      <c r="L611" s="27" t="n">
        <v>0.18</v>
      </c>
      <c r="M611" s="26" t="n">
        <v>103.32</v>
      </c>
      <c r="N611" s="28" t="n">
        <v>3.9</v>
      </c>
      <c r="O611" s="28" t="n">
        <v>37</v>
      </c>
      <c r="P611" s="25" t="inlineStr">
        <is>
          <t>Cash on Delivery</t>
        </is>
      </c>
      <c r="Q611" s="25" t="inlineStr">
        <is>
          <t>Delivered</t>
        </is>
      </c>
      <c r="R611" s="25" t="n">
        <v>4</v>
      </c>
      <c r="S611" s="25">
        <f>TEXT(B611,"yyyy-mm")</f>
        <v/>
      </c>
      <c r="T611" s="25">
        <f>VLOOKUP(D611,Customers!A:D,4,FALSE)</f>
        <v/>
      </c>
      <c r="U611" s="25">
        <f>CONCATENATE(A611,"-",G611)</f>
        <v/>
      </c>
      <c r="V611" s="25">
        <f>IF(N611="","",IF(N611&lt;=30,"Fast (&lt;30m)",IF(N611&lt;=45,"Moderate (30-45m)","Delayed (&gt;45m)")))</f>
        <v/>
      </c>
      <c r="W611" s="25">
        <f>IF(AND(I611&gt;600,P611="Delivered"),"High Value Delivered","Standard")</f>
        <v/>
      </c>
      <c r="X611" s="25">
        <f>IF(OR(N611&gt;50,Q611&lt;=2),"High Risk / Delayed","Normal")</f>
        <v/>
      </c>
      <c r="Y611" s="25">
        <f>IF(NOT(P611="Cancelled"),"Fulfilled","Cancelled")</f>
        <v/>
      </c>
      <c r="Z611" s="25">
        <f>IFERROR(Q611,0)</f>
        <v/>
      </c>
    </row>
    <row r="612">
      <c r="A612" s="17" t="inlineStr">
        <is>
          <t>ORD1611</t>
        </is>
      </c>
      <c r="B612" s="17" t="inlineStr">
        <is>
          <t>2025-03-17</t>
        </is>
      </c>
      <c r="C612" s="17" t="inlineStr">
        <is>
          <t>19:22:18</t>
        </is>
      </c>
      <c r="D612" s="17" t="n">
        <v>1264</v>
      </c>
      <c r="E612" s="17" t="n">
        <v>101</v>
      </c>
      <c r="F612" s="17" t="n">
        <v>213</v>
      </c>
      <c r="G612" s="17" t="inlineStr">
        <is>
          <t>Bangalore</t>
        </is>
      </c>
      <c r="H612" s="17" t="inlineStr">
        <is>
          <t>North Indian</t>
        </is>
      </c>
      <c r="I612" s="22" t="n">
        <v>686</v>
      </c>
      <c r="J612" s="22" t="n">
        <v>33.95</v>
      </c>
      <c r="K612" s="22" t="n">
        <v>30.5</v>
      </c>
      <c r="L612" s="23" t="n">
        <v>0.2</v>
      </c>
      <c r="M612" s="22" t="n">
        <v>144.83</v>
      </c>
      <c r="N612" s="24" t="n">
        <v>4.1</v>
      </c>
      <c r="O612" s="24" t="n">
        <v>35.6</v>
      </c>
      <c r="P612" s="17" t="inlineStr">
        <is>
          <t>Digital Wallet</t>
        </is>
      </c>
      <c r="Q612" s="17" t="inlineStr">
        <is>
          <t>Delivered</t>
        </is>
      </c>
      <c r="R612" s="17" t="n">
        <v>5</v>
      </c>
      <c r="S612" s="17">
        <f>TEXT(B612,"yyyy-mm")</f>
        <v/>
      </c>
      <c r="T612" s="17">
        <f>VLOOKUP(D612,Customers!A:D,4,FALSE)</f>
        <v/>
      </c>
      <c r="U612" s="17">
        <f>CONCATENATE(A612,"-",G612)</f>
        <v/>
      </c>
      <c r="V612" s="17">
        <f>IF(N612="","",IF(N612&lt;=30,"Fast (&lt;30m)",IF(N612&lt;=45,"Moderate (30-45m)","Delayed (&gt;45m)")))</f>
        <v/>
      </c>
      <c r="W612" s="17">
        <f>IF(AND(I612&gt;600,P612="Delivered"),"High Value Delivered","Standard")</f>
        <v/>
      </c>
      <c r="X612" s="17">
        <f>IF(OR(N612&gt;50,Q612&lt;=2),"High Risk / Delayed","Normal")</f>
        <v/>
      </c>
      <c r="Y612" s="17">
        <f>IF(NOT(P612="Cancelled"),"Fulfilled","Cancelled")</f>
        <v/>
      </c>
      <c r="Z612" s="17">
        <f>IFERROR(Q612,0)</f>
        <v/>
      </c>
    </row>
    <row r="613">
      <c r="A613" s="25" t="inlineStr">
        <is>
          <t>ORD1612</t>
        </is>
      </c>
      <c r="B613" s="25" t="inlineStr">
        <is>
          <t>2025-12-29</t>
        </is>
      </c>
      <c r="C613" s="25" t="inlineStr">
        <is>
          <t>20:44:57</t>
        </is>
      </c>
      <c r="D613" s="25" t="n">
        <v>1282</v>
      </c>
      <c r="E613" s="25" t="n">
        <v>118</v>
      </c>
      <c r="F613" s="25" t="n">
        <v>228</v>
      </c>
      <c r="G613" s="25" t="inlineStr">
        <is>
          <t>Delhi NCR</t>
        </is>
      </c>
      <c r="H613" s="25" t="inlineStr">
        <is>
          <t>North Indian</t>
        </is>
      </c>
      <c r="I613" s="26" t="n">
        <v>902</v>
      </c>
      <c r="J613" s="26" t="n">
        <v>11.64</v>
      </c>
      <c r="K613" s="26" t="n">
        <v>44.5</v>
      </c>
      <c r="L613" s="27" t="n">
        <v>0.2</v>
      </c>
      <c r="M613" s="26" t="n">
        <v>191.52</v>
      </c>
      <c r="N613" s="28" t="n">
        <v>6.9</v>
      </c>
      <c r="O613" s="28" t="n">
        <v>39.9</v>
      </c>
      <c r="P613" s="25" t="inlineStr">
        <is>
          <t>Debit Card</t>
        </is>
      </c>
      <c r="Q613" s="25" t="inlineStr">
        <is>
          <t>Delivered</t>
        </is>
      </c>
      <c r="R613" s="25" t="n">
        <v>4</v>
      </c>
      <c r="S613" s="25">
        <f>TEXT(B613,"yyyy-mm")</f>
        <v/>
      </c>
      <c r="T613" s="25">
        <f>VLOOKUP(D613,Customers!A:D,4,FALSE)</f>
        <v/>
      </c>
      <c r="U613" s="25">
        <f>CONCATENATE(A613,"-",G613)</f>
        <v/>
      </c>
      <c r="V613" s="25">
        <f>IF(N613="","",IF(N613&lt;=30,"Fast (&lt;30m)",IF(N613&lt;=45,"Moderate (30-45m)","Delayed (&gt;45m)")))</f>
        <v/>
      </c>
      <c r="W613" s="25">
        <f>IF(AND(I613&gt;600,P613="Delivered"),"High Value Delivered","Standard")</f>
        <v/>
      </c>
      <c r="X613" s="25">
        <f>IF(OR(N613&gt;50,Q613&lt;=2),"High Risk / Delayed","Normal")</f>
        <v/>
      </c>
      <c r="Y613" s="25">
        <f>IF(NOT(P613="Cancelled"),"Fulfilled","Cancelled")</f>
        <v/>
      </c>
      <c r="Z613" s="25">
        <f>IFERROR(Q613,0)</f>
        <v/>
      </c>
    </row>
    <row r="614">
      <c r="A614" s="17" t="inlineStr">
        <is>
          <t>ORD1613</t>
        </is>
      </c>
      <c r="B614" s="17" t="inlineStr">
        <is>
          <t>2025-07-09</t>
        </is>
      </c>
      <c r="C614" s="17" t="inlineStr">
        <is>
          <t>08:11:13</t>
        </is>
      </c>
      <c r="D614" s="17" t="n">
        <v>1110</v>
      </c>
      <c r="E614" s="17" t="n">
        <v>103</v>
      </c>
      <c r="F614" s="17" t="n">
        <v>206</v>
      </c>
      <c r="G614" s="17" t="inlineStr">
        <is>
          <t>Mumbai</t>
        </is>
      </c>
      <c r="H614" s="17" t="inlineStr">
        <is>
          <t>Italian</t>
        </is>
      </c>
      <c r="I614" s="22" t="n">
        <v>795</v>
      </c>
      <c r="J614" s="22" t="n">
        <v>42.33</v>
      </c>
      <c r="K614" s="22" t="n">
        <v>38.5</v>
      </c>
      <c r="L614" s="23" t="n">
        <v>0.18</v>
      </c>
      <c r="M614" s="22" t="n">
        <v>152.72</v>
      </c>
      <c r="N614" s="24" t="n">
        <v>5.7</v>
      </c>
      <c r="O614" s="24" t="n">
        <v>39.7</v>
      </c>
      <c r="P614" s="17" t="inlineStr">
        <is>
          <t>Credit Card</t>
        </is>
      </c>
      <c r="Q614" s="17" t="inlineStr">
        <is>
          <t>Delivered</t>
        </is>
      </c>
      <c r="R614" s="17" t="n">
        <v>2</v>
      </c>
      <c r="S614" s="17">
        <f>TEXT(B614,"yyyy-mm")</f>
        <v/>
      </c>
      <c r="T614" s="17">
        <f>VLOOKUP(D614,Customers!A:D,4,FALSE)</f>
        <v/>
      </c>
      <c r="U614" s="17">
        <f>CONCATENATE(A614,"-",G614)</f>
        <v/>
      </c>
      <c r="V614" s="17">
        <f>IF(N614="","",IF(N614&lt;=30,"Fast (&lt;30m)",IF(N614&lt;=45,"Moderate (30-45m)","Delayed (&gt;45m)")))</f>
        <v/>
      </c>
      <c r="W614" s="17">
        <f>IF(AND(I614&gt;600,P614="Delivered"),"High Value Delivered","Standard")</f>
        <v/>
      </c>
      <c r="X614" s="17">
        <f>IF(OR(N614&gt;50,Q614&lt;=2),"High Risk / Delayed","Normal")</f>
        <v/>
      </c>
      <c r="Y614" s="17">
        <f>IF(NOT(P614="Cancelled"),"Fulfilled","Cancelled")</f>
        <v/>
      </c>
      <c r="Z614" s="17">
        <f>IFERROR(Q614,0)</f>
        <v/>
      </c>
    </row>
    <row r="615">
      <c r="A615" s="25" t="inlineStr">
        <is>
          <t>ORD1614</t>
        </is>
      </c>
      <c r="B615" s="25" t="inlineStr">
        <is>
          <t>2025-10-01</t>
        </is>
      </c>
      <c r="C615" s="25" t="inlineStr">
        <is>
          <t>13:19:07</t>
        </is>
      </c>
      <c r="D615" s="25" t="n">
        <v>1193</v>
      </c>
      <c r="E615" s="25" t="n">
        <v>104</v>
      </c>
      <c r="F615" s="25" t="n">
        <v>221</v>
      </c>
      <c r="G615" s="25" t="inlineStr">
        <is>
          <t>Delhi NCR</t>
        </is>
      </c>
      <c r="H615" s="25" t="inlineStr">
        <is>
          <t>Fast Food</t>
        </is>
      </c>
      <c r="I615" s="26" t="n">
        <v>448</v>
      </c>
      <c r="J615" s="26" t="n">
        <v>86.51000000000001</v>
      </c>
      <c r="K615" s="26" t="n">
        <v>25</v>
      </c>
      <c r="L615" s="27" t="n">
        <v>0.18</v>
      </c>
      <c r="M615" s="26" t="n">
        <v>86.89</v>
      </c>
      <c r="N615" s="28" t="n">
        <v>1.6</v>
      </c>
      <c r="O615" s="28" t="n">
        <v>26.5</v>
      </c>
      <c r="P615" s="25" t="inlineStr">
        <is>
          <t>Cash on Delivery</t>
        </is>
      </c>
      <c r="Q615" s="25" t="inlineStr">
        <is>
          <t>Delivered</t>
        </is>
      </c>
      <c r="R615" s="25" t="n">
        <v>4</v>
      </c>
      <c r="S615" s="25">
        <f>TEXT(B615,"yyyy-mm")</f>
        <v/>
      </c>
      <c r="T615" s="25">
        <f>VLOOKUP(D615,Customers!A:D,4,FALSE)</f>
        <v/>
      </c>
      <c r="U615" s="25">
        <f>CONCATENATE(A615,"-",G615)</f>
        <v/>
      </c>
      <c r="V615" s="25">
        <f>IF(N615="","",IF(N615&lt;=30,"Fast (&lt;30m)",IF(N615&lt;=45,"Moderate (30-45m)","Delayed (&gt;45m)")))</f>
        <v/>
      </c>
      <c r="W615" s="25">
        <f>IF(AND(I615&gt;600,P615="Delivered"),"High Value Delivered","Standard")</f>
        <v/>
      </c>
      <c r="X615" s="25">
        <f>IF(OR(N615&gt;50,Q615&lt;=2),"High Risk / Delayed","Normal")</f>
        <v/>
      </c>
      <c r="Y615" s="25">
        <f>IF(NOT(P615="Cancelled"),"Fulfilled","Cancelled")</f>
        <v/>
      </c>
      <c r="Z615" s="25">
        <f>IFERROR(Q615,0)</f>
        <v/>
      </c>
    </row>
    <row r="616">
      <c r="A616" s="17" t="inlineStr">
        <is>
          <t>ORD1615</t>
        </is>
      </c>
      <c r="B616" s="17" t="inlineStr">
        <is>
          <t>2025-10-07</t>
        </is>
      </c>
      <c r="C616" s="17" t="inlineStr">
        <is>
          <t>18:32:21</t>
        </is>
      </c>
      <c r="D616" s="17" t="n">
        <v>1278</v>
      </c>
      <c r="E616" s="17" t="n">
        <v>115</v>
      </c>
      <c r="F616" s="17" t="n">
        <v>203</v>
      </c>
      <c r="G616" s="17" t="inlineStr">
        <is>
          <t>Bangalore</t>
        </is>
      </c>
      <c r="H616" s="17" t="inlineStr">
        <is>
          <t>Italian</t>
        </is>
      </c>
      <c r="I616" s="22" t="n">
        <v>882</v>
      </c>
      <c r="J616" s="22" t="n">
        <v>87.65000000000001</v>
      </c>
      <c r="K616" s="22" t="n">
        <v>28</v>
      </c>
      <c r="L616" s="23" t="n">
        <v>0.2</v>
      </c>
      <c r="M616" s="22" t="n">
        <v>183.4</v>
      </c>
      <c r="N616" s="24" t="n">
        <v>3.6</v>
      </c>
      <c r="O616" s="24" t="n">
        <v>27.6</v>
      </c>
      <c r="P616" s="17" t="inlineStr">
        <is>
          <t>Debit Card</t>
        </is>
      </c>
      <c r="Q616" s="17" t="inlineStr">
        <is>
          <t>Delivered</t>
        </is>
      </c>
      <c r="R616" s="17" t="n">
        <v>5</v>
      </c>
      <c r="S616" s="17">
        <f>TEXT(B616,"yyyy-mm")</f>
        <v/>
      </c>
      <c r="T616" s="17">
        <f>VLOOKUP(D616,Customers!A:D,4,FALSE)</f>
        <v/>
      </c>
      <c r="U616" s="17">
        <f>CONCATENATE(A616,"-",G616)</f>
        <v/>
      </c>
      <c r="V616" s="17">
        <f>IF(N616="","",IF(N616&lt;=30,"Fast (&lt;30m)",IF(N616&lt;=45,"Moderate (30-45m)","Delayed (&gt;45m)")))</f>
        <v/>
      </c>
      <c r="W616" s="17">
        <f>IF(AND(I616&gt;600,P616="Delivered"),"High Value Delivered","Standard")</f>
        <v/>
      </c>
      <c r="X616" s="17">
        <f>IF(OR(N616&gt;50,Q616&lt;=2),"High Risk / Delayed","Normal")</f>
        <v/>
      </c>
      <c r="Y616" s="17">
        <f>IF(NOT(P616="Cancelled"),"Fulfilled","Cancelled")</f>
        <v/>
      </c>
      <c r="Z616" s="17">
        <f>IFERROR(Q616,0)</f>
        <v/>
      </c>
    </row>
    <row r="617">
      <c r="A617" s="25" t="inlineStr">
        <is>
          <t>ORD1616</t>
        </is>
      </c>
      <c r="B617" s="25" t="inlineStr">
        <is>
          <t>2025-12-19</t>
        </is>
      </c>
      <c r="C617" s="25" t="inlineStr">
        <is>
          <t>20:07:46</t>
        </is>
      </c>
      <c r="D617" s="25" t="n">
        <v>1033</v>
      </c>
      <c r="E617" s="25" t="n">
        <v>114</v>
      </c>
      <c r="F617" s="25" t="n">
        <v>215</v>
      </c>
      <c r="G617" s="25" t="inlineStr">
        <is>
          <t>Hyderabad</t>
        </is>
      </c>
      <c r="H617" s="25" t="inlineStr">
        <is>
          <t>Biryani</t>
        </is>
      </c>
      <c r="I617" s="26" t="n">
        <v>710</v>
      </c>
      <c r="J617" s="26" t="n">
        <v>7.92</v>
      </c>
      <c r="K617" s="26" t="n">
        <v>27.5</v>
      </c>
      <c r="L617" s="27" t="n">
        <v>0.22</v>
      </c>
      <c r="M617" s="26" t="n">
        <v>163.07</v>
      </c>
      <c r="N617" s="28" t="n">
        <v>3.5</v>
      </c>
      <c r="O617" s="28" t="n">
        <v>37.6</v>
      </c>
      <c r="P617" s="25" t="inlineStr">
        <is>
          <t>Debit Card</t>
        </is>
      </c>
      <c r="Q617" s="25" t="inlineStr">
        <is>
          <t>Delivered</t>
        </is>
      </c>
      <c r="R617" s="25" t="n">
        <v>2</v>
      </c>
      <c r="S617" s="25">
        <f>TEXT(B617,"yyyy-mm")</f>
        <v/>
      </c>
      <c r="T617" s="25">
        <f>VLOOKUP(D617,Customers!A:D,4,FALSE)</f>
        <v/>
      </c>
      <c r="U617" s="25">
        <f>CONCATENATE(A617,"-",G617)</f>
        <v/>
      </c>
      <c r="V617" s="25">
        <f>IF(N617="","",IF(N617&lt;=30,"Fast (&lt;30m)",IF(N617&lt;=45,"Moderate (30-45m)","Delayed (&gt;45m)")))</f>
        <v/>
      </c>
      <c r="W617" s="25">
        <f>IF(AND(I617&gt;600,P617="Delivered"),"High Value Delivered","Standard")</f>
        <v/>
      </c>
      <c r="X617" s="25">
        <f>IF(OR(N617&gt;50,Q617&lt;=2),"High Risk / Delayed","Normal")</f>
        <v/>
      </c>
      <c r="Y617" s="25">
        <f>IF(NOT(P617="Cancelled"),"Fulfilled","Cancelled")</f>
        <v/>
      </c>
      <c r="Z617" s="25">
        <f>IFERROR(Q617,0)</f>
        <v/>
      </c>
    </row>
    <row r="618">
      <c r="A618" s="17" t="inlineStr">
        <is>
          <t>ORD1617</t>
        </is>
      </c>
      <c r="B618" s="17" t="inlineStr">
        <is>
          <t>2025-11-13</t>
        </is>
      </c>
      <c r="C618" s="17" t="inlineStr">
        <is>
          <t>10:53:14</t>
        </is>
      </c>
      <c r="D618" s="17" t="n">
        <v>1286</v>
      </c>
      <c r="E618" s="17" t="n">
        <v>112</v>
      </c>
      <c r="F618" s="17" t="n">
        <v>212</v>
      </c>
      <c r="G618" s="17" t="inlineStr">
        <is>
          <t>Delhi NCR</t>
        </is>
      </c>
      <c r="H618" s="17" t="inlineStr">
        <is>
          <t>North Indian</t>
        </is>
      </c>
      <c r="I618" s="22" t="n">
        <v>676</v>
      </c>
      <c r="J618" s="22" t="n">
        <v>0</v>
      </c>
      <c r="K618" s="22" t="n">
        <v>52</v>
      </c>
      <c r="L618" s="23" t="n">
        <v>0.22</v>
      </c>
      <c r="M618" s="22" t="n">
        <v>161.72</v>
      </c>
      <c r="N618" s="24" t="n">
        <v>8.4</v>
      </c>
      <c r="O618" s="24" t="n">
        <v>40.6</v>
      </c>
      <c r="P618" s="17" t="inlineStr">
        <is>
          <t>Digital Wallet</t>
        </is>
      </c>
      <c r="Q618" s="17" t="inlineStr">
        <is>
          <t>Delivered</t>
        </is>
      </c>
      <c r="R618" s="17" t="n">
        <v>2</v>
      </c>
      <c r="S618" s="17">
        <f>TEXT(B618,"yyyy-mm")</f>
        <v/>
      </c>
      <c r="T618" s="17">
        <f>VLOOKUP(D618,Customers!A:D,4,FALSE)</f>
        <v/>
      </c>
      <c r="U618" s="17">
        <f>CONCATENATE(A618,"-",G618)</f>
        <v/>
      </c>
      <c r="V618" s="17">
        <f>IF(N618="","",IF(N618&lt;=30,"Fast (&lt;30m)",IF(N618&lt;=45,"Moderate (30-45m)","Delayed (&gt;45m)")))</f>
        <v/>
      </c>
      <c r="W618" s="17">
        <f>IF(AND(I618&gt;600,P618="Delivered"),"High Value Delivered","Standard")</f>
        <v/>
      </c>
      <c r="X618" s="17">
        <f>IF(OR(N618&gt;50,Q618&lt;=2),"High Risk / Delayed","Normal")</f>
        <v/>
      </c>
      <c r="Y618" s="17">
        <f>IF(NOT(P618="Cancelled"),"Fulfilled","Cancelled")</f>
        <v/>
      </c>
      <c r="Z618" s="17">
        <f>IFERROR(Q618,0)</f>
        <v/>
      </c>
    </row>
    <row r="619">
      <c r="A619" s="25" t="inlineStr">
        <is>
          <t>ORD1618</t>
        </is>
      </c>
      <c r="B619" s="25" t="inlineStr">
        <is>
          <t>2025-04-11</t>
        </is>
      </c>
      <c r="C619" s="25" t="inlineStr">
        <is>
          <t>01:01:05</t>
        </is>
      </c>
      <c r="D619" s="25" t="n">
        <v>1026</v>
      </c>
      <c r="E619" s="25" t="n">
        <v>109</v>
      </c>
      <c r="F619" s="25" t="n">
        <v>215</v>
      </c>
      <c r="G619" s="25" t="inlineStr">
        <is>
          <t>Hyderabad</t>
        </is>
      </c>
      <c r="H619" s="25" t="inlineStr">
        <is>
          <t>Biryani</t>
        </is>
      </c>
      <c r="I619" s="26" t="n">
        <v>771</v>
      </c>
      <c r="J619" s="26" t="n">
        <v>84.39</v>
      </c>
      <c r="K619" s="26" t="n">
        <v>39.5</v>
      </c>
      <c r="L619" s="27" t="n">
        <v>0.2</v>
      </c>
      <c r="M619" s="26" t="n">
        <v>164.08</v>
      </c>
      <c r="N619" s="28" t="n">
        <v>5.9</v>
      </c>
      <c r="O619" s="28" t="n">
        <v>35.7</v>
      </c>
      <c r="P619" s="25" t="inlineStr">
        <is>
          <t>UPI</t>
        </is>
      </c>
      <c r="Q619" s="25" t="inlineStr">
        <is>
          <t>Delivered</t>
        </is>
      </c>
      <c r="R619" s="25" t="n">
        <v>4</v>
      </c>
      <c r="S619" s="25">
        <f>TEXT(B619,"yyyy-mm")</f>
        <v/>
      </c>
      <c r="T619" s="25">
        <f>VLOOKUP(D619,Customers!A:D,4,FALSE)</f>
        <v/>
      </c>
      <c r="U619" s="25">
        <f>CONCATENATE(A619,"-",G619)</f>
        <v/>
      </c>
      <c r="V619" s="25">
        <f>IF(N619="","",IF(N619&lt;=30,"Fast (&lt;30m)",IF(N619&lt;=45,"Moderate (30-45m)","Delayed (&gt;45m)")))</f>
        <v/>
      </c>
      <c r="W619" s="25">
        <f>IF(AND(I619&gt;600,P619="Delivered"),"High Value Delivered","Standard")</f>
        <v/>
      </c>
      <c r="X619" s="25">
        <f>IF(OR(N619&gt;50,Q619&lt;=2),"High Risk / Delayed","Normal")</f>
        <v/>
      </c>
      <c r="Y619" s="25">
        <f>IF(NOT(P619="Cancelled"),"Fulfilled","Cancelled")</f>
        <v/>
      </c>
      <c r="Z619" s="25">
        <f>IFERROR(Q619,0)</f>
        <v/>
      </c>
    </row>
    <row r="620">
      <c r="A620" s="17" t="inlineStr">
        <is>
          <t>ORD1619</t>
        </is>
      </c>
      <c r="B620" s="17" t="inlineStr">
        <is>
          <t>2025-06-12</t>
        </is>
      </c>
      <c r="C620" s="17" t="inlineStr">
        <is>
          <t>10:38:38</t>
        </is>
      </c>
      <c r="D620" s="17" t="n">
        <v>1276</v>
      </c>
      <c r="E620" s="17" t="n">
        <v>105</v>
      </c>
      <c r="F620" s="17" t="n">
        <v>201</v>
      </c>
      <c r="G620" s="17" t="inlineStr">
        <is>
          <t>Bangalore</t>
        </is>
      </c>
      <c r="H620" s="17" t="inlineStr">
        <is>
          <t>Chinese</t>
        </is>
      </c>
      <c r="I620" s="22" t="n">
        <v>743</v>
      </c>
      <c r="J620" s="22" t="n">
        <v>54</v>
      </c>
      <c r="K620" s="22" t="n">
        <v>40</v>
      </c>
      <c r="L620" s="23" t="n">
        <v>0.2</v>
      </c>
      <c r="M620" s="22" t="n">
        <v>158.6</v>
      </c>
      <c r="N620" s="24" t="n">
        <v>6</v>
      </c>
      <c r="O620" s="24" t="n">
        <v>32.6</v>
      </c>
      <c r="P620" s="17" t="inlineStr">
        <is>
          <t>Credit Card</t>
        </is>
      </c>
      <c r="Q620" s="17" t="inlineStr">
        <is>
          <t>Delivered</t>
        </is>
      </c>
      <c r="R620" s="17" t="n">
        <v>4</v>
      </c>
      <c r="S620" s="17">
        <f>TEXT(B620,"yyyy-mm")</f>
        <v/>
      </c>
      <c r="T620" s="17">
        <f>VLOOKUP(D620,Customers!A:D,4,FALSE)</f>
        <v/>
      </c>
      <c r="U620" s="17">
        <f>CONCATENATE(A620,"-",G620)</f>
        <v/>
      </c>
      <c r="V620" s="17">
        <f>IF(N620="","",IF(N620&lt;=30,"Fast (&lt;30m)",IF(N620&lt;=45,"Moderate (30-45m)","Delayed (&gt;45m)")))</f>
        <v/>
      </c>
      <c r="W620" s="17">
        <f>IF(AND(I620&gt;600,P620="Delivered"),"High Value Delivered","Standard")</f>
        <v/>
      </c>
      <c r="X620" s="17">
        <f>IF(OR(N620&gt;50,Q620&lt;=2),"High Risk / Delayed","Normal")</f>
        <v/>
      </c>
      <c r="Y620" s="17">
        <f>IF(NOT(P620="Cancelled"),"Fulfilled","Cancelled")</f>
        <v/>
      </c>
      <c r="Z620" s="17">
        <f>IFERROR(Q620,0)</f>
        <v/>
      </c>
    </row>
    <row r="621">
      <c r="A621" s="25" t="inlineStr">
        <is>
          <t>ORD1620</t>
        </is>
      </c>
      <c r="B621" s="25" t="inlineStr">
        <is>
          <t>2025-07-10</t>
        </is>
      </c>
      <c r="C621" s="25" t="inlineStr">
        <is>
          <t>18:00:18</t>
        </is>
      </c>
      <c r="D621" s="25" t="n">
        <v>1167</v>
      </c>
      <c r="E621" s="25" t="n">
        <v>108</v>
      </c>
      <c r="F621" s="25" t="n">
        <v>221</v>
      </c>
      <c r="G621" s="25" t="inlineStr">
        <is>
          <t>Delhi NCR</t>
        </is>
      </c>
      <c r="H621" s="25" t="inlineStr">
        <is>
          <t>Fast Food</t>
        </is>
      </c>
      <c r="I621" s="26" t="n">
        <v>573</v>
      </c>
      <c r="J621" s="26" t="n">
        <v>0</v>
      </c>
      <c r="K621" s="26" t="n">
        <v>25</v>
      </c>
      <c r="L621" s="27" t="n">
        <v>0.18</v>
      </c>
      <c r="M621" s="26" t="n">
        <v>109.39</v>
      </c>
      <c r="N621" s="28" t="n">
        <v>3</v>
      </c>
      <c r="O621" s="28" t="n">
        <v>34.1</v>
      </c>
      <c r="P621" s="25" t="inlineStr">
        <is>
          <t>Digital Wallet</t>
        </is>
      </c>
      <c r="Q621" s="25" t="inlineStr">
        <is>
          <t>Delivered</t>
        </is>
      </c>
      <c r="R621" s="25" t="n">
        <v>4</v>
      </c>
      <c r="S621" s="25">
        <f>TEXT(B621,"yyyy-mm")</f>
        <v/>
      </c>
      <c r="T621" s="25">
        <f>VLOOKUP(D621,Customers!A:D,4,FALSE)</f>
        <v/>
      </c>
      <c r="U621" s="25">
        <f>CONCATENATE(A621,"-",G621)</f>
        <v/>
      </c>
      <c r="V621" s="25">
        <f>IF(N621="","",IF(N621&lt;=30,"Fast (&lt;30m)",IF(N621&lt;=45,"Moderate (30-45m)","Delayed (&gt;45m)")))</f>
        <v/>
      </c>
      <c r="W621" s="25">
        <f>IF(AND(I621&gt;600,P621="Delivered"),"High Value Delivered","Standard")</f>
        <v/>
      </c>
      <c r="X621" s="25">
        <f>IF(OR(N621&gt;50,Q621&lt;=2),"High Risk / Delayed","Normal")</f>
        <v/>
      </c>
      <c r="Y621" s="25">
        <f>IF(NOT(P621="Cancelled"),"Fulfilled","Cancelled")</f>
        <v/>
      </c>
      <c r="Z621" s="25">
        <f>IFERROR(Q621,0)</f>
        <v/>
      </c>
    </row>
    <row r="622">
      <c r="A622" s="17" t="inlineStr">
        <is>
          <t>ORD1621</t>
        </is>
      </c>
      <c r="B622" s="17" t="inlineStr">
        <is>
          <t>2025-08-16</t>
        </is>
      </c>
      <c r="C622" s="17" t="inlineStr">
        <is>
          <t>22:47:26</t>
        </is>
      </c>
      <c r="D622" s="17" t="n">
        <v>1088</v>
      </c>
      <c r="E622" s="17" t="n">
        <v>110</v>
      </c>
      <c r="F622" s="17" t="n">
        <v>226</v>
      </c>
      <c r="G622" s="17" t="inlineStr">
        <is>
          <t>Pune</t>
        </is>
      </c>
      <c r="H622" s="17" t="inlineStr">
        <is>
          <t>North Indian</t>
        </is>
      </c>
      <c r="I622" s="22" t="n">
        <v>673</v>
      </c>
      <c r="J622" s="22" t="n">
        <v>47.25</v>
      </c>
      <c r="K622" s="22" t="n">
        <v>30.5</v>
      </c>
      <c r="L622" s="23" t="n">
        <v>0.18</v>
      </c>
      <c r="M622" s="22" t="n">
        <v>128.76</v>
      </c>
      <c r="N622" s="24" t="n">
        <v>4.1</v>
      </c>
      <c r="O622" s="24" t="n">
        <v>36.5</v>
      </c>
      <c r="P622" s="17" t="inlineStr">
        <is>
          <t>Cash on Delivery</t>
        </is>
      </c>
      <c r="Q622" s="17" t="inlineStr">
        <is>
          <t>Delivered</t>
        </is>
      </c>
      <c r="R622" s="17" t="n">
        <v>4</v>
      </c>
      <c r="S622" s="17">
        <f>TEXT(B622,"yyyy-mm")</f>
        <v/>
      </c>
      <c r="T622" s="17">
        <f>VLOOKUP(D622,Customers!A:D,4,FALSE)</f>
        <v/>
      </c>
      <c r="U622" s="17">
        <f>CONCATENATE(A622,"-",G622)</f>
        <v/>
      </c>
      <c r="V622" s="17">
        <f>IF(N622="","",IF(N622&lt;=30,"Fast (&lt;30m)",IF(N622&lt;=45,"Moderate (30-45m)","Delayed (&gt;45m)")))</f>
        <v/>
      </c>
      <c r="W622" s="17">
        <f>IF(AND(I622&gt;600,P622="Delivered"),"High Value Delivered","Standard")</f>
        <v/>
      </c>
      <c r="X622" s="17">
        <f>IF(OR(N622&gt;50,Q622&lt;=2),"High Risk / Delayed","Normal")</f>
        <v/>
      </c>
      <c r="Y622" s="17">
        <f>IF(NOT(P622="Cancelled"),"Fulfilled","Cancelled")</f>
        <v/>
      </c>
      <c r="Z622" s="17">
        <f>IFERROR(Q622,0)</f>
        <v/>
      </c>
    </row>
    <row r="623">
      <c r="A623" s="25" t="inlineStr">
        <is>
          <t>ORD1622</t>
        </is>
      </c>
      <c r="B623" s="25" t="inlineStr">
        <is>
          <t>2025-03-15</t>
        </is>
      </c>
      <c r="C623" s="25" t="inlineStr">
        <is>
          <t>18:13:19</t>
        </is>
      </c>
      <c r="D623" s="25" t="n">
        <v>1269</v>
      </c>
      <c r="E623" s="25" t="n">
        <v>113</v>
      </c>
      <c r="F623" s="25" t="n">
        <v>222</v>
      </c>
      <c r="G623" s="25" t="inlineStr">
        <is>
          <t>Mumbai</t>
        </is>
      </c>
      <c r="H623" s="25" t="inlineStr">
        <is>
          <t>Fast Food</t>
        </is>
      </c>
      <c r="I623" s="26" t="n">
        <v>706</v>
      </c>
      <c r="J623" s="26" t="n">
        <v>29.67</v>
      </c>
      <c r="K623" s="26" t="n">
        <v>27.5</v>
      </c>
      <c r="L623" s="27" t="n">
        <v>0.18</v>
      </c>
      <c r="M623" s="26" t="n">
        <v>133.95</v>
      </c>
      <c r="N623" s="28" t="n">
        <v>3.5</v>
      </c>
      <c r="O623" s="28" t="n">
        <v>26.8</v>
      </c>
      <c r="P623" s="25" t="inlineStr">
        <is>
          <t>Digital Wallet</t>
        </is>
      </c>
      <c r="Q623" s="25" t="inlineStr">
        <is>
          <t>Delivered</t>
        </is>
      </c>
      <c r="R623" s="25" t="n">
        <v>5</v>
      </c>
      <c r="S623" s="25">
        <f>TEXT(B623,"yyyy-mm")</f>
        <v/>
      </c>
      <c r="T623" s="25">
        <f>VLOOKUP(D623,Customers!A:D,4,FALSE)</f>
        <v/>
      </c>
      <c r="U623" s="25">
        <f>CONCATENATE(A623,"-",G623)</f>
        <v/>
      </c>
      <c r="V623" s="25">
        <f>IF(N623="","",IF(N623&lt;=30,"Fast (&lt;30m)",IF(N623&lt;=45,"Moderate (30-45m)","Delayed (&gt;45m)")))</f>
        <v/>
      </c>
      <c r="W623" s="25">
        <f>IF(AND(I623&gt;600,P623="Delivered"),"High Value Delivered","Standard")</f>
        <v/>
      </c>
      <c r="X623" s="25">
        <f>IF(OR(N623&gt;50,Q623&lt;=2),"High Risk / Delayed","Normal")</f>
        <v/>
      </c>
      <c r="Y623" s="25">
        <f>IF(NOT(P623="Cancelled"),"Fulfilled","Cancelled")</f>
        <v/>
      </c>
      <c r="Z623" s="25">
        <f>IFERROR(Q623,0)</f>
        <v/>
      </c>
    </row>
    <row r="624">
      <c r="A624" s="17" t="inlineStr">
        <is>
          <t>ORD1623</t>
        </is>
      </c>
      <c r="B624" s="17" t="inlineStr">
        <is>
          <t>2025-07-29</t>
        </is>
      </c>
      <c r="C624" s="17" t="inlineStr">
        <is>
          <t>13:40:58</t>
        </is>
      </c>
      <c r="D624" s="17" t="n">
        <v>1069</v>
      </c>
      <c r="E624" s="17" t="n">
        <v>111</v>
      </c>
      <c r="F624" s="17" t="n">
        <v>213</v>
      </c>
      <c r="G624" s="17" t="inlineStr">
        <is>
          <t>Bangalore</t>
        </is>
      </c>
      <c r="H624" s="17" t="inlineStr">
        <is>
          <t>South Indian</t>
        </is>
      </c>
      <c r="I624" s="22" t="n">
        <v>499</v>
      </c>
      <c r="J624" s="22" t="n">
        <v>0</v>
      </c>
      <c r="K624" s="22" t="n">
        <v>25</v>
      </c>
      <c r="L624" s="23" t="n">
        <v>0.15</v>
      </c>
      <c r="M624" s="22" t="n">
        <v>81.09999999999999</v>
      </c>
      <c r="N624" s="24" t="n">
        <v>2.6</v>
      </c>
      <c r="O624" s="24" t="n">
        <v>29.6</v>
      </c>
      <c r="P624" s="17" t="inlineStr">
        <is>
          <t>Digital Wallet</t>
        </is>
      </c>
      <c r="Q624" s="17" t="inlineStr">
        <is>
          <t>Delivered</t>
        </is>
      </c>
      <c r="R624" s="17" t="n">
        <v>5</v>
      </c>
      <c r="S624" s="17">
        <f>TEXT(B624,"yyyy-mm")</f>
        <v/>
      </c>
      <c r="T624" s="17">
        <f>VLOOKUP(D624,Customers!A:D,4,FALSE)</f>
        <v/>
      </c>
      <c r="U624" s="17">
        <f>CONCATENATE(A624,"-",G624)</f>
        <v/>
      </c>
      <c r="V624" s="17">
        <f>IF(N624="","",IF(N624&lt;=30,"Fast (&lt;30m)",IF(N624&lt;=45,"Moderate (30-45m)","Delayed (&gt;45m)")))</f>
        <v/>
      </c>
      <c r="W624" s="17">
        <f>IF(AND(I624&gt;600,P624="Delivered"),"High Value Delivered","Standard")</f>
        <v/>
      </c>
      <c r="X624" s="17">
        <f>IF(OR(N624&gt;50,Q624&lt;=2),"High Risk / Delayed","Normal")</f>
        <v/>
      </c>
      <c r="Y624" s="17">
        <f>IF(NOT(P624="Cancelled"),"Fulfilled","Cancelled")</f>
        <v/>
      </c>
      <c r="Z624" s="17">
        <f>IFERROR(Q624,0)</f>
        <v/>
      </c>
    </row>
    <row r="625">
      <c r="A625" s="25" t="inlineStr">
        <is>
          <t>ORD1624</t>
        </is>
      </c>
      <c r="B625" s="25" t="inlineStr">
        <is>
          <t>2025-04-06</t>
        </is>
      </c>
      <c r="C625" s="25" t="inlineStr">
        <is>
          <t>14:53:24</t>
        </is>
      </c>
      <c r="D625" s="25" t="n">
        <v>1034</v>
      </c>
      <c r="E625" s="25" t="n">
        <v>103</v>
      </c>
      <c r="F625" s="25" t="n">
        <v>206</v>
      </c>
      <c r="G625" s="25" t="inlineStr">
        <is>
          <t>Mumbai</t>
        </is>
      </c>
      <c r="H625" s="25" t="inlineStr">
        <is>
          <t>Italian</t>
        </is>
      </c>
      <c r="I625" s="26" t="n">
        <v>757</v>
      </c>
      <c r="J625" s="26" t="n">
        <v>112.84</v>
      </c>
      <c r="K625" s="26" t="n">
        <v>0</v>
      </c>
      <c r="L625" s="27" t="n">
        <v>0.18</v>
      </c>
      <c r="M625" s="26" t="n">
        <v>136.26</v>
      </c>
      <c r="N625" s="28" t="n">
        <v>3.6</v>
      </c>
      <c r="O625" s="28" t="n">
        <v>37</v>
      </c>
      <c r="P625" s="25" t="inlineStr">
        <is>
          <t>Debit Card</t>
        </is>
      </c>
      <c r="Q625" s="25" t="inlineStr">
        <is>
          <t>Delivered</t>
        </is>
      </c>
      <c r="R625" s="25" t="n">
        <v>3</v>
      </c>
      <c r="S625" s="25">
        <f>TEXT(B625,"yyyy-mm")</f>
        <v/>
      </c>
      <c r="T625" s="25">
        <f>VLOOKUP(D625,Customers!A:D,4,FALSE)</f>
        <v/>
      </c>
      <c r="U625" s="25">
        <f>CONCATENATE(A625,"-",G625)</f>
        <v/>
      </c>
      <c r="V625" s="25">
        <f>IF(N625="","",IF(N625&lt;=30,"Fast (&lt;30m)",IF(N625&lt;=45,"Moderate (30-45m)","Delayed (&gt;45m)")))</f>
        <v/>
      </c>
      <c r="W625" s="25">
        <f>IF(AND(I625&gt;600,P625="Delivered"),"High Value Delivered","Standard")</f>
        <v/>
      </c>
      <c r="X625" s="25">
        <f>IF(OR(N625&gt;50,Q625&lt;=2),"High Risk / Delayed","Normal")</f>
        <v/>
      </c>
      <c r="Y625" s="25">
        <f>IF(NOT(P625="Cancelled"),"Fulfilled","Cancelled")</f>
        <v/>
      </c>
      <c r="Z625" s="25">
        <f>IFERROR(Q625,0)</f>
        <v/>
      </c>
    </row>
    <row r="626">
      <c r="A626" s="17" t="inlineStr">
        <is>
          <t>ORD1625</t>
        </is>
      </c>
      <c r="B626" s="17" t="inlineStr">
        <is>
          <t>2025-04-25</t>
        </is>
      </c>
      <c r="C626" s="17" t="inlineStr">
        <is>
          <t>22:01:50</t>
        </is>
      </c>
      <c r="D626" s="17" t="n">
        <v>1196</v>
      </c>
      <c r="E626" s="17" t="n">
        <v>106</v>
      </c>
      <c r="F626" s="17" t="n">
        <v>209</v>
      </c>
      <c r="G626" s="17" t="inlineStr">
        <is>
          <t>Pune</t>
        </is>
      </c>
      <c r="H626" s="17" t="inlineStr">
        <is>
          <t>South Indian</t>
        </is>
      </c>
      <c r="I626" s="22" t="n">
        <v>222</v>
      </c>
      <c r="J626" s="22" t="n">
        <v>0</v>
      </c>
      <c r="K626" s="22" t="n">
        <v>43</v>
      </c>
      <c r="L626" s="23" t="n">
        <v>0.15</v>
      </c>
      <c r="M626" s="22" t="n">
        <v>44.05</v>
      </c>
      <c r="N626" s="24" t="n">
        <v>6.6</v>
      </c>
      <c r="O626" s="24" t="n">
        <v>40.4</v>
      </c>
      <c r="P626" s="17" t="inlineStr">
        <is>
          <t>Cash on Delivery</t>
        </is>
      </c>
      <c r="Q626" s="17" t="inlineStr">
        <is>
          <t>Delivered</t>
        </is>
      </c>
      <c r="R626" s="17" t="n">
        <v>3</v>
      </c>
      <c r="S626" s="17">
        <f>TEXT(B626,"yyyy-mm")</f>
        <v/>
      </c>
      <c r="T626" s="17">
        <f>VLOOKUP(D626,Customers!A:D,4,FALSE)</f>
        <v/>
      </c>
      <c r="U626" s="17">
        <f>CONCATENATE(A626,"-",G626)</f>
        <v/>
      </c>
      <c r="V626" s="17">
        <f>IF(N626="","",IF(N626&lt;=30,"Fast (&lt;30m)",IF(N626&lt;=45,"Moderate (30-45m)","Delayed (&gt;45m)")))</f>
        <v/>
      </c>
      <c r="W626" s="17">
        <f>IF(AND(I626&gt;600,P626="Delivered"),"High Value Delivered","Standard")</f>
        <v/>
      </c>
      <c r="X626" s="17">
        <f>IF(OR(N626&gt;50,Q626&lt;=2),"High Risk / Delayed","Normal")</f>
        <v/>
      </c>
      <c r="Y626" s="17">
        <f>IF(NOT(P626="Cancelled"),"Fulfilled","Cancelled")</f>
        <v/>
      </c>
      <c r="Z626" s="17">
        <f>IFERROR(Q626,0)</f>
        <v/>
      </c>
    </row>
    <row r="627">
      <c r="A627" s="25" t="inlineStr">
        <is>
          <t>ORD1626</t>
        </is>
      </c>
      <c r="B627" s="25" t="inlineStr">
        <is>
          <t>2025-08-02</t>
        </is>
      </c>
      <c r="C627" s="25" t="inlineStr">
        <is>
          <t>15:11:31</t>
        </is>
      </c>
      <c r="D627" s="25" t="n">
        <v>1039</v>
      </c>
      <c r="E627" s="25" t="n">
        <v>115</v>
      </c>
      <c r="F627" s="25" t="n">
        <v>223</v>
      </c>
      <c r="G627" s="25" t="inlineStr">
        <is>
          <t>Bangalore</t>
        </is>
      </c>
      <c r="H627" s="25" t="inlineStr">
        <is>
          <t>Italian</t>
        </is>
      </c>
      <c r="I627" s="26" t="n">
        <v>924</v>
      </c>
      <c r="J627" s="26" t="n">
        <v>87.90000000000001</v>
      </c>
      <c r="K627" s="26" t="n">
        <v>33.5</v>
      </c>
      <c r="L627" s="27" t="n">
        <v>0.2</v>
      </c>
      <c r="M627" s="26" t="n">
        <v>193.18</v>
      </c>
      <c r="N627" s="28" t="n">
        <v>4.7</v>
      </c>
      <c r="O627" s="28" t="n">
        <v>34.3</v>
      </c>
      <c r="P627" s="25" t="inlineStr">
        <is>
          <t>Debit Card</t>
        </is>
      </c>
      <c r="Q627" s="25" t="inlineStr">
        <is>
          <t>Delivered</t>
        </is>
      </c>
      <c r="R627" s="25" t="n">
        <v>4</v>
      </c>
      <c r="S627" s="25">
        <f>TEXT(B627,"yyyy-mm")</f>
        <v/>
      </c>
      <c r="T627" s="25">
        <f>VLOOKUP(D627,Customers!A:D,4,FALSE)</f>
        <v/>
      </c>
      <c r="U627" s="25">
        <f>CONCATENATE(A627,"-",G627)</f>
        <v/>
      </c>
      <c r="V627" s="25">
        <f>IF(N627="","",IF(N627&lt;=30,"Fast (&lt;30m)",IF(N627&lt;=45,"Moderate (30-45m)","Delayed (&gt;45m)")))</f>
        <v/>
      </c>
      <c r="W627" s="25">
        <f>IF(AND(I627&gt;600,P627="Delivered"),"High Value Delivered","Standard")</f>
        <v/>
      </c>
      <c r="X627" s="25">
        <f>IF(OR(N627&gt;50,Q627&lt;=2),"High Risk / Delayed","Normal")</f>
        <v/>
      </c>
      <c r="Y627" s="25">
        <f>IF(NOT(P627="Cancelled"),"Fulfilled","Cancelled")</f>
        <v/>
      </c>
      <c r="Z627" s="25">
        <f>IFERROR(Q627,0)</f>
        <v/>
      </c>
    </row>
    <row r="628">
      <c r="A628" s="17" t="inlineStr">
        <is>
          <t>ORD1627</t>
        </is>
      </c>
      <c r="B628" s="17" t="inlineStr">
        <is>
          <t>2025-10-25</t>
        </is>
      </c>
      <c r="C628" s="17" t="inlineStr">
        <is>
          <t>08:30:36</t>
        </is>
      </c>
      <c r="D628" s="17" t="n">
        <v>1058</v>
      </c>
      <c r="E628" s="17" t="n">
        <v>103</v>
      </c>
      <c r="F628" s="17" t="n">
        <v>222</v>
      </c>
      <c r="G628" s="17" t="inlineStr">
        <is>
          <t>Mumbai</t>
        </is>
      </c>
      <c r="H628" s="17" t="inlineStr">
        <is>
          <t>Italian</t>
        </is>
      </c>
      <c r="I628" s="22" t="n">
        <v>666</v>
      </c>
      <c r="J628" s="22" t="n">
        <v>33.46</v>
      </c>
      <c r="K628" s="22" t="n">
        <v>27</v>
      </c>
      <c r="L628" s="23" t="n">
        <v>0.18</v>
      </c>
      <c r="M628" s="22" t="n">
        <v>126.63</v>
      </c>
      <c r="N628" s="24" t="n">
        <v>3.4</v>
      </c>
      <c r="O628" s="24" t="n">
        <v>32</v>
      </c>
      <c r="P628" s="17" t="inlineStr">
        <is>
          <t>UPI</t>
        </is>
      </c>
      <c r="Q628" s="17" t="inlineStr">
        <is>
          <t>Delivered</t>
        </is>
      </c>
      <c r="R628" s="17" t="n">
        <v>3</v>
      </c>
      <c r="S628" s="17">
        <f>TEXT(B628,"yyyy-mm")</f>
        <v/>
      </c>
      <c r="T628" s="17">
        <f>VLOOKUP(D628,Customers!A:D,4,FALSE)</f>
        <v/>
      </c>
      <c r="U628" s="17">
        <f>CONCATENATE(A628,"-",G628)</f>
        <v/>
      </c>
      <c r="V628" s="17">
        <f>IF(N628="","",IF(N628&lt;=30,"Fast (&lt;30m)",IF(N628&lt;=45,"Moderate (30-45m)","Delayed (&gt;45m)")))</f>
        <v/>
      </c>
      <c r="W628" s="17">
        <f>IF(AND(I628&gt;600,P628="Delivered"),"High Value Delivered","Standard")</f>
        <v/>
      </c>
      <c r="X628" s="17">
        <f>IF(OR(N628&gt;50,Q628&lt;=2),"High Risk / Delayed","Normal")</f>
        <v/>
      </c>
      <c r="Y628" s="17">
        <f>IF(NOT(P628="Cancelled"),"Fulfilled","Cancelled")</f>
        <v/>
      </c>
      <c r="Z628" s="17">
        <f>IFERROR(Q628,0)</f>
        <v/>
      </c>
    </row>
    <row r="629">
      <c r="A629" s="25" t="inlineStr">
        <is>
          <t>ORD1628</t>
        </is>
      </c>
      <c r="B629" s="25" t="inlineStr">
        <is>
          <t>2025-03-25</t>
        </is>
      </c>
      <c r="C629" s="25" t="inlineStr">
        <is>
          <t>10:37:03</t>
        </is>
      </c>
      <c r="D629" s="25" t="n">
        <v>1170</v>
      </c>
      <c r="E629" s="25" t="n">
        <v>117</v>
      </c>
      <c r="F629" s="25" t="n">
        <v>206</v>
      </c>
      <c r="G629" s="25" t="inlineStr">
        <is>
          <t>Mumbai</t>
        </is>
      </c>
      <c r="H629" s="25" t="inlineStr">
        <is>
          <t>Chinese</t>
        </is>
      </c>
      <c r="I629" s="26" t="n">
        <v>369</v>
      </c>
      <c r="J629" s="26" t="n">
        <v>0</v>
      </c>
      <c r="K629" s="26" t="n">
        <v>47.5</v>
      </c>
      <c r="L629" s="27" t="n">
        <v>0.2</v>
      </c>
      <c r="M629" s="26" t="n">
        <v>85.68000000000001</v>
      </c>
      <c r="N629" s="28" t="n">
        <v>7.5</v>
      </c>
      <c r="O629" s="28" t="n">
        <v>43.7</v>
      </c>
      <c r="P629" s="25" t="inlineStr">
        <is>
          <t>Credit Card</t>
        </is>
      </c>
      <c r="Q629" s="25" t="inlineStr">
        <is>
          <t>Delivered</t>
        </is>
      </c>
      <c r="R629" s="25" t="n">
        <v>1</v>
      </c>
      <c r="S629" s="25">
        <f>TEXT(B629,"yyyy-mm")</f>
        <v/>
      </c>
      <c r="T629" s="25">
        <f>VLOOKUP(D629,Customers!A:D,4,FALSE)</f>
        <v/>
      </c>
      <c r="U629" s="25">
        <f>CONCATENATE(A629,"-",G629)</f>
        <v/>
      </c>
      <c r="V629" s="25">
        <f>IF(N629="","",IF(N629&lt;=30,"Fast (&lt;30m)",IF(N629&lt;=45,"Moderate (30-45m)","Delayed (&gt;45m)")))</f>
        <v/>
      </c>
      <c r="W629" s="25">
        <f>IF(AND(I629&gt;600,P629="Delivered"),"High Value Delivered","Standard")</f>
        <v/>
      </c>
      <c r="X629" s="25">
        <f>IF(OR(N629&gt;50,Q629&lt;=2),"High Risk / Delayed","Normal")</f>
        <v/>
      </c>
      <c r="Y629" s="25">
        <f>IF(NOT(P629="Cancelled"),"Fulfilled","Cancelled")</f>
        <v/>
      </c>
      <c r="Z629" s="25">
        <f>IFERROR(Q629,0)</f>
        <v/>
      </c>
    </row>
    <row r="630">
      <c r="A630" s="17" t="inlineStr">
        <is>
          <t>ORD1629</t>
        </is>
      </c>
      <c r="B630" s="17" t="inlineStr">
        <is>
          <t>2025-05-20</t>
        </is>
      </c>
      <c r="C630" s="17" t="inlineStr">
        <is>
          <t>10:23:26</t>
        </is>
      </c>
      <c r="D630" s="17" t="n">
        <v>1293</v>
      </c>
      <c r="E630" s="17" t="n">
        <v>102</v>
      </c>
      <c r="F630" s="17" t="n">
        <v>216</v>
      </c>
      <c r="G630" s="17" t="inlineStr">
        <is>
          <t>Hyderabad</t>
        </is>
      </c>
      <c r="H630" s="17" t="inlineStr">
        <is>
          <t>Biryani</t>
        </is>
      </c>
      <c r="I630" s="22" t="n">
        <v>871</v>
      </c>
      <c r="J630" s="22" t="n">
        <v>99.16</v>
      </c>
      <c r="K630" s="22" t="n">
        <v>25</v>
      </c>
      <c r="L630" s="23" t="n">
        <v>0.22</v>
      </c>
      <c r="M630" s="22" t="n">
        <v>197.87</v>
      </c>
      <c r="N630" s="24" t="n">
        <v>1.3</v>
      </c>
      <c r="O630" s="24" t="n">
        <v>20</v>
      </c>
      <c r="P630" s="17" t="inlineStr">
        <is>
          <t>Debit Card</t>
        </is>
      </c>
      <c r="Q630" s="17" t="inlineStr">
        <is>
          <t>Delivered</t>
        </is>
      </c>
      <c r="R630" s="17" t="n">
        <v>4</v>
      </c>
      <c r="S630" s="17">
        <f>TEXT(B630,"yyyy-mm")</f>
        <v/>
      </c>
      <c r="T630" s="17">
        <f>VLOOKUP(D630,Customers!A:D,4,FALSE)</f>
        <v/>
      </c>
      <c r="U630" s="17">
        <f>CONCATENATE(A630,"-",G630)</f>
        <v/>
      </c>
      <c r="V630" s="17">
        <f>IF(N630="","",IF(N630&lt;=30,"Fast (&lt;30m)",IF(N630&lt;=45,"Moderate (30-45m)","Delayed (&gt;45m)")))</f>
        <v/>
      </c>
      <c r="W630" s="17">
        <f>IF(AND(I630&gt;600,P630="Delivered"),"High Value Delivered","Standard")</f>
        <v/>
      </c>
      <c r="X630" s="17">
        <f>IF(OR(N630&gt;50,Q630&lt;=2),"High Risk / Delayed","Normal")</f>
        <v/>
      </c>
      <c r="Y630" s="17">
        <f>IF(NOT(P630="Cancelled"),"Fulfilled","Cancelled")</f>
        <v/>
      </c>
      <c r="Z630" s="17">
        <f>IFERROR(Q630,0)</f>
        <v/>
      </c>
    </row>
    <row r="631">
      <c r="A631" s="25" t="inlineStr">
        <is>
          <t>ORD1630</t>
        </is>
      </c>
      <c r="B631" s="25" t="inlineStr">
        <is>
          <t>2025-11-18</t>
        </is>
      </c>
      <c r="C631" s="25" t="inlineStr">
        <is>
          <t>21:11:48</t>
        </is>
      </c>
      <c r="D631" s="25" t="n">
        <v>1136</v>
      </c>
      <c r="E631" s="25" t="n">
        <v>102</v>
      </c>
      <c r="F631" s="25" t="n">
        <v>216</v>
      </c>
      <c r="G631" s="25" t="inlineStr">
        <is>
          <t>Hyderabad</t>
        </is>
      </c>
      <c r="H631" s="25" t="inlineStr">
        <is>
          <t>Biryani</t>
        </is>
      </c>
      <c r="I631" s="26" t="n">
        <v>316</v>
      </c>
      <c r="J631" s="26" t="n">
        <v>4.23</v>
      </c>
      <c r="K631" s="26" t="n">
        <v>25</v>
      </c>
      <c r="L631" s="27" t="n">
        <v>0.22</v>
      </c>
      <c r="M631" s="26" t="n">
        <v>75.77</v>
      </c>
      <c r="N631" s="28" t="n">
        <v>2.3</v>
      </c>
      <c r="O631" s="28" t="n">
        <v>25.7</v>
      </c>
      <c r="P631" s="25" t="inlineStr">
        <is>
          <t>Debit Card</t>
        </is>
      </c>
      <c r="Q631" s="25" t="inlineStr">
        <is>
          <t>Delivered</t>
        </is>
      </c>
      <c r="R631" s="25" t="n">
        <v>3</v>
      </c>
      <c r="S631" s="25">
        <f>TEXT(B631,"yyyy-mm")</f>
        <v/>
      </c>
      <c r="T631" s="25">
        <f>VLOOKUP(D631,Customers!A:D,4,FALSE)</f>
        <v/>
      </c>
      <c r="U631" s="25">
        <f>CONCATENATE(A631,"-",G631)</f>
        <v/>
      </c>
      <c r="V631" s="25">
        <f>IF(N631="","",IF(N631&lt;=30,"Fast (&lt;30m)",IF(N631&lt;=45,"Moderate (30-45m)","Delayed (&gt;45m)")))</f>
        <v/>
      </c>
      <c r="W631" s="25">
        <f>IF(AND(I631&gt;600,P631="Delivered"),"High Value Delivered","Standard")</f>
        <v/>
      </c>
      <c r="X631" s="25">
        <f>IF(OR(N631&gt;50,Q631&lt;=2),"High Risk / Delayed","Normal")</f>
        <v/>
      </c>
      <c r="Y631" s="25">
        <f>IF(NOT(P631="Cancelled"),"Fulfilled","Cancelled")</f>
        <v/>
      </c>
      <c r="Z631" s="25">
        <f>IFERROR(Q631,0)</f>
        <v/>
      </c>
    </row>
    <row r="632">
      <c r="A632" s="17" t="inlineStr">
        <is>
          <t>ORD1631</t>
        </is>
      </c>
      <c r="B632" s="17" t="inlineStr">
        <is>
          <t>2025-02-19</t>
        </is>
      </c>
      <c r="C632" s="17" t="inlineStr">
        <is>
          <t>19:34:37</t>
        </is>
      </c>
      <c r="D632" s="17" t="n">
        <v>1148</v>
      </c>
      <c r="E632" s="17" t="n">
        <v>115</v>
      </c>
      <c r="F632" s="17" t="n">
        <v>210</v>
      </c>
      <c r="G632" s="17" t="inlineStr">
        <is>
          <t>Bangalore</t>
        </is>
      </c>
      <c r="H632" s="17" t="inlineStr">
        <is>
          <t>Italian</t>
        </is>
      </c>
      <c r="I632" s="22" t="n">
        <v>580</v>
      </c>
      <c r="J632" s="22" t="n">
        <v>0.6</v>
      </c>
      <c r="K632" s="22" t="n">
        <v>25</v>
      </c>
      <c r="L632" s="23" t="n">
        <v>0.2</v>
      </c>
      <c r="M632" s="22" t="n">
        <v>122.25</v>
      </c>
      <c r="N632" s="24" t="n">
        <v>2.9</v>
      </c>
      <c r="O632" s="24" t="n">
        <v>28.8</v>
      </c>
      <c r="P632" s="17" t="inlineStr">
        <is>
          <t>Debit Card</t>
        </is>
      </c>
      <c r="Q632" s="17" t="inlineStr">
        <is>
          <t>Delivered</t>
        </is>
      </c>
      <c r="R632" s="17" t="n">
        <v>3</v>
      </c>
      <c r="S632" s="17">
        <f>TEXT(B632,"yyyy-mm")</f>
        <v/>
      </c>
      <c r="T632" s="17">
        <f>VLOOKUP(D632,Customers!A:D,4,FALSE)</f>
        <v/>
      </c>
      <c r="U632" s="17">
        <f>CONCATENATE(A632,"-",G632)</f>
        <v/>
      </c>
      <c r="V632" s="17">
        <f>IF(N632="","",IF(N632&lt;=30,"Fast (&lt;30m)",IF(N632&lt;=45,"Moderate (30-45m)","Delayed (&gt;45m)")))</f>
        <v/>
      </c>
      <c r="W632" s="17">
        <f>IF(AND(I632&gt;600,P632="Delivered"),"High Value Delivered","Standard")</f>
        <v/>
      </c>
      <c r="X632" s="17">
        <f>IF(OR(N632&gt;50,Q632&lt;=2),"High Risk / Delayed","Normal")</f>
        <v/>
      </c>
      <c r="Y632" s="17">
        <f>IF(NOT(P632="Cancelled"),"Fulfilled","Cancelled")</f>
        <v/>
      </c>
      <c r="Z632" s="17">
        <f>IFERROR(Q632,0)</f>
        <v/>
      </c>
    </row>
    <row r="633">
      <c r="A633" s="25" t="inlineStr">
        <is>
          <t>ORD1632</t>
        </is>
      </c>
      <c r="B633" s="25" t="inlineStr">
        <is>
          <t>2025-03-25</t>
        </is>
      </c>
      <c r="C633" s="25" t="inlineStr">
        <is>
          <t>17:06:13</t>
        </is>
      </c>
      <c r="D633" s="25" t="n">
        <v>1049</v>
      </c>
      <c r="E633" s="25" t="n">
        <v>107</v>
      </c>
      <c r="F633" s="25" t="n">
        <v>206</v>
      </c>
      <c r="G633" s="25" t="inlineStr">
        <is>
          <t>Mumbai</t>
        </is>
      </c>
      <c r="H633" s="25" t="inlineStr">
        <is>
          <t>Desserts</t>
        </is>
      </c>
      <c r="I633" s="26" t="n">
        <v>378</v>
      </c>
      <c r="J633" s="26" t="n">
        <v>25.15</v>
      </c>
      <c r="K633" s="26" t="n">
        <v>29.5</v>
      </c>
      <c r="L633" s="27" t="n">
        <v>0.25</v>
      </c>
      <c r="M633" s="26" t="n">
        <v>101.88</v>
      </c>
      <c r="N633" s="28" t="n">
        <v>3.9</v>
      </c>
      <c r="O633" s="28" t="n">
        <v>30.9</v>
      </c>
      <c r="P633" s="25" t="inlineStr">
        <is>
          <t>Digital Wallet</t>
        </is>
      </c>
      <c r="Q633" s="25" t="inlineStr">
        <is>
          <t>Delivered</t>
        </is>
      </c>
      <c r="R633" s="25" t="n">
        <v>4</v>
      </c>
      <c r="S633" s="25">
        <f>TEXT(B633,"yyyy-mm")</f>
        <v/>
      </c>
      <c r="T633" s="25">
        <f>VLOOKUP(D633,Customers!A:D,4,FALSE)</f>
        <v/>
      </c>
      <c r="U633" s="25">
        <f>CONCATENATE(A633,"-",G633)</f>
        <v/>
      </c>
      <c r="V633" s="25">
        <f>IF(N633="","",IF(N633&lt;=30,"Fast (&lt;30m)",IF(N633&lt;=45,"Moderate (30-45m)","Delayed (&gt;45m)")))</f>
        <v/>
      </c>
      <c r="W633" s="25">
        <f>IF(AND(I633&gt;600,P633="Delivered"),"High Value Delivered","Standard")</f>
        <v/>
      </c>
      <c r="X633" s="25">
        <f>IF(OR(N633&gt;50,Q633&lt;=2),"High Risk / Delayed","Normal")</f>
        <v/>
      </c>
      <c r="Y633" s="25">
        <f>IF(NOT(P633="Cancelled"),"Fulfilled","Cancelled")</f>
        <v/>
      </c>
      <c r="Z633" s="25">
        <f>IFERROR(Q633,0)</f>
        <v/>
      </c>
    </row>
    <row r="634">
      <c r="A634" s="17" t="inlineStr">
        <is>
          <t>ORD1633</t>
        </is>
      </c>
      <c r="B634" s="17" t="inlineStr">
        <is>
          <t>2025-02-09</t>
        </is>
      </c>
      <c r="C634" s="17" t="inlineStr">
        <is>
          <t>17:07:52</t>
        </is>
      </c>
      <c r="D634" s="17" t="n">
        <v>1166</v>
      </c>
      <c r="E634" s="17" t="n">
        <v>115</v>
      </c>
      <c r="F634" s="17" t="n">
        <v>203</v>
      </c>
      <c r="G634" s="17" t="inlineStr">
        <is>
          <t>Bangalore</t>
        </is>
      </c>
      <c r="H634" s="17" t="inlineStr">
        <is>
          <t>Italian</t>
        </is>
      </c>
      <c r="I634" s="22" t="n">
        <v>354</v>
      </c>
      <c r="J634" s="22" t="n">
        <v>40.58</v>
      </c>
      <c r="K634" s="22" t="n">
        <v>41</v>
      </c>
      <c r="L634" s="23" t="n">
        <v>0.2</v>
      </c>
      <c r="M634" s="22" t="n">
        <v>81.05</v>
      </c>
      <c r="N634" s="24" t="n">
        <v>6.2</v>
      </c>
      <c r="O634" s="24" t="n">
        <v>35</v>
      </c>
      <c r="P634" s="17" t="inlineStr">
        <is>
          <t>Debit Card</t>
        </is>
      </c>
      <c r="Q634" s="17" t="inlineStr">
        <is>
          <t>Delivered</t>
        </is>
      </c>
      <c r="R634" s="17" t="n">
        <v>3</v>
      </c>
      <c r="S634" s="17">
        <f>TEXT(B634,"yyyy-mm")</f>
        <v/>
      </c>
      <c r="T634" s="17">
        <f>VLOOKUP(D634,Customers!A:D,4,FALSE)</f>
        <v/>
      </c>
      <c r="U634" s="17">
        <f>CONCATENATE(A634,"-",G634)</f>
        <v/>
      </c>
      <c r="V634" s="17">
        <f>IF(N634="","",IF(N634&lt;=30,"Fast (&lt;30m)",IF(N634&lt;=45,"Moderate (30-45m)","Delayed (&gt;45m)")))</f>
        <v/>
      </c>
      <c r="W634" s="17">
        <f>IF(AND(I634&gt;600,P634="Delivered"),"High Value Delivered","Standard")</f>
        <v/>
      </c>
      <c r="X634" s="17">
        <f>IF(OR(N634&gt;50,Q634&lt;=2),"High Risk / Delayed","Normal")</f>
        <v/>
      </c>
      <c r="Y634" s="17">
        <f>IF(NOT(P634="Cancelled"),"Fulfilled","Cancelled")</f>
        <v/>
      </c>
      <c r="Z634" s="17">
        <f>IFERROR(Q634,0)</f>
        <v/>
      </c>
    </row>
    <row r="635">
      <c r="A635" s="25" t="inlineStr">
        <is>
          <t>ORD1634</t>
        </is>
      </c>
      <c r="B635" s="25" t="inlineStr">
        <is>
          <t>2025-11-02</t>
        </is>
      </c>
      <c r="C635" s="25" t="inlineStr">
        <is>
          <t>20:33:48</t>
        </is>
      </c>
      <c r="D635" s="25" t="n">
        <v>1028</v>
      </c>
      <c r="E635" s="25" t="n">
        <v>114</v>
      </c>
      <c r="F635" s="25" t="n">
        <v>215</v>
      </c>
      <c r="G635" s="25" t="inlineStr">
        <is>
          <t>Hyderabad</t>
        </is>
      </c>
      <c r="H635" s="25" t="inlineStr">
        <is>
          <t>Biryani</t>
        </is>
      </c>
      <c r="I635" s="26" t="n">
        <v>570</v>
      </c>
      <c r="J635" s="26" t="n">
        <v>0</v>
      </c>
      <c r="K635" s="26" t="n">
        <v>31.5</v>
      </c>
      <c r="L635" s="27" t="n">
        <v>0.22</v>
      </c>
      <c r="M635" s="26" t="n">
        <v>133.28</v>
      </c>
      <c r="N635" s="28" t="n">
        <v>4.3</v>
      </c>
      <c r="O635" s="28" t="n">
        <v>32.3</v>
      </c>
      <c r="P635" s="25" t="inlineStr">
        <is>
          <t>UPI</t>
        </is>
      </c>
      <c r="Q635" s="25" t="inlineStr">
        <is>
          <t>Delivered</t>
        </is>
      </c>
      <c r="R635" s="25" t="n">
        <v>4</v>
      </c>
      <c r="S635" s="25">
        <f>TEXT(B635,"yyyy-mm")</f>
        <v/>
      </c>
      <c r="T635" s="25">
        <f>VLOOKUP(D635,Customers!A:D,4,FALSE)</f>
        <v/>
      </c>
      <c r="U635" s="25">
        <f>CONCATENATE(A635,"-",G635)</f>
        <v/>
      </c>
      <c r="V635" s="25">
        <f>IF(N635="","",IF(N635&lt;=30,"Fast (&lt;30m)",IF(N635&lt;=45,"Moderate (30-45m)","Delayed (&gt;45m)")))</f>
        <v/>
      </c>
      <c r="W635" s="25">
        <f>IF(AND(I635&gt;600,P635="Delivered"),"High Value Delivered","Standard")</f>
        <v/>
      </c>
      <c r="X635" s="25">
        <f>IF(OR(N635&gt;50,Q635&lt;=2),"High Risk / Delayed","Normal")</f>
        <v/>
      </c>
      <c r="Y635" s="25">
        <f>IF(NOT(P635="Cancelled"),"Fulfilled","Cancelled")</f>
        <v/>
      </c>
      <c r="Z635" s="25">
        <f>IFERROR(Q635,0)</f>
        <v/>
      </c>
    </row>
    <row r="636">
      <c r="A636" s="17" t="inlineStr">
        <is>
          <t>ORD1635</t>
        </is>
      </c>
      <c r="B636" s="17" t="inlineStr">
        <is>
          <t>2025-12-22</t>
        </is>
      </c>
      <c r="C636" s="17" t="inlineStr">
        <is>
          <t>10:09:44</t>
        </is>
      </c>
      <c r="D636" s="17" t="n">
        <v>1145</v>
      </c>
      <c r="E636" s="17" t="n">
        <v>120</v>
      </c>
      <c r="F636" s="17" t="n">
        <v>209</v>
      </c>
      <c r="G636" s="17" t="inlineStr">
        <is>
          <t>Pune</t>
        </is>
      </c>
      <c r="H636" s="17" t="inlineStr">
        <is>
          <t>Fast Food</t>
        </is>
      </c>
      <c r="I636" s="22" t="n">
        <v>452</v>
      </c>
      <c r="J636" s="22" t="n">
        <v>0</v>
      </c>
      <c r="K636" s="22" t="n">
        <v>32</v>
      </c>
      <c r="L636" s="23" t="n">
        <v>0.18</v>
      </c>
      <c r="M636" s="22" t="n">
        <v>89.36</v>
      </c>
      <c r="N636" s="24" t="n">
        <v>4.4</v>
      </c>
      <c r="O636" s="24" t="n">
        <v>27</v>
      </c>
      <c r="P636" s="17" t="inlineStr">
        <is>
          <t>UPI</t>
        </is>
      </c>
      <c r="Q636" s="17" t="inlineStr">
        <is>
          <t>Delivered</t>
        </is>
      </c>
      <c r="R636" s="17" t="n">
        <v>5</v>
      </c>
      <c r="S636" s="17">
        <f>TEXT(B636,"yyyy-mm")</f>
        <v/>
      </c>
      <c r="T636" s="17">
        <f>VLOOKUP(D636,Customers!A:D,4,FALSE)</f>
        <v/>
      </c>
      <c r="U636" s="17">
        <f>CONCATENATE(A636,"-",G636)</f>
        <v/>
      </c>
      <c r="V636" s="17">
        <f>IF(N636="","",IF(N636&lt;=30,"Fast (&lt;30m)",IF(N636&lt;=45,"Moderate (30-45m)","Delayed (&gt;45m)")))</f>
        <v/>
      </c>
      <c r="W636" s="17">
        <f>IF(AND(I636&gt;600,P636="Delivered"),"High Value Delivered","Standard")</f>
        <v/>
      </c>
      <c r="X636" s="17">
        <f>IF(OR(N636&gt;50,Q636&lt;=2),"High Risk / Delayed","Normal")</f>
        <v/>
      </c>
      <c r="Y636" s="17">
        <f>IF(NOT(P636="Cancelled"),"Fulfilled","Cancelled")</f>
        <v/>
      </c>
      <c r="Z636" s="17">
        <f>IFERROR(Q636,0)</f>
        <v/>
      </c>
    </row>
    <row r="637">
      <c r="A637" s="25" t="inlineStr">
        <is>
          <t>ORD1636</t>
        </is>
      </c>
      <c r="B637" s="25" t="inlineStr">
        <is>
          <t>2025-01-10</t>
        </is>
      </c>
      <c r="C637" s="25" t="inlineStr">
        <is>
          <t>19:49:30</t>
        </is>
      </c>
      <c r="D637" s="25" t="n">
        <v>1292</v>
      </c>
      <c r="E637" s="25" t="n">
        <v>116</v>
      </c>
      <c r="F637" s="25" t="n">
        <v>214</v>
      </c>
      <c r="G637" s="25" t="inlineStr">
        <is>
          <t>Pune</t>
        </is>
      </c>
      <c r="H637" s="25" t="inlineStr">
        <is>
          <t>Desserts</t>
        </is>
      </c>
      <c r="I637" s="26" t="n">
        <v>661</v>
      </c>
      <c r="J637" s="26" t="n">
        <v>0</v>
      </c>
      <c r="K637" s="26" t="n">
        <v>25</v>
      </c>
      <c r="L637" s="27" t="n">
        <v>0.25</v>
      </c>
      <c r="M637" s="26" t="n">
        <v>171.5</v>
      </c>
      <c r="N637" s="28" t="n">
        <v>2.9</v>
      </c>
      <c r="O637" s="28" t="n">
        <v>25.3</v>
      </c>
      <c r="P637" s="25" t="inlineStr">
        <is>
          <t>Digital Wallet</t>
        </is>
      </c>
      <c r="Q637" s="25" t="inlineStr">
        <is>
          <t>Delivered</t>
        </is>
      </c>
      <c r="R637" s="25" t="n">
        <v>5</v>
      </c>
      <c r="S637" s="25">
        <f>TEXT(B637,"yyyy-mm")</f>
        <v/>
      </c>
      <c r="T637" s="25">
        <f>VLOOKUP(D637,Customers!A:D,4,FALSE)</f>
        <v/>
      </c>
      <c r="U637" s="25">
        <f>CONCATENATE(A637,"-",G637)</f>
        <v/>
      </c>
      <c r="V637" s="25">
        <f>IF(N637="","",IF(N637&lt;=30,"Fast (&lt;30m)",IF(N637&lt;=45,"Moderate (30-45m)","Delayed (&gt;45m)")))</f>
        <v/>
      </c>
      <c r="W637" s="25">
        <f>IF(AND(I637&gt;600,P637="Delivered"),"High Value Delivered","Standard")</f>
        <v/>
      </c>
      <c r="X637" s="25">
        <f>IF(OR(N637&gt;50,Q637&lt;=2),"High Risk / Delayed","Normal")</f>
        <v/>
      </c>
      <c r="Y637" s="25">
        <f>IF(NOT(P637="Cancelled"),"Fulfilled","Cancelled")</f>
        <v/>
      </c>
      <c r="Z637" s="25">
        <f>IFERROR(Q637,0)</f>
        <v/>
      </c>
    </row>
    <row r="638">
      <c r="A638" s="17" t="inlineStr">
        <is>
          <t>ORD1637</t>
        </is>
      </c>
      <c r="B638" s="17" t="inlineStr">
        <is>
          <t>2025-05-10</t>
        </is>
      </c>
      <c r="C638" s="17" t="inlineStr">
        <is>
          <t>20:02:04</t>
        </is>
      </c>
      <c r="D638" s="17" t="n">
        <v>1199</v>
      </c>
      <c r="E638" s="17" t="n">
        <v>119</v>
      </c>
      <c r="F638" s="17" t="n">
        <v>216</v>
      </c>
      <c r="G638" s="17" t="inlineStr">
        <is>
          <t>Hyderabad</t>
        </is>
      </c>
      <c r="H638" s="17" t="inlineStr">
        <is>
          <t>Biryani</t>
        </is>
      </c>
      <c r="I638" s="22" t="n">
        <v>798</v>
      </c>
      <c r="J638" s="22" t="n">
        <v>80.62</v>
      </c>
      <c r="K638" s="22" t="n">
        <v>0</v>
      </c>
      <c r="L638" s="23" t="n">
        <v>0.2</v>
      </c>
      <c r="M638" s="22" t="n">
        <v>159.6</v>
      </c>
      <c r="N638" s="24" t="n">
        <v>5.8</v>
      </c>
      <c r="O638" s="24" t="n">
        <v/>
      </c>
      <c r="P638" s="17" t="inlineStr">
        <is>
          <t>UPI</t>
        </is>
      </c>
      <c r="Q638" s="17" t="inlineStr">
        <is>
          <t>Cancelled</t>
        </is>
      </c>
      <c r="R638" s="17" t="n">
        <v/>
      </c>
      <c r="S638" s="17">
        <f>TEXT(B638,"yyyy-mm")</f>
        <v/>
      </c>
      <c r="T638" s="17">
        <f>VLOOKUP(D638,Customers!A:D,4,FALSE)</f>
        <v/>
      </c>
      <c r="U638" s="17">
        <f>CONCATENATE(A638,"-",G638)</f>
        <v/>
      </c>
      <c r="V638" s="17">
        <f>IF(N638="","",IF(N638&lt;=30,"Fast (&lt;30m)",IF(N638&lt;=45,"Moderate (30-45m)","Delayed (&gt;45m)")))</f>
        <v/>
      </c>
      <c r="W638" s="17">
        <f>IF(AND(I638&gt;600,P638="Delivered"),"High Value Delivered","Standard")</f>
        <v/>
      </c>
      <c r="X638" s="17">
        <f>IF(OR(N638&gt;50,Q638&lt;=2),"High Risk / Delayed","Normal")</f>
        <v/>
      </c>
      <c r="Y638" s="17">
        <f>IF(NOT(P638="Cancelled"),"Fulfilled","Cancelled")</f>
        <v/>
      </c>
      <c r="Z638" s="17">
        <f>IFERROR(Q638,0)</f>
        <v/>
      </c>
    </row>
    <row r="639">
      <c r="A639" s="25" t="inlineStr">
        <is>
          <t>ORD1638</t>
        </is>
      </c>
      <c r="B639" s="25" t="inlineStr">
        <is>
          <t>2025-12-10</t>
        </is>
      </c>
      <c r="C639" s="25" t="inlineStr">
        <is>
          <t>23:22:01</t>
        </is>
      </c>
      <c r="D639" s="25" t="n">
        <v>1050</v>
      </c>
      <c r="E639" s="25" t="n">
        <v>116</v>
      </c>
      <c r="F639" s="25" t="n">
        <v>207</v>
      </c>
      <c r="G639" s="25" t="inlineStr">
        <is>
          <t>Pune</t>
        </is>
      </c>
      <c r="H639" s="25" t="inlineStr">
        <is>
          <t>Desserts</t>
        </is>
      </c>
      <c r="I639" s="26" t="n">
        <v>312</v>
      </c>
      <c r="J639" s="26" t="n">
        <v>0</v>
      </c>
      <c r="K639" s="26" t="n">
        <v>37</v>
      </c>
      <c r="L639" s="27" t="n">
        <v>0.25</v>
      </c>
      <c r="M639" s="26" t="n">
        <v>87.25</v>
      </c>
      <c r="N639" s="28" t="n">
        <v>5.4</v>
      </c>
      <c r="O639" s="28" t="n">
        <v>35.1</v>
      </c>
      <c r="P639" s="25" t="inlineStr">
        <is>
          <t>Debit Card</t>
        </is>
      </c>
      <c r="Q639" s="25" t="inlineStr">
        <is>
          <t>Delivered</t>
        </is>
      </c>
      <c r="R639" s="25" t="n">
        <v>4</v>
      </c>
      <c r="S639" s="25">
        <f>TEXT(B639,"yyyy-mm")</f>
        <v/>
      </c>
      <c r="T639" s="25">
        <f>VLOOKUP(D639,Customers!A:D,4,FALSE)</f>
        <v/>
      </c>
      <c r="U639" s="25">
        <f>CONCATENATE(A639,"-",G639)</f>
        <v/>
      </c>
      <c r="V639" s="25">
        <f>IF(N639="","",IF(N639&lt;=30,"Fast (&lt;30m)",IF(N639&lt;=45,"Moderate (30-45m)","Delayed (&gt;45m)")))</f>
        <v/>
      </c>
      <c r="W639" s="25">
        <f>IF(AND(I639&gt;600,P639="Delivered"),"High Value Delivered","Standard")</f>
        <v/>
      </c>
      <c r="X639" s="25">
        <f>IF(OR(N639&gt;50,Q639&lt;=2),"High Risk / Delayed","Normal")</f>
        <v/>
      </c>
      <c r="Y639" s="25">
        <f>IF(NOT(P639="Cancelled"),"Fulfilled","Cancelled")</f>
        <v/>
      </c>
      <c r="Z639" s="25">
        <f>IFERROR(Q639,0)</f>
        <v/>
      </c>
    </row>
    <row r="640">
      <c r="A640" s="17" t="inlineStr">
        <is>
          <t>ORD1639</t>
        </is>
      </c>
      <c r="B640" s="17" t="inlineStr">
        <is>
          <t>2025-09-14</t>
        </is>
      </c>
      <c r="C640" s="17" t="inlineStr">
        <is>
          <t>13:49:46</t>
        </is>
      </c>
      <c r="D640" s="17" t="n">
        <v>1208</v>
      </c>
      <c r="E640" s="17" t="n">
        <v>120</v>
      </c>
      <c r="F640" s="17" t="n">
        <v>207</v>
      </c>
      <c r="G640" s="17" t="inlineStr">
        <is>
          <t>Pune</t>
        </is>
      </c>
      <c r="H640" s="17" t="inlineStr">
        <is>
          <t>Fast Food</t>
        </is>
      </c>
      <c r="I640" s="22" t="n">
        <v>847</v>
      </c>
      <c r="J640" s="22" t="n">
        <v>56.69</v>
      </c>
      <c r="K640" s="22" t="n">
        <v>25</v>
      </c>
      <c r="L640" s="23" t="n">
        <v>0.18</v>
      </c>
      <c r="M640" s="22" t="n">
        <v>158.71</v>
      </c>
      <c r="N640" s="24" t="n">
        <v>1.8</v>
      </c>
      <c r="O640" s="24" t="n">
        <v>26.4</v>
      </c>
      <c r="P640" s="17" t="inlineStr">
        <is>
          <t>UPI</t>
        </is>
      </c>
      <c r="Q640" s="17" t="inlineStr">
        <is>
          <t>Returned</t>
        </is>
      </c>
      <c r="R640" s="17" t="n">
        <v>5</v>
      </c>
      <c r="S640" s="17">
        <f>TEXT(B640,"yyyy-mm")</f>
        <v/>
      </c>
      <c r="T640" s="17">
        <f>VLOOKUP(D640,Customers!A:D,4,FALSE)</f>
        <v/>
      </c>
      <c r="U640" s="17">
        <f>CONCATENATE(A640,"-",G640)</f>
        <v/>
      </c>
      <c r="V640" s="17">
        <f>IF(N640="","",IF(N640&lt;=30,"Fast (&lt;30m)",IF(N640&lt;=45,"Moderate (30-45m)","Delayed (&gt;45m)")))</f>
        <v/>
      </c>
      <c r="W640" s="17">
        <f>IF(AND(I640&gt;600,P640="Delivered"),"High Value Delivered","Standard")</f>
        <v/>
      </c>
      <c r="X640" s="17">
        <f>IF(OR(N640&gt;50,Q640&lt;=2),"High Risk / Delayed","Normal")</f>
        <v/>
      </c>
      <c r="Y640" s="17">
        <f>IF(NOT(P640="Cancelled"),"Fulfilled","Cancelled")</f>
        <v/>
      </c>
      <c r="Z640" s="17">
        <f>IFERROR(Q640,0)</f>
        <v/>
      </c>
    </row>
    <row r="641">
      <c r="A641" s="25" t="inlineStr">
        <is>
          <t>ORD1640</t>
        </is>
      </c>
      <c r="B641" s="25" t="inlineStr">
        <is>
          <t>2025-05-25</t>
        </is>
      </c>
      <c r="C641" s="25" t="inlineStr">
        <is>
          <t>15:10:57</t>
        </is>
      </c>
      <c r="D641" s="25" t="n">
        <v>1120</v>
      </c>
      <c r="E641" s="25" t="n">
        <v>116</v>
      </c>
      <c r="F641" s="25" t="n">
        <v>209</v>
      </c>
      <c r="G641" s="25" t="inlineStr">
        <is>
          <t>Pune</t>
        </is>
      </c>
      <c r="H641" s="25" t="inlineStr">
        <is>
          <t>Desserts</t>
        </is>
      </c>
      <c r="I641" s="26" t="n">
        <v>770</v>
      </c>
      <c r="J641" s="26" t="n">
        <v>0</v>
      </c>
      <c r="K641" s="26" t="n">
        <v>25</v>
      </c>
      <c r="L641" s="27" t="n">
        <v>0.25</v>
      </c>
      <c r="M641" s="26" t="n">
        <v>198.75</v>
      </c>
      <c r="N641" s="28" t="n">
        <v>2.7</v>
      </c>
      <c r="O641" s="28" t="n">
        <v>28.7</v>
      </c>
      <c r="P641" s="25" t="inlineStr">
        <is>
          <t>Credit Card</t>
        </is>
      </c>
      <c r="Q641" s="25" t="inlineStr">
        <is>
          <t>Delivered</t>
        </is>
      </c>
      <c r="R641" s="25" t="n">
        <v>4</v>
      </c>
      <c r="S641" s="25">
        <f>TEXT(B641,"yyyy-mm")</f>
        <v/>
      </c>
      <c r="T641" s="25">
        <f>VLOOKUP(D641,Customers!A:D,4,FALSE)</f>
        <v/>
      </c>
      <c r="U641" s="25">
        <f>CONCATENATE(A641,"-",G641)</f>
        <v/>
      </c>
      <c r="V641" s="25">
        <f>IF(N641="","",IF(N641&lt;=30,"Fast (&lt;30m)",IF(N641&lt;=45,"Moderate (30-45m)","Delayed (&gt;45m)")))</f>
        <v/>
      </c>
      <c r="W641" s="25">
        <f>IF(AND(I641&gt;600,P641="Delivered"),"High Value Delivered","Standard")</f>
        <v/>
      </c>
      <c r="X641" s="25">
        <f>IF(OR(N641&gt;50,Q641&lt;=2),"High Risk / Delayed","Normal")</f>
        <v/>
      </c>
      <c r="Y641" s="25">
        <f>IF(NOT(P641="Cancelled"),"Fulfilled","Cancelled")</f>
        <v/>
      </c>
      <c r="Z641" s="25">
        <f>IFERROR(Q641,0)</f>
        <v/>
      </c>
    </row>
    <row r="642">
      <c r="A642" s="17" t="inlineStr">
        <is>
          <t>ORD1641</t>
        </is>
      </c>
      <c r="B642" s="17" t="inlineStr">
        <is>
          <t>2025-08-14</t>
        </is>
      </c>
      <c r="C642" s="17" t="inlineStr">
        <is>
          <t>20:43:06</t>
        </is>
      </c>
      <c r="D642" s="17" t="n">
        <v>1298</v>
      </c>
      <c r="E642" s="17" t="n">
        <v>119</v>
      </c>
      <c r="F642" s="17" t="n">
        <v>225</v>
      </c>
      <c r="G642" s="17" t="inlineStr">
        <is>
          <t>Hyderabad</t>
        </is>
      </c>
      <c r="H642" s="17" t="inlineStr">
        <is>
          <t>Biryani</t>
        </is>
      </c>
      <c r="I642" s="22" t="n">
        <v>405</v>
      </c>
      <c r="J642" s="22" t="n">
        <v>31.79</v>
      </c>
      <c r="K642" s="22" t="n">
        <v>25</v>
      </c>
      <c r="L642" s="23" t="n">
        <v>0.2</v>
      </c>
      <c r="M642" s="22" t="n">
        <v>87.25</v>
      </c>
      <c r="N642" s="24" t="n">
        <v>1.9</v>
      </c>
      <c r="O642" s="24" t="n">
        <v>26.5</v>
      </c>
      <c r="P642" s="17" t="inlineStr">
        <is>
          <t>Digital Wallet</t>
        </is>
      </c>
      <c r="Q642" s="17" t="inlineStr">
        <is>
          <t>Delivered</t>
        </is>
      </c>
      <c r="R642" s="17" t="n">
        <v>4</v>
      </c>
      <c r="S642" s="17">
        <f>TEXT(B642,"yyyy-mm")</f>
        <v/>
      </c>
      <c r="T642" s="17">
        <f>VLOOKUP(D642,Customers!A:D,4,FALSE)</f>
        <v/>
      </c>
      <c r="U642" s="17">
        <f>CONCATENATE(A642,"-",G642)</f>
        <v/>
      </c>
      <c r="V642" s="17">
        <f>IF(N642="","",IF(N642&lt;=30,"Fast (&lt;30m)",IF(N642&lt;=45,"Moderate (30-45m)","Delayed (&gt;45m)")))</f>
        <v/>
      </c>
      <c r="W642" s="17">
        <f>IF(AND(I642&gt;600,P642="Delivered"),"High Value Delivered","Standard")</f>
        <v/>
      </c>
      <c r="X642" s="17">
        <f>IF(OR(N642&gt;50,Q642&lt;=2),"High Risk / Delayed","Normal")</f>
        <v/>
      </c>
      <c r="Y642" s="17">
        <f>IF(NOT(P642="Cancelled"),"Fulfilled","Cancelled")</f>
        <v/>
      </c>
      <c r="Z642" s="17">
        <f>IFERROR(Q642,0)</f>
        <v/>
      </c>
    </row>
    <row r="643">
      <c r="A643" s="25" t="inlineStr">
        <is>
          <t>ORD1642</t>
        </is>
      </c>
      <c r="B643" s="25" t="inlineStr">
        <is>
          <t>2025-02-27</t>
        </is>
      </c>
      <c r="C643" s="25" t="inlineStr">
        <is>
          <t>21:48:20</t>
        </is>
      </c>
      <c r="D643" s="25" t="n">
        <v>1043</v>
      </c>
      <c r="E643" s="25" t="n">
        <v>119</v>
      </c>
      <c r="F643" s="25" t="n">
        <v>216</v>
      </c>
      <c r="G643" s="25" t="inlineStr">
        <is>
          <t>Hyderabad</t>
        </is>
      </c>
      <c r="H643" s="25" t="inlineStr">
        <is>
          <t>Biryani</t>
        </is>
      </c>
      <c r="I643" s="26" t="n">
        <v>346</v>
      </c>
      <c r="J643" s="26" t="n">
        <v>0</v>
      </c>
      <c r="K643" s="26" t="n">
        <v>26</v>
      </c>
      <c r="L643" s="27" t="n">
        <v>0.2</v>
      </c>
      <c r="M643" s="26" t="n">
        <v>75.7</v>
      </c>
      <c r="N643" s="28" t="n">
        <v>3.2</v>
      </c>
      <c r="O643" s="28" t="n">
        <v>30.2</v>
      </c>
      <c r="P643" s="25" t="inlineStr">
        <is>
          <t>Cash on Delivery</t>
        </is>
      </c>
      <c r="Q643" s="25" t="inlineStr">
        <is>
          <t>Delivered</t>
        </is>
      </c>
      <c r="R643" s="25" t="n">
        <v>4</v>
      </c>
      <c r="S643" s="25">
        <f>TEXT(B643,"yyyy-mm")</f>
        <v/>
      </c>
      <c r="T643" s="25">
        <f>VLOOKUP(D643,Customers!A:D,4,FALSE)</f>
        <v/>
      </c>
      <c r="U643" s="25">
        <f>CONCATENATE(A643,"-",G643)</f>
        <v/>
      </c>
      <c r="V643" s="25">
        <f>IF(N643="","",IF(N643&lt;=30,"Fast (&lt;30m)",IF(N643&lt;=45,"Moderate (30-45m)","Delayed (&gt;45m)")))</f>
        <v/>
      </c>
      <c r="W643" s="25">
        <f>IF(AND(I643&gt;600,P643="Delivered"),"High Value Delivered","Standard")</f>
        <v/>
      </c>
      <c r="X643" s="25">
        <f>IF(OR(N643&gt;50,Q643&lt;=2),"High Risk / Delayed","Normal")</f>
        <v/>
      </c>
      <c r="Y643" s="25">
        <f>IF(NOT(P643="Cancelled"),"Fulfilled","Cancelled")</f>
        <v/>
      </c>
      <c r="Z643" s="25">
        <f>IFERROR(Q643,0)</f>
        <v/>
      </c>
    </row>
    <row r="644">
      <c r="A644" s="17" t="inlineStr">
        <is>
          <t>ORD1643</t>
        </is>
      </c>
      <c r="B644" s="17" t="inlineStr">
        <is>
          <t>2025-02-12</t>
        </is>
      </c>
      <c r="C644" s="17" t="inlineStr">
        <is>
          <t>10:20:31</t>
        </is>
      </c>
      <c r="D644" s="17" t="n">
        <v>1253</v>
      </c>
      <c r="E644" s="17" t="n">
        <v>102</v>
      </c>
      <c r="F644" s="17" t="n">
        <v>216</v>
      </c>
      <c r="G644" s="17" t="inlineStr">
        <is>
          <t>Hyderabad</t>
        </is>
      </c>
      <c r="H644" s="17" t="inlineStr">
        <is>
          <t>Biryani</t>
        </is>
      </c>
      <c r="I644" s="22" t="n">
        <v>536</v>
      </c>
      <c r="J644" s="22" t="n">
        <v>68.8</v>
      </c>
      <c r="K644" s="22" t="n">
        <v>0</v>
      </c>
      <c r="L644" s="23" t="n">
        <v>0.22</v>
      </c>
      <c r="M644" s="22" t="n">
        <v>117.92</v>
      </c>
      <c r="N644" s="24" t="n">
        <v>5.3</v>
      </c>
      <c r="O644" s="24" t="n">
        <v>33.3</v>
      </c>
      <c r="P644" s="17" t="inlineStr">
        <is>
          <t>Debit Card</t>
        </is>
      </c>
      <c r="Q644" s="17" t="inlineStr">
        <is>
          <t>Delivered</t>
        </is>
      </c>
      <c r="R644" s="17" t="n">
        <v>5</v>
      </c>
      <c r="S644" s="17">
        <f>TEXT(B644,"yyyy-mm")</f>
        <v/>
      </c>
      <c r="T644" s="17">
        <f>VLOOKUP(D644,Customers!A:D,4,FALSE)</f>
        <v/>
      </c>
      <c r="U644" s="17">
        <f>CONCATENATE(A644,"-",G644)</f>
        <v/>
      </c>
      <c r="V644" s="17">
        <f>IF(N644="","",IF(N644&lt;=30,"Fast (&lt;30m)",IF(N644&lt;=45,"Moderate (30-45m)","Delayed (&gt;45m)")))</f>
        <v/>
      </c>
      <c r="W644" s="17">
        <f>IF(AND(I644&gt;600,P644="Delivered"),"High Value Delivered","Standard")</f>
        <v/>
      </c>
      <c r="X644" s="17">
        <f>IF(OR(N644&gt;50,Q644&lt;=2),"High Risk / Delayed","Normal")</f>
        <v/>
      </c>
      <c r="Y644" s="17">
        <f>IF(NOT(P644="Cancelled"),"Fulfilled","Cancelled")</f>
        <v/>
      </c>
      <c r="Z644" s="17">
        <f>IFERROR(Q644,0)</f>
        <v/>
      </c>
    </row>
    <row r="645">
      <c r="A645" s="25" t="inlineStr">
        <is>
          <t>ORD1644</t>
        </is>
      </c>
      <c r="B645" s="25" t="inlineStr">
        <is>
          <t>2025-05-29</t>
        </is>
      </c>
      <c r="C645" s="25" t="inlineStr">
        <is>
          <t>09:54:27</t>
        </is>
      </c>
      <c r="D645" s="25" t="n">
        <v>1201</v>
      </c>
      <c r="E645" s="25" t="n">
        <v>105</v>
      </c>
      <c r="F645" s="25" t="n">
        <v>203</v>
      </c>
      <c r="G645" s="25" t="inlineStr">
        <is>
          <t>Bangalore</t>
        </is>
      </c>
      <c r="H645" s="25" t="inlineStr">
        <is>
          <t>Chinese</t>
        </is>
      </c>
      <c r="I645" s="26" t="n">
        <v>413</v>
      </c>
      <c r="J645" s="26" t="n">
        <v>45.42</v>
      </c>
      <c r="K645" s="26" t="n">
        <v>48</v>
      </c>
      <c r="L645" s="27" t="n">
        <v>0.2</v>
      </c>
      <c r="M645" s="26" t="n">
        <v>94.59999999999999</v>
      </c>
      <c r="N645" s="28" t="n">
        <v>7.6</v>
      </c>
      <c r="O645" s="28" t="n">
        <v>42.5</v>
      </c>
      <c r="P645" s="25" t="inlineStr">
        <is>
          <t>Cash on Delivery</t>
        </is>
      </c>
      <c r="Q645" s="25" t="inlineStr">
        <is>
          <t>Delivered</t>
        </is>
      </c>
      <c r="R645" s="25" t="n">
        <v>1</v>
      </c>
      <c r="S645" s="25">
        <f>TEXT(B645,"yyyy-mm")</f>
        <v/>
      </c>
      <c r="T645" s="25">
        <f>VLOOKUP(D645,Customers!A:D,4,FALSE)</f>
        <v/>
      </c>
      <c r="U645" s="25">
        <f>CONCATENATE(A645,"-",G645)</f>
        <v/>
      </c>
      <c r="V645" s="25">
        <f>IF(N645="","",IF(N645&lt;=30,"Fast (&lt;30m)",IF(N645&lt;=45,"Moderate (30-45m)","Delayed (&gt;45m)")))</f>
        <v/>
      </c>
      <c r="W645" s="25">
        <f>IF(AND(I645&gt;600,P645="Delivered"),"High Value Delivered","Standard")</f>
        <v/>
      </c>
      <c r="X645" s="25">
        <f>IF(OR(N645&gt;50,Q645&lt;=2),"High Risk / Delayed","Normal")</f>
        <v/>
      </c>
      <c r="Y645" s="25">
        <f>IF(NOT(P645="Cancelled"),"Fulfilled","Cancelled")</f>
        <v/>
      </c>
      <c r="Z645" s="25">
        <f>IFERROR(Q645,0)</f>
        <v/>
      </c>
    </row>
    <row r="646">
      <c r="A646" s="17" t="inlineStr">
        <is>
          <t>ORD1645</t>
        </is>
      </c>
      <c r="B646" s="17" t="inlineStr">
        <is>
          <t>2025-12-12</t>
        </is>
      </c>
      <c r="C646" s="17" t="inlineStr">
        <is>
          <t>12:31:43</t>
        </is>
      </c>
      <c r="D646" s="17" t="n">
        <v>1175</v>
      </c>
      <c r="E646" s="17" t="n">
        <v>115</v>
      </c>
      <c r="F646" s="17" t="n">
        <v>227</v>
      </c>
      <c r="G646" s="17" t="inlineStr">
        <is>
          <t>Bangalore</t>
        </is>
      </c>
      <c r="H646" s="17" t="inlineStr">
        <is>
          <t>Italian</t>
        </is>
      </c>
      <c r="I646" s="22" t="n">
        <v>327</v>
      </c>
      <c r="J646" s="22" t="n">
        <v>25.42</v>
      </c>
      <c r="K646" s="22" t="n">
        <v>30.5</v>
      </c>
      <c r="L646" s="23" t="n">
        <v>0.2</v>
      </c>
      <c r="M646" s="22" t="n">
        <v>73.03</v>
      </c>
      <c r="N646" s="24" t="n">
        <v>4.1</v>
      </c>
      <c r="O646" s="24" t="n">
        <v>34.1</v>
      </c>
      <c r="P646" s="17" t="inlineStr">
        <is>
          <t>UPI</t>
        </is>
      </c>
      <c r="Q646" s="17" t="inlineStr">
        <is>
          <t>Delivered</t>
        </is>
      </c>
      <c r="R646" s="17" t="n">
        <v>5</v>
      </c>
      <c r="S646" s="17">
        <f>TEXT(B646,"yyyy-mm")</f>
        <v/>
      </c>
      <c r="T646" s="17">
        <f>VLOOKUP(D646,Customers!A:D,4,FALSE)</f>
        <v/>
      </c>
      <c r="U646" s="17">
        <f>CONCATENATE(A646,"-",G646)</f>
        <v/>
      </c>
      <c r="V646" s="17">
        <f>IF(N646="","",IF(N646&lt;=30,"Fast (&lt;30m)",IF(N646&lt;=45,"Moderate (30-45m)","Delayed (&gt;45m)")))</f>
        <v/>
      </c>
      <c r="W646" s="17">
        <f>IF(AND(I646&gt;600,P646="Delivered"),"High Value Delivered","Standard")</f>
        <v/>
      </c>
      <c r="X646" s="17">
        <f>IF(OR(N646&gt;50,Q646&lt;=2),"High Risk / Delayed","Normal")</f>
        <v/>
      </c>
      <c r="Y646" s="17">
        <f>IF(NOT(P646="Cancelled"),"Fulfilled","Cancelled")</f>
        <v/>
      </c>
      <c r="Z646" s="17">
        <f>IFERROR(Q646,0)</f>
        <v/>
      </c>
    </row>
    <row r="647">
      <c r="A647" s="25" t="inlineStr">
        <is>
          <t>ORD1646</t>
        </is>
      </c>
      <c r="B647" s="25" t="inlineStr">
        <is>
          <t>2025-07-22</t>
        </is>
      </c>
      <c r="C647" s="25" t="inlineStr">
        <is>
          <t>15:25:44</t>
        </is>
      </c>
      <c r="D647" s="25" t="n">
        <v>1068</v>
      </c>
      <c r="E647" s="25" t="n">
        <v>120</v>
      </c>
      <c r="F647" s="25" t="n">
        <v>208</v>
      </c>
      <c r="G647" s="25" t="inlineStr">
        <is>
          <t>Pune</t>
        </is>
      </c>
      <c r="H647" s="25" t="inlineStr">
        <is>
          <t>Fast Food</t>
        </is>
      </c>
      <c r="I647" s="26" t="n">
        <v>824</v>
      </c>
      <c r="J647" s="26" t="n">
        <v>97.59</v>
      </c>
      <c r="K647" s="26" t="n">
        <v>26</v>
      </c>
      <c r="L647" s="27" t="n">
        <v>0.18</v>
      </c>
      <c r="M647" s="26" t="n">
        <v>154.82</v>
      </c>
      <c r="N647" s="28" t="n">
        <v>3.2</v>
      </c>
      <c r="O647" s="28" t="n">
        <v>35.9</v>
      </c>
      <c r="P647" s="25" t="inlineStr">
        <is>
          <t>Credit Card</t>
        </is>
      </c>
      <c r="Q647" s="25" t="inlineStr">
        <is>
          <t>Delivered</t>
        </is>
      </c>
      <c r="R647" s="25" t="n">
        <v>5</v>
      </c>
      <c r="S647" s="25">
        <f>TEXT(B647,"yyyy-mm")</f>
        <v/>
      </c>
      <c r="T647" s="25">
        <f>VLOOKUP(D647,Customers!A:D,4,FALSE)</f>
        <v/>
      </c>
      <c r="U647" s="25">
        <f>CONCATENATE(A647,"-",G647)</f>
        <v/>
      </c>
      <c r="V647" s="25">
        <f>IF(N647="","",IF(N647&lt;=30,"Fast (&lt;30m)",IF(N647&lt;=45,"Moderate (30-45m)","Delayed (&gt;45m)")))</f>
        <v/>
      </c>
      <c r="W647" s="25">
        <f>IF(AND(I647&gt;600,P647="Delivered"),"High Value Delivered","Standard")</f>
        <v/>
      </c>
      <c r="X647" s="25">
        <f>IF(OR(N647&gt;50,Q647&lt;=2),"High Risk / Delayed","Normal")</f>
        <v/>
      </c>
      <c r="Y647" s="25">
        <f>IF(NOT(P647="Cancelled"),"Fulfilled","Cancelled")</f>
        <v/>
      </c>
      <c r="Z647" s="25">
        <f>IFERROR(Q647,0)</f>
        <v/>
      </c>
    </row>
    <row r="648">
      <c r="A648" s="17" t="inlineStr">
        <is>
          <t>ORD1647</t>
        </is>
      </c>
      <c r="B648" s="17" t="inlineStr">
        <is>
          <t>2025-04-12</t>
        </is>
      </c>
      <c r="C648" s="17" t="inlineStr">
        <is>
          <t>20:21:12</t>
        </is>
      </c>
      <c r="D648" s="17" t="n">
        <v>1018</v>
      </c>
      <c r="E648" s="17" t="n">
        <v>108</v>
      </c>
      <c r="F648" s="17" t="n">
        <v>230</v>
      </c>
      <c r="G648" s="17" t="inlineStr">
        <is>
          <t>Delhi NCR</t>
        </is>
      </c>
      <c r="H648" s="17" t="inlineStr">
        <is>
          <t>Fast Food</t>
        </is>
      </c>
      <c r="I648" s="22" t="n">
        <v>829</v>
      </c>
      <c r="J648" s="22" t="n">
        <v>26.81</v>
      </c>
      <c r="K648" s="22" t="n">
        <v>25</v>
      </c>
      <c r="L648" s="23" t="n">
        <v>0.18</v>
      </c>
      <c r="M648" s="22" t="n">
        <v>155.47</v>
      </c>
      <c r="N648" s="24" t="n">
        <v>1.5</v>
      </c>
      <c r="O648" s="24" t="n">
        <v>23.9</v>
      </c>
      <c r="P648" s="17" t="inlineStr">
        <is>
          <t>Cash on Delivery</t>
        </is>
      </c>
      <c r="Q648" s="17" t="inlineStr">
        <is>
          <t>Delivered</t>
        </is>
      </c>
      <c r="R648" s="17" t="n">
        <v>5</v>
      </c>
      <c r="S648" s="17">
        <f>TEXT(B648,"yyyy-mm")</f>
        <v/>
      </c>
      <c r="T648" s="17">
        <f>VLOOKUP(D648,Customers!A:D,4,FALSE)</f>
        <v/>
      </c>
      <c r="U648" s="17">
        <f>CONCATENATE(A648,"-",G648)</f>
        <v/>
      </c>
      <c r="V648" s="17">
        <f>IF(N648="","",IF(N648&lt;=30,"Fast (&lt;30m)",IF(N648&lt;=45,"Moderate (30-45m)","Delayed (&gt;45m)")))</f>
        <v/>
      </c>
      <c r="W648" s="17">
        <f>IF(AND(I648&gt;600,P648="Delivered"),"High Value Delivered","Standard")</f>
        <v/>
      </c>
      <c r="X648" s="17">
        <f>IF(OR(N648&gt;50,Q648&lt;=2),"High Risk / Delayed","Normal")</f>
        <v/>
      </c>
      <c r="Y648" s="17">
        <f>IF(NOT(P648="Cancelled"),"Fulfilled","Cancelled")</f>
        <v/>
      </c>
      <c r="Z648" s="17">
        <f>IFERROR(Q648,0)</f>
        <v/>
      </c>
    </row>
    <row r="649">
      <c r="A649" s="25" t="inlineStr">
        <is>
          <t>ORD1648</t>
        </is>
      </c>
      <c r="B649" s="25" t="inlineStr">
        <is>
          <t>2025-11-26</t>
        </is>
      </c>
      <c r="C649" s="25" t="inlineStr">
        <is>
          <t>11:25:22</t>
        </is>
      </c>
      <c r="D649" s="25" t="n">
        <v>1281</v>
      </c>
      <c r="E649" s="25" t="n">
        <v>115</v>
      </c>
      <c r="F649" s="25" t="n">
        <v>227</v>
      </c>
      <c r="G649" s="25" t="inlineStr">
        <is>
          <t>Bangalore</t>
        </is>
      </c>
      <c r="H649" s="25" t="inlineStr">
        <is>
          <t>Italian</t>
        </is>
      </c>
      <c r="I649" s="26" t="n">
        <v>977</v>
      </c>
      <c r="J649" s="26" t="n">
        <v>156.63</v>
      </c>
      <c r="K649" s="26" t="n">
        <v>0</v>
      </c>
      <c r="L649" s="27" t="n">
        <v>0.2</v>
      </c>
      <c r="M649" s="26" t="n">
        <v>195.4</v>
      </c>
      <c r="N649" s="28" t="n">
        <v>4.1</v>
      </c>
      <c r="O649" s="28" t="n">
        <v>28.1</v>
      </c>
      <c r="P649" s="25" t="inlineStr">
        <is>
          <t>Cash on Delivery</t>
        </is>
      </c>
      <c r="Q649" s="25" t="inlineStr">
        <is>
          <t>Delivered</t>
        </is>
      </c>
      <c r="R649" s="25" t="n">
        <v>4</v>
      </c>
      <c r="S649" s="25">
        <f>TEXT(B649,"yyyy-mm")</f>
        <v/>
      </c>
      <c r="T649" s="25">
        <f>VLOOKUP(D649,Customers!A:D,4,FALSE)</f>
        <v/>
      </c>
      <c r="U649" s="25">
        <f>CONCATENATE(A649,"-",G649)</f>
        <v/>
      </c>
      <c r="V649" s="25">
        <f>IF(N649="","",IF(N649&lt;=30,"Fast (&lt;30m)",IF(N649&lt;=45,"Moderate (30-45m)","Delayed (&gt;45m)")))</f>
        <v/>
      </c>
      <c r="W649" s="25">
        <f>IF(AND(I649&gt;600,P649="Delivered"),"High Value Delivered","Standard")</f>
        <v/>
      </c>
      <c r="X649" s="25">
        <f>IF(OR(N649&gt;50,Q649&lt;=2),"High Risk / Delayed","Normal")</f>
        <v/>
      </c>
      <c r="Y649" s="25">
        <f>IF(NOT(P649="Cancelled"),"Fulfilled","Cancelled")</f>
        <v/>
      </c>
      <c r="Z649" s="25">
        <f>IFERROR(Q649,0)</f>
        <v/>
      </c>
    </row>
    <row r="650">
      <c r="A650" s="17" t="inlineStr">
        <is>
          <t>ORD1649</t>
        </is>
      </c>
      <c r="B650" s="17" t="inlineStr">
        <is>
          <t>2025-02-25</t>
        </is>
      </c>
      <c r="C650" s="17" t="inlineStr">
        <is>
          <t>22:07:16</t>
        </is>
      </c>
      <c r="D650" s="17" t="n">
        <v>1282</v>
      </c>
      <c r="E650" s="17" t="n">
        <v>108</v>
      </c>
      <c r="F650" s="17" t="n">
        <v>219</v>
      </c>
      <c r="G650" s="17" t="inlineStr">
        <is>
          <t>Delhi NCR</t>
        </is>
      </c>
      <c r="H650" s="17" t="inlineStr">
        <is>
          <t>Fast Food</t>
        </is>
      </c>
      <c r="I650" s="22" t="n">
        <v>721</v>
      </c>
      <c r="J650" s="22" t="n">
        <v>0</v>
      </c>
      <c r="K650" s="22" t="n">
        <v>39.5</v>
      </c>
      <c r="L650" s="23" t="n">
        <v>0.18</v>
      </c>
      <c r="M650" s="22" t="n">
        <v>139.66</v>
      </c>
      <c r="N650" s="24" t="n">
        <v>5.9</v>
      </c>
      <c r="O650" s="24" t="n">
        <v>36.1</v>
      </c>
      <c r="P650" s="17" t="inlineStr">
        <is>
          <t>Credit Card</t>
        </is>
      </c>
      <c r="Q650" s="17" t="inlineStr">
        <is>
          <t>Delivered</t>
        </is>
      </c>
      <c r="R650" s="17" t="n">
        <v>2</v>
      </c>
      <c r="S650" s="17">
        <f>TEXT(B650,"yyyy-mm")</f>
        <v/>
      </c>
      <c r="T650" s="17">
        <f>VLOOKUP(D650,Customers!A:D,4,FALSE)</f>
        <v/>
      </c>
      <c r="U650" s="17">
        <f>CONCATENATE(A650,"-",G650)</f>
        <v/>
      </c>
      <c r="V650" s="17">
        <f>IF(N650="","",IF(N650&lt;=30,"Fast (&lt;30m)",IF(N650&lt;=45,"Moderate (30-45m)","Delayed (&gt;45m)")))</f>
        <v/>
      </c>
      <c r="W650" s="17">
        <f>IF(AND(I650&gt;600,P650="Delivered"),"High Value Delivered","Standard")</f>
        <v/>
      </c>
      <c r="X650" s="17">
        <f>IF(OR(N650&gt;50,Q650&lt;=2),"High Risk / Delayed","Normal")</f>
        <v/>
      </c>
      <c r="Y650" s="17">
        <f>IF(NOT(P650="Cancelled"),"Fulfilled","Cancelled")</f>
        <v/>
      </c>
      <c r="Z650" s="17">
        <f>IFERROR(Q650,0)</f>
        <v/>
      </c>
    </row>
    <row r="651">
      <c r="A651" s="25" t="inlineStr">
        <is>
          <t>ORD1650</t>
        </is>
      </c>
      <c r="B651" s="25" t="inlineStr">
        <is>
          <t>2025-01-28</t>
        </is>
      </c>
      <c r="C651" s="25" t="inlineStr">
        <is>
          <t>18:53:04</t>
        </is>
      </c>
      <c r="D651" s="25" t="n">
        <v>1262</v>
      </c>
      <c r="E651" s="25" t="n">
        <v>112</v>
      </c>
      <c r="F651" s="25" t="n">
        <v>212</v>
      </c>
      <c r="G651" s="25" t="inlineStr">
        <is>
          <t>Delhi NCR</t>
        </is>
      </c>
      <c r="H651" s="25" t="inlineStr">
        <is>
          <t>North Indian</t>
        </is>
      </c>
      <c r="I651" s="26" t="n">
        <v>1003</v>
      </c>
      <c r="J651" s="26" t="n">
        <v>102.98</v>
      </c>
      <c r="K651" s="26" t="n">
        <v>0</v>
      </c>
      <c r="L651" s="27" t="n">
        <v>0.22</v>
      </c>
      <c r="M651" s="26" t="n">
        <v>220.66</v>
      </c>
      <c r="N651" s="28" t="n">
        <v>8.4</v>
      </c>
      <c r="O651" s="28" t="n">
        <v>41.4</v>
      </c>
      <c r="P651" s="25" t="inlineStr">
        <is>
          <t>Digital Wallet</t>
        </is>
      </c>
      <c r="Q651" s="25" t="inlineStr">
        <is>
          <t>Delivered</t>
        </is>
      </c>
      <c r="R651" s="25" t="n">
        <v>2</v>
      </c>
      <c r="S651" s="25">
        <f>TEXT(B651,"yyyy-mm")</f>
        <v/>
      </c>
      <c r="T651" s="25">
        <f>VLOOKUP(D651,Customers!A:D,4,FALSE)</f>
        <v/>
      </c>
      <c r="U651" s="25">
        <f>CONCATENATE(A651,"-",G651)</f>
        <v/>
      </c>
      <c r="V651" s="25">
        <f>IF(N651="","",IF(N651&lt;=30,"Fast (&lt;30m)",IF(N651&lt;=45,"Moderate (30-45m)","Delayed (&gt;45m)")))</f>
        <v/>
      </c>
      <c r="W651" s="25">
        <f>IF(AND(I651&gt;600,P651="Delivered"),"High Value Delivered","Standard")</f>
        <v/>
      </c>
      <c r="X651" s="25">
        <f>IF(OR(N651&gt;50,Q651&lt;=2),"High Risk / Delayed","Normal")</f>
        <v/>
      </c>
      <c r="Y651" s="25">
        <f>IF(NOT(P651="Cancelled"),"Fulfilled","Cancelled")</f>
        <v/>
      </c>
      <c r="Z651" s="25">
        <f>IFERROR(Q651,0)</f>
        <v/>
      </c>
    </row>
    <row r="652">
      <c r="A652" s="17" t="inlineStr">
        <is>
          <t>ORD1651</t>
        </is>
      </c>
      <c r="B652" s="17" t="inlineStr">
        <is>
          <t>2025-11-15</t>
        </is>
      </c>
      <c r="C652" s="17" t="inlineStr">
        <is>
          <t>16:39:06</t>
        </is>
      </c>
      <c r="D652" s="17" t="n">
        <v>1191</v>
      </c>
      <c r="E652" s="17" t="n">
        <v>104</v>
      </c>
      <c r="F652" s="17" t="n">
        <v>228</v>
      </c>
      <c r="G652" s="17" t="inlineStr">
        <is>
          <t>Delhi NCR</t>
        </is>
      </c>
      <c r="H652" s="17" t="inlineStr">
        <is>
          <t>Fast Food</t>
        </is>
      </c>
      <c r="I652" s="22" t="n">
        <v>298</v>
      </c>
      <c r="J652" s="22" t="n">
        <v>12.4</v>
      </c>
      <c r="K652" s="22" t="n">
        <v>35.5</v>
      </c>
      <c r="L652" s="23" t="n">
        <v>0.18</v>
      </c>
      <c r="M652" s="22" t="n">
        <v>62.52</v>
      </c>
      <c r="N652" s="24" t="n">
        <v>5.1</v>
      </c>
      <c r="O652" s="24" t="n">
        <v>34.1</v>
      </c>
      <c r="P652" s="17" t="inlineStr">
        <is>
          <t>Cash on Delivery</t>
        </is>
      </c>
      <c r="Q652" s="17" t="inlineStr">
        <is>
          <t>Delivered</t>
        </is>
      </c>
      <c r="R652" s="17" t="n">
        <v>4</v>
      </c>
      <c r="S652" s="17">
        <f>TEXT(B652,"yyyy-mm")</f>
        <v/>
      </c>
      <c r="T652" s="17">
        <f>VLOOKUP(D652,Customers!A:D,4,FALSE)</f>
        <v/>
      </c>
      <c r="U652" s="17">
        <f>CONCATENATE(A652,"-",G652)</f>
        <v/>
      </c>
      <c r="V652" s="17">
        <f>IF(N652="","",IF(N652&lt;=30,"Fast (&lt;30m)",IF(N652&lt;=45,"Moderate (30-45m)","Delayed (&gt;45m)")))</f>
        <v/>
      </c>
      <c r="W652" s="17">
        <f>IF(AND(I652&gt;600,P652="Delivered"),"High Value Delivered","Standard")</f>
        <v/>
      </c>
      <c r="X652" s="17">
        <f>IF(OR(N652&gt;50,Q652&lt;=2),"High Risk / Delayed","Normal")</f>
        <v/>
      </c>
      <c r="Y652" s="17">
        <f>IF(NOT(P652="Cancelled"),"Fulfilled","Cancelled")</f>
        <v/>
      </c>
      <c r="Z652" s="17">
        <f>IFERROR(Q652,0)</f>
        <v/>
      </c>
    </row>
    <row r="653">
      <c r="A653" s="25" t="inlineStr">
        <is>
          <t>ORD1652</t>
        </is>
      </c>
      <c r="B653" s="25" t="inlineStr">
        <is>
          <t>2025-12-05</t>
        </is>
      </c>
      <c r="C653" s="25" t="inlineStr">
        <is>
          <t>12:31:31</t>
        </is>
      </c>
      <c r="D653" s="25" t="n">
        <v>1276</v>
      </c>
      <c r="E653" s="25" t="n">
        <v>105</v>
      </c>
      <c r="F653" s="25" t="n">
        <v>213</v>
      </c>
      <c r="G653" s="25" t="inlineStr">
        <is>
          <t>Bangalore</t>
        </is>
      </c>
      <c r="H653" s="25" t="inlineStr">
        <is>
          <t>Chinese</t>
        </is>
      </c>
      <c r="I653" s="26" t="n">
        <v>736</v>
      </c>
      <c r="J653" s="26" t="n">
        <v>0</v>
      </c>
      <c r="K653" s="26" t="n">
        <v>42.5</v>
      </c>
      <c r="L653" s="27" t="n">
        <v>0.2</v>
      </c>
      <c r="M653" s="26" t="n">
        <v>157.83</v>
      </c>
      <c r="N653" s="28" t="n">
        <v>6.5</v>
      </c>
      <c r="O653" s="28" t="n">
        <v>40.9</v>
      </c>
      <c r="P653" s="25" t="inlineStr">
        <is>
          <t>Digital Wallet</t>
        </is>
      </c>
      <c r="Q653" s="25" t="inlineStr">
        <is>
          <t>Delivered</t>
        </is>
      </c>
      <c r="R653" s="25" t="n">
        <v>3</v>
      </c>
      <c r="S653" s="25">
        <f>TEXT(B653,"yyyy-mm")</f>
        <v/>
      </c>
      <c r="T653" s="25">
        <f>VLOOKUP(D653,Customers!A:D,4,FALSE)</f>
        <v/>
      </c>
      <c r="U653" s="25">
        <f>CONCATENATE(A653,"-",G653)</f>
        <v/>
      </c>
      <c r="V653" s="25">
        <f>IF(N653="","",IF(N653&lt;=30,"Fast (&lt;30m)",IF(N653&lt;=45,"Moderate (30-45m)","Delayed (&gt;45m)")))</f>
        <v/>
      </c>
      <c r="W653" s="25">
        <f>IF(AND(I653&gt;600,P653="Delivered"),"High Value Delivered","Standard")</f>
        <v/>
      </c>
      <c r="X653" s="25">
        <f>IF(OR(N653&gt;50,Q653&lt;=2),"High Risk / Delayed","Normal")</f>
        <v/>
      </c>
      <c r="Y653" s="25">
        <f>IF(NOT(P653="Cancelled"),"Fulfilled","Cancelled")</f>
        <v/>
      </c>
      <c r="Z653" s="25">
        <f>IFERROR(Q653,0)</f>
        <v/>
      </c>
    </row>
    <row r="654">
      <c r="A654" s="17" t="inlineStr">
        <is>
          <t>ORD1653</t>
        </is>
      </c>
      <c r="B654" s="17" t="inlineStr">
        <is>
          <t>2025-03-02</t>
        </is>
      </c>
      <c r="C654" s="17" t="inlineStr">
        <is>
          <t>20:24:28</t>
        </is>
      </c>
      <c r="D654" s="17" t="n">
        <v>1121</v>
      </c>
      <c r="E654" s="17" t="n">
        <v>101</v>
      </c>
      <c r="F654" s="17" t="n">
        <v>218</v>
      </c>
      <c r="G654" s="17" t="inlineStr">
        <is>
          <t>Bangalore</t>
        </is>
      </c>
      <c r="H654" s="17" t="inlineStr">
        <is>
          <t>North Indian</t>
        </is>
      </c>
      <c r="I654" s="22" t="n">
        <v>542</v>
      </c>
      <c r="J654" s="22" t="n">
        <v>59.46</v>
      </c>
      <c r="K654" s="22" t="n">
        <v>33</v>
      </c>
      <c r="L654" s="23" t="n">
        <v>0.2</v>
      </c>
      <c r="M654" s="22" t="n">
        <v>116.65</v>
      </c>
      <c r="N654" s="24" t="n">
        <v>4.6</v>
      </c>
      <c r="O654" s="24" t="n">
        <v>37.1</v>
      </c>
      <c r="P654" s="17" t="inlineStr">
        <is>
          <t>UPI</t>
        </is>
      </c>
      <c r="Q654" s="17" t="inlineStr">
        <is>
          <t>Delivered</t>
        </is>
      </c>
      <c r="R654" s="17" t="n">
        <v>4</v>
      </c>
      <c r="S654" s="17">
        <f>TEXT(B654,"yyyy-mm")</f>
        <v/>
      </c>
      <c r="T654" s="17">
        <f>VLOOKUP(D654,Customers!A:D,4,FALSE)</f>
        <v/>
      </c>
      <c r="U654" s="17">
        <f>CONCATENATE(A654,"-",G654)</f>
        <v/>
      </c>
      <c r="V654" s="17">
        <f>IF(N654="","",IF(N654&lt;=30,"Fast (&lt;30m)",IF(N654&lt;=45,"Moderate (30-45m)","Delayed (&gt;45m)")))</f>
        <v/>
      </c>
      <c r="W654" s="17">
        <f>IF(AND(I654&gt;600,P654="Delivered"),"High Value Delivered","Standard")</f>
        <v/>
      </c>
      <c r="X654" s="17">
        <f>IF(OR(N654&gt;50,Q654&lt;=2),"High Risk / Delayed","Normal")</f>
        <v/>
      </c>
      <c r="Y654" s="17">
        <f>IF(NOT(P654="Cancelled"),"Fulfilled","Cancelled")</f>
        <v/>
      </c>
      <c r="Z654" s="17">
        <f>IFERROR(Q654,0)</f>
        <v/>
      </c>
    </row>
    <row r="655">
      <c r="A655" s="25" t="inlineStr">
        <is>
          <t>ORD1654</t>
        </is>
      </c>
      <c r="B655" s="25" t="inlineStr">
        <is>
          <t>2025-10-13</t>
        </is>
      </c>
      <c r="C655" s="25" t="inlineStr">
        <is>
          <t>15:42:55</t>
        </is>
      </c>
      <c r="D655" s="25" t="n">
        <v>1233</v>
      </c>
      <c r="E655" s="25" t="n">
        <v>106</v>
      </c>
      <c r="F655" s="25" t="n">
        <v>224</v>
      </c>
      <c r="G655" s="25" t="inlineStr">
        <is>
          <t>Pune</t>
        </is>
      </c>
      <c r="H655" s="25" t="inlineStr">
        <is>
          <t>South Indian</t>
        </is>
      </c>
      <c r="I655" s="26" t="n">
        <v>530</v>
      </c>
      <c r="J655" s="26" t="n">
        <v>6.96</v>
      </c>
      <c r="K655" s="26" t="n">
        <v>25</v>
      </c>
      <c r="L655" s="27" t="n">
        <v>0.15</v>
      </c>
      <c r="M655" s="26" t="n">
        <v>85.75</v>
      </c>
      <c r="N655" s="28" t="n">
        <v>2.1</v>
      </c>
      <c r="O655" s="28" t="n">
        <v>30.1</v>
      </c>
      <c r="P655" s="25" t="inlineStr">
        <is>
          <t>Debit Card</t>
        </is>
      </c>
      <c r="Q655" s="25" t="inlineStr">
        <is>
          <t>Delivered</t>
        </is>
      </c>
      <c r="R655" s="25" t="n">
        <v>4</v>
      </c>
      <c r="S655" s="25">
        <f>TEXT(B655,"yyyy-mm")</f>
        <v/>
      </c>
      <c r="T655" s="25">
        <f>VLOOKUP(D655,Customers!A:D,4,FALSE)</f>
        <v/>
      </c>
      <c r="U655" s="25">
        <f>CONCATENATE(A655,"-",G655)</f>
        <v/>
      </c>
      <c r="V655" s="25">
        <f>IF(N655="","",IF(N655&lt;=30,"Fast (&lt;30m)",IF(N655&lt;=45,"Moderate (30-45m)","Delayed (&gt;45m)")))</f>
        <v/>
      </c>
      <c r="W655" s="25">
        <f>IF(AND(I655&gt;600,P655="Delivered"),"High Value Delivered","Standard")</f>
        <v/>
      </c>
      <c r="X655" s="25">
        <f>IF(OR(N655&gt;50,Q655&lt;=2),"High Risk / Delayed","Normal")</f>
        <v/>
      </c>
      <c r="Y655" s="25">
        <f>IF(NOT(P655="Cancelled"),"Fulfilled","Cancelled")</f>
        <v/>
      </c>
      <c r="Z655" s="25">
        <f>IFERROR(Q655,0)</f>
        <v/>
      </c>
    </row>
    <row r="656">
      <c r="A656" s="17" t="inlineStr">
        <is>
          <t>ORD1655</t>
        </is>
      </c>
      <c r="B656" s="17" t="inlineStr">
        <is>
          <t>2025-10-19</t>
        </is>
      </c>
      <c r="C656" s="17" t="inlineStr">
        <is>
          <t>16:43:31</t>
        </is>
      </c>
      <c r="D656" s="17" t="n">
        <v>1182</v>
      </c>
      <c r="E656" s="17" t="n">
        <v>109</v>
      </c>
      <c r="F656" s="17" t="n">
        <v>216</v>
      </c>
      <c r="G656" s="17" t="inlineStr">
        <is>
          <t>Hyderabad</t>
        </is>
      </c>
      <c r="H656" s="17" t="inlineStr">
        <is>
          <t>Biryani</t>
        </is>
      </c>
      <c r="I656" s="22" t="n">
        <v>895</v>
      </c>
      <c r="J656" s="22" t="n">
        <v>38.62</v>
      </c>
      <c r="K656" s="22" t="n">
        <v>25</v>
      </c>
      <c r="L656" s="23" t="n">
        <v>0.2</v>
      </c>
      <c r="M656" s="22" t="n">
        <v>185.25</v>
      </c>
      <c r="N656" s="24" t="n">
        <v>2.2</v>
      </c>
      <c r="O656" s="24" t="n">
        <v>24.3</v>
      </c>
      <c r="P656" s="17" t="inlineStr">
        <is>
          <t>Digital Wallet</t>
        </is>
      </c>
      <c r="Q656" s="17" t="inlineStr">
        <is>
          <t>Delivered</t>
        </is>
      </c>
      <c r="R656" s="17" t="n">
        <v>5</v>
      </c>
      <c r="S656" s="17">
        <f>TEXT(B656,"yyyy-mm")</f>
        <v/>
      </c>
      <c r="T656" s="17">
        <f>VLOOKUP(D656,Customers!A:D,4,FALSE)</f>
        <v/>
      </c>
      <c r="U656" s="17">
        <f>CONCATENATE(A656,"-",G656)</f>
        <v/>
      </c>
      <c r="V656" s="17">
        <f>IF(N656="","",IF(N656&lt;=30,"Fast (&lt;30m)",IF(N656&lt;=45,"Moderate (30-45m)","Delayed (&gt;45m)")))</f>
        <v/>
      </c>
      <c r="W656" s="17">
        <f>IF(AND(I656&gt;600,P656="Delivered"),"High Value Delivered","Standard")</f>
        <v/>
      </c>
      <c r="X656" s="17">
        <f>IF(OR(N656&gt;50,Q656&lt;=2),"High Risk / Delayed","Normal")</f>
        <v/>
      </c>
      <c r="Y656" s="17">
        <f>IF(NOT(P656="Cancelled"),"Fulfilled","Cancelled")</f>
        <v/>
      </c>
      <c r="Z656" s="17">
        <f>IFERROR(Q656,0)</f>
        <v/>
      </c>
    </row>
    <row r="657">
      <c r="A657" s="25" t="inlineStr">
        <is>
          <t>ORD1656</t>
        </is>
      </c>
      <c r="B657" s="25" t="inlineStr">
        <is>
          <t>2025-07-20</t>
        </is>
      </c>
      <c r="C657" s="25" t="inlineStr">
        <is>
          <t>19:16:31</t>
        </is>
      </c>
      <c r="D657" s="25" t="n">
        <v>1146</v>
      </c>
      <c r="E657" s="25" t="n">
        <v>117</v>
      </c>
      <c r="F657" s="25" t="n">
        <v>202</v>
      </c>
      <c r="G657" s="25" t="inlineStr">
        <is>
          <t>Mumbai</t>
        </is>
      </c>
      <c r="H657" s="25" t="inlineStr">
        <is>
          <t>Chinese</t>
        </is>
      </c>
      <c r="I657" s="26" t="n">
        <v>825</v>
      </c>
      <c r="J657" s="26" t="n">
        <v>40.72</v>
      </c>
      <c r="K657" s="26" t="n">
        <v>35</v>
      </c>
      <c r="L657" s="27" t="n">
        <v>0.2</v>
      </c>
      <c r="M657" s="26" t="n">
        <v>173.75</v>
      </c>
      <c r="N657" s="28" t="n">
        <v>5</v>
      </c>
      <c r="O657" s="28" t="n">
        <v>39.7</v>
      </c>
      <c r="P657" s="25" t="inlineStr">
        <is>
          <t>Debit Card</t>
        </is>
      </c>
      <c r="Q657" s="25" t="inlineStr">
        <is>
          <t>Delivered</t>
        </is>
      </c>
      <c r="R657" s="25" t="n">
        <v>4</v>
      </c>
      <c r="S657" s="25">
        <f>TEXT(B657,"yyyy-mm")</f>
        <v/>
      </c>
      <c r="T657" s="25">
        <f>VLOOKUP(D657,Customers!A:D,4,FALSE)</f>
        <v/>
      </c>
      <c r="U657" s="25">
        <f>CONCATENATE(A657,"-",G657)</f>
        <v/>
      </c>
      <c r="V657" s="25">
        <f>IF(N657="","",IF(N657&lt;=30,"Fast (&lt;30m)",IF(N657&lt;=45,"Moderate (30-45m)","Delayed (&gt;45m)")))</f>
        <v/>
      </c>
      <c r="W657" s="25">
        <f>IF(AND(I657&gt;600,P657="Delivered"),"High Value Delivered","Standard")</f>
        <v/>
      </c>
      <c r="X657" s="25">
        <f>IF(OR(N657&gt;50,Q657&lt;=2),"High Risk / Delayed","Normal")</f>
        <v/>
      </c>
      <c r="Y657" s="25">
        <f>IF(NOT(P657="Cancelled"),"Fulfilled","Cancelled")</f>
        <v/>
      </c>
      <c r="Z657" s="25">
        <f>IFERROR(Q657,0)</f>
        <v/>
      </c>
    </row>
    <row r="658">
      <c r="A658" s="17" t="inlineStr">
        <is>
          <t>ORD1657</t>
        </is>
      </c>
      <c r="B658" s="17" t="inlineStr">
        <is>
          <t>2025-10-30</t>
        </is>
      </c>
      <c r="C658" s="17" t="inlineStr">
        <is>
          <t>12:02:08</t>
        </is>
      </c>
      <c r="D658" s="17" t="n">
        <v>1144</v>
      </c>
      <c r="E658" s="17" t="n">
        <v>111</v>
      </c>
      <c r="F658" s="17" t="n">
        <v>210</v>
      </c>
      <c r="G658" s="17" t="inlineStr">
        <is>
          <t>Bangalore</t>
        </is>
      </c>
      <c r="H658" s="17" t="inlineStr">
        <is>
          <t>South Indian</t>
        </is>
      </c>
      <c r="I658" s="22" t="n">
        <v>595</v>
      </c>
      <c r="J658" s="22" t="n">
        <v>0</v>
      </c>
      <c r="K658" s="22" t="n">
        <v>26</v>
      </c>
      <c r="L658" s="23" t="n">
        <v>0.15</v>
      </c>
      <c r="M658" s="22" t="n">
        <v>95.75</v>
      </c>
      <c r="N658" s="24" t="n">
        <v>3.2</v>
      </c>
      <c r="O658" s="24" t="n">
        <v>39</v>
      </c>
      <c r="P658" s="17" t="inlineStr">
        <is>
          <t>UPI</t>
        </is>
      </c>
      <c r="Q658" s="17" t="inlineStr">
        <is>
          <t>Delivered</t>
        </is>
      </c>
      <c r="R658" s="17" t="n">
        <v>4</v>
      </c>
      <c r="S658" s="17">
        <f>TEXT(B658,"yyyy-mm")</f>
        <v/>
      </c>
      <c r="T658" s="17">
        <f>VLOOKUP(D658,Customers!A:D,4,FALSE)</f>
        <v/>
      </c>
      <c r="U658" s="17">
        <f>CONCATENATE(A658,"-",G658)</f>
        <v/>
      </c>
      <c r="V658" s="17">
        <f>IF(N658="","",IF(N658&lt;=30,"Fast (&lt;30m)",IF(N658&lt;=45,"Moderate (30-45m)","Delayed (&gt;45m)")))</f>
        <v/>
      </c>
      <c r="W658" s="17">
        <f>IF(AND(I658&gt;600,P658="Delivered"),"High Value Delivered","Standard")</f>
        <v/>
      </c>
      <c r="X658" s="17">
        <f>IF(OR(N658&gt;50,Q658&lt;=2),"High Risk / Delayed","Normal")</f>
        <v/>
      </c>
      <c r="Y658" s="17">
        <f>IF(NOT(P658="Cancelled"),"Fulfilled","Cancelled")</f>
        <v/>
      </c>
      <c r="Z658" s="17">
        <f>IFERROR(Q658,0)</f>
        <v/>
      </c>
    </row>
    <row r="659">
      <c r="A659" s="25" t="inlineStr">
        <is>
          <t>ORD1658</t>
        </is>
      </c>
      <c r="B659" s="25" t="inlineStr">
        <is>
          <t>2025-08-08</t>
        </is>
      </c>
      <c r="C659" s="25" t="inlineStr">
        <is>
          <t>13:22:22</t>
        </is>
      </c>
      <c r="D659" s="25" t="n">
        <v>1060</v>
      </c>
      <c r="E659" s="25" t="n">
        <v>104</v>
      </c>
      <c r="F659" s="25" t="n">
        <v>219</v>
      </c>
      <c r="G659" s="25" t="inlineStr">
        <is>
          <t>Delhi NCR</t>
        </is>
      </c>
      <c r="H659" s="25" t="inlineStr">
        <is>
          <t>Fast Food</t>
        </is>
      </c>
      <c r="I659" s="26" t="n">
        <v>641</v>
      </c>
      <c r="J659" s="26" t="n">
        <v>0</v>
      </c>
      <c r="K659" s="26" t="n">
        <v>25</v>
      </c>
      <c r="L659" s="27" t="n">
        <v>0.18</v>
      </c>
      <c r="M659" s="26" t="n">
        <v>121.63</v>
      </c>
      <c r="N659" s="28" t="n">
        <v>2.7</v>
      </c>
      <c r="O659" s="28" t="n">
        <v>41.7</v>
      </c>
      <c r="P659" s="25" t="inlineStr">
        <is>
          <t>Credit Card</t>
        </is>
      </c>
      <c r="Q659" s="25" t="inlineStr">
        <is>
          <t>Returned</t>
        </is>
      </c>
      <c r="R659" s="25" t="n">
        <v>3</v>
      </c>
      <c r="S659" s="25">
        <f>TEXT(B659,"yyyy-mm")</f>
        <v/>
      </c>
      <c r="T659" s="25">
        <f>VLOOKUP(D659,Customers!A:D,4,FALSE)</f>
        <v/>
      </c>
      <c r="U659" s="25">
        <f>CONCATENATE(A659,"-",G659)</f>
        <v/>
      </c>
      <c r="V659" s="25">
        <f>IF(N659="","",IF(N659&lt;=30,"Fast (&lt;30m)",IF(N659&lt;=45,"Moderate (30-45m)","Delayed (&gt;45m)")))</f>
        <v/>
      </c>
      <c r="W659" s="25">
        <f>IF(AND(I659&gt;600,P659="Delivered"),"High Value Delivered","Standard")</f>
        <v/>
      </c>
      <c r="X659" s="25">
        <f>IF(OR(N659&gt;50,Q659&lt;=2),"High Risk / Delayed","Normal")</f>
        <v/>
      </c>
      <c r="Y659" s="25">
        <f>IF(NOT(P659="Cancelled"),"Fulfilled","Cancelled")</f>
        <v/>
      </c>
      <c r="Z659" s="25">
        <f>IFERROR(Q659,0)</f>
        <v/>
      </c>
    </row>
    <row r="660">
      <c r="A660" s="17" t="inlineStr">
        <is>
          <t>ORD1659</t>
        </is>
      </c>
      <c r="B660" s="17" t="inlineStr">
        <is>
          <t>2025-10-31</t>
        </is>
      </c>
      <c r="C660" s="17" t="inlineStr">
        <is>
          <t>20:05:58</t>
        </is>
      </c>
      <c r="D660" s="17" t="n">
        <v>1172</v>
      </c>
      <c r="E660" s="17" t="n">
        <v>110</v>
      </c>
      <c r="F660" s="17" t="n">
        <v>208</v>
      </c>
      <c r="G660" s="17" t="inlineStr">
        <is>
          <t>Pune</t>
        </is>
      </c>
      <c r="H660" s="17" t="inlineStr">
        <is>
          <t>North Indian</t>
        </is>
      </c>
      <c r="I660" s="22" t="n">
        <v>924</v>
      </c>
      <c r="J660" s="22" t="n">
        <v>0</v>
      </c>
      <c r="K660" s="22" t="n">
        <v>25</v>
      </c>
      <c r="L660" s="23" t="n">
        <v>0.18</v>
      </c>
      <c r="M660" s="22" t="n">
        <v>172.57</v>
      </c>
      <c r="N660" s="24" t="n">
        <v>2.6</v>
      </c>
      <c r="O660" s="24" t="n">
        <v>29.9</v>
      </c>
      <c r="P660" s="17" t="inlineStr">
        <is>
          <t>Debit Card</t>
        </is>
      </c>
      <c r="Q660" s="17" t="inlineStr">
        <is>
          <t>Delivered</t>
        </is>
      </c>
      <c r="R660" s="17" t="n">
        <v>2</v>
      </c>
      <c r="S660" s="17">
        <f>TEXT(B660,"yyyy-mm")</f>
        <v/>
      </c>
      <c r="T660" s="17">
        <f>VLOOKUP(D660,Customers!A:D,4,FALSE)</f>
        <v/>
      </c>
      <c r="U660" s="17">
        <f>CONCATENATE(A660,"-",G660)</f>
        <v/>
      </c>
      <c r="V660" s="17">
        <f>IF(N660="","",IF(N660&lt;=30,"Fast (&lt;30m)",IF(N660&lt;=45,"Moderate (30-45m)","Delayed (&gt;45m)")))</f>
        <v/>
      </c>
      <c r="W660" s="17">
        <f>IF(AND(I660&gt;600,P660="Delivered"),"High Value Delivered","Standard")</f>
        <v/>
      </c>
      <c r="X660" s="17">
        <f>IF(OR(N660&gt;50,Q660&lt;=2),"High Risk / Delayed","Normal")</f>
        <v/>
      </c>
      <c r="Y660" s="17">
        <f>IF(NOT(P660="Cancelled"),"Fulfilled","Cancelled")</f>
        <v/>
      </c>
      <c r="Z660" s="17">
        <f>IFERROR(Q660,0)</f>
        <v/>
      </c>
    </row>
    <row r="661">
      <c r="A661" s="25" t="inlineStr">
        <is>
          <t>ORD1660</t>
        </is>
      </c>
      <c r="B661" s="25" t="inlineStr">
        <is>
          <t>2025-10-03</t>
        </is>
      </c>
      <c r="C661" s="25" t="inlineStr">
        <is>
          <t>23:20:02</t>
        </is>
      </c>
      <c r="D661" s="25" t="n">
        <v>1273</v>
      </c>
      <c r="E661" s="25" t="n">
        <v>119</v>
      </c>
      <c r="F661" s="25" t="n">
        <v>215</v>
      </c>
      <c r="G661" s="25" t="inlineStr">
        <is>
          <t>Hyderabad</t>
        </is>
      </c>
      <c r="H661" s="25" t="inlineStr">
        <is>
          <t>Biryani</t>
        </is>
      </c>
      <c r="I661" s="26" t="n">
        <v>959</v>
      </c>
      <c r="J661" s="26" t="n">
        <v>178.7</v>
      </c>
      <c r="K661" s="26" t="n">
        <v>0</v>
      </c>
      <c r="L661" s="27" t="n">
        <v>0.2</v>
      </c>
      <c r="M661" s="26" t="n">
        <v>191.8</v>
      </c>
      <c r="N661" s="28" t="n">
        <v>3.6</v>
      </c>
      <c r="O661" s="28" t="n">
        <v>30.4</v>
      </c>
      <c r="P661" s="25" t="inlineStr">
        <is>
          <t>Cash on Delivery</t>
        </is>
      </c>
      <c r="Q661" s="25" t="inlineStr">
        <is>
          <t>Delivered</t>
        </is>
      </c>
      <c r="R661" s="25" t="n">
        <v>4</v>
      </c>
      <c r="S661" s="25">
        <f>TEXT(B661,"yyyy-mm")</f>
        <v/>
      </c>
      <c r="T661" s="25">
        <f>VLOOKUP(D661,Customers!A:D,4,FALSE)</f>
        <v/>
      </c>
      <c r="U661" s="25">
        <f>CONCATENATE(A661,"-",G661)</f>
        <v/>
      </c>
      <c r="V661" s="25">
        <f>IF(N661="","",IF(N661&lt;=30,"Fast (&lt;30m)",IF(N661&lt;=45,"Moderate (30-45m)","Delayed (&gt;45m)")))</f>
        <v/>
      </c>
      <c r="W661" s="25">
        <f>IF(AND(I661&gt;600,P661="Delivered"),"High Value Delivered","Standard")</f>
        <v/>
      </c>
      <c r="X661" s="25">
        <f>IF(OR(N661&gt;50,Q661&lt;=2),"High Risk / Delayed","Normal")</f>
        <v/>
      </c>
      <c r="Y661" s="25">
        <f>IF(NOT(P661="Cancelled"),"Fulfilled","Cancelled")</f>
        <v/>
      </c>
      <c r="Z661" s="25">
        <f>IFERROR(Q661,0)</f>
        <v/>
      </c>
    </row>
    <row r="662">
      <c r="A662" s="17" t="inlineStr">
        <is>
          <t>ORD1661</t>
        </is>
      </c>
      <c r="B662" s="17" t="inlineStr">
        <is>
          <t>2025-10-29</t>
        </is>
      </c>
      <c r="C662" s="17" t="inlineStr">
        <is>
          <t>22:01:20</t>
        </is>
      </c>
      <c r="D662" s="17" t="n">
        <v>1174</v>
      </c>
      <c r="E662" s="17" t="n">
        <v>114</v>
      </c>
      <c r="F662" s="17" t="n">
        <v>216</v>
      </c>
      <c r="G662" s="17" t="inlineStr">
        <is>
          <t>Hyderabad</t>
        </is>
      </c>
      <c r="H662" s="17" t="inlineStr">
        <is>
          <t>Biryani</t>
        </is>
      </c>
      <c r="I662" s="22" t="n">
        <v>606</v>
      </c>
      <c r="J662" s="22" t="n">
        <v>15.63</v>
      </c>
      <c r="K662" s="22" t="n">
        <v>25.5</v>
      </c>
      <c r="L662" s="23" t="n">
        <v>0.22</v>
      </c>
      <c r="M662" s="22" t="n">
        <v>139.7</v>
      </c>
      <c r="N662" s="24" t="n">
        <v>3.1</v>
      </c>
      <c r="O662" s="24" t="n">
        <v>22.3</v>
      </c>
      <c r="P662" s="17" t="inlineStr">
        <is>
          <t>Cash on Delivery</t>
        </is>
      </c>
      <c r="Q662" s="17" t="inlineStr">
        <is>
          <t>Delivered</t>
        </is>
      </c>
      <c r="R662" s="17" t="n">
        <v>4</v>
      </c>
      <c r="S662" s="17">
        <f>TEXT(B662,"yyyy-mm")</f>
        <v/>
      </c>
      <c r="T662" s="17">
        <f>VLOOKUP(D662,Customers!A:D,4,FALSE)</f>
        <v/>
      </c>
      <c r="U662" s="17">
        <f>CONCATENATE(A662,"-",G662)</f>
        <v/>
      </c>
      <c r="V662" s="17">
        <f>IF(N662="","",IF(N662&lt;=30,"Fast (&lt;30m)",IF(N662&lt;=45,"Moderate (30-45m)","Delayed (&gt;45m)")))</f>
        <v/>
      </c>
      <c r="W662" s="17">
        <f>IF(AND(I662&gt;600,P662="Delivered"),"High Value Delivered","Standard")</f>
        <v/>
      </c>
      <c r="X662" s="17">
        <f>IF(OR(N662&gt;50,Q662&lt;=2),"High Risk / Delayed","Normal")</f>
        <v/>
      </c>
      <c r="Y662" s="17">
        <f>IF(NOT(P662="Cancelled"),"Fulfilled","Cancelled")</f>
        <v/>
      </c>
      <c r="Z662" s="17">
        <f>IFERROR(Q662,0)</f>
        <v/>
      </c>
    </row>
    <row r="663">
      <c r="A663" s="25" t="inlineStr">
        <is>
          <t>ORD1662</t>
        </is>
      </c>
      <c r="B663" s="25" t="inlineStr">
        <is>
          <t>2025-06-22</t>
        </is>
      </c>
      <c r="C663" s="25" t="inlineStr">
        <is>
          <t>19:31:32</t>
        </is>
      </c>
      <c r="D663" s="25" t="n">
        <v>1235</v>
      </c>
      <c r="E663" s="25" t="n">
        <v>102</v>
      </c>
      <c r="F663" s="25" t="n">
        <v>216</v>
      </c>
      <c r="G663" s="25" t="inlineStr">
        <is>
          <t>Hyderabad</t>
        </is>
      </c>
      <c r="H663" s="25" t="inlineStr">
        <is>
          <t>Biryani</t>
        </is>
      </c>
      <c r="I663" s="26" t="n">
        <v>903</v>
      </c>
      <c r="J663" s="26" t="n">
        <v>0</v>
      </c>
      <c r="K663" s="26" t="n">
        <v>25</v>
      </c>
      <c r="L663" s="27" t="n">
        <v>0.22</v>
      </c>
      <c r="M663" s="26" t="n">
        <v>204.91</v>
      </c>
      <c r="N663" s="28" t="n">
        <v>2.4</v>
      </c>
      <c r="O663" s="28" t="n">
        <v>29.2</v>
      </c>
      <c r="P663" s="25" t="inlineStr">
        <is>
          <t>Debit Card</t>
        </is>
      </c>
      <c r="Q663" s="25" t="inlineStr">
        <is>
          <t>Delivered</t>
        </is>
      </c>
      <c r="R663" s="25" t="n">
        <v>3</v>
      </c>
      <c r="S663" s="25">
        <f>TEXT(B663,"yyyy-mm")</f>
        <v/>
      </c>
      <c r="T663" s="25">
        <f>VLOOKUP(D663,Customers!A:D,4,FALSE)</f>
        <v/>
      </c>
      <c r="U663" s="25">
        <f>CONCATENATE(A663,"-",G663)</f>
        <v/>
      </c>
      <c r="V663" s="25">
        <f>IF(N663="","",IF(N663&lt;=30,"Fast (&lt;30m)",IF(N663&lt;=45,"Moderate (30-45m)","Delayed (&gt;45m)")))</f>
        <v/>
      </c>
      <c r="W663" s="25">
        <f>IF(AND(I663&gt;600,P663="Delivered"),"High Value Delivered","Standard")</f>
        <v/>
      </c>
      <c r="X663" s="25">
        <f>IF(OR(N663&gt;50,Q663&lt;=2),"High Risk / Delayed","Normal")</f>
        <v/>
      </c>
      <c r="Y663" s="25">
        <f>IF(NOT(P663="Cancelled"),"Fulfilled","Cancelled")</f>
        <v/>
      </c>
      <c r="Z663" s="25">
        <f>IFERROR(Q663,0)</f>
        <v/>
      </c>
    </row>
    <row r="664">
      <c r="A664" s="17" t="inlineStr">
        <is>
          <t>ORD1663</t>
        </is>
      </c>
      <c r="B664" s="17" t="inlineStr">
        <is>
          <t>2025-11-22</t>
        </is>
      </c>
      <c r="C664" s="17" t="inlineStr">
        <is>
          <t>18:54:50</t>
        </is>
      </c>
      <c r="D664" s="17" t="n">
        <v>1017</v>
      </c>
      <c r="E664" s="17" t="n">
        <v>103</v>
      </c>
      <c r="F664" s="17" t="n">
        <v>202</v>
      </c>
      <c r="G664" s="17" t="inlineStr">
        <is>
          <t>Mumbai</t>
        </is>
      </c>
      <c r="H664" s="17" t="inlineStr">
        <is>
          <t>Italian</t>
        </is>
      </c>
      <c r="I664" s="22" t="n">
        <v>297</v>
      </c>
      <c r="J664" s="22" t="n">
        <v>12.73</v>
      </c>
      <c r="K664" s="22" t="n">
        <v>32.5</v>
      </c>
      <c r="L664" s="23" t="n">
        <v>0.18</v>
      </c>
      <c r="M664" s="22" t="n">
        <v>61.58</v>
      </c>
      <c r="N664" s="24" t="n">
        <v>4.5</v>
      </c>
      <c r="O664" s="24" t="n">
        <v>30.5</v>
      </c>
      <c r="P664" s="17" t="inlineStr">
        <is>
          <t>UPI</t>
        </is>
      </c>
      <c r="Q664" s="17" t="inlineStr">
        <is>
          <t>Delivered</t>
        </is>
      </c>
      <c r="R664" s="17" t="n">
        <v>4</v>
      </c>
      <c r="S664" s="17">
        <f>TEXT(B664,"yyyy-mm")</f>
        <v/>
      </c>
      <c r="T664" s="17">
        <f>VLOOKUP(D664,Customers!A:D,4,FALSE)</f>
        <v/>
      </c>
      <c r="U664" s="17">
        <f>CONCATENATE(A664,"-",G664)</f>
        <v/>
      </c>
      <c r="V664" s="17">
        <f>IF(N664="","",IF(N664&lt;=30,"Fast (&lt;30m)",IF(N664&lt;=45,"Moderate (30-45m)","Delayed (&gt;45m)")))</f>
        <v/>
      </c>
      <c r="W664" s="17">
        <f>IF(AND(I664&gt;600,P664="Delivered"),"High Value Delivered","Standard")</f>
        <v/>
      </c>
      <c r="X664" s="17">
        <f>IF(OR(N664&gt;50,Q664&lt;=2),"High Risk / Delayed","Normal")</f>
        <v/>
      </c>
      <c r="Y664" s="17">
        <f>IF(NOT(P664="Cancelled"),"Fulfilled","Cancelled")</f>
        <v/>
      </c>
      <c r="Z664" s="17">
        <f>IFERROR(Q664,0)</f>
        <v/>
      </c>
    </row>
    <row r="665">
      <c r="A665" s="25" t="inlineStr">
        <is>
          <t>ORD1664</t>
        </is>
      </c>
      <c r="B665" s="25" t="inlineStr">
        <is>
          <t>2025-11-16</t>
        </is>
      </c>
      <c r="C665" s="25" t="inlineStr">
        <is>
          <t>18:47:05</t>
        </is>
      </c>
      <c r="D665" s="25" t="n">
        <v>1129</v>
      </c>
      <c r="E665" s="25" t="n">
        <v>116</v>
      </c>
      <c r="F665" s="25" t="n">
        <v>214</v>
      </c>
      <c r="G665" s="25" t="inlineStr">
        <is>
          <t>Pune</t>
        </is>
      </c>
      <c r="H665" s="25" t="inlineStr">
        <is>
          <t>Desserts</t>
        </is>
      </c>
      <c r="I665" s="26" t="n">
        <v>812</v>
      </c>
      <c r="J665" s="26" t="n">
        <v>0</v>
      </c>
      <c r="K665" s="26" t="n">
        <v>31</v>
      </c>
      <c r="L665" s="27" t="n">
        <v>0.25</v>
      </c>
      <c r="M665" s="26" t="n">
        <v>210.75</v>
      </c>
      <c r="N665" s="28" t="n">
        <v>4.2</v>
      </c>
      <c r="O665" s="28" t="n">
        <v>32</v>
      </c>
      <c r="P665" s="25" t="inlineStr">
        <is>
          <t>UPI</t>
        </is>
      </c>
      <c r="Q665" s="25" t="inlineStr">
        <is>
          <t>Delivered</t>
        </is>
      </c>
      <c r="R665" s="25" t="n">
        <v>5</v>
      </c>
      <c r="S665" s="25">
        <f>TEXT(B665,"yyyy-mm")</f>
        <v/>
      </c>
      <c r="T665" s="25">
        <f>VLOOKUP(D665,Customers!A:D,4,FALSE)</f>
        <v/>
      </c>
      <c r="U665" s="25">
        <f>CONCATENATE(A665,"-",G665)</f>
        <v/>
      </c>
      <c r="V665" s="25">
        <f>IF(N665="","",IF(N665&lt;=30,"Fast (&lt;30m)",IF(N665&lt;=45,"Moderate (30-45m)","Delayed (&gt;45m)")))</f>
        <v/>
      </c>
      <c r="W665" s="25">
        <f>IF(AND(I665&gt;600,P665="Delivered"),"High Value Delivered","Standard")</f>
        <v/>
      </c>
      <c r="X665" s="25">
        <f>IF(OR(N665&gt;50,Q665&lt;=2),"High Risk / Delayed","Normal")</f>
        <v/>
      </c>
      <c r="Y665" s="25">
        <f>IF(NOT(P665="Cancelled"),"Fulfilled","Cancelled")</f>
        <v/>
      </c>
      <c r="Z665" s="25">
        <f>IFERROR(Q665,0)</f>
        <v/>
      </c>
    </row>
    <row r="666">
      <c r="A666" s="17" t="inlineStr">
        <is>
          <t>ORD1665</t>
        </is>
      </c>
      <c r="B666" s="17" t="inlineStr">
        <is>
          <t>2025-06-27</t>
        </is>
      </c>
      <c r="C666" s="17" t="inlineStr">
        <is>
          <t>12:50:04</t>
        </is>
      </c>
      <c r="D666" s="17" t="n">
        <v>1090</v>
      </c>
      <c r="E666" s="17" t="n">
        <v>111</v>
      </c>
      <c r="F666" s="17" t="n">
        <v>227</v>
      </c>
      <c r="G666" s="17" t="inlineStr">
        <is>
          <t>Bangalore</t>
        </is>
      </c>
      <c r="H666" s="17" t="inlineStr">
        <is>
          <t>South Indian</t>
        </is>
      </c>
      <c r="I666" s="22" t="n">
        <v>887</v>
      </c>
      <c r="J666" s="22" t="n">
        <v>35.81</v>
      </c>
      <c r="K666" s="22" t="n">
        <v>25</v>
      </c>
      <c r="L666" s="23" t="n">
        <v>0.15</v>
      </c>
      <c r="M666" s="22" t="n">
        <v>139.3</v>
      </c>
      <c r="N666" s="24" t="n">
        <v>2.3</v>
      </c>
      <c r="O666" s="24" t="n">
        <v>25.2</v>
      </c>
      <c r="P666" s="17" t="inlineStr">
        <is>
          <t>Digital Wallet</t>
        </is>
      </c>
      <c r="Q666" s="17" t="inlineStr">
        <is>
          <t>Delivered</t>
        </is>
      </c>
      <c r="R666" s="17" t="n">
        <v>2</v>
      </c>
      <c r="S666" s="17">
        <f>TEXT(B666,"yyyy-mm")</f>
        <v/>
      </c>
      <c r="T666" s="17">
        <f>VLOOKUP(D666,Customers!A:D,4,FALSE)</f>
        <v/>
      </c>
      <c r="U666" s="17">
        <f>CONCATENATE(A666,"-",G666)</f>
        <v/>
      </c>
      <c r="V666" s="17">
        <f>IF(N666="","",IF(N666&lt;=30,"Fast (&lt;30m)",IF(N666&lt;=45,"Moderate (30-45m)","Delayed (&gt;45m)")))</f>
        <v/>
      </c>
      <c r="W666" s="17">
        <f>IF(AND(I666&gt;600,P666="Delivered"),"High Value Delivered","Standard")</f>
        <v/>
      </c>
      <c r="X666" s="17">
        <f>IF(OR(N666&gt;50,Q666&lt;=2),"High Risk / Delayed","Normal")</f>
        <v/>
      </c>
      <c r="Y666" s="17">
        <f>IF(NOT(P666="Cancelled"),"Fulfilled","Cancelled")</f>
        <v/>
      </c>
      <c r="Z666" s="17">
        <f>IFERROR(Q666,0)</f>
        <v/>
      </c>
    </row>
    <row r="667">
      <c r="A667" s="25" t="inlineStr">
        <is>
          <t>ORD1666</t>
        </is>
      </c>
      <c r="B667" s="25" t="inlineStr">
        <is>
          <t>2025-07-25</t>
        </is>
      </c>
      <c r="C667" s="25" t="inlineStr">
        <is>
          <t>17:16:39</t>
        </is>
      </c>
      <c r="D667" s="25" t="n">
        <v>1003</v>
      </c>
      <c r="E667" s="25" t="n">
        <v>120</v>
      </c>
      <c r="F667" s="25" t="n">
        <v>204</v>
      </c>
      <c r="G667" s="25" t="inlineStr">
        <is>
          <t>Pune</t>
        </is>
      </c>
      <c r="H667" s="25" t="inlineStr">
        <is>
          <t>Fast Food</t>
        </is>
      </c>
      <c r="I667" s="26" t="n">
        <v>747</v>
      </c>
      <c r="J667" s="26" t="n">
        <v>61.05</v>
      </c>
      <c r="K667" s="26" t="n">
        <v>26.5</v>
      </c>
      <c r="L667" s="27" t="n">
        <v>0.18</v>
      </c>
      <c r="M667" s="26" t="n">
        <v>141.08</v>
      </c>
      <c r="N667" s="28" t="n">
        <v>3.3</v>
      </c>
      <c r="O667" s="28" t="n">
        <v>35</v>
      </c>
      <c r="P667" s="25" t="inlineStr">
        <is>
          <t>Credit Card</t>
        </is>
      </c>
      <c r="Q667" s="25" t="inlineStr">
        <is>
          <t>Delivered</t>
        </is>
      </c>
      <c r="R667" s="25" t="n">
        <v>5</v>
      </c>
      <c r="S667" s="25">
        <f>TEXT(B667,"yyyy-mm")</f>
        <v/>
      </c>
      <c r="T667" s="25">
        <f>VLOOKUP(D667,Customers!A:D,4,FALSE)</f>
        <v/>
      </c>
      <c r="U667" s="25">
        <f>CONCATENATE(A667,"-",G667)</f>
        <v/>
      </c>
      <c r="V667" s="25">
        <f>IF(N667="","",IF(N667&lt;=30,"Fast (&lt;30m)",IF(N667&lt;=45,"Moderate (30-45m)","Delayed (&gt;45m)")))</f>
        <v/>
      </c>
      <c r="W667" s="25">
        <f>IF(AND(I667&gt;600,P667="Delivered"),"High Value Delivered","Standard")</f>
        <v/>
      </c>
      <c r="X667" s="25">
        <f>IF(OR(N667&gt;50,Q667&lt;=2),"High Risk / Delayed","Normal")</f>
        <v/>
      </c>
      <c r="Y667" s="25">
        <f>IF(NOT(P667="Cancelled"),"Fulfilled","Cancelled")</f>
        <v/>
      </c>
      <c r="Z667" s="25">
        <f>IFERROR(Q667,0)</f>
        <v/>
      </c>
    </row>
    <row r="668">
      <c r="A668" s="17" t="inlineStr">
        <is>
          <t>ORD1667</t>
        </is>
      </c>
      <c r="B668" s="17" t="inlineStr">
        <is>
          <t>2025-10-23</t>
        </is>
      </c>
      <c r="C668" s="17" t="inlineStr">
        <is>
          <t>11:31:13</t>
        </is>
      </c>
      <c r="D668" s="17" t="n">
        <v>1234</v>
      </c>
      <c r="E668" s="17" t="n">
        <v>106</v>
      </c>
      <c r="F668" s="17" t="n">
        <v>217</v>
      </c>
      <c r="G668" s="17" t="inlineStr">
        <is>
          <t>Pune</t>
        </is>
      </c>
      <c r="H668" s="17" t="inlineStr">
        <is>
          <t>South Indian</t>
        </is>
      </c>
      <c r="I668" s="22" t="n">
        <v>896</v>
      </c>
      <c r="J668" s="22" t="n">
        <v>53.2</v>
      </c>
      <c r="K668" s="22" t="n">
        <v>30</v>
      </c>
      <c r="L668" s="23" t="n">
        <v>0.15</v>
      </c>
      <c r="M668" s="22" t="n">
        <v>141.9</v>
      </c>
      <c r="N668" s="24" t="n">
        <v>4</v>
      </c>
      <c r="O668" s="24" t="n">
        <v/>
      </c>
      <c r="P668" s="17" t="inlineStr">
        <is>
          <t>Digital Wallet</t>
        </is>
      </c>
      <c r="Q668" s="17" t="inlineStr">
        <is>
          <t>Cancelled</t>
        </is>
      </c>
      <c r="R668" s="17" t="n">
        <v/>
      </c>
      <c r="S668" s="17">
        <f>TEXT(B668,"yyyy-mm")</f>
        <v/>
      </c>
      <c r="T668" s="17">
        <f>VLOOKUP(D668,Customers!A:D,4,FALSE)</f>
        <v/>
      </c>
      <c r="U668" s="17">
        <f>CONCATENATE(A668,"-",G668)</f>
        <v/>
      </c>
      <c r="V668" s="17">
        <f>IF(N668="","",IF(N668&lt;=30,"Fast (&lt;30m)",IF(N668&lt;=45,"Moderate (30-45m)","Delayed (&gt;45m)")))</f>
        <v/>
      </c>
      <c r="W668" s="17">
        <f>IF(AND(I668&gt;600,P668="Delivered"),"High Value Delivered","Standard")</f>
        <v/>
      </c>
      <c r="X668" s="17">
        <f>IF(OR(N668&gt;50,Q668&lt;=2),"High Risk / Delayed","Normal")</f>
        <v/>
      </c>
      <c r="Y668" s="17">
        <f>IF(NOT(P668="Cancelled"),"Fulfilled","Cancelled")</f>
        <v/>
      </c>
      <c r="Z668" s="17">
        <f>IFERROR(Q668,0)</f>
        <v/>
      </c>
    </row>
    <row r="669">
      <c r="A669" s="25" t="inlineStr">
        <is>
          <t>ORD1668</t>
        </is>
      </c>
      <c r="B669" s="25" t="inlineStr">
        <is>
          <t>2025-07-06</t>
        </is>
      </c>
      <c r="C669" s="25" t="inlineStr">
        <is>
          <t>11:29:09</t>
        </is>
      </c>
      <c r="D669" s="25" t="n">
        <v>1200</v>
      </c>
      <c r="E669" s="25" t="n">
        <v>103</v>
      </c>
      <c r="F669" s="25" t="n">
        <v>202</v>
      </c>
      <c r="G669" s="25" t="inlineStr">
        <is>
          <t>Mumbai</t>
        </is>
      </c>
      <c r="H669" s="25" t="inlineStr">
        <is>
          <t>Italian</t>
        </is>
      </c>
      <c r="I669" s="26" t="n">
        <v>466</v>
      </c>
      <c r="J669" s="26" t="n">
        <v>28.21</v>
      </c>
      <c r="K669" s="26" t="n">
        <v>25.5</v>
      </c>
      <c r="L669" s="27" t="n">
        <v>0.18</v>
      </c>
      <c r="M669" s="26" t="n">
        <v>90.26000000000001</v>
      </c>
      <c r="N669" s="28" t="n">
        <v>3.1</v>
      </c>
      <c r="O669" s="28" t="n">
        <v>37.1</v>
      </c>
      <c r="P669" s="25" t="inlineStr">
        <is>
          <t>Debit Card</t>
        </is>
      </c>
      <c r="Q669" s="25" t="inlineStr">
        <is>
          <t>Delivered</t>
        </is>
      </c>
      <c r="R669" s="25" t="n">
        <v>2</v>
      </c>
      <c r="S669" s="25">
        <f>TEXT(B669,"yyyy-mm")</f>
        <v/>
      </c>
      <c r="T669" s="25">
        <f>VLOOKUP(D669,Customers!A:D,4,FALSE)</f>
        <v/>
      </c>
      <c r="U669" s="25">
        <f>CONCATENATE(A669,"-",G669)</f>
        <v/>
      </c>
      <c r="V669" s="25">
        <f>IF(N669="","",IF(N669&lt;=30,"Fast (&lt;30m)",IF(N669&lt;=45,"Moderate (30-45m)","Delayed (&gt;45m)")))</f>
        <v/>
      </c>
      <c r="W669" s="25">
        <f>IF(AND(I669&gt;600,P669="Delivered"),"High Value Delivered","Standard")</f>
        <v/>
      </c>
      <c r="X669" s="25">
        <f>IF(OR(N669&gt;50,Q669&lt;=2),"High Risk / Delayed","Normal")</f>
        <v/>
      </c>
      <c r="Y669" s="25">
        <f>IF(NOT(P669="Cancelled"),"Fulfilled","Cancelled")</f>
        <v/>
      </c>
      <c r="Z669" s="25">
        <f>IFERROR(Q669,0)</f>
        <v/>
      </c>
    </row>
    <row r="670">
      <c r="A670" s="17" t="inlineStr">
        <is>
          <t>ORD1669</t>
        </is>
      </c>
      <c r="B670" s="17" t="inlineStr">
        <is>
          <t>2025-02-02</t>
        </is>
      </c>
      <c r="C670" s="17" t="inlineStr">
        <is>
          <t>20:40:13</t>
        </is>
      </c>
      <c r="D670" s="17" t="n">
        <v>1075</v>
      </c>
      <c r="E670" s="17" t="n">
        <v>104</v>
      </c>
      <c r="F670" s="17" t="n">
        <v>228</v>
      </c>
      <c r="G670" s="17" t="inlineStr">
        <is>
          <t>Delhi NCR</t>
        </is>
      </c>
      <c r="H670" s="17" t="inlineStr">
        <is>
          <t>Fast Food</t>
        </is>
      </c>
      <c r="I670" s="22" t="n">
        <v>642</v>
      </c>
      <c r="J670" s="22" t="n">
        <v>44.1</v>
      </c>
      <c r="K670" s="22" t="n">
        <v>25</v>
      </c>
      <c r="L670" s="23" t="n">
        <v>0.18</v>
      </c>
      <c r="M670" s="22" t="n">
        <v>121.81</v>
      </c>
      <c r="N670" s="24" t="n">
        <v>2.9</v>
      </c>
      <c r="O670" s="24" t="n">
        <v>26.9</v>
      </c>
      <c r="P670" s="17" t="inlineStr">
        <is>
          <t>Credit Card</t>
        </is>
      </c>
      <c r="Q670" s="17" t="inlineStr">
        <is>
          <t>Delivered</t>
        </is>
      </c>
      <c r="R670" s="17" t="n">
        <v>2</v>
      </c>
      <c r="S670" s="17">
        <f>TEXT(B670,"yyyy-mm")</f>
        <v/>
      </c>
      <c r="T670" s="17">
        <f>VLOOKUP(D670,Customers!A:D,4,FALSE)</f>
        <v/>
      </c>
      <c r="U670" s="17">
        <f>CONCATENATE(A670,"-",G670)</f>
        <v/>
      </c>
      <c r="V670" s="17">
        <f>IF(N670="","",IF(N670&lt;=30,"Fast (&lt;30m)",IF(N670&lt;=45,"Moderate (30-45m)","Delayed (&gt;45m)")))</f>
        <v/>
      </c>
      <c r="W670" s="17">
        <f>IF(AND(I670&gt;600,P670="Delivered"),"High Value Delivered","Standard")</f>
        <v/>
      </c>
      <c r="X670" s="17">
        <f>IF(OR(N670&gt;50,Q670&lt;=2),"High Risk / Delayed","Normal")</f>
        <v/>
      </c>
      <c r="Y670" s="17">
        <f>IF(NOT(P670="Cancelled"),"Fulfilled","Cancelled")</f>
        <v/>
      </c>
      <c r="Z670" s="17">
        <f>IFERROR(Q670,0)</f>
        <v/>
      </c>
    </row>
    <row r="671">
      <c r="A671" s="25" t="inlineStr">
        <is>
          <t>ORD1670</t>
        </is>
      </c>
      <c r="B671" s="25" t="inlineStr">
        <is>
          <t>2025-05-03</t>
        </is>
      </c>
      <c r="C671" s="25" t="inlineStr">
        <is>
          <t>14:07:09</t>
        </is>
      </c>
      <c r="D671" s="25" t="n">
        <v>1137</v>
      </c>
      <c r="E671" s="25" t="n">
        <v>116</v>
      </c>
      <c r="F671" s="25" t="n">
        <v>226</v>
      </c>
      <c r="G671" s="25" t="inlineStr">
        <is>
          <t>Pune</t>
        </is>
      </c>
      <c r="H671" s="25" t="inlineStr">
        <is>
          <t>Desserts</t>
        </is>
      </c>
      <c r="I671" s="26" t="n">
        <v>416</v>
      </c>
      <c r="J671" s="26" t="n">
        <v>0</v>
      </c>
      <c r="K671" s="26" t="n">
        <v>28</v>
      </c>
      <c r="L671" s="27" t="n">
        <v>0.25</v>
      </c>
      <c r="M671" s="26" t="n">
        <v>111</v>
      </c>
      <c r="N671" s="28" t="n">
        <v>3.6</v>
      </c>
      <c r="O671" s="28" t="n">
        <v>34.3</v>
      </c>
      <c r="P671" s="25" t="inlineStr">
        <is>
          <t>Debit Card</t>
        </is>
      </c>
      <c r="Q671" s="25" t="inlineStr">
        <is>
          <t>Delivered</t>
        </is>
      </c>
      <c r="R671" s="25" t="n">
        <v>1</v>
      </c>
      <c r="S671" s="25">
        <f>TEXT(B671,"yyyy-mm")</f>
        <v/>
      </c>
      <c r="T671" s="25">
        <f>VLOOKUP(D671,Customers!A:D,4,FALSE)</f>
        <v/>
      </c>
      <c r="U671" s="25">
        <f>CONCATENATE(A671,"-",G671)</f>
        <v/>
      </c>
      <c r="V671" s="25">
        <f>IF(N671="","",IF(N671&lt;=30,"Fast (&lt;30m)",IF(N671&lt;=45,"Moderate (30-45m)","Delayed (&gt;45m)")))</f>
        <v/>
      </c>
      <c r="W671" s="25">
        <f>IF(AND(I671&gt;600,P671="Delivered"),"High Value Delivered","Standard")</f>
        <v/>
      </c>
      <c r="X671" s="25">
        <f>IF(OR(N671&gt;50,Q671&lt;=2),"High Risk / Delayed","Normal")</f>
        <v/>
      </c>
      <c r="Y671" s="25">
        <f>IF(NOT(P671="Cancelled"),"Fulfilled","Cancelled")</f>
        <v/>
      </c>
      <c r="Z671" s="25">
        <f>IFERROR(Q671,0)</f>
        <v/>
      </c>
    </row>
    <row r="672">
      <c r="A672" s="17" t="inlineStr">
        <is>
          <t>ORD1671</t>
        </is>
      </c>
      <c r="B672" s="17" t="inlineStr">
        <is>
          <t>2025-08-05</t>
        </is>
      </c>
      <c r="C672" s="17" t="inlineStr">
        <is>
          <t>11:41:57</t>
        </is>
      </c>
      <c r="D672" s="17" t="n">
        <v>1041</v>
      </c>
      <c r="E672" s="17" t="n">
        <v>102</v>
      </c>
      <c r="F672" s="17" t="n">
        <v>215</v>
      </c>
      <c r="G672" s="17" t="inlineStr">
        <is>
          <t>Hyderabad</t>
        </is>
      </c>
      <c r="H672" s="17" t="inlineStr">
        <is>
          <t>Biryani</t>
        </is>
      </c>
      <c r="I672" s="22" t="n">
        <v>257</v>
      </c>
      <c r="J672" s="22" t="n">
        <v>0</v>
      </c>
      <c r="K672" s="22" t="n">
        <v>25</v>
      </c>
      <c r="L672" s="23" t="n">
        <v>0.22</v>
      </c>
      <c r="M672" s="22" t="n">
        <v>62.79</v>
      </c>
      <c r="N672" s="24" t="n">
        <v>2.1</v>
      </c>
      <c r="O672" s="24" t="n">
        <v>21.8</v>
      </c>
      <c r="P672" s="17" t="inlineStr">
        <is>
          <t>UPI</t>
        </is>
      </c>
      <c r="Q672" s="17" t="inlineStr">
        <is>
          <t>Delivered</t>
        </is>
      </c>
      <c r="R672" s="17" t="n">
        <v>4</v>
      </c>
      <c r="S672" s="17">
        <f>TEXT(B672,"yyyy-mm")</f>
        <v/>
      </c>
      <c r="T672" s="17">
        <f>VLOOKUP(D672,Customers!A:D,4,FALSE)</f>
        <v/>
      </c>
      <c r="U672" s="17">
        <f>CONCATENATE(A672,"-",G672)</f>
        <v/>
      </c>
      <c r="V672" s="17">
        <f>IF(N672="","",IF(N672&lt;=30,"Fast (&lt;30m)",IF(N672&lt;=45,"Moderate (30-45m)","Delayed (&gt;45m)")))</f>
        <v/>
      </c>
      <c r="W672" s="17">
        <f>IF(AND(I672&gt;600,P672="Delivered"),"High Value Delivered","Standard")</f>
        <v/>
      </c>
      <c r="X672" s="17">
        <f>IF(OR(N672&gt;50,Q672&lt;=2),"High Risk / Delayed","Normal")</f>
        <v/>
      </c>
      <c r="Y672" s="17">
        <f>IF(NOT(P672="Cancelled"),"Fulfilled","Cancelled")</f>
        <v/>
      </c>
      <c r="Z672" s="17">
        <f>IFERROR(Q672,0)</f>
        <v/>
      </c>
    </row>
    <row r="673">
      <c r="A673" s="25" t="inlineStr">
        <is>
          <t>ORD1672</t>
        </is>
      </c>
      <c r="B673" s="25" t="inlineStr">
        <is>
          <t>2025-11-26</t>
        </is>
      </c>
      <c r="C673" s="25" t="inlineStr">
        <is>
          <t>22:54:02</t>
        </is>
      </c>
      <c r="D673" s="25" t="n">
        <v>1089</v>
      </c>
      <c r="E673" s="25" t="n">
        <v>101</v>
      </c>
      <c r="F673" s="25" t="n">
        <v>210</v>
      </c>
      <c r="G673" s="25" t="inlineStr">
        <is>
          <t>Bangalore</t>
        </is>
      </c>
      <c r="H673" s="25" t="inlineStr">
        <is>
          <t>North Indian</t>
        </is>
      </c>
      <c r="I673" s="26" t="n">
        <v>1017</v>
      </c>
      <c r="J673" s="26" t="n">
        <v>103.72</v>
      </c>
      <c r="K673" s="26" t="n">
        <v>0</v>
      </c>
      <c r="L673" s="27" t="n">
        <v>0.2</v>
      </c>
      <c r="M673" s="26" t="n">
        <v>203.4</v>
      </c>
      <c r="N673" s="28" t="n">
        <v>5.7</v>
      </c>
      <c r="O673" s="28" t="n">
        <v>37.7</v>
      </c>
      <c r="P673" s="25" t="inlineStr">
        <is>
          <t>UPI</t>
        </is>
      </c>
      <c r="Q673" s="25" t="inlineStr">
        <is>
          <t>Delivered</t>
        </is>
      </c>
      <c r="R673" s="25" t="n">
        <v>5</v>
      </c>
      <c r="S673" s="25">
        <f>TEXT(B673,"yyyy-mm")</f>
        <v/>
      </c>
      <c r="T673" s="25">
        <f>VLOOKUP(D673,Customers!A:D,4,FALSE)</f>
        <v/>
      </c>
      <c r="U673" s="25">
        <f>CONCATENATE(A673,"-",G673)</f>
        <v/>
      </c>
      <c r="V673" s="25">
        <f>IF(N673="","",IF(N673&lt;=30,"Fast (&lt;30m)",IF(N673&lt;=45,"Moderate (30-45m)","Delayed (&gt;45m)")))</f>
        <v/>
      </c>
      <c r="W673" s="25">
        <f>IF(AND(I673&gt;600,P673="Delivered"),"High Value Delivered","Standard")</f>
        <v/>
      </c>
      <c r="X673" s="25">
        <f>IF(OR(N673&gt;50,Q673&lt;=2),"High Risk / Delayed","Normal")</f>
        <v/>
      </c>
      <c r="Y673" s="25">
        <f>IF(NOT(P673="Cancelled"),"Fulfilled","Cancelled")</f>
        <v/>
      </c>
      <c r="Z673" s="25">
        <f>IFERROR(Q673,0)</f>
        <v/>
      </c>
    </row>
    <row r="674">
      <c r="A674" s="17" t="inlineStr">
        <is>
          <t>ORD1673</t>
        </is>
      </c>
      <c r="B674" s="17" t="inlineStr">
        <is>
          <t>2025-07-28</t>
        </is>
      </c>
      <c r="C674" s="17" t="inlineStr">
        <is>
          <t>14:57:23</t>
        </is>
      </c>
      <c r="D674" s="17" t="n">
        <v>1107</v>
      </c>
      <c r="E674" s="17" t="n">
        <v>113</v>
      </c>
      <c r="F674" s="17" t="n">
        <v>229</v>
      </c>
      <c r="G674" s="17" t="inlineStr">
        <is>
          <t>Mumbai</t>
        </is>
      </c>
      <c r="H674" s="17" t="inlineStr">
        <is>
          <t>Fast Food</t>
        </is>
      </c>
      <c r="I674" s="22" t="n">
        <v>907</v>
      </c>
      <c r="J674" s="22" t="n">
        <v>6.55</v>
      </c>
      <c r="K674" s="22" t="n">
        <v>28.5</v>
      </c>
      <c r="L674" s="23" t="n">
        <v>0.18</v>
      </c>
      <c r="M674" s="22" t="n">
        <v>170.38</v>
      </c>
      <c r="N674" s="24" t="n">
        <v>3.7</v>
      </c>
      <c r="O674" s="24" t="n">
        <v>38.3</v>
      </c>
      <c r="P674" s="17" t="inlineStr">
        <is>
          <t>Credit Card</t>
        </is>
      </c>
      <c r="Q674" s="17" t="inlineStr">
        <is>
          <t>Delivered</t>
        </is>
      </c>
      <c r="R674" s="17" t="n">
        <v>3</v>
      </c>
      <c r="S674" s="17">
        <f>TEXT(B674,"yyyy-mm")</f>
        <v/>
      </c>
      <c r="T674" s="17">
        <f>VLOOKUP(D674,Customers!A:D,4,FALSE)</f>
        <v/>
      </c>
      <c r="U674" s="17">
        <f>CONCATENATE(A674,"-",G674)</f>
        <v/>
      </c>
      <c r="V674" s="17">
        <f>IF(N674="","",IF(N674&lt;=30,"Fast (&lt;30m)",IF(N674&lt;=45,"Moderate (30-45m)","Delayed (&gt;45m)")))</f>
        <v/>
      </c>
      <c r="W674" s="17">
        <f>IF(AND(I674&gt;600,P674="Delivered"),"High Value Delivered","Standard")</f>
        <v/>
      </c>
      <c r="X674" s="17">
        <f>IF(OR(N674&gt;50,Q674&lt;=2),"High Risk / Delayed","Normal")</f>
        <v/>
      </c>
      <c r="Y674" s="17">
        <f>IF(NOT(P674="Cancelled"),"Fulfilled","Cancelled")</f>
        <v/>
      </c>
      <c r="Z674" s="17">
        <f>IFERROR(Q674,0)</f>
        <v/>
      </c>
    </row>
    <row r="675">
      <c r="A675" s="25" t="inlineStr">
        <is>
          <t>ORD1674</t>
        </is>
      </c>
      <c r="B675" s="25" t="inlineStr">
        <is>
          <t>2025-10-20</t>
        </is>
      </c>
      <c r="C675" s="25" t="inlineStr">
        <is>
          <t>12:47:32</t>
        </is>
      </c>
      <c r="D675" s="25" t="n">
        <v>1122</v>
      </c>
      <c r="E675" s="25" t="n">
        <v>116</v>
      </c>
      <c r="F675" s="25" t="n">
        <v>214</v>
      </c>
      <c r="G675" s="25" t="inlineStr">
        <is>
          <t>Pune</t>
        </is>
      </c>
      <c r="H675" s="25" t="inlineStr">
        <is>
          <t>Desserts</t>
        </is>
      </c>
      <c r="I675" s="26" t="n">
        <v>576</v>
      </c>
      <c r="J675" s="26" t="n">
        <v>95.86</v>
      </c>
      <c r="K675" s="26" t="n">
        <v>0</v>
      </c>
      <c r="L675" s="27" t="n">
        <v>0.25</v>
      </c>
      <c r="M675" s="26" t="n">
        <v>144</v>
      </c>
      <c r="N675" s="28" t="n">
        <v>6.8</v>
      </c>
      <c r="O675" s="28" t="n">
        <v>47.4</v>
      </c>
      <c r="P675" s="25" t="inlineStr">
        <is>
          <t>Digital Wallet</t>
        </is>
      </c>
      <c r="Q675" s="25" t="inlineStr">
        <is>
          <t>Delivered</t>
        </is>
      </c>
      <c r="R675" s="25" t="n">
        <v>1</v>
      </c>
      <c r="S675" s="25">
        <f>TEXT(B675,"yyyy-mm")</f>
        <v/>
      </c>
      <c r="T675" s="25">
        <f>VLOOKUP(D675,Customers!A:D,4,FALSE)</f>
        <v/>
      </c>
      <c r="U675" s="25">
        <f>CONCATENATE(A675,"-",G675)</f>
        <v/>
      </c>
      <c r="V675" s="25">
        <f>IF(N675="","",IF(N675&lt;=30,"Fast (&lt;30m)",IF(N675&lt;=45,"Moderate (30-45m)","Delayed (&gt;45m)")))</f>
        <v/>
      </c>
      <c r="W675" s="25">
        <f>IF(AND(I675&gt;600,P675="Delivered"),"High Value Delivered","Standard")</f>
        <v/>
      </c>
      <c r="X675" s="25">
        <f>IF(OR(N675&gt;50,Q675&lt;=2),"High Risk / Delayed","Normal")</f>
        <v/>
      </c>
      <c r="Y675" s="25">
        <f>IF(NOT(P675="Cancelled"),"Fulfilled","Cancelled")</f>
        <v/>
      </c>
      <c r="Z675" s="25">
        <f>IFERROR(Q675,0)</f>
        <v/>
      </c>
    </row>
    <row r="676">
      <c r="A676" s="17" t="inlineStr">
        <is>
          <t>ORD1675</t>
        </is>
      </c>
      <c r="B676" s="17" t="inlineStr">
        <is>
          <t>2025-05-02</t>
        </is>
      </c>
      <c r="C676" s="17" t="inlineStr">
        <is>
          <t>17:38:07</t>
        </is>
      </c>
      <c r="D676" s="17" t="n">
        <v>1236</v>
      </c>
      <c r="E676" s="17" t="n">
        <v>108</v>
      </c>
      <c r="F676" s="17" t="n">
        <v>230</v>
      </c>
      <c r="G676" s="17" t="inlineStr">
        <is>
          <t>Delhi NCR</t>
        </is>
      </c>
      <c r="H676" s="17" t="inlineStr">
        <is>
          <t>Fast Food</t>
        </is>
      </c>
      <c r="I676" s="22" t="n">
        <v>540</v>
      </c>
      <c r="J676" s="22" t="n">
        <v>39.45</v>
      </c>
      <c r="K676" s="22" t="n">
        <v>25</v>
      </c>
      <c r="L676" s="23" t="n">
        <v>0.18</v>
      </c>
      <c r="M676" s="22" t="n">
        <v>103.45</v>
      </c>
      <c r="N676" s="24" t="n">
        <v>2.6</v>
      </c>
      <c r="O676" s="24" t="n">
        <v>29.7</v>
      </c>
      <c r="P676" s="17" t="inlineStr">
        <is>
          <t>Cash on Delivery</t>
        </is>
      </c>
      <c r="Q676" s="17" t="inlineStr">
        <is>
          <t>Delivered</t>
        </is>
      </c>
      <c r="R676" s="17" t="n">
        <v>5</v>
      </c>
      <c r="S676" s="17">
        <f>TEXT(B676,"yyyy-mm")</f>
        <v/>
      </c>
      <c r="T676" s="17">
        <f>VLOOKUP(D676,Customers!A:D,4,FALSE)</f>
        <v/>
      </c>
      <c r="U676" s="17">
        <f>CONCATENATE(A676,"-",G676)</f>
        <v/>
      </c>
      <c r="V676" s="17">
        <f>IF(N676="","",IF(N676&lt;=30,"Fast (&lt;30m)",IF(N676&lt;=45,"Moderate (30-45m)","Delayed (&gt;45m)")))</f>
        <v/>
      </c>
      <c r="W676" s="17">
        <f>IF(AND(I676&gt;600,P676="Delivered"),"High Value Delivered","Standard")</f>
        <v/>
      </c>
      <c r="X676" s="17">
        <f>IF(OR(N676&gt;50,Q676&lt;=2),"High Risk / Delayed","Normal")</f>
        <v/>
      </c>
      <c r="Y676" s="17">
        <f>IF(NOT(P676="Cancelled"),"Fulfilled","Cancelled")</f>
        <v/>
      </c>
      <c r="Z676" s="17">
        <f>IFERROR(Q676,0)</f>
        <v/>
      </c>
    </row>
    <row r="677">
      <c r="A677" s="25" t="inlineStr">
        <is>
          <t>ORD1676</t>
        </is>
      </c>
      <c r="B677" s="25" t="inlineStr">
        <is>
          <t>2025-03-15</t>
        </is>
      </c>
      <c r="C677" s="25" t="inlineStr">
        <is>
          <t>20:06:11</t>
        </is>
      </c>
      <c r="D677" s="25" t="n">
        <v>1129</v>
      </c>
      <c r="E677" s="25" t="n">
        <v>116</v>
      </c>
      <c r="F677" s="25" t="n">
        <v>209</v>
      </c>
      <c r="G677" s="25" t="inlineStr">
        <is>
          <t>Pune</t>
        </is>
      </c>
      <c r="H677" s="25" t="inlineStr">
        <is>
          <t>Desserts</t>
        </is>
      </c>
      <c r="I677" s="26" t="n">
        <v>439</v>
      </c>
      <c r="J677" s="26" t="n">
        <v>15.43</v>
      </c>
      <c r="K677" s="26" t="n">
        <v>29</v>
      </c>
      <c r="L677" s="27" t="n">
        <v>0.25</v>
      </c>
      <c r="M677" s="26" t="n">
        <v>117</v>
      </c>
      <c r="N677" s="28" t="n">
        <v>3.8</v>
      </c>
      <c r="O677" s="28" t="n">
        <v/>
      </c>
      <c r="P677" s="25" t="inlineStr">
        <is>
          <t>Digital Wallet</t>
        </is>
      </c>
      <c r="Q677" s="25" t="inlineStr">
        <is>
          <t>Cancelled</t>
        </is>
      </c>
      <c r="R677" s="25" t="n">
        <v/>
      </c>
      <c r="S677" s="25">
        <f>TEXT(B677,"yyyy-mm")</f>
        <v/>
      </c>
      <c r="T677" s="25">
        <f>VLOOKUP(D677,Customers!A:D,4,FALSE)</f>
        <v/>
      </c>
      <c r="U677" s="25">
        <f>CONCATENATE(A677,"-",G677)</f>
        <v/>
      </c>
      <c r="V677" s="25">
        <f>IF(N677="","",IF(N677&lt;=30,"Fast (&lt;30m)",IF(N677&lt;=45,"Moderate (30-45m)","Delayed (&gt;45m)")))</f>
        <v/>
      </c>
      <c r="W677" s="25">
        <f>IF(AND(I677&gt;600,P677="Delivered"),"High Value Delivered","Standard")</f>
        <v/>
      </c>
      <c r="X677" s="25">
        <f>IF(OR(N677&gt;50,Q677&lt;=2),"High Risk / Delayed","Normal")</f>
        <v/>
      </c>
      <c r="Y677" s="25">
        <f>IF(NOT(P677="Cancelled"),"Fulfilled","Cancelled")</f>
        <v/>
      </c>
      <c r="Z677" s="25">
        <f>IFERROR(Q677,0)</f>
        <v/>
      </c>
    </row>
    <row r="678">
      <c r="A678" s="17" t="inlineStr">
        <is>
          <t>ORD1677</t>
        </is>
      </c>
      <c r="B678" s="17" t="inlineStr">
        <is>
          <t>2025-10-01</t>
        </is>
      </c>
      <c r="C678" s="17" t="inlineStr">
        <is>
          <t>21:23:44</t>
        </is>
      </c>
      <c r="D678" s="17" t="n">
        <v>1296</v>
      </c>
      <c r="E678" s="17" t="n">
        <v>118</v>
      </c>
      <c r="F678" s="17" t="n">
        <v>219</v>
      </c>
      <c r="G678" s="17" t="inlineStr">
        <is>
          <t>Delhi NCR</t>
        </is>
      </c>
      <c r="H678" s="17" t="inlineStr">
        <is>
          <t>North Indian</t>
        </is>
      </c>
      <c r="I678" s="22" t="n">
        <v>335</v>
      </c>
      <c r="J678" s="22" t="n">
        <v>0</v>
      </c>
      <c r="K678" s="22" t="n">
        <v>41</v>
      </c>
      <c r="L678" s="23" t="n">
        <v>0.2</v>
      </c>
      <c r="M678" s="22" t="n">
        <v>77.25</v>
      </c>
      <c r="N678" s="24" t="n">
        <v>6.2</v>
      </c>
      <c r="O678" s="24" t="n">
        <v>44.9</v>
      </c>
      <c r="P678" s="17" t="inlineStr">
        <is>
          <t>Credit Card</t>
        </is>
      </c>
      <c r="Q678" s="17" t="inlineStr">
        <is>
          <t>Delivered</t>
        </is>
      </c>
      <c r="R678" s="17" t="n">
        <v>1</v>
      </c>
      <c r="S678" s="17">
        <f>TEXT(B678,"yyyy-mm")</f>
        <v/>
      </c>
      <c r="T678" s="17">
        <f>VLOOKUP(D678,Customers!A:D,4,FALSE)</f>
        <v/>
      </c>
      <c r="U678" s="17">
        <f>CONCATENATE(A678,"-",G678)</f>
        <v/>
      </c>
      <c r="V678" s="17">
        <f>IF(N678="","",IF(N678&lt;=30,"Fast (&lt;30m)",IF(N678&lt;=45,"Moderate (30-45m)","Delayed (&gt;45m)")))</f>
        <v/>
      </c>
      <c r="W678" s="17">
        <f>IF(AND(I678&gt;600,P678="Delivered"),"High Value Delivered","Standard")</f>
        <v/>
      </c>
      <c r="X678" s="17">
        <f>IF(OR(N678&gt;50,Q678&lt;=2),"High Risk / Delayed","Normal")</f>
        <v/>
      </c>
      <c r="Y678" s="17">
        <f>IF(NOT(P678="Cancelled"),"Fulfilled","Cancelled")</f>
        <v/>
      </c>
      <c r="Z678" s="17">
        <f>IFERROR(Q678,0)</f>
        <v/>
      </c>
    </row>
    <row r="679">
      <c r="A679" s="25" t="inlineStr">
        <is>
          <t>ORD1678</t>
        </is>
      </c>
      <c r="B679" s="25" t="inlineStr">
        <is>
          <t>2025-09-01</t>
        </is>
      </c>
      <c r="C679" s="25" t="inlineStr">
        <is>
          <t>12:45:23</t>
        </is>
      </c>
      <c r="D679" s="25" t="n">
        <v>1101</v>
      </c>
      <c r="E679" s="25" t="n">
        <v>105</v>
      </c>
      <c r="F679" s="25" t="n">
        <v>213</v>
      </c>
      <c r="G679" s="25" t="inlineStr">
        <is>
          <t>Bangalore</t>
        </is>
      </c>
      <c r="H679" s="25" t="inlineStr">
        <is>
          <t>Chinese</t>
        </is>
      </c>
      <c r="I679" s="26" t="n">
        <v>535</v>
      </c>
      <c r="J679" s="26" t="n">
        <v>0</v>
      </c>
      <c r="K679" s="26" t="n">
        <v>29.5</v>
      </c>
      <c r="L679" s="27" t="n">
        <v>0.2</v>
      </c>
      <c r="M679" s="26" t="n">
        <v>114.38</v>
      </c>
      <c r="N679" s="28" t="n">
        <v>3.9</v>
      </c>
      <c r="O679" s="28" t="n">
        <v>37.8</v>
      </c>
      <c r="P679" s="25" t="inlineStr">
        <is>
          <t>Digital Wallet</t>
        </is>
      </c>
      <c r="Q679" s="25" t="inlineStr">
        <is>
          <t>Delivered</t>
        </is>
      </c>
      <c r="R679" s="25" t="n">
        <v>4</v>
      </c>
      <c r="S679" s="25">
        <f>TEXT(B679,"yyyy-mm")</f>
        <v/>
      </c>
      <c r="T679" s="25">
        <f>VLOOKUP(D679,Customers!A:D,4,FALSE)</f>
        <v/>
      </c>
      <c r="U679" s="25">
        <f>CONCATENATE(A679,"-",G679)</f>
        <v/>
      </c>
      <c r="V679" s="25">
        <f>IF(N679="","",IF(N679&lt;=30,"Fast (&lt;30m)",IF(N679&lt;=45,"Moderate (30-45m)","Delayed (&gt;45m)")))</f>
        <v/>
      </c>
      <c r="W679" s="25">
        <f>IF(AND(I679&gt;600,P679="Delivered"),"High Value Delivered","Standard")</f>
        <v/>
      </c>
      <c r="X679" s="25">
        <f>IF(OR(N679&gt;50,Q679&lt;=2),"High Risk / Delayed","Normal")</f>
        <v/>
      </c>
      <c r="Y679" s="25">
        <f>IF(NOT(P679="Cancelled"),"Fulfilled","Cancelled")</f>
        <v/>
      </c>
      <c r="Z679" s="25">
        <f>IFERROR(Q679,0)</f>
        <v/>
      </c>
    </row>
    <row r="680">
      <c r="A680" s="17" t="inlineStr">
        <is>
          <t>ORD1679</t>
        </is>
      </c>
      <c r="B680" s="17" t="inlineStr">
        <is>
          <t>2025-12-20</t>
        </is>
      </c>
      <c r="C680" s="17" t="inlineStr">
        <is>
          <t>11:58:50</t>
        </is>
      </c>
      <c r="D680" s="17" t="n">
        <v>1290</v>
      </c>
      <c r="E680" s="17" t="n">
        <v>113</v>
      </c>
      <c r="F680" s="17" t="n">
        <v>229</v>
      </c>
      <c r="G680" s="17" t="inlineStr">
        <is>
          <t>Mumbai</t>
        </is>
      </c>
      <c r="H680" s="17" t="inlineStr">
        <is>
          <t>Fast Food</t>
        </is>
      </c>
      <c r="I680" s="22" t="n">
        <v>907</v>
      </c>
      <c r="J680" s="22" t="n">
        <v>0</v>
      </c>
      <c r="K680" s="22" t="n">
        <v>25</v>
      </c>
      <c r="L680" s="23" t="n">
        <v>0.18</v>
      </c>
      <c r="M680" s="22" t="n">
        <v>169.51</v>
      </c>
      <c r="N680" s="24" t="n">
        <v>2.8</v>
      </c>
      <c r="O680" s="24" t="n">
        <v>25.6</v>
      </c>
      <c r="P680" s="17" t="inlineStr">
        <is>
          <t>Debit Card</t>
        </is>
      </c>
      <c r="Q680" s="17" t="inlineStr">
        <is>
          <t>Delivered</t>
        </is>
      </c>
      <c r="R680" s="17" t="n">
        <v>3</v>
      </c>
      <c r="S680" s="17">
        <f>TEXT(B680,"yyyy-mm")</f>
        <v/>
      </c>
      <c r="T680" s="17">
        <f>VLOOKUP(D680,Customers!A:D,4,FALSE)</f>
        <v/>
      </c>
      <c r="U680" s="17">
        <f>CONCATENATE(A680,"-",G680)</f>
        <v/>
      </c>
      <c r="V680" s="17">
        <f>IF(N680="","",IF(N680&lt;=30,"Fast (&lt;30m)",IF(N680&lt;=45,"Moderate (30-45m)","Delayed (&gt;45m)")))</f>
        <v/>
      </c>
      <c r="W680" s="17">
        <f>IF(AND(I680&gt;600,P680="Delivered"),"High Value Delivered","Standard")</f>
        <v/>
      </c>
      <c r="X680" s="17">
        <f>IF(OR(N680&gt;50,Q680&lt;=2),"High Risk / Delayed","Normal")</f>
        <v/>
      </c>
      <c r="Y680" s="17">
        <f>IF(NOT(P680="Cancelled"),"Fulfilled","Cancelled")</f>
        <v/>
      </c>
      <c r="Z680" s="17">
        <f>IFERROR(Q680,0)</f>
        <v/>
      </c>
    </row>
    <row r="681">
      <c r="A681" s="25" t="inlineStr">
        <is>
          <t>ORD1680</t>
        </is>
      </c>
      <c r="B681" s="25" t="inlineStr">
        <is>
          <t>2025-08-15</t>
        </is>
      </c>
      <c r="C681" s="25" t="inlineStr">
        <is>
          <t>23:24:00</t>
        </is>
      </c>
      <c r="D681" s="25" t="n">
        <v>1134</v>
      </c>
      <c r="E681" s="25" t="n">
        <v>109</v>
      </c>
      <c r="F681" s="25" t="n">
        <v>225</v>
      </c>
      <c r="G681" s="25" t="inlineStr">
        <is>
          <t>Hyderabad</t>
        </is>
      </c>
      <c r="H681" s="25" t="inlineStr">
        <is>
          <t>Biryani</t>
        </is>
      </c>
      <c r="I681" s="26" t="n">
        <v>622</v>
      </c>
      <c r="J681" s="26" t="n">
        <v>45.68</v>
      </c>
      <c r="K681" s="26" t="n">
        <v>25.5</v>
      </c>
      <c r="L681" s="27" t="n">
        <v>0.2</v>
      </c>
      <c r="M681" s="26" t="n">
        <v>130.78</v>
      </c>
      <c r="N681" s="28" t="n">
        <v>3.1</v>
      </c>
      <c r="O681" s="28" t="n">
        <v>26.3</v>
      </c>
      <c r="P681" s="25" t="inlineStr">
        <is>
          <t>Credit Card</t>
        </is>
      </c>
      <c r="Q681" s="25" t="inlineStr">
        <is>
          <t>Delivered</t>
        </is>
      </c>
      <c r="R681" s="25" t="n">
        <v>4</v>
      </c>
      <c r="S681" s="25">
        <f>TEXT(B681,"yyyy-mm")</f>
        <v/>
      </c>
      <c r="T681" s="25">
        <f>VLOOKUP(D681,Customers!A:D,4,FALSE)</f>
        <v/>
      </c>
      <c r="U681" s="25">
        <f>CONCATENATE(A681,"-",G681)</f>
        <v/>
      </c>
      <c r="V681" s="25">
        <f>IF(N681="","",IF(N681&lt;=30,"Fast (&lt;30m)",IF(N681&lt;=45,"Moderate (30-45m)","Delayed (&gt;45m)")))</f>
        <v/>
      </c>
      <c r="W681" s="25">
        <f>IF(AND(I681&gt;600,P681="Delivered"),"High Value Delivered","Standard")</f>
        <v/>
      </c>
      <c r="X681" s="25">
        <f>IF(OR(N681&gt;50,Q681&lt;=2),"High Risk / Delayed","Normal")</f>
        <v/>
      </c>
      <c r="Y681" s="25">
        <f>IF(NOT(P681="Cancelled"),"Fulfilled","Cancelled")</f>
        <v/>
      </c>
      <c r="Z681" s="25">
        <f>IFERROR(Q681,0)</f>
        <v/>
      </c>
    </row>
    <row r="682">
      <c r="A682" s="17" t="inlineStr">
        <is>
          <t>ORD1681</t>
        </is>
      </c>
      <c r="B682" s="17" t="inlineStr">
        <is>
          <t>2025-08-13</t>
        </is>
      </c>
      <c r="C682" s="17" t="inlineStr">
        <is>
          <t>11:40:20</t>
        </is>
      </c>
      <c r="D682" s="17" t="n">
        <v>1243</v>
      </c>
      <c r="E682" s="17" t="n">
        <v>104</v>
      </c>
      <c r="F682" s="17" t="n">
        <v>228</v>
      </c>
      <c r="G682" s="17" t="inlineStr">
        <is>
          <t>Delhi NCR</t>
        </is>
      </c>
      <c r="H682" s="17" t="inlineStr">
        <is>
          <t>Fast Food</t>
        </is>
      </c>
      <c r="I682" s="22" t="n">
        <v>1083</v>
      </c>
      <c r="J682" s="22" t="n">
        <v>193.78</v>
      </c>
      <c r="K682" s="22" t="n">
        <v>0</v>
      </c>
      <c r="L682" s="23" t="n">
        <v>0.18</v>
      </c>
      <c r="M682" s="22" t="n">
        <v>194.94</v>
      </c>
      <c r="N682" s="24" t="n">
        <v>3.5</v>
      </c>
      <c r="O682" s="24" t="n">
        <v>26.9</v>
      </c>
      <c r="P682" s="17" t="inlineStr">
        <is>
          <t>UPI</t>
        </is>
      </c>
      <c r="Q682" s="17" t="inlineStr">
        <is>
          <t>Delivered</t>
        </is>
      </c>
      <c r="R682" s="17" t="n">
        <v>4</v>
      </c>
      <c r="S682" s="17">
        <f>TEXT(B682,"yyyy-mm")</f>
        <v/>
      </c>
      <c r="T682" s="17">
        <f>VLOOKUP(D682,Customers!A:D,4,FALSE)</f>
        <v/>
      </c>
      <c r="U682" s="17">
        <f>CONCATENATE(A682,"-",G682)</f>
        <v/>
      </c>
      <c r="V682" s="17">
        <f>IF(N682="","",IF(N682&lt;=30,"Fast (&lt;30m)",IF(N682&lt;=45,"Moderate (30-45m)","Delayed (&gt;45m)")))</f>
        <v/>
      </c>
      <c r="W682" s="17">
        <f>IF(AND(I682&gt;600,P682="Delivered"),"High Value Delivered","Standard")</f>
        <v/>
      </c>
      <c r="X682" s="17">
        <f>IF(OR(N682&gt;50,Q682&lt;=2),"High Risk / Delayed","Normal")</f>
        <v/>
      </c>
      <c r="Y682" s="17">
        <f>IF(NOT(P682="Cancelled"),"Fulfilled","Cancelled")</f>
        <v/>
      </c>
      <c r="Z682" s="17">
        <f>IFERROR(Q682,0)</f>
        <v/>
      </c>
    </row>
    <row r="683">
      <c r="A683" s="25" t="inlineStr">
        <is>
          <t>ORD1682</t>
        </is>
      </c>
      <c r="B683" s="25" t="inlineStr">
        <is>
          <t>2025-06-20</t>
        </is>
      </c>
      <c r="C683" s="25" t="inlineStr">
        <is>
          <t>14:45:27</t>
        </is>
      </c>
      <c r="D683" s="25" t="n">
        <v>1251</v>
      </c>
      <c r="E683" s="25" t="n">
        <v>102</v>
      </c>
      <c r="F683" s="25" t="n">
        <v>225</v>
      </c>
      <c r="G683" s="25" t="inlineStr">
        <is>
          <t>Hyderabad</t>
        </is>
      </c>
      <c r="H683" s="25" t="inlineStr">
        <is>
          <t>Biryani</t>
        </is>
      </c>
      <c r="I683" s="26" t="n">
        <v>322</v>
      </c>
      <c r="J683" s="26" t="n">
        <v>17.99</v>
      </c>
      <c r="K683" s="26" t="n">
        <v>27</v>
      </c>
      <c r="L683" s="27" t="n">
        <v>0.22</v>
      </c>
      <c r="M683" s="26" t="n">
        <v>77.59</v>
      </c>
      <c r="N683" s="28" t="n">
        <v>3.4</v>
      </c>
      <c r="O683" s="28" t="n">
        <v>39.2</v>
      </c>
      <c r="P683" s="25" t="inlineStr">
        <is>
          <t>Debit Card</t>
        </is>
      </c>
      <c r="Q683" s="25" t="inlineStr">
        <is>
          <t>Delivered</t>
        </is>
      </c>
      <c r="R683" s="25" t="n">
        <v>5</v>
      </c>
      <c r="S683" s="25">
        <f>TEXT(B683,"yyyy-mm")</f>
        <v/>
      </c>
      <c r="T683" s="25">
        <f>VLOOKUP(D683,Customers!A:D,4,FALSE)</f>
        <v/>
      </c>
      <c r="U683" s="25">
        <f>CONCATENATE(A683,"-",G683)</f>
        <v/>
      </c>
      <c r="V683" s="25">
        <f>IF(N683="","",IF(N683&lt;=30,"Fast (&lt;30m)",IF(N683&lt;=45,"Moderate (30-45m)","Delayed (&gt;45m)")))</f>
        <v/>
      </c>
      <c r="W683" s="25">
        <f>IF(AND(I683&gt;600,P683="Delivered"),"High Value Delivered","Standard")</f>
        <v/>
      </c>
      <c r="X683" s="25">
        <f>IF(OR(N683&gt;50,Q683&lt;=2),"High Risk / Delayed","Normal")</f>
        <v/>
      </c>
      <c r="Y683" s="25">
        <f>IF(NOT(P683="Cancelled"),"Fulfilled","Cancelled")</f>
        <v/>
      </c>
      <c r="Z683" s="25">
        <f>IFERROR(Q683,0)</f>
        <v/>
      </c>
    </row>
    <row r="684">
      <c r="A684" s="17" t="inlineStr">
        <is>
          <t>ORD1683</t>
        </is>
      </c>
      <c r="B684" s="17" t="inlineStr">
        <is>
          <t>2025-12-22</t>
        </is>
      </c>
      <c r="C684" s="17" t="inlineStr">
        <is>
          <t>13:01:48</t>
        </is>
      </c>
      <c r="D684" s="17" t="n">
        <v>1212</v>
      </c>
      <c r="E684" s="17" t="n">
        <v>114</v>
      </c>
      <c r="F684" s="17" t="n">
        <v>225</v>
      </c>
      <c r="G684" s="17" t="inlineStr">
        <is>
          <t>Hyderabad</t>
        </is>
      </c>
      <c r="H684" s="17" t="inlineStr">
        <is>
          <t>Biryani</t>
        </is>
      </c>
      <c r="I684" s="22" t="n">
        <v>273</v>
      </c>
      <c r="J684" s="22" t="n">
        <v>25.91</v>
      </c>
      <c r="K684" s="22" t="n">
        <v>25</v>
      </c>
      <c r="L684" s="23" t="n">
        <v>0.22</v>
      </c>
      <c r="M684" s="22" t="n">
        <v>66.31</v>
      </c>
      <c r="N684" s="24" t="n">
        <v>2.1</v>
      </c>
      <c r="O684" s="24" t="n">
        <v>21.9</v>
      </c>
      <c r="P684" s="17" t="inlineStr">
        <is>
          <t>Cash on Delivery</t>
        </is>
      </c>
      <c r="Q684" s="17" t="inlineStr">
        <is>
          <t>Delivered</t>
        </is>
      </c>
      <c r="R684" s="17" t="n">
        <v>1</v>
      </c>
      <c r="S684" s="17">
        <f>TEXT(B684,"yyyy-mm")</f>
        <v/>
      </c>
      <c r="T684" s="17">
        <f>VLOOKUP(D684,Customers!A:D,4,FALSE)</f>
        <v/>
      </c>
      <c r="U684" s="17">
        <f>CONCATENATE(A684,"-",G684)</f>
        <v/>
      </c>
      <c r="V684" s="17">
        <f>IF(N684="","",IF(N684&lt;=30,"Fast (&lt;30m)",IF(N684&lt;=45,"Moderate (30-45m)","Delayed (&gt;45m)")))</f>
        <v/>
      </c>
      <c r="W684" s="17">
        <f>IF(AND(I684&gt;600,P684="Delivered"),"High Value Delivered","Standard")</f>
        <v/>
      </c>
      <c r="X684" s="17">
        <f>IF(OR(N684&gt;50,Q684&lt;=2),"High Risk / Delayed","Normal")</f>
        <v/>
      </c>
      <c r="Y684" s="17">
        <f>IF(NOT(P684="Cancelled"),"Fulfilled","Cancelled")</f>
        <v/>
      </c>
      <c r="Z684" s="17">
        <f>IFERROR(Q684,0)</f>
        <v/>
      </c>
    </row>
    <row r="685">
      <c r="A685" s="25" t="inlineStr">
        <is>
          <t>ORD1684</t>
        </is>
      </c>
      <c r="B685" s="25" t="inlineStr">
        <is>
          <t>2025-04-13</t>
        </is>
      </c>
      <c r="C685" s="25" t="inlineStr">
        <is>
          <t>13:40:19</t>
        </is>
      </c>
      <c r="D685" s="25" t="n">
        <v>1137</v>
      </c>
      <c r="E685" s="25" t="n">
        <v>110</v>
      </c>
      <c r="F685" s="25" t="n">
        <v>214</v>
      </c>
      <c r="G685" s="25" t="inlineStr">
        <is>
          <t>Pune</t>
        </is>
      </c>
      <c r="H685" s="25" t="inlineStr">
        <is>
          <t>North Indian</t>
        </is>
      </c>
      <c r="I685" s="26" t="n">
        <v>541</v>
      </c>
      <c r="J685" s="26" t="n">
        <v>4.8</v>
      </c>
      <c r="K685" s="26" t="n">
        <v>25</v>
      </c>
      <c r="L685" s="27" t="n">
        <v>0.18</v>
      </c>
      <c r="M685" s="26" t="n">
        <v>103.63</v>
      </c>
      <c r="N685" s="28" t="n">
        <v>2.4</v>
      </c>
      <c r="O685" s="28" t="n">
        <v>24.6</v>
      </c>
      <c r="P685" s="25" t="inlineStr">
        <is>
          <t>Credit Card</t>
        </is>
      </c>
      <c r="Q685" s="25" t="inlineStr">
        <is>
          <t>Delivered</t>
        </is>
      </c>
      <c r="R685" s="25" t="n">
        <v>5</v>
      </c>
      <c r="S685" s="25">
        <f>TEXT(B685,"yyyy-mm")</f>
        <v/>
      </c>
      <c r="T685" s="25">
        <f>VLOOKUP(D685,Customers!A:D,4,FALSE)</f>
        <v/>
      </c>
      <c r="U685" s="25">
        <f>CONCATENATE(A685,"-",G685)</f>
        <v/>
      </c>
      <c r="V685" s="25">
        <f>IF(N685="","",IF(N685&lt;=30,"Fast (&lt;30m)",IF(N685&lt;=45,"Moderate (30-45m)","Delayed (&gt;45m)")))</f>
        <v/>
      </c>
      <c r="W685" s="25">
        <f>IF(AND(I685&gt;600,P685="Delivered"),"High Value Delivered","Standard")</f>
        <v/>
      </c>
      <c r="X685" s="25">
        <f>IF(OR(N685&gt;50,Q685&lt;=2),"High Risk / Delayed","Normal")</f>
        <v/>
      </c>
      <c r="Y685" s="25">
        <f>IF(NOT(P685="Cancelled"),"Fulfilled","Cancelled")</f>
        <v/>
      </c>
      <c r="Z685" s="25">
        <f>IFERROR(Q685,0)</f>
        <v/>
      </c>
    </row>
    <row r="686">
      <c r="A686" s="17" t="inlineStr">
        <is>
          <t>ORD1685</t>
        </is>
      </c>
      <c r="B686" s="17" t="inlineStr">
        <is>
          <t>2025-09-02</t>
        </is>
      </c>
      <c r="C686" s="17" t="inlineStr">
        <is>
          <t>13:55:47</t>
        </is>
      </c>
      <c r="D686" s="17" t="n">
        <v>1146</v>
      </c>
      <c r="E686" s="17" t="n">
        <v>103</v>
      </c>
      <c r="F686" s="17" t="n">
        <v>229</v>
      </c>
      <c r="G686" s="17" t="inlineStr">
        <is>
          <t>Mumbai</t>
        </is>
      </c>
      <c r="H686" s="17" t="inlineStr">
        <is>
          <t>Italian</t>
        </is>
      </c>
      <c r="I686" s="22" t="n">
        <v>356</v>
      </c>
      <c r="J686" s="22" t="n">
        <v>0</v>
      </c>
      <c r="K686" s="22" t="n">
        <v>27.5</v>
      </c>
      <c r="L686" s="23" t="n">
        <v>0.18</v>
      </c>
      <c r="M686" s="22" t="n">
        <v>70.95999999999999</v>
      </c>
      <c r="N686" s="24" t="n">
        <v>3.5</v>
      </c>
      <c r="O686" s="24" t="n">
        <v>37.6</v>
      </c>
      <c r="P686" s="17" t="inlineStr">
        <is>
          <t>Debit Card</t>
        </is>
      </c>
      <c r="Q686" s="17" t="inlineStr">
        <is>
          <t>Delivered</t>
        </is>
      </c>
      <c r="R686" s="17" t="n">
        <v>1</v>
      </c>
      <c r="S686" s="17">
        <f>TEXT(B686,"yyyy-mm")</f>
        <v/>
      </c>
      <c r="T686" s="17">
        <f>VLOOKUP(D686,Customers!A:D,4,FALSE)</f>
        <v/>
      </c>
      <c r="U686" s="17">
        <f>CONCATENATE(A686,"-",G686)</f>
        <v/>
      </c>
      <c r="V686" s="17">
        <f>IF(N686="","",IF(N686&lt;=30,"Fast (&lt;30m)",IF(N686&lt;=45,"Moderate (30-45m)","Delayed (&gt;45m)")))</f>
        <v/>
      </c>
      <c r="W686" s="17">
        <f>IF(AND(I686&gt;600,P686="Delivered"),"High Value Delivered","Standard")</f>
        <v/>
      </c>
      <c r="X686" s="17">
        <f>IF(OR(N686&gt;50,Q686&lt;=2),"High Risk / Delayed","Normal")</f>
        <v/>
      </c>
      <c r="Y686" s="17">
        <f>IF(NOT(P686="Cancelled"),"Fulfilled","Cancelled")</f>
        <v/>
      </c>
      <c r="Z686" s="17">
        <f>IFERROR(Q686,0)</f>
        <v/>
      </c>
    </row>
    <row r="687">
      <c r="A687" s="25" t="inlineStr">
        <is>
          <t>ORD1686</t>
        </is>
      </c>
      <c r="B687" s="25" t="inlineStr">
        <is>
          <t>2025-08-01</t>
        </is>
      </c>
      <c r="C687" s="25" t="inlineStr">
        <is>
          <t>19:23:11</t>
        </is>
      </c>
      <c r="D687" s="25" t="n">
        <v>1162</v>
      </c>
      <c r="E687" s="25" t="n">
        <v>114</v>
      </c>
      <c r="F687" s="25" t="n">
        <v>225</v>
      </c>
      <c r="G687" s="25" t="inlineStr">
        <is>
          <t>Hyderabad</t>
        </is>
      </c>
      <c r="H687" s="25" t="inlineStr">
        <is>
          <t>Biryani</t>
        </is>
      </c>
      <c r="I687" s="26" t="n">
        <v>622</v>
      </c>
      <c r="J687" s="26" t="n">
        <v>69.26000000000001</v>
      </c>
      <c r="K687" s="26" t="n">
        <v>32.5</v>
      </c>
      <c r="L687" s="27" t="n">
        <v>0.22</v>
      </c>
      <c r="M687" s="26" t="n">
        <v>144.96</v>
      </c>
      <c r="N687" s="28" t="n">
        <v>4.5</v>
      </c>
      <c r="O687" s="28" t="n">
        <v>39.6</v>
      </c>
      <c r="P687" s="25" t="inlineStr">
        <is>
          <t>Digital Wallet</t>
        </is>
      </c>
      <c r="Q687" s="25" t="inlineStr">
        <is>
          <t>Delivered</t>
        </is>
      </c>
      <c r="R687" s="25" t="n">
        <v>5</v>
      </c>
      <c r="S687" s="25">
        <f>TEXT(B687,"yyyy-mm")</f>
        <v/>
      </c>
      <c r="T687" s="25">
        <f>VLOOKUP(D687,Customers!A:D,4,FALSE)</f>
        <v/>
      </c>
      <c r="U687" s="25">
        <f>CONCATENATE(A687,"-",G687)</f>
        <v/>
      </c>
      <c r="V687" s="25">
        <f>IF(N687="","",IF(N687&lt;=30,"Fast (&lt;30m)",IF(N687&lt;=45,"Moderate (30-45m)","Delayed (&gt;45m)")))</f>
        <v/>
      </c>
      <c r="W687" s="25">
        <f>IF(AND(I687&gt;600,P687="Delivered"),"High Value Delivered","Standard")</f>
        <v/>
      </c>
      <c r="X687" s="25">
        <f>IF(OR(N687&gt;50,Q687&lt;=2),"High Risk / Delayed","Normal")</f>
        <v/>
      </c>
      <c r="Y687" s="25">
        <f>IF(NOT(P687="Cancelled"),"Fulfilled","Cancelled")</f>
        <v/>
      </c>
      <c r="Z687" s="25">
        <f>IFERROR(Q687,0)</f>
        <v/>
      </c>
    </row>
    <row r="688">
      <c r="A688" s="17" t="inlineStr">
        <is>
          <t>ORD1687</t>
        </is>
      </c>
      <c r="B688" s="17" t="inlineStr">
        <is>
          <t>2025-01-12</t>
        </is>
      </c>
      <c r="C688" s="17" t="inlineStr">
        <is>
          <t>19:59:35</t>
        </is>
      </c>
      <c r="D688" s="17" t="n">
        <v>1003</v>
      </c>
      <c r="E688" s="17" t="n">
        <v>120</v>
      </c>
      <c r="F688" s="17" t="n">
        <v>217</v>
      </c>
      <c r="G688" s="17" t="inlineStr">
        <is>
          <t>Pune</t>
        </is>
      </c>
      <c r="H688" s="17" t="inlineStr">
        <is>
          <t>Fast Food</t>
        </is>
      </c>
      <c r="I688" s="22" t="n">
        <v>882</v>
      </c>
      <c r="J688" s="22" t="n">
        <v>81.89</v>
      </c>
      <c r="K688" s="22" t="n">
        <v>27.5</v>
      </c>
      <c r="L688" s="23" t="n">
        <v>0.18</v>
      </c>
      <c r="M688" s="22" t="n">
        <v>165.64</v>
      </c>
      <c r="N688" s="24" t="n">
        <v>3.5</v>
      </c>
      <c r="O688" s="24" t="n">
        <v>28.5</v>
      </c>
      <c r="P688" s="17" t="inlineStr">
        <is>
          <t>UPI</t>
        </is>
      </c>
      <c r="Q688" s="17" t="inlineStr">
        <is>
          <t>Delivered</t>
        </is>
      </c>
      <c r="R688" s="17" t="n">
        <v>4</v>
      </c>
      <c r="S688" s="17">
        <f>TEXT(B688,"yyyy-mm")</f>
        <v/>
      </c>
      <c r="T688" s="17">
        <f>VLOOKUP(D688,Customers!A:D,4,FALSE)</f>
        <v/>
      </c>
      <c r="U688" s="17">
        <f>CONCATENATE(A688,"-",G688)</f>
        <v/>
      </c>
      <c r="V688" s="17">
        <f>IF(N688="","",IF(N688&lt;=30,"Fast (&lt;30m)",IF(N688&lt;=45,"Moderate (30-45m)","Delayed (&gt;45m)")))</f>
        <v/>
      </c>
      <c r="W688" s="17">
        <f>IF(AND(I688&gt;600,P688="Delivered"),"High Value Delivered","Standard")</f>
        <v/>
      </c>
      <c r="X688" s="17">
        <f>IF(OR(N688&gt;50,Q688&lt;=2),"High Risk / Delayed","Normal")</f>
        <v/>
      </c>
      <c r="Y688" s="17">
        <f>IF(NOT(P688="Cancelled"),"Fulfilled","Cancelled")</f>
        <v/>
      </c>
      <c r="Z688" s="17">
        <f>IFERROR(Q688,0)</f>
        <v/>
      </c>
    </row>
    <row r="689">
      <c r="A689" s="25" t="inlineStr">
        <is>
          <t>ORD1688</t>
        </is>
      </c>
      <c r="B689" s="25" t="inlineStr">
        <is>
          <t>2025-12-26</t>
        </is>
      </c>
      <c r="C689" s="25" t="inlineStr">
        <is>
          <t>14:54:10</t>
        </is>
      </c>
      <c r="D689" s="25" t="n">
        <v>1151</v>
      </c>
      <c r="E689" s="25" t="n">
        <v>113</v>
      </c>
      <c r="F689" s="25" t="n">
        <v>229</v>
      </c>
      <c r="G689" s="25" t="inlineStr">
        <is>
          <t>Mumbai</t>
        </is>
      </c>
      <c r="H689" s="25" t="inlineStr">
        <is>
          <t>Fast Food</t>
        </is>
      </c>
      <c r="I689" s="26" t="n">
        <v>472</v>
      </c>
      <c r="J689" s="26" t="n">
        <v>76.37</v>
      </c>
      <c r="K689" s="26" t="n">
        <v>27</v>
      </c>
      <c r="L689" s="27" t="n">
        <v>0.18</v>
      </c>
      <c r="M689" s="26" t="n">
        <v>91.70999999999999</v>
      </c>
      <c r="N689" s="28" t="n">
        <v>3.4</v>
      </c>
      <c r="O689" s="28" t="n">
        <v>37.2</v>
      </c>
      <c r="P689" s="25" t="inlineStr">
        <is>
          <t>Credit Card</t>
        </is>
      </c>
      <c r="Q689" s="25" t="inlineStr">
        <is>
          <t>Delivered</t>
        </is>
      </c>
      <c r="R689" s="25" t="n">
        <v>5</v>
      </c>
      <c r="S689" s="25">
        <f>TEXT(B689,"yyyy-mm")</f>
        <v/>
      </c>
      <c r="T689" s="25">
        <f>VLOOKUP(D689,Customers!A:D,4,FALSE)</f>
        <v/>
      </c>
      <c r="U689" s="25">
        <f>CONCATENATE(A689,"-",G689)</f>
        <v/>
      </c>
      <c r="V689" s="25">
        <f>IF(N689="","",IF(N689&lt;=30,"Fast (&lt;30m)",IF(N689&lt;=45,"Moderate (30-45m)","Delayed (&gt;45m)")))</f>
        <v/>
      </c>
      <c r="W689" s="25">
        <f>IF(AND(I689&gt;600,P689="Delivered"),"High Value Delivered","Standard")</f>
        <v/>
      </c>
      <c r="X689" s="25">
        <f>IF(OR(N689&gt;50,Q689&lt;=2),"High Risk / Delayed","Normal")</f>
        <v/>
      </c>
      <c r="Y689" s="25">
        <f>IF(NOT(P689="Cancelled"),"Fulfilled","Cancelled")</f>
        <v/>
      </c>
      <c r="Z689" s="25">
        <f>IFERROR(Q689,0)</f>
        <v/>
      </c>
    </row>
    <row r="690">
      <c r="A690" s="17" t="inlineStr">
        <is>
          <t>ORD1689</t>
        </is>
      </c>
      <c r="B690" s="17" t="inlineStr">
        <is>
          <t>2025-03-29</t>
        </is>
      </c>
      <c r="C690" s="17" t="inlineStr">
        <is>
          <t>21:36:07</t>
        </is>
      </c>
      <c r="D690" s="17" t="n">
        <v>1096</v>
      </c>
      <c r="E690" s="17" t="n">
        <v>102</v>
      </c>
      <c r="F690" s="17" t="n">
        <v>215</v>
      </c>
      <c r="G690" s="17" t="inlineStr">
        <is>
          <t>Hyderabad</t>
        </is>
      </c>
      <c r="H690" s="17" t="inlineStr">
        <is>
          <t>Biryani</t>
        </is>
      </c>
      <c r="I690" s="22" t="n">
        <v>234</v>
      </c>
      <c r="J690" s="22" t="n">
        <v>8.15</v>
      </c>
      <c r="K690" s="22" t="n">
        <v>38</v>
      </c>
      <c r="L690" s="23" t="n">
        <v>0.22</v>
      </c>
      <c r="M690" s="22" t="n">
        <v>60.98</v>
      </c>
      <c r="N690" s="24" t="n">
        <v>5.6</v>
      </c>
      <c r="O690" s="24" t="n">
        <v>53.7</v>
      </c>
      <c r="P690" s="17" t="inlineStr">
        <is>
          <t>Cash on Delivery</t>
        </is>
      </c>
      <c r="Q690" s="17" t="inlineStr">
        <is>
          <t>Delivered</t>
        </is>
      </c>
      <c r="R690" s="17" t="n">
        <v>1</v>
      </c>
      <c r="S690" s="17">
        <f>TEXT(B690,"yyyy-mm")</f>
        <v/>
      </c>
      <c r="T690" s="17">
        <f>VLOOKUP(D690,Customers!A:D,4,FALSE)</f>
        <v/>
      </c>
      <c r="U690" s="17">
        <f>CONCATENATE(A690,"-",G690)</f>
        <v/>
      </c>
      <c r="V690" s="17">
        <f>IF(N690="","",IF(N690&lt;=30,"Fast (&lt;30m)",IF(N690&lt;=45,"Moderate (30-45m)","Delayed (&gt;45m)")))</f>
        <v/>
      </c>
      <c r="W690" s="17">
        <f>IF(AND(I690&gt;600,P690="Delivered"),"High Value Delivered","Standard")</f>
        <v/>
      </c>
      <c r="X690" s="17">
        <f>IF(OR(N690&gt;50,Q690&lt;=2),"High Risk / Delayed","Normal")</f>
        <v/>
      </c>
      <c r="Y690" s="17">
        <f>IF(NOT(P690="Cancelled"),"Fulfilled","Cancelled")</f>
        <v/>
      </c>
      <c r="Z690" s="17">
        <f>IFERROR(Q690,0)</f>
        <v/>
      </c>
    </row>
    <row r="691">
      <c r="A691" s="25" t="inlineStr">
        <is>
          <t>ORD1690</t>
        </is>
      </c>
      <c r="B691" s="25" t="inlineStr">
        <is>
          <t>2025-04-15</t>
        </is>
      </c>
      <c r="C691" s="25" t="inlineStr">
        <is>
          <t>21:12:55</t>
        </is>
      </c>
      <c r="D691" s="25" t="n">
        <v>1246</v>
      </c>
      <c r="E691" s="25" t="n">
        <v>106</v>
      </c>
      <c r="F691" s="25" t="n">
        <v>224</v>
      </c>
      <c r="G691" s="25" t="inlineStr">
        <is>
          <t>Pune</t>
        </is>
      </c>
      <c r="H691" s="25" t="inlineStr">
        <is>
          <t>South Indian</t>
        </is>
      </c>
      <c r="I691" s="26" t="n">
        <v>665</v>
      </c>
      <c r="J691" s="26" t="n">
        <v>116.14</v>
      </c>
      <c r="K691" s="26" t="n">
        <v>0</v>
      </c>
      <c r="L691" s="27" t="n">
        <v>0.15</v>
      </c>
      <c r="M691" s="26" t="n">
        <v>99.75</v>
      </c>
      <c r="N691" s="28" t="n">
        <v>2.4</v>
      </c>
      <c r="O691" s="28" t="n">
        <v>27.9</v>
      </c>
      <c r="P691" s="25" t="inlineStr">
        <is>
          <t>Cash on Delivery</t>
        </is>
      </c>
      <c r="Q691" s="25" t="inlineStr">
        <is>
          <t>Delivered</t>
        </is>
      </c>
      <c r="R691" s="25" t="n">
        <v>5</v>
      </c>
      <c r="S691" s="25">
        <f>TEXT(B691,"yyyy-mm")</f>
        <v/>
      </c>
      <c r="T691" s="25">
        <f>VLOOKUP(D691,Customers!A:D,4,FALSE)</f>
        <v/>
      </c>
      <c r="U691" s="25">
        <f>CONCATENATE(A691,"-",G691)</f>
        <v/>
      </c>
      <c r="V691" s="25">
        <f>IF(N691="","",IF(N691&lt;=30,"Fast (&lt;30m)",IF(N691&lt;=45,"Moderate (30-45m)","Delayed (&gt;45m)")))</f>
        <v/>
      </c>
      <c r="W691" s="25">
        <f>IF(AND(I691&gt;600,P691="Delivered"),"High Value Delivered","Standard")</f>
        <v/>
      </c>
      <c r="X691" s="25">
        <f>IF(OR(N691&gt;50,Q691&lt;=2),"High Risk / Delayed","Normal")</f>
        <v/>
      </c>
      <c r="Y691" s="25">
        <f>IF(NOT(P691="Cancelled"),"Fulfilled","Cancelled")</f>
        <v/>
      </c>
      <c r="Z691" s="25">
        <f>IFERROR(Q691,0)</f>
        <v/>
      </c>
    </row>
    <row r="692">
      <c r="A692" s="17" t="inlineStr">
        <is>
          <t>ORD1691</t>
        </is>
      </c>
      <c r="B692" s="17" t="inlineStr">
        <is>
          <t>2025-05-25</t>
        </is>
      </c>
      <c r="C692" s="17" t="inlineStr">
        <is>
          <t>20:46:43</t>
        </is>
      </c>
      <c r="D692" s="17" t="n">
        <v>1079</v>
      </c>
      <c r="E692" s="17" t="n">
        <v>115</v>
      </c>
      <c r="F692" s="17" t="n">
        <v>203</v>
      </c>
      <c r="G692" s="17" t="inlineStr">
        <is>
          <t>Bangalore</t>
        </is>
      </c>
      <c r="H692" s="17" t="inlineStr">
        <is>
          <t>Italian</t>
        </is>
      </c>
      <c r="I692" s="22" t="n">
        <v>413</v>
      </c>
      <c r="J692" s="22" t="n">
        <v>0</v>
      </c>
      <c r="K692" s="22" t="n">
        <v>40.5</v>
      </c>
      <c r="L692" s="23" t="n">
        <v>0.2</v>
      </c>
      <c r="M692" s="22" t="n">
        <v>92.72</v>
      </c>
      <c r="N692" s="24" t="n">
        <v>6.1</v>
      </c>
      <c r="O692" s="24" t="n">
        <v>42</v>
      </c>
      <c r="P692" s="17" t="inlineStr">
        <is>
          <t>Credit Card</t>
        </is>
      </c>
      <c r="Q692" s="17" t="inlineStr">
        <is>
          <t>Delivered</t>
        </is>
      </c>
      <c r="R692" s="17" t="n">
        <v>3</v>
      </c>
      <c r="S692" s="17">
        <f>TEXT(B692,"yyyy-mm")</f>
        <v/>
      </c>
      <c r="T692" s="17">
        <f>VLOOKUP(D692,Customers!A:D,4,FALSE)</f>
        <v/>
      </c>
      <c r="U692" s="17">
        <f>CONCATENATE(A692,"-",G692)</f>
        <v/>
      </c>
      <c r="V692" s="17">
        <f>IF(N692="","",IF(N692&lt;=30,"Fast (&lt;30m)",IF(N692&lt;=45,"Moderate (30-45m)","Delayed (&gt;45m)")))</f>
        <v/>
      </c>
      <c r="W692" s="17">
        <f>IF(AND(I692&gt;600,P692="Delivered"),"High Value Delivered","Standard")</f>
        <v/>
      </c>
      <c r="X692" s="17">
        <f>IF(OR(N692&gt;50,Q692&lt;=2),"High Risk / Delayed","Normal")</f>
        <v/>
      </c>
      <c r="Y692" s="17">
        <f>IF(NOT(P692="Cancelled"),"Fulfilled","Cancelled")</f>
        <v/>
      </c>
      <c r="Z692" s="17">
        <f>IFERROR(Q692,0)</f>
        <v/>
      </c>
    </row>
    <row r="693">
      <c r="A693" s="25" t="inlineStr">
        <is>
          <t>ORD1692</t>
        </is>
      </c>
      <c r="B693" s="25" t="inlineStr">
        <is>
          <t>2025-05-15</t>
        </is>
      </c>
      <c r="C693" s="25" t="inlineStr">
        <is>
          <t>21:15:39</t>
        </is>
      </c>
      <c r="D693" s="25" t="n">
        <v>1127</v>
      </c>
      <c r="E693" s="25" t="n">
        <v>104</v>
      </c>
      <c r="F693" s="25" t="n">
        <v>211</v>
      </c>
      <c r="G693" s="25" t="inlineStr">
        <is>
          <t>Delhi NCR</t>
        </is>
      </c>
      <c r="H693" s="25" t="inlineStr">
        <is>
          <t>Fast Food</t>
        </is>
      </c>
      <c r="I693" s="26" t="n">
        <v>681</v>
      </c>
      <c r="J693" s="26" t="n">
        <v>77.3</v>
      </c>
      <c r="K693" s="26" t="n">
        <v>28.5</v>
      </c>
      <c r="L693" s="27" t="n">
        <v>0.18</v>
      </c>
      <c r="M693" s="26" t="n">
        <v>129.7</v>
      </c>
      <c r="N693" s="28" t="n">
        <v>3.7</v>
      </c>
      <c r="O693" s="28" t="n">
        <v>54.4</v>
      </c>
      <c r="P693" s="25" t="inlineStr">
        <is>
          <t>Cash on Delivery</t>
        </is>
      </c>
      <c r="Q693" s="25" t="inlineStr">
        <is>
          <t>Delivered</t>
        </is>
      </c>
      <c r="R693" s="25" t="n">
        <v>4</v>
      </c>
      <c r="S693" s="25">
        <f>TEXT(B693,"yyyy-mm")</f>
        <v/>
      </c>
      <c r="T693" s="25">
        <f>VLOOKUP(D693,Customers!A:D,4,FALSE)</f>
        <v/>
      </c>
      <c r="U693" s="25">
        <f>CONCATENATE(A693,"-",G693)</f>
        <v/>
      </c>
      <c r="V693" s="25">
        <f>IF(N693="","",IF(N693&lt;=30,"Fast (&lt;30m)",IF(N693&lt;=45,"Moderate (30-45m)","Delayed (&gt;45m)")))</f>
        <v/>
      </c>
      <c r="W693" s="25">
        <f>IF(AND(I693&gt;600,P693="Delivered"),"High Value Delivered","Standard")</f>
        <v/>
      </c>
      <c r="X693" s="25">
        <f>IF(OR(N693&gt;50,Q693&lt;=2),"High Risk / Delayed","Normal")</f>
        <v/>
      </c>
      <c r="Y693" s="25">
        <f>IF(NOT(P693="Cancelled"),"Fulfilled","Cancelled")</f>
        <v/>
      </c>
      <c r="Z693" s="25">
        <f>IFERROR(Q693,0)</f>
        <v/>
      </c>
    </row>
    <row r="694">
      <c r="A694" s="17" t="inlineStr">
        <is>
          <t>ORD1693</t>
        </is>
      </c>
      <c r="B694" s="17" t="inlineStr">
        <is>
          <t>2025-08-29</t>
        </is>
      </c>
      <c r="C694" s="17" t="inlineStr">
        <is>
          <t>22:08:55</t>
        </is>
      </c>
      <c r="D694" s="17" t="n">
        <v>1144</v>
      </c>
      <c r="E694" s="17" t="n">
        <v>101</v>
      </c>
      <c r="F694" s="17" t="n">
        <v>220</v>
      </c>
      <c r="G694" s="17" t="inlineStr">
        <is>
          <t>Bangalore</t>
        </is>
      </c>
      <c r="H694" s="17" t="inlineStr">
        <is>
          <t>North Indian</t>
        </is>
      </c>
      <c r="I694" s="22" t="n">
        <v>551</v>
      </c>
      <c r="J694" s="22" t="n">
        <v>17.52</v>
      </c>
      <c r="K694" s="22" t="n">
        <v>25</v>
      </c>
      <c r="L694" s="23" t="n">
        <v>0.2</v>
      </c>
      <c r="M694" s="22" t="n">
        <v>116.45</v>
      </c>
      <c r="N694" s="24" t="n">
        <v>2.7</v>
      </c>
      <c r="O694" s="24" t="n">
        <v>25</v>
      </c>
      <c r="P694" s="17" t="inlineStr">
        <is>
          <t>Cash on Delivery</t>
        </is>
      </c>
      <c r="Q694" s="17" t="inlineStr">
        <is>
          <t>Delivered</t>
        </is>
      </c>
      <c r="R694" s="17" t="n">
        <v>4</v>
      </c>
      <c r="S694" s="17">
        <f>TEXT(B694,"yyyy-mm")</f>
        <v/>
      </c>
      <c r="T694" s="17">
        <f>VLOOKUP(D694,Customers!A:D,4,FALSE)</f>
        <v/>
      </c>
      <c r="U694" s="17">
        <f>CONCATENATE(A694,"-",G694)</f>
        <v/>
      </c>
      <c r="V694" s="17">
        <f>IF(N694="","",IF(N694&lt;=30,"Fast (&lt;30m)",IF(N694&lt;=45,"Moderate (30-45m)","Delayed (&gt;45m)")))</f>
        <v/>
      </c>
      <c r="W694" s="17">
        <f>IF(AND(I694&gt;600,P694="Delivered"),"High Value Delivered","Standard")</f>
        <v/>
      </c>
      <c r="X694" s="17">
        <f>IF(OR(N694&gt;50,Q694&lt;=2),"High Risk / Delayed","Normal")</f>
        <v/>
      </c>
      <c r="Y694" s="17">
        <f>IF(NOT(P694="Cancelled"),"Fulfilled","Cancelled")</f>
        <v/>
      </c>
      <c r="Z694" s="17">
        <f>IFERROR(Q694,0)</f>
        <v/>
      </c>
    </row>
    <row r="695">
      <c r="A695" s="25" t="inlineStr">
        <is>
          <t>ORD1694</t>
        </is>
      </c>
      <c r="B695" s="25" t="inlineStr">
        <is>
          <t>2025-02-18</t>
        </is>
      </c>
      <c r="C695" s="25" t="inlineStr">
        <is>
          <t>20:35:03</t>
        </is>
      </c>
      <c r="D695" s="25" t="n">
        <v>1163</v>
      </c>
      <c r="E695" s="25" t="n">
        <v>103</v>
      </c>
      <c r="F695" s="25" t="n">
        <v>202</v>
      </c>
      <c r="G695" s="25" t="inlineStr">
        <is>
          <t>Mumbai</t>
        </is>
      </c>
      <c r="H695" s="25" t="inlineStr">
        <is>
          <t>Italian</t>
        </is>
      </c>
      <c r="I695" s="26" t="n">
        <v>273</v>
      </c>
      <c r="J695" s="26" t="n">
        <v>20.01</v>
      </c>
      <c r="K695" s="26" t="n">
        <v>25</v>
      </c>
      <c r="L695" s="27" t="n">
        <v>0.18</v>
      </c>
      <c r="M695" s="26" t="n">
        <v>55.39</v>
      </c>
      <c r="N695" s="28" t="n">
        <v>2.5</v>
      </c>
      <c r="O695" s="28" t="n">
        <v>24</v>
      </c>
      <c r="P695" s="25" t="inlineStr">
        <is>
          <t>Debit Card</t>
        </is>
      </c>
      <c r="Q695" s="25" t="inlineStr">
        <is>
          <t>Delivered</t>
        </is>
      </c>
      <c r="R695" s="25" t="n">
        <v>3</v>
      </c>
      <c r="S695" s="25">
        <f>TEXT(B695,"yyyy-mm")</f>
        <v/>
      </c>
      <c r="T695" s="25">
        <f>VLOOKUP(D695,Customers!A:D,4,FALSE)</f>
        <v/>
      </c>
      <c r="U695" s="25">
        <f>CONCATENATE(A695,"-",G695)</f>
        <v/>
      </c>
      <c r="V695" s="25">
        <f>IF(N695="","",IF(N695&lt;=30,"Fast (&lt;30m)",IF(N695&lt;=45,"Moderate (30-45m)","Delayed (&gt;45m)")))</f>
        <v/>
      </c>
      <c r="W695" s="25">
        <f>IF(AND(I695&gt;600,P695="Delivered"),"High Value Delivered","Standard")</f>
        <v/>
      </c>
      <c r="X695" s="25">
        <f>IF(OR(N695&gt;50,Q695&lt;=2),"High Risk / Delayed","Normal")</f>
        <v/>
      </c>
      <c r="Y695" s="25">
        <f>IF(NOT(P695="Cancelled"),"Fulfilled","Cancelled")</f>
        <v/>
      </c>
      <c r="Z695" s="25">
        <f>IFERROR(Q695,0)</f>
        <v/>
      </c>
    </row>
    <row r="696">
      <c r="A696" s="17" t="inlineStr">
        <is>
          <t>ORD1695</t>
        </is>
      </c>
      <c r="B696" s="17" t="inlineStr">
        <is>
          <t>2025-09-16</t>
        </is>
      </c>
      <c r="C696" s="17" t="inlineStr">
        <is>
          <t>13:39:24</t>
        </is>
      </c>
      <c r="D696" s="17" t="n">
        <v>1120</v>
      </c>
      <c r="E696" s="17" t="n">
        <v>110</v>
      </c>
      <c r="F696" s="17" t="n">
        <v>209</v>
      </c>
      <c r="G696" s="17" t="inlineStr">
        <is>
          <t>Pune</t>
        </is>
      </c>
      <c r="H696" s="17" t="inlineStr">
        <is>
          <t>North Indian</t>
        </is>
      </c>
      <c r="I696" s="22" t="n">
        <v>529</v>
      </c>
      <c r="J696" s="22" t="n">
        <v>28.41</v>
      </c>
      <c r="K696" s="22" t="n">
        <v>32.5</v>
      </c>
      <c r="L696" s="23" t="n">
        <v>0.18</v>
      </c>
      <c r="M696" s="22" t="n">
        <v>103.34</v>
      </c>
      <c r="N696" s="24" t="n">
        <v>4.5</v>
      </c>
      <c r="O696" s="24" t="n">
        <v>32.5</v>
      </c>
      <c r="P696" s="17" t="inlineStr">
        <is>
          <t>Digital Wallet</t>
        </is>
      </c>
      <c r="Q696" s="17" t="inlineStr">
        <is>
          <t>Delivered</t>
        </is>
      </c>
      <c r="R696" s="17" t="n">
        <v>3</v>
      </c>
      <c r="S696" s="17">
        <f>TEXT(B696,"yyyy-mm")</f>
        <v/>
      </c>
      <c r="T696" s="17">
        <f>VLOOKUP(D696,Customers!A:D,4,FALSE)</f>
        <v/>
      </c>
      <c r="U696" s="17">
        <f>CONCATENATE(A696,"-",G696)</f>
        <v/>
      </c>
      <c r="V696" s="17">
        <f>IF(N696="","",IF(N696&lt;=30,"Fast (&lt;30m)",IF(N696&lt;=45,"Moderate (30-45m)","Delayed (&gt;45m)")))</f>
        <v/>
      </c>
      <c r="W696" s="17">
        <f>IF(AND(I696&gt;600,P696="Delivered"),"High Value Delivered","Standard")</f>
        <v/>
      </c>
      <c r="X696" s="17">
        <f>IF(OR(N696&gt;50,Q696&lt;=2),"High Risk / Delayed","Normal")</f>
        <v/>
      </c>
      <c r="Y696" s="17">
        <f>IF(NOT(P696="Cancelled"),"Fulfilled","Cancelled")</f>
        <v/>
      </c>
      <c r="Z696" s="17">
        <f>IFERROR(Q696,0)</f>
        <v/>
      </c>
    </row>
    <row r="697">
      <c r="A697" s="25" t="inlineStr">
        <is>
          <t>ORD1696</t>
        </is>
      </c>
      <c r="B697" s="25" t="inlineStr">
        <is>
          <t>2025-05-14</t>
        </is>
      </c>
      <c r="C697" s="25" t="inlineStr">
        <is>
          <t>20:10:32</t>
        </is>
      </c>
      <c r="D697" s="25" t="n">
        <v>1220</v>
      </c>
      <c r="E697" s="25" t="n">
        <v>114</v>
      </c>
      <c r="F697" s="25" t="n">
        <v>216</v>
      </c>
      <c r="G697" s="25" t="inlineStr">
        <is>
          <t>Hyderabad</t>
        </is>
      </c>
      <c r="H697" s="25" t="inlineStr">
        <is>
          <t>Biryani</t>
        </is>
      </c>
      <c r="I697" s="26" t="n">
        <v>724</v>
      </c>
      <c r="J697" s="26" t="n">
        <v>83.34999999999999</v>
      </c>
      <c r="K697" s="26" t="n">
        <v>36</v>
      </c>
      <c r="L697" s="27" t="n">
        <v>0.22</v>
      </c>
      <c r="M697" s="26" t="n">
        <v>168.28</v>
      </c>
      <c r="N697" s="28" t="n">
        <v>5.2</v>
      </c>
      <c r="O697" s="28" t="n">
        <v>41.3</v>
      </c>
      <c r="P697" s="25" t="inlineStr">
        <is>
          <t>Credit Card</t>
        </is>
      </c>
      <c r="Q697" s="25" t="inlineStr">
        <is>
          <t>Delivered</t>
        </is>
      </c>
      <c r="R697" s="25" t="n">
        <v>2</v>
      </c>
      <c r="S697" s="25">
        <f>TEXT(B697,"yyyy-mm")</f>
        <v/>
      </c>
      <c r="T697" s="25">
        <f>VLOOKUP(D697,Customers!A:D,4,FALSE)</f>
        <v/>
      </c>
      <c r="U697" s="25">
        <f>CONCATENATE(A697,"-",G697)</f>
        <v/>
      </c>
      <c r="V697" s="25">
        <f>IF(N697="","",IF(N697&lt;=30,"Fast (&lt;30m)",IF(N697&lt;=45,"Moderate (30-45m)","Delayed (&gt;45m)")))</f>
        <v/>
      </c>
      <c r="W697" s="25">
        <f>IF(AND(I697&gt;600,P697="Delivered"),"High Value Delivered","Standard")</f>
        <v/>
      </c>
      <c r="X697" s="25">
        <f>IF(OR(N697&gt;50,Q697&lt;=2),"High Risk / Delayed","Normal")</f>
        <v/>
      </c>
      <c r="Y697" s="25">
        <f>IF(NOT(P697="Cancelled"),"Fulfilled","Cancelled")</f>
        <v/>
      </c>
      <c r="Z697" s="25">
        <f>IFERROR(Q697,0)</f>
        <v/>
      </c>
    </row>
    <row r="698">
      <c r="A698" s="17" t="inlineStr">
        <is>
          <t>ORD1697</t>
        </is>
      </c>
      <c r="B698" s="17" t="inlineStr">
        <is>
          <t>2025-12-30</t>
        </is>
      </c>
      <c r="C698" s="17" t="inlineStr">
        <is>
          <t>22:33:27</t>
        </is>
      </c>
      <c r="D698" s="17" t="n">
        <v>1134</v>
      </c>
      <c r="E698" s="17" t="n">
        <v>114</v>
      </c>
      <c r="F698" s="17" t="n">
        <v>215</v>
      </c>
      <c r="G698" s="17" t="inlineStr">
        <is>
          <t>Hyderabad</t>
        </is>
      </c>
      <c r="H698" s="17" t="inlineStr">
        <is>
          <t>Biryani</t>
        </is>
      </c>
      <c r="I698" s="22" t="n">
        <v>365</v>
      </c>
      <c r="J698" s="22" t="n">
        <v>0</v>
      </c>
      <c r="K698" s="22" t="n">
        <v>25</v>
      </c>
      <c r="L698" s="23" t="n">
        <v>0.22</v>
      </c>
      <c r="M698" s="22" t="n">
        <v>86.55</v>
      </c>
      <c r="N698" s="24" t="n">
        <v>2.8</v>
      </c>
      <c r="O698" s="24" t="n">
        <v>26.5</v>
      </c>
      <c r="P698" s="17" t="inlineStr">
        <is>
          <t>Credit Card</t>
        </is>
      </c>
      <c r="Q698" s="17" t="inlineStr">
        <is>
          <t>Delivered</t>
        </is>
      </c>
      <c r="R698" s="17" t="n">
        <v>5</v>
      </c>
      <c r="S698" s="17">
        <f>TEXT(B698,"yyyy-mm")</f>
        <v/>
      </c>
      <c r="T698" s="17">
        <f>VLOOKUP(D698,Customers!A:D,4,FALSE)</f>
        <v/>
      </c>
      <c r="U698" s="17">
        <f>CONCATENATE(A698,"-",G698)</f>
        <v/>
      </c>
      <c r="V698" s="17">
        <f>IF(N698="","",IF(N698&lt;=30,"Fast (&lt;30m)",IF(N698&lt;=45,"Moderate (30-45m)","Delayed (&gt;45m)")))</f>
        <v/>
      </c>
      <c r="W698" s="17">
        <f>IF(AND(I698&gt;600,P698="Delivered"),"High Value Delivered","Standard")</f>
        <v/>
      </c>
      <c r="X698" s="17">
        <f>IF(OR(N698&gt;50,Q698&lt;=2),"High Risk / Delayed","Normal")</f>
        <v/>
      </c>
      <c r="Y698" s="17">
        <f>IF(NOT(P698="Cancelled"),"Fulfilled","Cancelled")</f>
        <v/>
      </c>
      <c r="Z698" s="17">
        <f>IFERROR(Q698,0)</f>
        <v/>
      </c>
    </row>
    <row r="699">
      <c r="A699" s="25" t="inlineStr">
        <is>
          <t>ORD1698</t>
        </is>
      </c>
      <c r="B699" s="25" t="inlineStr">
        <is>
          <t>2025-08-09</t>
        </is>
      </c>
      <c r="C699" s="25" t="inlineStr">
        <is>
          <t>15:18:57</t>
        </is>
      </c>
      <c r="D699" s="25" t="n">
        <v>1052</v>
      </c>
      <c r="E699" s="25" t="n">
        <v>114</v>
      </c>
      <c r="F699" s="25" t="n">
        <v>225</v>
      </c>
      <c r="G699" s="25" t="inlineStr">
        <is>
          <t>Hyderabad</t>
        </is>
      </c>
      <c r="H699" s="25" t="inlineStr">
        <is>
          <t>Biryani</t>
        </is>
      </c>
      <c r="I699" s="26" t="n">
        <v>489</v>
      </c>
      <c r="J699" s="26" t="n">
        <v>45.43</v>
      </c>
      <c r="K699" s="26" t="n">
        <v>25.5</v>
      </c>
      <c r="L699" s="27" t="n">
        <v>0.22</v>
      </c>
      <c r="M699" s="26" t="n">
        <v>113.96</v>
      </c>
      <c r="N699" s="28" t="n">
        <v>3.1</v>
      </c>
      <c r="O699" s="28" t="n">
        <v>44.4</v>
      </c>
      <c r="P699" s="25" t="inlineStr">
        <is>
          <t>Debit Card</t>
        </is>
      </c>
      <c r="Q699" s="25" t="inlineStr">
        <is>
          <t>Delivered</t>
        </is>
      </c>
      <c r="R699" s="25" t="n">
        <v>1</v>
      </c>
      <c r="S699" s="25">
        <f>TEXT(B699,"yyyy-mm")</f>
        <v/>
      </c>
      <c r="T699" s="25">
        <f>VLOOKUP(D699,Customers!A:D,4,FALSE)</f>
        <v/>
      </c>
      <c r="U699" s="25">
        <f>CONCATENATE(A699,"-",G699)</f>
        <v/>
      </c>
      <c r="V699" s="25">
        <f>IF(N699="","",IF(N699&lt;=30,"Fast (&lt;30m)",IF(N699&lt;=45,"Moderate (30-45m)","Delayed (&gt;45m)")))</f>
        <v/>
      </c>
      <c r="W699" s="25">
        <f>IF(AND(I699&gt;600,P699="Delivered"),"High Value Delivered","Standard")</f>
        <v/>
      </c>
      <c r="X699" s="25">
        <f>IF(OR(N699&gt;50,Q699&lt;=2),"High Risk / Delayed","Normal")</f>
        <v/>
      </c>
      <c r="Y699" s="25">
        <f>IF(NOT(P699="Cancelled"),"Fulfilled","Cancelled")</f>
        <v/>
      </c>
      <c r="Z699" s="25">
        <f>IFERROR(Q699,0)</f>
        <v/>
      </c>
    </row>
    <row r="700">
      <c r="A700" s="17" t="inlineStr">
        <is>
          <t>ORD1699</t>
        </is>
      </c>
      <c r="B700" s="17" t="inlineStr">
        <is>
          <t>2025-06-11</t>
        </is>
      </c>
      <c r="C700" s="17" t="inlineStr">
        <is>
          <t>06:47:31</t>
        </is>
      </c>
      <c r="D700" s="17" t="n">
        <v>1228</v>
      </c>
      <c r="E700" s="17" t="n">
        <v>109</v>
      </c>
      <c r="F700" s="17" t="n">
        <v>225</v>
      </c>
      <c r="G700" s="17" t="inlineStr">
        <is>
          <t>Hyderabad</t>
        </is>
      </c>
      <c r="H700" s="17" t="inlineStr">
        <is>
          <t>Biryani</t>
        </is>
      </c>
      <c r="I700" s="22" t="n">
        <v>374</v>
      </c>
      <c r="J700" s="22" t="n">
        <v>27.61</v>
      </c>
      <c r="K700" s="22" t="n">
        <v>39</v>
      </c>
      <c r="L700" s="23" t="n">
        <v>0.2</v>
      </c>
      <c r="M700" s="22" t="n">
        <v>84.55</v>
      </c>
      <c r="N700" s="24" t="n">
        <v>5.8</v>
      </c>
      <c r="O700" s="24" t="n">
        <v>35.7</v>
      </c>
      <c r="P700" s="17" t="inlineStr">
        <is>
          <t>Cash on Delivery</t>
        </is>
      </c>
      <c r="Q700" s="17" t="inlineStr">
        <is>
          <t>Delivered</t>
        </is>
      </c>
      <c r="R700" s="17" t="n">
        <v>5</v>
      </c>
      <c r="S700" s="17">
        <f>TEXT(B700,"yyyy-mm")</f>
        <v/>
      </c>
      <c r="T700" s="17">
        <f>VLOOKUP(D700,Customers!A:D,4,FALSE)</f>
        <v/>
      </c>
      <c r="U700" s="17">
        <f>CONCATENATE(A700,"-",G700)</f>
        <v/>
      </c>
      <c r="V700" s="17">
        <f>IF(N700="","",IF(N700&lt;=30,"Fast (&lt;30m)",IF(N700&lt;=45,"Moderate (30-45m)","Delayed (&gt;45m)")))</f>
        <v/>
      </c>
      <c r="W700" s="17">
        <f>IF(AND(I700&gt;600,P700="Delivered"),"High Value Delivered","Standard")</f>
        <v/>
      </c>
      <c r="X700" s="17">
        <f>IF(OR(N700&gt;50,Q700&lt;=2),"High Risk / Delayed","Normal")</f>
        <v/>
      </c>
      <c r="Y700" s="17">
        <f>IF(NOT(P700="Cancelled"),"Fulfilled","Cancelled")</f>
        <v/>
      </c>
      <c r="Z700" s="17">
        <f>IFERROR(Q700,0)</f>
        <v/>
      </c>
    </row>
    <row r="701">
      <c r="A701" s="25" t="inlineStr">
        <is>
          <t>ORD1700</t>
        </is>
      </c>
      <c r="B701" s="25" t="inlineStr">
        <is>
          <t>2025-03-18</t>
        </is>
      </c>
      <c r="C701" s="25" t="inlineStr">
        <is>
          <t>19:03:14</t>
        </is>
      </c>
      <c r="D701" s="25" t="n">
        <v>1212</v>
      </c>
      <c r="E701" s="25" t="n">
        <v>102</v>
      </c>
      <c r="F701" s="25" t="n">
        <v>225</v>
      </c>
      <c r="G701" s="25" t="inlineStr">
        <is>
          <t>Hyderabad</t>
        </is>
      </c>
      <c r="H701" s="25" t="inlineStr">
        <is>
          <t>Biryani</t>
        </is>
      </c>
      <c r="I701" s="26" t="n">
        <v>407</v>
      </c>
      <c r="J701" s="26" t="n">
        <v>21.37</v>
      </c>
      <c r="K701" s="26" t="n">
        <v>29.5</v>
      </c>
      <c r="L701" s="27" t="n">
        <v>0.22</v>
      </c>
      <c r="M701" s="26" t="n">
        <v>96.92</v>
      </c>
      <c r="N701" s="28" t="n">
        <v>3.9</v>
      </c>
      <c r="O701" s="28" t="n">
        <v>32.1</v>
      </c>
      <c r="P701" s="25" t="inlineStr">
        <is>
          <t>Cash on Delivery</t>
        </is>
      </c>
      <c r="Q701" s="25" t="inlineStr">
        <is>
          <t>Delivered</t>
        </is>
      </c>
      <c r="R701" s="25" t="n">
        <v>5</v>
      </c>
      <c r="S701" s="25">
        <f>TEXT(B701,"yyyy-mm")</f>
        <v/>
      </c>
      <c r="T701" s="25">
        <f>VLOOKUP(D701,Customers!A:D,4,FALSE)</f>
        <v/>
      </c>
      <c r="U701" s="25">
        <f>CONCATENATE(A701,"-",G701)</f>
        <v/>
      </c>
      <c r="V701" s="25">
        <f>IF(N701="","",IF(N701&lt;=30,"Fast (&lt;30m)",IF(N701&lt;=45,"Moderate (30-45m)","Delayed (&gt;45m)")))</f>
        <v/>
      </c>
      <c r="W701" s="25">
        <f>IF(AND(I701&gt;600,P701="Delivered"),"High Value Delivered","Standard")</f>
        <v/>
      </c>
      <c r="X701" s="25">
        <f>IF(OR(N701&gt;50,Q701&lt;=2),"High Risk / Delayed","Normal")</f>
        <v/>
      </c>
      <c r="Y701" s="25">
        <f>IF(NOT(P701="Cancelled"),"Fulfilled","Cancelled")</f>
        <v/>
      </c>
      <c r="Z701" s="25">
        <f>IFERROR(Q701,0)</f>
        <v/>
      </c>
    </row>
    <row r="702">
      <c r="A702" s="17" t="inlineStr">
        <is>
          <t>ORD1701</t>
        </is>
      </c>
      <c r="B702" s="17" t="inlineStr">
        <is>
          <t>2025-01-21</t>
        </is>
      </c>
      <c r="C702" s="17" t="inlineStr">
        <is>
          <t>19:28:22</t>
        </is>
      </c>
      <c r="D702" s="17" t="n">
        <v>1056</v>
      </c>
      <c r="E702" s="17" t="n">
        <v>102</v>
      </c>
      <c r="F702" s="17" t="n">
        <v>215</v>
      </c>
      <c r="G702" s="17" t="inlineStr">
        <is>
          <t>Hyderabad</t>
        </is>
      </c>
      <c r="H702" s="17" t="inlineStr">
        <is>
          <t>Biryani</t>
        </is>
      </c>
      <c r="I702" s="22" t="n">
        <v>1189</v>
      </c>
      <c r="J702" s="22" t="n">
        <v>176.59</v>
      </c>
      <c r="K702" s="22" t="n">
        <v>0</v>
      </c>
      <c r="L702" s="23" t="n">
        <v>0.22</v>
      </c>
      <c r="M702" s="22" t="n">
        <v>261.58</v>
      </c>
      <c r="N702" s="24" t="n">
        <v>4.6</v>
      </c>
      <c r="O702" s="24" t="n">
        <v>46.7</v>
      </c>
      <c r="P702" s="17" t="inlineStr">
        <is>
          <t>Credit Card</t>
        </is>
      </c>
      <c r="Q702" s="17" t="inlineStr">
        <is>
          <t>Delivered</t>
        </is>
      </c>
      <c r="R702" s="17" t="n">
        <v>3</v>
      </c>
      <c r="S702" s="17">
        <f>TEXT(B702,"yyyy-mm")</f>
        <v/>
      </c>
      <c r="T702" s="17">
        <f>VLOOKUP(D702,Customers!A:D,4,FALSE)</f>
        <v/>
      </c>
      <c r="U702" s="17">
        <f>CONCATENATE(A702,"-",G702)</f>
        <v/>
      </c>
      <c r="V702" s="17">
        <f>IF(N702="","",IF(N702&lt;=30,"Fast (&lt;30m)",IF(N702&lt;=45,"Moderate (30-45m)","Delayed (&gt;45m)")))</f>
        <v/>
      </c>
      <c r="W702" s="17">
        <f>IF(AND(I702&gt;600,P702="Delivered"),"High Value Delivered","Standard")</f>
        <v/>
      </c>
      <c r="X702" s="17">
        <f>IF(OR(N702&gt;50,Q702&lt;=2),"High Risk / Delayed","Normal")</f>
        <v/>
      </c>
      <c r="Y702" s="17">
        <f>IF(NOT(P702="Cancelled"),"Fulfilled","Cancelled")</f>
        <v/>
      </c>
      <c r="Z702" s="17">
        <f>IFERROR(Q702,0)</f>
        <v/>
      </c>
    </row>
    <row r="703">
      <c r="A703" s="25" t="inlineStr">
        <is>
          <t>ORD1702</t>
        </is>
      </c>
      <c r="B703" s="25" t="inlineStr">
        <is>
          <t>2025-02-17</t>
        </is>
      </c>
      <c r="C703" s="25" t="inlineStr">
        <is>
          <t>12:13:55</t>
        </is>
      </c>
      <c r="D703" s="25" t="n">
        <v>1231</v>
      </c>
      <c r="E703" s="25" t="n">
        <v>111</v>
      </c>
      <c r="F703" s="25" t="n">
        <v>205</v>
      </c>
      <c r="G703" s="25" t="inlineStr">
        <is>
          <t>Bangalore</t>
        </is>
      </c>
      <c r="H703" s="25" t="inlineStr">
        <is>
          <t>South Indian</t>
        </is>
      </c>
      <c r="I703" s="26" t="n">
        <v>510</v>
      </c>
      <c r="J703" s="26" t="n">
        <v>31.95</v>
      </c>
      <c r="K703" s="26" t="n">
        <v>27.5</v>
      </c>
      <c r="L703" s="27" t="n">
        <v>0.15</v>
      </c>
      <c r="M703" s="26" t="n">
        <v>83.38</v>
      </c>
      <c r="N703" s="28" t="n">
        <v>3.5</v>
      </c>
      <c r="O703" s="28" t="n">
        <v>27.9</v>
      </c>
      <c r="P703" s="25" t="inlineStr">
        <is>
          <t>Digital Wallet</t>
        </is>
      </c>
      <c r="Q703" s="25" t="inlineStr">
        <is>
          <t>Delivered</t>
        </is>
      </c>
      <c r="R703" s="25" t="n">
        <v>5</v>
      </c>
      <c r="S703" s="25">
        <f>TEXT(B703,"yyyy-mm")</f>
        <v/>
      </c>
      <c r="T703" s="25">
        <f>VLOOKUP(D703,Customers!A:D,4,FALSE)</f>
        <v/>
      </c>
      <c r="U703" s="25">
        <f>CONCATENATE(A703,"-",G703)</f>
        <v/>
      </c>
      <c r="V703" s="25">
        <f>IF(N703="","",IF(N703&lt;=30,"Fast (&lt;30m)",IF(N703&lt;=45,"Moderate (30-45m)","Delayed (&gt;45m)")))</f>
        <v/>
      </c>
      <c r="W703" s="25">
        <f>IF(AND(I703&gt;600,P703="Delivered"),"High Value Delivered","Standard")</f>
        <v/>
      </c>
      <c r="X703" s="25">
        <f>IF(OR(N703&gt;50,Q703&lt;=2),"High Risk / Delayed","Normal")</f>
        <v/>
      </c>
      <c r="Y703" s="25">
        <f>IF(NOT(P703="Cancelled"),"Fulfilled","Cancelled")</f>
        <v/>
      </c>
      <c r="Z703" s="25">
        <f>IFERROR(Q703,0)</f>
        <v/>
      </c>
    </row>
    <row r="704">
      <c r="A704" s="17" t="inlineStr">
        <is>
          <t>ORD1703</t>
        </is>
      </c>
      <c r="B704" s="17" t="inlineStr">
        <is>
          <t>2025-09-27</t>
        </is>
      </c>
      <c r="C704" s="17" t="inlineStr">
        <is>
          <t>08:49:36</t>
        </is>
      </c>
      <c r="D704" s="17" t="n">
        <v>1133</v>
      </c>
      <c r="E704" s="17" t="n">
        <v>108</v>
      </c>
      <c r="F704" s="17" t="n">
        <v>221</v>
      </c>
      <c r="G704" s="17" t="inlineStr">
        <is>
          <t>Delhi NCR</t>
        </is>
      </c>
      <c r="H704" s="17" t="inlineStr">
        <is>
          <t>Fast Food</t>
        </is>
      </c>
      <c r="I704" s="22" t="n">
        <v>404</v>
      </c>
      <c r="J704" s="22" t="n">
        <v>0</v>
      </c>
      <c r="K704" s="22" t="n">
        <v>31</v>
      </c>
      <c r="L704" s="23" t="n">
        <v>0.18</v>
      </c>
      <c r="M704" s="22" t="n">
        <v>80.47</v>
      </c>
      <c r="N704" s="24" t="n">
        <v>4.2</v>
      </c>
      <c r="O704" s="24" t="n">
        <v>25.3</v>
      </c>
      <c r="P704" s="17" t="inlineStr">
        <is>
          <t>Cash on Delivery</t>
        </is>
      </c>
      <c r="Q704" s="17" t="inlineStr">
        <is>
          <t>Delivered</t>
        </is>
      </c>
      <c r="R704" s="17" t="n">
        <v>3</v>
      </c>
      <c r="S704" s="17">
        <f>TEXT(B704,"yyyy-mm")</f>
        <v/>
      </c>
      <c r="T704" s="17">
        <f>VLOOKUP(D704,Customers!A:D,4,FALSE)</f>
        <v/>
      </c>
      <c r="U704" s="17">
        <f>CONCATENATE(A704,"-",G704)</f>
        <v/>
      </c>
      <c r="V704" s="17">
        <f>IF(N704="","",IF(N704&lt;=30,"Fast (&lt;30m)",IF(N704&lt;=45,"Moderate (30-45m)","Delayed (&gt;45m)")))</f>
        <v/>
      </c>
      <c r="W704" s="17">
        <f>IF(AND(I704&gt;600,P704="Delivered"),"High Value Delivered","Standard")</f>
        <v/>
      </c>
      <c r="X704" s="17">
        <f>IF(OR(N704&gt;50,Q704&lt;=2),"High Risk / Delayed","Normal")</f>
        <v/>
      </c>
      <c r="Y704" s="17">
        <f>IF(NOT(P704="Cancelled"),"Fulfilled","Cancelled")</f>
        <v/>
      </c>
      <c r="Z704" s="17">
        <f>IFERROR(Q704,0)</f>
        <v/>
      </c>
    </row>
    <row r="705">
      <c r="A705" s="25" t="inlineStr">
        <is>
          <t>ORD1704</t>
        </is>
      </c>
      <c r="B705" s="25" t="inlineStr">
        <is>
          <t>2025-05-26</t>
        </is>
      </c>
      <c r="C705" s="25" t="inlineStr">
        <is>
          <t>21:43:43</t>
        </is>
      </c>
      <c r="D705" s="25" t="n">
        <v>1223</v>
      </c>
      <c r="E705" s="25" t="n">
        <v>119</v>
      </c>
      <c r="F705" s="25" t="n">
        <v>225</v>
      </c>
      <c r="G705" s="25" t="inlineStr">
        <is>
          <t>Hyderabad</t>
        </is>
      </c>
      <c r="H705" s="25" t="inlineStr">
        <is>
          <t>Biryani</t>
        </is>
      </c>
      <c r="I705" s="26" t="n">
        <v>344</v>
      </c>
      <c r="J705" s="26" t="n">
        <v>0</v>
      </c>
      <c r="K705" s="26" t="n">
        <v>38</v>
      </c>
      <c r="L705" s="27" t="n">
        <v>0.2</v>
      </c>
      <c r="M705" s="26" t="n">
        <v>78.3</v>
      </c>
      <c r="N705" s="28" t="n">
        <v>5.6</v>
      </c>
      <c r="O705" s="28" t="n">
        <v>51.9</v>
      </c>
      <c r="P705" s="25" t="inlineStr">
        <is>
          <t>UPI</t>
        </is>
      </c>
      <c r="Q705" s="25" t="inlineStr">
        <is>
          <t>Delivered</t>
        </is>
      </c>
      <c r="R705" s="25" t="n">
        <v>2</v>
      </c>
      <c r="S705" s="25">
        <f>TEXT(B705,"yyyy-mm")</f>
        <v/>
      </c>
      <c r="T705" s="25">
        <f>VLOOKUP(D705,Customers!A:D,4,FALSE)</f>
        <v/>
      </c>
      <c r="U705" s="25">
        <f>CONCATENATE(A705,"-",G705)</f>
        <v/>
      </c>
      <c r="V705" s="25">
        <f>IF(N705="","",IF(N705&lt;=30,"Fast (&lt;30m)",IF(N705&lt;=45,"Moderate (30-45m)","Delayed (&gt;45m)")))</f>
        <v/>
      </c>
      <c r="W705" s="25">
        <f>IF(AND(I705&gt;600,P705="Delivered"),"High Value Delivered","Standard")</f>
        <v/>
      </c>
      <c r="X705" s="25">
        <f>IF(OR(N705&gt;50,Q705&lt;=2),"High Risk / Delayed","Normal")</f>
        <v/>
      </c>
      <c r="Y705" s="25">
        <f>IF(NOT(P705="Cancelled"),"Fulfilled","Cancelled")</f>
        <v/>
      </c>
      <c r="Z705" s="25">
        <f>IFERROR(Q705,0)</f>
        <v/>
      </c>
    </row>
    <row r="706">
      <c r="A706" s="17" t="inlineStr">
        <is>
          <t>ORD1705</t>
        </is>
      </c>
      <c r="B706" s="17" t="inlineStr">
        <is>
          <t>2025-02-11</t>
        </is>
      </c>
      <c r="C706" s="17" t="inlineStr">
        <is>
          <t>23:29:53</t>
        </is>
      </c>
      <c r="D706" s="17" t="n">
        <v>1182</v>
      </c>
      <c r="E706" s="17" t="n">
        <v>119</v>
      </c>
      <c r="F706" s="17" t="n">
        <v>216</v>
      </c>
      <c r="G706" s="17" t="inlineStr">
        <is>
          <t>Hyderabad</t>
        </is>
      </c>
      <c r="H706" s="17" t="inlineStr">
        <is>
          <t>Biryani</t>
        </is>
      </c>
      <c r="I706" s="22" t="n">
        <v>944</v>
      </c>
      <c r="J706" s="22" t="n">
        <v>34.29</v>
      </c>
      <c r="K706" s="22" t="n">
        <v>50</v>
      </c>
      <c r="L706" s="23" t="n">
        <v>0.2</v>
      </c>
      <c r="M706" s="22" t="n">
        <v>201.3</v>
      </c>
      <c r="N706" s="24" t="n">
        <v>8</v>
      </c>
      <c r="O706" s="24" t="n">
        <v>44.4</v>
      </c>
      <c r="P706" s="17" t="inlineStr">
        <is>
          <t>Digital Wallet</t>
        </is>
      </c>
      <c r="Q706" s="17" t="inlineStr">
        <is>
          <t>Delivered</t>
        </is>
      </c>
      <c r="R706" s="17" t="n">
        <v>4</v>
      </c>
      <c r="S706" s="17">
        <f>TEXT(B706,"yyyy-mm")</f>
        <v/>
      </c>
      <c r="T706" s="17">
        <f>VLOOKUP(D706,Customers!A:D,4,FALSE)</f>
        <v/>
      </c>
      <c r="U706" s="17">
        <f>CONCATENATE(A706,"-",G706)</f>
        <v/>
      </c>
      <c r="V706" s="17">
        <f>IF(N706="","",IF(N706&lt;=30,"Fast (&lt;30m)",IF(N706&lt;=45,"Moderate (30-45m)","Delayed (&gt;45m)")))</f>
        <v/>
      </c>
      <c r="W706" s="17">
        <f>IF(AND(I706&gt;600,P706="Delivered"),"High Value Delivered","Standard")</f>
        <v/>
      </c>
      <c r="X706" s="17">
        <f>IF(OR(N706&gt;50,Q706&lt;=2),"High Risk / Delayed","Normal")</f>
        <v/>
      </c>
      <c r="Y706" s="17">
        <f>IF(NOT(P706="Cancelled"),"Fulfilled","Cancelled")</f>
        <v/>
      </c>
      <c r="Z706" s="17">
        <f>IFERROR(Q706,0)</f>
        <v/>
      </c>
    </row>
    <row r="707">
      <c r="A707" s="25" t="inlineStr">
        <is>
          <t>ORD1706</t>
        </is>
      </c>
      <c r="B707" s="25" t="inlineStr">
        <is>
          <t>2025-12-02</t>
        </is>
      </c>
      <c r="C707" s="25" t="inlineStr">
        <is>
          <t>10:39:28</t>
        </is>
      </c>
      <c r="D707" s="25" t="n">
        <v>1189</v>
      </c>
      <c r="E707" s="25" t="n">
        <v>114</v>
      </c>
      <c r="F707" s="25" t="n">
        <v>216</v>
      </c>
      <c r="G707" s="25" t="inlineStr">
        <is>
          <t>Hyderabad</t>
        </is>
      </c>
      <c r="H707" s="25" t="inlineStr">
        <is>
          <t>Biryani</t>
        </is>
      </c>
      <c r="I707" s="26" t="n">
        <v>552</v>
      </c>
      <c r="J707" s="26" t="n">
        <v>44.15</v>
      </c>
      <c r="K707" s="26" t="n">
        <v>54</v>
      </c>
      <c r="L707" s="27" t="n">
        <v>0.22</v>
      </c>
      <c r="M707" s="26" t="n">
        <v>134.94</v>
      </c>
      <c r="N707" s="28" t="n">
        <v>8.800000000000001</v>
      </c>
      <c r="O707" s="28" t="n">
        <v>47.4</v>
      </c>
      <c r="P707" s="25" t="inlineStr">
        <is>
          <t>Digital Wallet</t>
        </is>
      </c>
      <c r="Q707" s="25" t="inlineStr">
        <is>
          <t>Delivered</t>
        </is>
      </c>
      <c r="R707" s="25" t="n">
        <v>5</v>
      </c>
      <c r="S707" s="25">
        <f>TEXT(B707,"yyyy-mm")</f>
        <v/>
      </c>
      <c r="T707" s="25">
        <f>VLOOKUP(D707,Customers!A:D,4,FALSE)</f>
        <v/>
      </c>
      <c r="U707" s="25">
        <f>CONCATENATE(A707,"-",G707)</f>
        <v/>
      </c>
      <c r="V707" s="25">
        <f>IF(N707="","",IF(N707&lt;=30,"Fast (&lt;30m)",IF(N707&lt;=45,"Moderate (30-45m)","Delayed (&gt;45m)")))</f>
        <v/>
      </c>
      <c r="W707" s="25">
        <f>IF(AND(I707&gt;600,P707="Delivered"),"High Value Delivered","Standard")</f>
        <v/>
      </c>
      <c r="X707" s="25">
        <f>IF(OR(N707&gt;50,Q707&lt;=2),"High Risk / Delayed","Normal")</f>
        <v/>
      </c>
      <c r="Y707" s="25">
        <f>IF(NOT(P707="Cancelled"),"Fulfilled","Cancelled")</f>
        <v/>
      </c>
      <c r="Z707" s="25">
        <f>IFERROR(Q707,0)</f>
        <v/>
      </c>
    </row>
    <row r="708">
      <c r="A708" s="17" t="inlineStr">
        <is>
          <t>ORD1707</t>
        </is>
      </c>
      <c r="B708" s="17" t="inlineStr">
        <is>
          <t>2025-01-25</t>
        </is>
      </c>
      <c r="C708" s="17" t="inlineStr">
        <is>
          <t>20:51:41</t>
        </is>
      </c>
      <c r="D708" s="17" t="n">
        <v>1014</v>
      </c>
      <c r="E708" s="17" t="n">
        <v>118</v>
      </c>
      <c r="F708" s="17" t="n">
        <v>221</v>
      </c>
      <c r="G708" s="17" t="inlineStr">
        <is>
          <t>Delhi NCR</t>
        </is>
      </c>
      <c r="H708" s="17" t="inlineStr">
        <is>
          <t>North Indian</t>
        </is>
      </c>
      <c r="I708" s="22" t="n">
        <v>509</v>
      </c>
      <c r="J708" s="22" t="n">
        <v>0</v>
      </c>
      <c r="K708" s="22" t="n">
        <v>25</v>
      </c>
      <c r="L708" s="23" t="n">
        <v>0.2</v>
      </c>
      <c r="M708" s="22" t="n">
        <v>108.05</v>
      </c>
      <c r="N708" s="24" t="n">
        <v>2.6</v>
      </c>
      <c r="O708" s="24" t="n">
        <v>23</v>
      </c>
      <c r="P708" s="17" t="inlineStr">
        <is>
          <t>UPI</t>
        </is>
      </c>
      <c r="Q708" s="17" t="inlineStr">
        <is>
          <t>Delivered</t>
        </is>
      </c>
      <c r="R708" s="17" t="n">
        <v>4</v>
      </c>
      <c r="S708" s="17">
        <f>TEXT(B708,"yyyy-mm")</f>
        <v/>
      </c>
      <c r="T708" s="17">
        <f>VLOOKUP(D708,Customers!A:D,4,FALSE)</f>
        <v/>
      </c>
      <c r="U708" s="17">
        <f>CONCATENATE(A708,"-",G708)</f>
        <v/>
      </c>
      <c r="V708" s="17">
        <f>IF(N708="","",IF(N708&lt;=30,"Fast (&lt;30m)",IF(N708&lt;=45,"Moderate (30-45m)","Delayed (&gt;45m)")))</f>
        <v/>
      </c>
      <c r="W708" s="17">
        <f>IF(AND(I708&gt;600,P708="Delivered"),"High Value Delivered","Standard")</f>
        <v/>
      </c>
      <c r="X708" s="17">
        <f>IF(OR(N708&gt;50,Q708&lt;=2),"High Risk / Delayed","Normal")</f>
        <v/>
      </c>
      <c r="Y708" s="17">
        <f>IF(NOT(P708="Cancelled"),"Fulfilled","Cancelled")</f>
        <v/>
      </c>
      <c r="Z708" s="17">
        <f>IFERROR(Q708,0)</f>
        <v/>
      </c>
    </row>
    <row r="709">
      <c r="A709" s="25" t="inlineStr">
        <is>
          <t>ORD1708</t>
        </is>
      </c>
      <c r="B709" s="25" t="inlineStr">
        <is>
          <t>2025-05-11</t>
        </is>
      </c>
      <c r="C709" s="25" t="inlineStr">
        <is>
          <t>20:11:15</t>
        </is>
      </c>
      <c r="D709" s="25" t="n">
        <v>1129</v>
      </c>
      <c r="E709" s="25" t="n">
        <v>106</v>
      </c>
      <c r="F709" s="25" t="n">
        <v>226</v>
      </c>
      <c r="G709" s="25" t="inlineStr">
        <is>
          <t>Pune</t>
        </is>
      </c>
      <c r="H709" s="25" t="inlineStr">
        <is>
          <t>South Indian</t>
        </is>
      </c>
      <c r="I709" s="26" t="n">
        <v>628</v>
      </c>
      <c r="J709" s="26" t="n">
        <v>0</v>
      </c>
      <c r="K709" s="26" t="n">
        <v>35.5</v>
      </c>
      <c r="L709" s="27" t="n">
        <v>0.15</v>
      </c>
      <c r="M709" s="26" t="n">
        <v>103.08</v>
      </c>
      <c r="N709" s="28" t="n">
        <v>5.1</v>
      </c>
      <c r="O709" s="28" t="n">
        <v>43.5</v>
      </c>
      <c r="P709" s="25" t="inlineStr">
        <is>
          <t>Credit Card</t>
        </is>
      </c>
      <c r="Q709" s="25" t="inlineStr">
        <is>
          <t>Delivered</t>
        </is>
      </c>
      <c r="R709" s="25" t="n">
        <v>3</v>
      </c>
      <c r="S709" s="25">
        <f>TEXT(B709,"yyyy-mm")</f>
        <v/>
      </c>
      <c r="T709" s="25">
        <f>VLOOKUP(D709,Customers!A:D,4,FALSE)</f>
        <v/>
      </c>
      <c r="U709" s="25">
        <f>CONCATENATE(A709,"-",G709)</f>
        <v/>
      </c>
      <c r="V709" s="25">
        <f>IF(N709="","",IF(N709&lt;=30,"Fast (&lt;30m)",IF(N709&lt;=45,"Moderate (30-45m)","Delayed (&gt;45m)")))</f>
        <v/>
      </c>
      <c r="W709" s="25">
        <f>IF(AND(I709&gt;600,P709="Delivered"),"High Value Delivered","Standard")</f>
        <v/>
      </c>
      <c r="X709" s="25">
        <f>IF(OR(N709&gt;50,Q709&lt;=2),"High Risk / Delayed","Normal")</f>
        <v/>
      </c>
      <c r="Y709" s="25">
        <f>IF(NOT(P709="Cancelled"),"Fulfilled","Cancelled")</f>
        <v/>
      </c>
      <c r="Z709" s="25">
        <f>IFERROR(Q709,0)</f>
        <v/>
      </c>
    </row>
    <row r="710">
      <c r="A710" s="17" t="inlineStr">
        <is>
          <t>ORD1709</t>
        </is>
      </c>
      <c r="B710" s="17" t="inlineStr">
        <is>
          <t>2025-11-28</t>
        </is>
      </c>
      <c r="C710" s="17" t="inlineStr">
        <is>
          <t>20:48:41</t>
        </is>
      </c>
      <c r="D710" s="17" t="n">
        <v>1141</v>
      </c>
      <c r="E710" s="17" t="n">
        <v>118</v>
      </c>
      <c r="F710" s="17" t="n">
        <v>211</v>
      </c>
      <c r="G710" s="17" t="inlineStr">
        <is>
          <t>Delhi NCR</t>
        </is>
      </c>
      <c r="H710" s="17" t="inlineStr">
        <is>
          <t>North Indian</t>
        </is>
      </c>
      <c r="I710" s="22" t="n">
        <v>507</v>
      </c>
      <c r="J710" s="22" t="n">
        <v>65.84</v>
      </c>
      <c r="K710" s="22" t="n">
        <v>0</v>
      </c>
      <c r="L710" s="23" t="n">
        <v>0.2</v>
      </c>
      <c r="M710" s="22" t="n">
        <v>101.4</v>
      </c>
      <c r="N710" s="24" t="n">
        <v>1.9</v>
      </c>
      <c r="O710" s="24" t="n">
        <v>30.2</v>
      </c>
      <c r="P710" s="17" t="inlineStr">
        <is>
          <t>Debit Card</t>
        </is>
      </c>
      <c r="Q710" s="17" t="inlineStr">
        <is>
          <t>Delivered</t>
        </is>
      </c>
      <c r="R710" s="17" t="n">
        <v>4</v>
      </c>
      <c r="S710" s="17">
        <f>TEXT(B710,"yyyy-mm")</f>
        <v/>
      </c>
      <c r="T710" s="17">
        <f>VLOOKUP(D710,Customers!A:D,4,FALSE)</f>
        <v/>
      </c>
      <c r="U710" s="17">
        <f>CONCATENATE(A710,"-",G710)</f>
        <v/>
      </c>
      <c r="V710" s="17">
        <f>IF(N710="","",IF(N710&lt;=30,"Fast (&lt;30m)",IF(N710&lt;=45,"Moderate (30-45m)","Delayed (&gt;45m)")))</f>
        <v/>
      </c>
      <c r="W710" s="17">
        <f>IF(AND(I710&gt;600,P710="Delivered"),"High Value Delivered","Standard")</f>
        <v/>
      </c>
      <c r="X710" s="17">
        <f>IF(OR(N710&gt;50,Q710&lt;=2),"High Risk / Delayed","Normal")</f>
        <v/>
      </c>
      <c r="Y710" s="17">
        <f>IF(NOT(P710="Cancelled"),"Fulfilled","Cancelled")</f>
        <v/>
      </c>
      <c r="Z710" s="17">
        <f>IFERROR(Q710,0)</f>
        <v/>
      </c>
    </row>
    <row r="711">
      <c r="A711" s="25" t="inlineStr">
        <is>
          <t>ORD1710</t>
        </is>
      </c>
      <c r="B711" s="25" t="inlineStr">
        <is>
          <t>2025-07-08</t>
        </is>
      </c>
      <c r="C711" s="25" t="inlineStr">
        <is>
          <t>16:32:12</t>
        </is>
      </c>
      <c r="D711" s="25" t="n">
        <v>1254</v>
      </c>
      <c r="E711" s="25" t="n">
        <v>109</v>
      </c>
      <c r="F711" s="25" t="n">
        <v>215</v>
      </c>
      <c r="G711" s="25" t="inlineStr">
        <is>
          <t>Hyderabad</t>
        </is>
      </c>
      <c r="H711" s="25" t="inlineStr">
        <is>
          <t>Biryani</t>
        </is>
      </c>
      <c r="I711" s="26" t="n">
        <v>721</v>
      </c>
      <c r="J711" s="26" t="n">
        <v>0</v>
      </c>
      <c r="K711" s="26" t="n">
        <v>31</v>
      </c>
      <c r="L711" s="27" t="n">
        <v>0.2</v>
      </c>
      <c r="M711" s="26" t="n">
        <v>151.95</v>
      </c>
      <c r="N711" s="28" t="n">
        <v>4.2</v>
      </c>
      <c r="O711" s="28" t="n">
        <v>29.6</v>
      </c>
      <c r="P711" s="25" t="inlineStr">
        <is>
          <t>Debit Card</t>
        </is>
      </c>
      <c r="Q711" s="25" t="inlineStr">
        <is>
          <t>Delivered</t>
        </is>
      </c>
      <c r="R711" s="25" t="n">
        <v>4</v>
      </c>
      <c r="S711" s="25">
        <f>TEXT(B711,"yyyy-mm")</f>
        <v/>
      </c>
      <c r="T711" s="25">
        <f>VLOOKUP(D711,Customers!A:D,4,FALSE)</f>
        <v/>
      </c>
      <c r="U711" s="25">
        <f>CONCATENATE(A711,"-",G711)</f>
        <v/>
      </c>
      <c r="V711" s="25">
        <f>IF(N711="","",IF(N711&lt;=30,"Fast (&lt;30m)",IF(N711&lt;=45,"Moderate (30-45m)","Delayed (&gt;45m)")))</f>
        <v/>
      </c>
      <c r="W711" s="25">
        <f>IF(AND(I711&gt;600,P711="Delivered"),"High Value Delivered","Standard")</f>
        <v/>
      </c>
      <c r="X711" s="25">
        <f>IF(OR(N711&gt;50,Q711&lt;=2),"High Risk / Delayed","Normal")</f>
        <v/>
      </c>
      <c r="Y711" s="25">
        <f>IF(NOT(P711="Cancelled"),"Fulfilled","Cancelled")</f>
        <v/>
      </c>
      <c r="Z711" s="25">
        <f>IFERROR(Q711,0)</f>
        <v/>
      </c>
    </row>
    <row r="712">
      <c r="A712" s="17" t="inlineStr">
        <is>
          <t>ORD1711</t>
        </is>
      </c>
      <c r="B712" s="17" t="inlineStr">
        <is>
          <t>2025-07-08</t>
        </is>
      </c>
      <c r="C712" s="17" t="inlineStr">
        <is>
          <t>13:39:11</t>
        </is>
      </c>
      <c r="D712" s="17" t="n">
        <v>1042</v>
      </c>
      <c r="E712" s="17" t="n">
        <v>113</v>
      </c>
      <c r="F712" s="17" t="n">
        <v>206</v>
      </c>
      <c r="G712" s="17" t="inlineStr">
        <is>
          <t>Mumbai</t>
        </is>
      </c>
      <c r="H712" s="17" t="inlineStr">
        <is>
          <t>Fast Food</t>
        </is>
      </c>
      <c r="I712" s="22" t="n">
        <v>664</v>
      </c>
      <c r="J712" s="22" t="n">
        <v>4.94</v>
      </c>
      <c r="K712" s="22" t="n">
        <v>40.5</v>
      </c>
      <c r="L712" s="23" t="n">
        <v>0.18</v>
      </c>
      <c r="M712" s="22" t="n">
        <v>129.64</v>
      </c>
      <c r="N712" s="24" t="n">
        <v>6.1</v>
      </c>
      <c r="O712" s="24" t="n">
        <v>41.1</v>
      </c>
      <c r="P712" s="17" t="inlineStr">
        <is>
          <t>Cash on Delivery</t>
        </is>
      </c>
      <c r="Q712" s="17" t="inlineStr">
        <is>
          <t>Delivered</t>
        </is>
      </c>
      <c r="R712" s="17" t="n">
        <v>1</v>
      </c>
      <c r="S712" s="17">
        <f>TEXT(B712,"yyyy-mm")</f>
        <v/>
      </c>
      <c r="T712" s="17">
        <f>VLOOKUP(D712,Customers!A:D,4,FALSE)</f>
        <v/>
      </c>
      <c r="U712" s="17">
        <f>CONCATENATE(A712,"-",G712)</f>
        <v/>
      </c>
      <c r="V712" s="17">
        <f>IF(N712="","",IF(N712&lt;=30,"Fast (&lt;30m)",IF(N712&lt;=45,"Moderate (30-45m)","Delayed (&gt;45m)")))</f>
        <v/>
      </c>
      <c r="W712" s="17">
        <f>IF(AND(I712&gt;600,P712="Delivered"),"High Value Delivered","Standard")</f>
        <v/>
      </c>
      <c r="X712" s="17">
        <f>IF(OR(N712&gt;50,Q712&lt;=2),"High Risk / Delayed","Normal")</f>
        <v/>
      </c>
      <c r="Y712" s="17">
        <f>IF(NOT(P712="Cancelled"),"Fulfilled","Cancelled")</f>
        <v/>
      </c>
      <c r="Z712" s="17">
        <f>IFERROR(Q712,0)</f>
        <v/>
      </c>
    </row>
    <row r="713">
      <c r="A713" s="25" t="inlineStr">
        <is>
          <t>ORD1712</t>
        </is>
      </c>
      <c r="B713" s="25" t="inlineStr">
        <is>
          <t>2025-09-27</t>
        </is>
      </c>
      <c r="C713" s="25" t="inlineStr">
        <is>
          <t>10:40:41</t>
        </is>
      </c>
      <c r="D713" s="25" t="n">
        <v>1144</v>
      </c>
      <c r="E713" s="25" t="n">
        <v>111</v>
      </c>
      <c r="F713" s="25" t="n">
        <v>205</v>
      </c>
      <c r="G713" s="25" t="inlineStr">
        <is>
          <t>Bangalore</t>
        </is>
      </c>
      <c r="H713" s="25" t="inlineStr">
        <is>
          <t>South Indian</t>
        </is>
      </c>
      <c r="I713" s="26" t="n">
        <v>757</v>
      </c>
      <c r="J713" s="26" t="n">
        <v>0</v>
      </c>
      <c r="K713" s="26" t="n">
        <v>34</v>
      </c>
      <c r="L713" s="27" t="n">
        <v>0.15</v>
      </c>
      <c r="M713" s="26" t="n">
        <v>122.05</v>
      </c>
      <c r="N713" s="28" t="n">
        <v>4.8</v>
      </c>
      <c r="O713" s="28" t="n">
        <v>38.7</v>
      </c>
      <c r="P713" s="25" t="inlineStr">
        <is>
          <t>UPI</t>
        </is>
      </c>
      <c r="Q713" s="25" t="inlineStr">
        <is>
          <t>Delivered</t>
        </is>
      </c>
      <c r="R713" s="25" t="n">
        <v>4</v>
      </c>
      <c r="S713" s="25">
        <f>TEXT(B713,"yyyy-mm")</f>
        <v/>
      </c>
      <c r="T713" s="25">
        <f>VLOOKUP(D713,Customers!A:D,4,FALSE)</f>
        <v/>
      </c>
      <c r="U713" s="25">
        <f>CONCATENATE(A713,"-",G713)</f>
        <v/>
      </c>
      <c r="V713" s="25">
        <f>IF(N713="","",IF(N713&lt;=30,"Fast (&lt;30m)",IF(N713&lt;=45,"Moderate (30-45m)","Delayed (&gt;45m)")))</f>
        <v/>
      </c>
      <c r="W713" s="25">
        <f>IF(AND(I713&gt;600,P713="Delivered"),"High Value Delivered","Standard")</f>
        <v/>
      </c>
      <c r="X713" s="25">
        <f>IF(OR(N713&gt;50,Q713&lt;=2),"High Risk / Delayed","Normal")</f>
        <v/>
      </c>
      <c r="Y713" s="25">
        <f>IF(NOT(P713="Cancelled"),"Fulfilled","Cancelled")</f>
        <v/>
      </c>
      <c r="Z713" s="25">
        <f>IFERROR(Q713,0)</f>
        <v/>
      </c>
    </row>
    <row r="714">
      <c r="A714" s="17" t="inlineStr">
        <is>
          <t>ORD1713</t>
        </is>
      </c>
      <c r="B714" s="17" t="inlineStr">
        <is>
          <t>2025-03-07</t>
        </is>
      </c>
      <c r="C714" s="17" t="inlineStr">
        <is>
          <t>13:43:57</t>
        </is>
      </c>
      <c r="D714" s="17" t="n">
        <v>1123</v>
      </c>
      <c r="E714" s="17" t="n">
        <v>101</v>
      </c>
      <c r="F714" s="17" t="n">
        <v>205</v>
      </c>
      <c r="G714" s="17" t="inlineStr">
        <is>
          <t>Bangalore</t>
        </is>
      </c>
      <c r="H714" s="17" t="inlineStr">
        <is>
          <t>North Indian</t>
        </is>
      </c>
      <c r="I714" s="22" t="n">
        <v>527</v>
      </c>
      <c r="J714" s="22" t="n">
        <v>22.05</v>
      </c>
      <c r="K714" s="22" t="n">
        <v>28.5</v>
      </c>
      <c r="L714" s="23" t="n">
        <v>0.2</v>
      </c>
      <c r="M714" s="22" t="n">
        <v>112.52</v>
      </c>
      <c r="N714" s="24" t="n">
        <v>3.7</v>
      </c>
      <c r="O714" s="24" t="n">
        <v>31.6</v>
      </c>
      <c r="P714" s="17" t="inlineStr">
        <is>
          <t>UPI</t>
        </is>
      </c>
      <c r="Q714" s="17" t="inlineStr">
        <is>
          <t>Delivered</t>
        </is>
      </c>
      <c r="R714" s="17" t="n">
        <v>2</v>
      </c>
      <c r="S714" s="17">
        <f>TEXT(B714,"yyyy-mm")</f>
        <v/>
      </c>
      <c r="T714" s="17">
        <f>VLOOKUP(D714,Customers!A:D,4,FALSE)</f>
        <v/>
      </c>
      <c r="U714" s="17">
        <f>CONCATENATE(A714,"-",G714)</f>
        <v/>
      </c>
      <c r="V714" s="17">
        <f>IF(N714="","",IF(N714&lt;=30,"Fast (&lt;30m)",IF(N714&lt;=45,"Moderate (30-45m)","Delayed (&gt;45m)")))</f>
        <v/>
      </c>
      <c r="W714" s="17">
        <f>IF(AND(I714&gt;600,P714="Delivered"),"High Value Delivered","Standard")</f>
        <v/>
      </c>
      <c r="X714" s="17">
        <f>IF(OR(N714&gt;50,Q714&lt;=2),"High Risk / Delayed","Normal")</f>
        <v/>
      </c>
      <c r="Y714" s="17">
        <f>IF(NOT(P714="Cancelled"),"Fulfilled","Cancelled")</f>
        <v/>
      </c>
      <c r="Z714" s="17">
        <f>IFERROR(Q714,0)</f>
        <v/>
      </c>
    </row>
    <row r="715">
      <c r="A715" s="25" t="inlineStr">
        <is>
          <t>ORD1714</t>
        </is>
      </c>
      <c r="B715" s="25" t="inlineStr">
        <is>
          <t>2025-09-19</t>
        </is>
      </c>
      <c r="C715" s="25" t="inlineStr">
        <is>
          <t>19:27:26</t>
        </is>
      </c>
      <c r="D715" s="25" t="n">
        <v>1220</v>
      </c>
      <c r="E715" s="25" t="n">
        <v>102</v>
      </c>
      <c r="F715" s="25" t="n">
        <v>225</v>
      </c>
      <c r="G715" s="25" t="inlineStr">
        <is>
          <t>Hyderabad</t>
        </is>
      </c>
      <c r="H715" s="25" t="inlineStr">
        <is>
          <t>Biryani</t>
        </is>
      </c>
      <c r="I715" s="26" t="n">
        <v>316</v>
      </c>
      <c r="J715" s="26" t="n">
        <v>26.08</v>
      </c>
      <c r="K715" s="26" t="n">
        <v>26.5</v>
      </c>
      <c r="L715" s="27" t="n">
        <v>0.22</v>
      </c>
      <c r="M715" s="26" t="n">
        <v>76.14</v>
      </c>
      <c r="N715" s="28" t="n">
        <v>3.3</v>
      </c>
      <c r="O715" s="28" t="n">
        <v>40.1</v>
      </c>
      <c r="P715" s="25" t="inlineStr">
        <is>
          <t>Debit Card</t>
        </is>
      </c>
      <c r="Q715" s="25" t="inlineStr">
        <is>
          <t>Delivered</t>
        </is>
      </c>
      <c r="R715" s="25" t="n">
        <v>1</v>
      </c>
      <c r="S715" s="25">
        <f>TEXT(B715,"yyyy-mm")</f>
        <v/>
      </c>
      <c r="T715" s="25">
        <f>VLOOKUP(D715,Customers!A:D,4,FALSE)</f>
        <v/>
      </c>
      <c r="U715" s="25">
        <f>CONCATENATE(A715,"-",G715)</f>
        <v/>
      </c>
      <c r="V715" s="25">
        <f>IF(N715="","",IF(N715&lt;=30,"Fast (&lt;30m)",IF(N715&lt;=45,"Moderate (30-45m)","Delayed (&gt;45m)")))</f>
        <v/>
      </c>
      <c r="W715" s="25">
        <f>IF(AND(I715&gt;600,P715="Delivered"),"High Value Delivered","Standard")</f>
        <v/>
      </c>
      <c r="X715" s="25">
        <f>IF(OR(N715&gt;50,Q715&lt;=2),"High Risk / Delayed","Normal")</f>
        <v/>
      </c>
      <c r="Y715" s="25">
        <f>IF(NOT(P715="Cancelled"),"Fulfilled","Cancelled")</f>
        <v/>
      </c>
      <c r="Z715" s="25">
        <f>IFERROR(Q715,0)</f>
        <v/>
      </c>
    </row>
    <row r="716">
      <c r="A716" s="17" t="inlineStr">
        <is>
          <t>ORD1715</t>
        </is>
      </c>
      <c r="B716" s="17" t="inlineStr">
        <is>
          <t>2025-09-15</t>
        </is>
      </c>
      <c r="C716" s="17" t="inlineStr">
        <is>
          <t>00:01:07</t>
        </is>
      </c>
      <c r="D716" s="17" t="n">
        <v>1148</v>
      </c>
      <c r="E716" s="17" t="n">
        <v>101</v>
      </c>
      <c r="F716" s="17" t="n">
        <v>223</v>
      </c>
      <c r="G716" s="17" t="inlineStr">
        <is>
          <t>Bangalore</t>
        </is>
      </c>
      <c r="H716" s="17" t="inlineStr">
        <is>
          <t>North Indian</t>
        </is>
      </c>
      <c r="I716" s="22" t="n">
        <v>897</v>
      </c>
      <c r="J716" s="22" t="n">
        <v>0</v>
      </c>
      <c r="K716" s="22" t="n">
        <v>58.5</v>
      </c>
      <c r="L716" s="23" t="n">
        <v>0.2</v>
      </c>
      <c r="M716" s="22" t="n">
        <v>194.02</v>
      </c>
      <c r="N716" s="24" t="n">
        <v>9.699999999999999</v>
      </c>
      <c r="O716" s="24" t="n">
        <v>100.5</v>
      </c>
      <c r="P716" s="17" t="inlineStr">
        <is>
          <t>UPI</t>
        </is>
      </c>
      <c r="Q716" s="17" t="inlineStr">
        <is>
          <t>Delivered</t>
        </is>
      </c>
      <c r="R716" s="17" t="n">
        <v>4</v>
      </c>
      <c r="S716" s="17">
        <f>TEXT(B716,"yyyy-mm")</f>
        <v/>
      </c>
      <c r="T716" s="17">
        <f>VLOOKUP(D716,Customers!A:D,4,FALSE)</f>
        <v/>
      </c>
      <c r="U716" s="17">
        <f>CONCATENATE(A716,"-",G716)</f>
        <v/>
      </c>
      <c r="V716" s="17">
        <f>IF(N716="","",IF(N716&lt;=30,"Fast (&lt;30m)",IF(N716&lt;=45,"Moderate (30-45m)","Delayed (&gt;45m)")))</f>
        <v/>
      </c>
      <c r="W716" s="17">
        <f>IF(AND(I716&gt;600,P716="Delivered"),"High Value Delivered","Standard")</f>
        <v/>
      </c>
      <c r="X716" s="17">
        <f>IF(OR(N716&gt;50,Q716&lt;=2),"High Risk / Delayed","Normal")</f>
        <v/>
      </c>
      <c r="Y716" s="17">
        <f>IF(NOT(P716="Cancelled"),"Fulfilled","Cancelled")</f>
        <v/>
      </c>
      <c r="Z716" s="17">
        <f>IFERROR(Q716,0)</f>
        <v/>
      </c>
    </row>
    <row r="717">
      <c r="A717" s="25" t="inlineStr">
        <is>
          <t>ORD1716</t>
        </is>
      </c>
      <c r="B717" s="25" t="inlineStr">
        <is>
          <t>2025-12-27</t>
        </is>
      </c>
      <c r="C717" s="25" t="inlineStr">
        <is>
          <t>09:19:20</t>
        </is>
      </c>
      <c r="D717" s="25" t="n">
        <v>1087</v>
      </c>
      <c r="E717" s="25" t="n">
        <v>116</v>
      </c>
      <c r="F717" s="25" t="n">
        <v>224</v>
      </c>
      <c r="G717" s="25" t="inlineStr">
        <is>
          <t>Pune</t>
        </is>
      </c>
      <c r="H717" s="25" t="inlineStr">
        <is>
          <t>Desserts</t>
        </is>
      </c>
      <c r="I717" s="26" t="n">
        <v>821</v>
      </c>
      <c r="J717" s="26" t="n">
        <v>82.66</v>
      </c>
      <c r="K717" s="26" t="n">
        <v>45.5</v>
      </c>
      <c r="L717" s="27" t="n">
        <v>0.25</v>
      </c>
      <c r="M717" s="26" t="n">
        <v>216.62</v>
      </c>
      <c r="N717" s="28" t="n">
        <v>7.1</v>
      </c>
      <c r="O717" s="28" t="n">
        <v>43.1</v>
      </c>
      <c r="P717" s="25" t="inlineStr">
        <is>
          <t>Cash on Delivery</t>
        </is>
      </c>
      <c r="Q717" s="25" t="inlineStr">
        <is>
          <t>Delivered</t>
        </is>
      </c>
      <c r="R717" s="25" t="n">
        <v>1</v>
      </c>
      <c r="S717" s="25">
        <f>TEXT(B717,"yyyy-mm")</f>
        <v/>
      </c>
      <c r="T717" s="25">
        <f>VLOOKUP(D717,Customers!A:D,4,FALSE)</f>
        <v/>
      </c>
      <c r="U717" s="25">
        <f>CONCATENATE(A717,"-",G717)</f>
        <v/>
      </c>
      <c r="V717" s="25">
        <f>IF(N717="","",IF(N717&lt;=30,"Fast (&lt;30m)",IF(N717&lt;=45,"Moderate (30-45m)","Delayed (&gt;45m)")))</f>
        <v/>
      </c>
      <c r="W717" s="25">
        <f>IF(AND(I717&gt;600,P717="Delivered"),"High Value Delivered","Standard")</f>
        <v/>
      </c>
      <c r="X717" s="25">
        <f>IF(OR(N717&gt;50,Q717&lt;=2),"High Risk / Delayed","Normal")</f>
        <v/>
      </c>
      <c r="Y717" s="25">
        <f>IF(NOT(P717="Cancelled"),"Fulfilled","Cancelled")</f>
        <v/>
      </c>
      <c r="Z717" s="25">
        <f>IFERROR(Q717,0)</f>
        <v/>
      </c>
    </row>
    <row r="718">
      <c r="A718" s="17" t="inlineStr">
        <is>
          <t>ORD1717</t>
        </is>
      </c>
      <c r="B718" s="17" t="inlineStr">
        <is>
          <t>2025-04-19</t>
        </is>
      </c>
      <c r="C718" s="17" t="inlineStr">
        <is>
          <t>12:11:05</t>
        </is>
      </c>
      <c r="D718" s="17" t="n">
        <v>1234</v>
      </c>
      <c r="E718" s="17" t="n">
        <v>116</v>
      </c>
      <c r="F718" s="17" t="n">
        <v>207</v>
      </c>
      <c r="G718" s="17" t="inlineStr">
        <is>
          <t>Pune</t>
        </is>
      </c>
      <c r="H718" s="17" t="inlineStr">
        <is>
          <t>Desserts</t>
        </is>
      </c>
      <c r="I718" s="22" t="n">
        <v>838</v>
      </c>
      <c r="J718" s="22" t="n">
        <v>0</v>
      </c>
      <c r="K718" s="22" t="n">
        <v>31</v>
      </c>
      <c r="L718" s="23" t="n">
        <v>0.25</v>
      </c>
      <c r="M718" s="22" t="n">
        <v>217.25</v>
      </c>
      <c r="N718" s="24" t="n">
        <v>4.2</v>
      </c>
      <c r="O718" s="24" t="n">
        <v>37.8</v>
      </c>
      <c r="P718" s="17" t="inlineStr">
        <is>
          <t>Cash on Delivery</t>
        </is>
      </c>
      <c r="Q718" s="17" t="inlineStr">
        <is>
          <t>Delivered</t>
        </is>
      </c>
      <c r="R718" s="17" t="n">
        <v>4</v>
      </c>
      <c r="S718" s="17">
        <f>TEXT(B718,"yyyy-mm")</f>
        <v/>
      </c>
      <c r="T718" s="17">
        <f>VLOOKUP(D718,Customers!A:D,4,FALSE)</f>
        <v/>
      </c>
      <c r="U718" s="17">
        <f>CONCATENATE(A718,"-",G718)</f>
        <v/>
      </c>
      <c r="V718" s="17">
        <f>IF(N718="","",IF(N718&lt;=30,"Fast (&lt;30m)",IF(N718&lt;=45,"Moderate (30-45m)","Delayed (&gt;45m)")))</f>
        <v/>
      </c>
      <c r="W718" s="17">
        <f>IF(AND(I718&gt;600,P718="Delivered"),"High Value Delivered","Standard")</f>
        <v/>
      </c>
      <c r="X718" s="17">
        <f>IF(OR(N718&gt;50,Q718&lt;=2),"High Risk / Delayed","Normal")</f>
        <v/>
      </c>
      <c r="Y718" s="17">
        <f>IF(NOT(P718="Cancelled"),"Fulfilled","Cancelled")</f>
        <v/>
      </c>
      <c r="Z718" s="17">
        <f>IFERROR(Q718,0)</f>
        <v/>
      </c>
    </row>
    <row r="719">
      <c r="A719" s="25" t="inlineStr">
        <is>
          <t>ORD1718</t>
        </is>
      </c>
      <c r="B719" s="25" t="inlineStr">
        <is>
          <t>2025-03-01</t>
        </is>
      </c>
      <c r="C719" s="25" t="inlineStr">
        <is>
          <t>21:00:10</t>
        </is>
      </c>
      <c r="D719" s="25" t="n">
        <v>1228</v>
      </c>
      <c r="E719" s="25" t="n">
        <v>119</v>
      </c>
      <c r="F719" s="25" t="n">
        <v>216</v>
      </c>
      <c r="G719" s="25" t="inlineStr">
        <is>
          <t>Hyderabad</t>
        </is>
      </c>
      <c r="H719" s="25" t="inlineStr">
        <is>
          <t>Biryani</t>
        </is>
      </c>
      <c r="I719" s="26" t="n">
        <v>891</v>
      </c>
      <c r="J719" s="26" t="n">
        <v>0</v>
      </c>
      <c r="K719" s="26" t="n">
        <v>60.5</v>
      </c>
      <c r="L719" s="27" t="n">
        <v>0.2</v>
      </c>
      <c r="M719" s="26" t="n">
        <v>193.32</v>
      </c>
      <c r="N719" s="28" t="n">
        <v>10.1</v>
      </c>
      <c r="O719" s="28" t="n">
        <v>58.2</v>
      </c>
      <c r="P719" s="25" t="inlineStr">
        <is>
          <t>Digital Wallet</t>
        </is>
      </c>
      <c r="Q719" s="25" t="inlineStr">
        <is>
          <t>Delivered</t>
        </is>
      </c>
      <c r="R719" s="25" t="n">
        <v>2</v>
      </c>
      <c r="S719" s="25">
        <f>TEXT(B719,"yyyy-mm")</f>
        <v/>
      </c>
      <c r="T719" s="25">
        <f>VLOOKUP(D719,Customers!A:D,4,FALSE)</f>
        <v/>
      </c>
      <c r="U719" s="25">
        <f>CONCATENATE(A719,"-",G719)</f>
        <v/>
      </c>
      <c r="V719" s="25">
        <f>IF(N719="","",IF(N719&lt;=30,"Fast (&lt;30m)",IF(N719&lt;=45,"Moderate (30-45m)","Delayed (&gt;45m)")))</f>
        <v/>
      </c>
      <c r="W719" s="25">
        <f>IF(AND(I719&gt;600,P719="Delivered"),"High Value Delivered","Standard")</f>
        <v/>
      </c>
      <c r="X719" s="25">
        <f>IF(OR(N719&gt;50,Q719&lt;=2),"High Risk / Delayed","Normal")</f>
        <v/>
      </c>
      <c r="Y719" s="25">
        <f>IF(NOT(P719="Cancelled"),"Fulfilled","Cancelled")</f>
        <v/>
      </c>
      <c r="Z719" s="25">
        <f>IFERROR(Q719,0)</f>
        <v/>
      </c>
    </row>
    <row r="720">
      <c r="A720" s="17" t="inlineStr">
        <is>
          <t>ORD1719</t>
        </is>
      </c>
      <c r="B720" s="17" t="inlineStr">
        <is>
          <t>2025-12-20</t>
        </is>
      </c>
      <c r="C720" s="17" t="inlineStr">
        <is>
          <t>21:43:44</t>
        </is>
      </c>
      <c r="D720" s="17" t="n">
        <v>1065</v>
      </c>
      <c r="E720" s="17" t="n">
        <v>118</v>
      </c>
      <c r="F720" s="17" t="n">
        <v>228</v>
      </c>
      <c r="G720" s="17" t="inlineStr">
        <is>
          <t>Delhi NCR</t>
        </is>
      </c>
      <c r="H720" s="17" t="inlineStr">
        <is>
          <t>North Indian</t>
        </is>
      </c>
      <c r="I720" s="22" t="n">
        <v>911</v>
      </c>
      <c r="J720" s="22" t="n">
        <v>0</v>
      </c>
      <c r="K720" s="22" t="n">
        <v>25</v>
      </c>
      <c r="L720" s="23" t="n">
        <v>0.2</v>
      </c>
      <c r="M720" s="22" t="n">
        <v>188.45</v>
      </c>
      <c r="N720" s="24" t="n">
        <v>3</v>
      </c>
      <c r="O720" s="24" t="n">
        <v>30.4</v>
      </c>
      <c r="P720" s="17" t="inlineStr">
        <is>
          <t>Credit Card</t>
        </is>
      </c>
      <c r="Q720" s="17" t="inlineStr">
        <is>
          <t>Delivered</t>
        </is>
      </c>
      <c r="R720" s="17" t="n">
        <v>3</v>
      </c>
      <c r="S720" s="17">
        <f>TEXT(B720,"yyyy-mm")</f>
        <v/>
      </c>
      <c r="T720" s="17">
        <f>VLOOKUP(D720,Customers!A:D,4,FALSE)</f>
        <v/>
      </c>
      <c r="U720" s="17">
        <f>CONCATENATE(A720,"-",G720)</f>
        <v/>
      </c>
      <c r="V720" s="17">
        <f>IF(N720="","",IF(N720&lt;=30,"Fast (&lt;30m)",IF(N720&lt;=45,"Moderate (30-45m)","Delayed (&gt;45m)")))</f>
        <v/>
      </c>
      <c r="W720" s="17">
        <f>IF(AND(I720&gt;600,P720="Delivered"),"High Value Delivered","Standard")</f>
        <v/>
      </c>
      <c r="X720" s="17">
        <f>IF(OR(N720&gt;50,Q720&lt;=2),"High Risk / Delayed","Normal")</f>
        <v/>
      </c>
      <c r="Y720" s="17">
        <f>IF(NOT(P720="Cancelled"),"Fulfilled","Cancelled")</f>
        <v/>
      </c>
      <c r="Z720" s="17">
        <f>IFERROR(Q720,0)</f>
        <v/>
      </c>
    </row>
    <row r="721">
      <c r="A721" s="25" t="inlineStr">
        <is>
          <t>ORD1720</t>
        </is>
      </c>
      <c r="B721" s="25" t="inlineStr">
        <is>
          <t>2025-04-08</t>
        </is>
      </c>
      <c r="C721" s="25" t="inlineStr">
        <is>
          <t>16:07:52</t>
        </is>
      </c>
      <c r="D721" s="25" t="n">
        <v>1118</v>
      </c>
      <c r="E721" s="25" t="n">
        <v>108</v>
      </c>
      <c r="F721" s="25" t="n">
        <v>219</v>
      </c>
      <c r="G721" s="25" t="inlineStr">
        <is>
          <t>Delhi NCR</t>
        </is>
      </c>
      <c r="H721" s="25" t="inlineStr">
        <is>
          <t>Fast Food</t>
        </is>
      </c>
      <c r="I721" s="26" t="n">
        <v>236</v>
      </c>
      <c r="J721" s="26" t="n">
        <v>3.55</v>
      </c>
      <c r="K721" s="26" t="n">
        <v>39</v>
      </c>
      <c r="L721" s="27" t="n">
        <v>0.18</v>
      </c>
      <c r="M721" s="26" t="n">
        <v>52.23</v>
      </c>
      <c r="N721" s="28" t="n">
        <v>5.8</v>
      </c>
      <c r="O721" s="28" t="n">
        <v>40.7</v>
      </c>
      <c r="P721" s="25" t="inlineStr">
        <is>
          <t>Cash on Delivery</t>
        </is>
      </c>
      <c r="Q721" s="25" t="inlineStr">
        <is>
          <t>Delivered</t>
        </is>
      </c>
      <c r="R721" s="25" t="n">
        <v>3</v>
      </c>
      <c r="S721" s="25">
        <f>TEXT(B721,"yyyy-mm")</f>
        <v/>
      </c>
      <c r="T721" s="25">
        <f>VLOOKUP(D721,Customers!A:D,4,FALSE)</f>
        <v/>
      </c>
      <c r="U721" s="25">
        <f>CONCATENATE(A721,"-",G721)</f>
        <v/>
      </c>
      <c r="V721" s="25">
        <f>IF(N721="","",IF(N721&lt;=30,"Fast (&lt;30m)",IF(N721&lt;=45,"Moderate (30-45m)","Delayed (&gt;45m)")))</f>
        <v/>
      </c>
      <c r="W721" s="25">
        <f>IF(AND(I721&gt;600,P721="Delivered"),"High Value Delivered","Standard")</f>
        <v/>
      </c>
      <c r="X721" s="25">
        <f>IF(OR(N721&gt;50,Q721&lt;=2),"High Risk / Delayed","Normal")</f>
        <v/>
      </c>
      <c r="Y721" s="25">
        <f>IF(NOT(P721="Cancelled"),"Fulfilled","Cancelled")</f>
        <v/>
      </c>
      <c r="Z721" s="25">
        <f>IFERROR(Q721,0)</f>
        <v/>
      </c>
    </row>
    <row r="722">
      <c r="A722" s="17" t="inlineStr">
        <is>
          <t>ORD1721</t>
        </is>
      </c>
      <c r="B722" s="17" t="inlineStr">
        <is>
          <t>2025-11-17</t>
        </is>
      </c>
      <c r="C722" s="17" t="inlineStr">
        <is>
          <t>13:54:50</t>
        </is>
      </c>
      <c r="D722" s="17" t="n">
        <v>1177</v>
      </c>
      <c r="E722" s="17" t="n">
        <v>112</v>
      </c>
      <c r="F722" s="17" t="n">
        <v>230</v>
      </c>
      <c r="G722" s="17" t="inlineStr">
        <is>
          <t>Delhi NCR</t>
        </is>
      </c>
      <c r="H722" s="17" t="inlineStr">
        <is>
          <t>North Indian</t>
        </is>
      </c>
      <c r="I722" s="22" t="n">
        <v>771</v>
      </c>
      <c r="J722" s="22" t="n">
        <v>48.85</v>
      </c>
      <c r="K722" s="22" t="n">
        <v>28</v>
      </c>
      <c r="L722" s="23" t="n">
        <v>0.22</v>
      </c>
      <c r="M722" s="22" t="n">
        <v>176.62</v>
      </c>
      <c r="N722" s="24" t="n">
        <v>3.6</v>
      </c>
      <c r="O722" s="24" t="n">
        <v>34</v>
      </c>
      <c r="P722" s="17" t="inlineStr">
        <is>
          <t>Cash on Delivery</t>
        </is>
      </c>
      <c r="Q722" s="17" t="inlineStr">
        <is>
          <t>Delivered</t>
        </is>
      </c>
      <c r="R722" s="17" t="n">
        <v>5</v>
      </c>
      <c r="S722" s="17">
        <f>TEXT(B722,"yyyy-mm")</f>
        <v/>
      </c>
      <c r="T722" s="17">
        <f>VLOOKUP(D722,Customers!A:D,4,FALSE)</f>
        <v/>
      </c>
      <c r="U722" s="17">
        <f>CONCATENATE(A722,"-",G722)</f>
        <v/>
      </c>
      <c r="V722" s="17">
        <f>IF(N722="","",IF(N722&lt;=30,"Fast (&lt;30m)",IF(N722&lt;=45,"Moderate (30-45m)","Delayed (&gt;45m)")))</f>
        <v/>
      </c>
      <c r="W722" s="17">
        <f>IF(AND(I722&gt;600,P722="Delivered"),"High Value Delivered","Standard")</f>
        <v/>
      </c>
      <c r="X722" s="17">
        <f>IF(OR(N722&gt;50,Q722&lt;=2),"High Risk / Delayed","Normal")</f>
        <v/>
      </c>
      <c r="Y722" s="17">
        <f>IF(NOT(P722="Cancelled"),"Fulfilled","Cancelled")</f>
        <v/>
      </c>
      <c r="Z722" s="17">
        <f>IFERROR(Q722,0)</f>
        <v/>
      </c>
    </row>
    <row r="723">
      <c r="A723" s="25" t="inlineStr">
        <is>
          <t>ORD1722</t>
        </is>
      </c>
      <c r="B723" s="25" t="inlineStr">
        <is>
          <t>2025-08-05</t>
        </is>
      </c>
      <c r="C723" s="25" t="inlineStr">
        <is>
          <t>21:01:07</t>
        </is>
      </c>
      <c r="D723" s="25" t="n">
        <v>1218</v>
      </c>
      <c r="E723" s="25" t="n">
        <v>108</v>
      </c>
      <c r="F723" s="25" t="n">
        <v>230</v>
      </c>
      <c r="G723" s="25" t="inlineStr">
        <is>
          <t>Delhi NCR</t>
        </is>
      </c>
      <c r="H723" s="25" t="inlineStr">
        <is>
          <t>Fast Food</t>
        </is>
      </c>
      <c r="I723" s="26" t="n">
        <v>390</v>
      </c>
      <c r="J723" s="26" t="n">
        <v>44.14</v>
      </c>
      <c r="K723" s="26" t="n">
        <v>25</v>
      </c>
      <c r="L723" s="27" t="n">
        <v>0.18</v>
      </c>
      <c r="M723" s="26" t="n">
        <v>76.45</v>
      </c>
      <c r="N723" s="28" t="n">
        <v>1.8</v>
      </c>
      <c r="O723" s="28" t="n">
        <v>26.6</v>
      </c>
      <c r="P723" s="25" t="inlineStr">
        <is>
          <t>Cash on Delivery</t>
        </is>
      </c>
      <c r="Q723" s="25" t="inlineStr">
        <is>
          <t>Delivered</t>
        </is>
      </c>
      <c r="R723" s="25" t="n">
        <v>4</v>
      </c>
      <c r="S723" s="25">
        <f>TEXT(B723,"yyyy-mm")</f>
        <v/>
      </c>
      <c r="T723" s="25">
        <f>VLOOKUP(D723,Customers!A:D,4,FALSE)</f>
        <v/>
      </c>
      <c r="U723" s="25">
        <f>CONCATENATE(A723,"-",G723)</f>
        <v/>
      </c>
      <c r="V723" s="25">
        <f>IF(N723="","",IF(N723&lt;=30,"Fast (&lt;30m)",IF(N723&lt;=45,"Moderate (30-45m)","Delayed (&gt;45m)")))</f>
        <v/>
      </c>
      <c r="W723" s="25">
        <f>IF(AND(I723&gt;600,P723="Delivered"),"High Value Delivered","Standard")</f>
        <v/>
      </c>
      <c r="X723" s="25">
        <f>IF(OR(N723&gt;50,Q723&lt;=2),"High Risk / Delayed","Normal")</f>
        <v/>
      </c>
      <c r="Y723" s="25">
        <f>IF(NOT(P723="Cancelled"),"Fulfilled","Cancelled")</f>
        <v/>
      </c>
      <c r="Z723" s="25">
        <f>IFERROR(Q723,0)</f>
        <v/>
      </c>
    </row>
    <row r="724">
      <c r="A724" s="17" t="inlineStr">
        <is>
          <t>ORD1723</t>
        </is>
      </c>
      <c r="B724" s="17" t="inlineStr">
        <is>
          <t>2025-08-19</t>
        </is>
      </c>
      <c r="C724" s="17" t="inlineStr">
        <is>
          <t>17:37:15</t>
        </is>
      </c>
      <c r="D724" s="17" t="n">
        <v>1123</v>
      </c>
      <c r="E724" s="17" t="n">
        <v>101</v>
      </c>
      <c r="F724" s="17" t="n">
        <v>205</v>
      </c>
      <c r="G724" s="17" t="inlineStr">
        <is>
          <t>Bangalore</t>
        </is>
      </c>
      <c r="H724" s="17" t="inlineStr">
        <is>
          <t>North Indian</t>
        </is>
      </c>
      <c r="I724" s="22" t="n">
        <v>426</v>
      </c>
      <c r="J724" s="22" t="n">
        <v>0</v>
      </c>
      <c r="K724" s="22" t="n">
        <v>34</v>
      </c>
      <c r="L724" s="23" t="n">
        <v>0.2</v>
      </c>
      <c r="M724" s="22" t="n">
        <v>93.7</v>
      </c>
      <c r="N724" s="24" t="n">
        <v>4.8</v>
      </c>
      <c r="O724" s="24" t="n">
        <v>40.2</v>
      </c>
      <c r="P724" s="17" t="inlineStr">
        <is>
          <t>Cash on Delivery</t>
        </is>
      </c>
      <c r="Q724" s="17" t="inlineStr">
        <is>
          <t>Delivered</t>
        </is>
      </c>
      <c r="R724" s="17" t="n">
        <v>3</v>
      </c>
      <c r="S724" s="17">
        <f>TEXT(B724,"yyyy-mm")</f>
        <v/>
      </c>
      <c r="T724" s="17">
        <f>VLOOKUP(D724,Customers!A:D,4,FALSE)</f>
        <v/>
      </c>
      <c r="U724" s="17">
        <f>CONCATENATE(A724,"-",G724)</f>
        <v/>
      </c>
      <c r="V724" s="17">
        <f>IF(N724="","",IF(N724&lt;=30,"Fast (&lt;30m)",IF(N724&lt;=45,"Moderate (30-45m)","Delayed (&gt;45m)")))</f>
        <v/>
      </c>
      <c r="W724" s="17">
        <f>IF(AND(I724&gt;600,P724="Delivered"),"High Value Delivered","Standard")</f>
        <v/>
      </c>
      <c r="X724" s="17">
        <f>IF(OR(N724&gt;50,Q724&lt;=2),"High Risk / Delayed","Normal")</f>
        <v/>
      </c>
      <c r="Y724" s="17">
        <f>IF(NOT(P724="Cancelled"),"Fulfilled","Cancelled")</f>
        <v/>
      </c>
      <c r="Z724" s="17">
        <f>IFERROR(Q724,0)</f>
        <v/>
      </c>
    </row>
    <row r="725">
      <c r="A725" s="25" t="inlineStr">
        <is>
          <t>ORD1724</t>
        </is>
      </c>
      <c r="B725" s="25" t="inlineStr">
        <is>
          <t>2025-01-05</t>
        </is>
      </c>
      <c r="C725" s="25" t="inlineStr">
        <is>
          <t>23:06:40</t>
        </is>
      </c>
      <c r="D725" s="25" t="n">
        <v>1140</v>
      </c>
      <c r="E725" s="25" t="n">
        <v>116</v>
      </c>
      <c r="F725" s="25" t="n">
        <v>208</v>
      </c>
      <c r="G725" s="25" t="inlineStr">
        <is>
          <t>Pune</t>
        </is>
      </c>
      <c r="H725" s="25" t="inlineStr">
        <is>
          <t>Desserts</t>
        </is>
      </c>
      <c r="I725" s="26" t="n">
        <v>1160</v>
      </c>
      <c r="J725" s="26" t="n">
        <v>229.62</v>
      </c>
      <c r="K725" s="26" t="n">
        <v>0</v>
      </c>
      <c r="L725" s="27" t="n">
        <v>0.25</v>
      </c>
      <c r="M725" s="26" t="n">
        <v>290</v>
      </c>
      <c r="N725" s="28" t="n">
        <v>5.1</v>
      </c>
      <c r="O725" s="28" t="n">
        <v>35.6</v>
      </c>
      <c r="P725" s="25" t="inlineStr">
        <is>
          <t>Digital Wallet</t>
        </is>
      </c>
      <c r="Q725" s="25" t="inlineStr">
        <is>
          <t>Delivered</t>
        </is>
      </c>
      <c r="R725" s="25" t="n">
        <v>5</v>
      </c>
      <c r="S725" s="25">
        <f>TEXT(B725,"yyyy-mm")</f>
        <v/>
      </c>
      <c r="T725" s="25">
        <f>VLOOKUP(D725,Customers!A:D,4,FALSE)</f>
        <v/>
      </c>
      <c r="U725" s="25">
        <f>CONCATENATE(A725,"-",G725)</f>
        <v/>
      </c>
      <c r="V725" s="25">
        <f>IF(N725="","",IF(N725&lt;=30,"Fast (&lt;30m)",IF(N725&lt;=45,"Moderate (30-45m)","Delayed (&gt;45m)")))</f>
        <v/>
      </c>
      <c r="W725" s="25">
        <f>IF(AND(I725&gt;600,P725="Delivered"),"High Value Delivered","Standard")</f>
        <v/>
      </c>
      <c r="X725" s="25">
        <f>IF(OR(N725&gt;50,Q725&lt;=2),"High Risk / Delayed","Normal")</f>
        <v/>
      </c>
      <c r="Y725" s="25">
        <f>IF(NOT(P725="Cancelled"),"Fulfilled","Cancelled")</f>
        <v/>
      </c>
      <c r="Z725" s="25">
        <f>IFERROR(Q725,0)</f>
        <v/>
      </c>
    </row>
    <row r="726">
      <c r="A726" s="17" t="inlineStr">
        <is>
          <t>ORD1725</t>
        </is>
      </c>
      <c r="B726" s="17" t="inlineStr">
        <is>
          <t>2025-07-24</t>
        </is>
      </c>
      <c r="C726" s="17" t="inlineStr">
        <is>
          <t>18:31:32</t>
        </is>
      </c>
      <c r="D726" s="17" t="n">
        <v>1237</v>
      </c>
      <c r="E726" s="17" t="n">
        <v>104</v>
      </c>
      <c r="F726" s="17" t="n">
        <v>211</v>
      </c>
      <c r="G726" s="17" t="inlineStr">
        <is>
          <t>Delhi NCR</t>
        </is>
      </c>
      <c r="H726" s="17" t="inlineStr">
        <is>
          <t>Fast Food</t>
        </is>
      </c>
      <c r="I726" s="22" t="n">
        <v>825</v>
      </c>
      <c r="J726" s="22" t="n">
        <v>61.73</v>
      </c>
      <c r="K726" s="22" t="n">
        <v>34.5</v>
      </c>
      <c r="L726" s="23" t="n">
        <v>0.18</v>
      </c>
      <c r="M726" s="22" t="n">
        <v>157.12</v>
      </c>
      <c r="N726" s="24" t="n">
        <v>4.9</v>
      </c>
      <c r="O726" s="24" t="n">
        <v>37.7</v>
      </c>
      <c r="P726" s="17" t="inlineStr">
        <is>
          <t>Cash on Delivery</t>
        </is>
      </c>
      <c r="Q726" s="17" t="inlineStr">
        <is>
          <t>Delivered</t>
        </is>
      </c>
      <c r="R726" s="17" t="n">
        <v>5</v>
      </c>
      <c r="S726" s="17">
        <f>TEXT(B726,"yyyy-mm")</f>
        <v/>
      </c>
      <c r="T726" s="17">
        <f>VLOOKUP(D726,Customers!A:D,4,FALSE)</f>
        <v/>
      </c>
      <c r="U726" s="17">
        <f>CONCATENATE(A726,"-",G726)</f>
        <v/>
      </c>
      <c r="V726" s="17">
        <f>IF(N726="","",IF(N726&lt;=30,"Fast (&lt;30m)",IF(N726&lt;=45,"Moderate (30-45m)","Delayed (&gt;45m)")))</f>
        <v/>
      </c>
      <c r="W726" s="17">
        <f>IF(AND(I726&gt;600,P726="Delivered"),"High Value Delivered","Standard")</f>
        <v/>
      </c>
      <c r="X726" s="17">
        <f>IF(OR(N726&gt;50,Q726&lt;=2),"High Risk / Delayed","Normal")</f>
        <v/>
      </c>
      <c r="Y726" s="17">
        <f>IF(NOT(P726="Cancelled"),"Fulfilled","Cancelled")</f>
        <v/>
      </c>
      <c r="Z726" s="17">
        <f>IFERROR(Q726,0)</f>
        <v/>
      </c>
    </row>
    <row r="727">
      <c r="A727" s="25" t="inlineStr">
        <is>
          <t>ORD1726</t>
        </is>
      </c>
      <c r="B727" s="25" t="inlineStr">
        <is>
          <t>2025-09-28</t>
        </is>
      </c>
      <c r="C727" s="25" t="inlineStr">
        <is>
          <t>11:01:27</t>
        </is>
      </c>
      <c r="D727" s="25" t="n">
        <v>1004</v>
      </c>
      <c r="E727" s="25" t="n">
        <v>106</v>
      </c>
      <c r="F727" s="25" t="n">
        <v>208</v>
      </c>
      <c r="G727" s="25" t="inlineStr">
        <is>
          <t>Pune</t>
        </is>
      </c>
      <c r="H727" s="25" t="inlineStr">
        <is>
          <t>South Indian</t>
        </is>
      </c>
      <c r="I727" s="26" t="n">
        <v>810</v>
      </c>
      <c r="J727" s="26" t="n">
        <v>0</v>
      </c>
      <c r="K727" s="26" t="n">
        <v>25</v>
      </c>
      <c r="L727" s="27" t="n">
        <v>0.15</v>
      </c>
      <c r="M727" s="26" t="n">
        <v>127.75</v>
      </c>
      <c r="N727" s="28" t="n">
        <v>2.6</v>
      </c>
      <c r="O727" s="28" t="n">
        <v>28</v>
      </c>
      <c r="P727" s="25" t="inlineStr">
        <is>
          <t>Cash on Delivery</t>
        </is>
      </c>
      <c r="Q727" s="25" t="inlineStr">
        <is>
          <t>Delivered</t>
        </is>
      </c>
      <c r="R727" s="25" t="n">
        <v>4</v>
      </c>
      <c r="S727" s="25">
        <f>TEXT(B727,"yyyy-mm")</f>
        <v/>
      </c>
      <c r="T727" s="25">
        <f>VLOOKUP(D727,Customers!A:D,4,FALSE)</f>
        <v/>
      </c>
      <c r="U727" s="25">
        <f>CONCATENATE(A727,"-",G727)</f>
        <v/>
      </c>
      <c r="V727" s="25">
        <f>IF(N727="","",IF(N727&lt;=30,"Fast (&lt;30m)",IF(N727&lt;=45,"Moderate (30-45m)","Delayed (&gt;45m)")))</f>
        <v/>
      </c>
      <c r="W727" s="25">
        <f>IF(AND(I727&gt;600,P727="Delivered"),"High Value Delivered","Standard")</f>
        <v/>
      </c>
      <c r="X727" s="25">
        <f>IF(OR(N727&gt;50,Q727&lt;=2),"High Risk / Delayed","Normal")</f>
        <v/>
      </c>
      <c r="Y727" s="25">
        <f>IF(NOT(P727="Cancelled"),"Fulfilled","Cancelled")</f>
        <v/>
      </c>
      <c r="Z727" s="25">
        <f>IFERROR(Q727,0)</f>
        <v/>
      </c>
    </row>
    <row r="728">
      <c r="A728" s="17" t="inlineStr">
        <is>
          <t>ORD1727</t>
        </is>
      </c>
      <c r="B728" s="17" t="inlineStr">
        <is>
          <t>2025-11-15</t>
        </is>
      </c>
      <c r="C728" s="17" t="inlineStr">
        <is>
          <t>22:41:22</t>
        </is>
      </c>
      <c r="D728" s="17" t="n">
        <v>1279</v>
      </c>
      <c r="E728" s="17" t="n">
        <v>118</v>
      </c>
      <c r="F728" s="17" t="n">
        <v>230</v>
      </c>
      <c r="G728" s="17" t="inlineStr">
        <is>
          <t>Delhi NCR</t>
        </is>
      </c>
      <c r="H728" s="17" t="inlineStr">
        <is>
          <t>North Indian</t>
        </is>
      </c>
      <c r="I728" s="22" t="n">
        <v>679</v>
      </c>
      <c r="J728" s="22" t="n">
        <v>67.09999999999999</v>
      </c>
      <c r="K728" s="22" t="n">
        <v>26.5</v>
      </c>
      <c r="L728" s="23" t="n">
        <v>0.2</v>
      </c>
      <c r="M728" s="22" t="n">
        <v>142.43</v>
      </c>
      <c r="N728" s="24" t="n">
        <v>3.3</v>
      </c>
      <c r="O728" s="24" t="n">
        <v>21.9</v>
      </c>
      <c r="P728" s="17" t="inlineStr">
        <is>
          <t>Debit Card</t>
        </is>
      </c>
      <c r="Q728" s="17" t="inlineStr">
        <is>
          <t>Delivered</t>
        </is>
      </c>
      <c r="R728" s="17" t="n">
        <v>5</v>
      </c>
      <c r="S728" s="17">
        <f>TEXT(B728,"yyyy-mm")</f>
        <v/>
      </c>
      <c r="T728" s="17">
        <f>VLOOKUP(D728,Customers!A:D,4,FALSE)</f>
        <v/>
      </c>
      <c r="U728" s="17">
        <f>CONCATENATE(A728,"-",G728)</f>
        <v/>
      </c>
      <c r="V728" s="17">
        <f>IF(N728="","",IF(N728&lt;=30,"Fast (&lt;30m)",IF(N728&lt;=45,"Moderate (30-45m)","Delayed (&gt;45m)")))</f>
        <v/>
      </c>
      <c r="W728" s="17">
        <f>IF(AND(I728&gt;600,P728="Delivered"),"High Value Delivered","Standard")</f>
        <v/>
      </c>
      <c r="X728" s="17">
        <f>IF(OR(N728&gt;50,Q728&lt;=2),"High Risk / Delayed","Normal")</f>
        <v/>
      </c>
      <c r="Y728" s="17">
        <f>IF(NOT(P728="Cancelled"),"Fulfilled","Cancelled")</f>
        <v/>
      </c>
      <c r="Z728" s="17">
        <f>IFERROR(Q728,0)</f>
        <v/>
      </c>
    </row>
    <row r="729">
      <c r="A729" s="25" t="inlineStr">
        <is>
          <t>ORD1728</t>
        </is>
      </c>
      <c r="B729" s="25" t="inlineStr">
        <is>
          <t>2025-08-13</t>
        </is>
      </c>
      <c r="C729" s="25" t="inlineStr">
        <is>
          <t>19:14:32</t>
        </is>
      </c>
      <c r="D729" s="25" t="n">
        <v>1216</v>
      </c>
      <c r="E729" s="25" t="n">
        <v>106</v>
      </c>
      <c r="F729" s="25" t="n">
        <v>204</v>
      </c>
      <c r="G729" s="25" t="inlineStr">
        <is>
          <t>Pune</t>
        </is>
      </c>
      <c r="H729" s="25" t="inlineStr">
        <is>
          <t>South Indian</t>
        </is>
      </c>
      <c r="I729" s="26" t="n">
        <v>444</v>
      </c>
      <c r="J729" s="26" t="n">
        <v>24.33</v>
      </c>
      <c r="K729" s="26" t="n">
        <v>25</v>
      </c>
      <c r="L729" s="27" t="n">
        <v>0.15</v>
      </c>
      <c r="M729" s="26" t="n">
        <v>72.84999999999999</v>
      </c>
      <c r="N729" s="28" t="n">
        <v>3</v>
      </c>
      <c r="O729" s="28" t="n">
        <v>32.6</v>
      </c>
      <c r="P729" s="25" t="inlineStr">
        <is>
          <t>Cash on Delivery</t>
        </is>
      </c>
      <c r="Q729" s="25" t="inlineStr">
        <is>
          <t>Delivered</t>
        </is>
      </c>
      <c r="R729" s="25" t="n">
        <v>3</v>
      </c>
      <c r="S729" s="25">
        <f>TEXT(B729,"yyyy-mm")</f>
        <v/>
      </c>
      <c r="T729" s="25">
        <f>VLOOKUP(D729,Customers!A:D,4,FALSE)</f>
        <v/>
      </c>
      <c r="U729" s="25">
        <f>CONCATENATE(A729,"-",G729)</f>
        <v/>
      </c>
      <c r="V729" s="25">
        <f>IF(N729="","",IF(N729&lt;=30,"Fast (&lt;30m)",IF(N729&lt;=45,"Moderate (30-45m)","Delayed (&gt;45m)")))</f>
        <v/>
      </c>
      <c r="W729" s="25">
        <f>IF(AND(I729&gt;600,P729="Delivered"),"High Value Delivered","Standard")</f>
        <v/>
      </c>
      <c r="X729" s="25">
        <f>IF(OR(N729&gt;50,Q729&lt;=2),"High Risk / Delayed","Normal")</f>
        <v/>
      </c>
      <c r="Y729" s="25">
        <f>IF(NOT(P729="Cancelled"),"Fulfilled","Cancelled")</f>
        <v/>
      </c>
      <c r="Z729" s="25">
        <f>IFERROR(Q729,0)</f>
        <v/>
      </c>
    </row>
    <row r="730">
      <c r="A730" s="17" t="inlineStr">
        <is>
          <t>ORD1729</t>
        </is>
      </c>
      <c r="B730" s="17" t="inlineStr">
        <is>
          <t>2025-12-31</t>
        </is>
      </c>
      <c r="C730" s="17" t="inlineStr">
        <is>
          <t>11:24:26</t>
        </is>
      </c>
      <c r="D730" s="17" t="n">
        <v>1280</v>
      </c>
      <c r="E730" s="17" t="n">
        <v>110</v>
      </c>
      <c r="F730" s="17" t="n">
        <v>208</v>
      </c>
      <c r="G730" s="17" t="inlineStr">
        <is>
          <t>Pune</t>
        </is>
      </c>
      <c r="H730" s="17" t="inlineStr">
        <is>
          <t>North Indian</t>
        </is>
      </c>
      <c r="I730" s="22" t="n">
        <v>909</v>
      </c>
      <c r="J730" s="22" t="n">
        <v>86.97</v>
      </c>
      <c r="K730" s="22" t="n">
        <v>25</v>
      </c>
      <c r="L730" s="23" t="n">
        <v>0.18</v>
      </c>
      <c r="M730" s="22" t="n">
        <v>169.87</v>
      </c>
      <c r="N730" s="24" t="n">
        <v>2.5</v>
      </c>
      <c r="O730" s="24" t="n">
        <v>22.6</v>
      </c>
      <c r="P730" s="17" t="inlineStr">
        <is>
          <t>Cash on Delivery</t>
        </is>
      </c>
      <c r="Q730" s="17" t="inlineStr">
        <is>
          <t>Delivered</t>
        </is>
      </c>
      <c r="R730" s="17" t="n">
        <v>4</v>
      </c>
      <c r="S730" s="17">
        <f>TEXT(B730,"yyyy-mm")</f>
        <v/>
      </c>
      <c r="T730" s="17">
        <f>VLOOKUP(D730,Customers!A:D,4,FALSE)</f>
        <v/>
      </c>
      <c r="U730" s="17">
        <f>CONCATENATE(A730,"-",G730)</f>
        <v/>
      </c>
      <c r="V730" s="17">
        <f>IF(N730="","",IF(N730&lt;=30,"Fast (&lt;30m)",IF(N730&lt;=45,"Moderate (30-45m)","Delayed (&gt;45m)")))</f>
        <v/>
      </c>
      <c r="W730" s="17">
        <f>IF(AND(I730&gt;600,P730="Delivered"),"High Value Delivered","Standard")</f>
        <v/>
      </c>
      <c r="X730" s="17">
        <f>IF(OR(N730&gt;50,Q730&lt;=2),"High Risk / Delayed","Normal")</f>
        <v/>
      </c>
      <c r="Y730" s="17">
        <f>IF(NOT(P730="Cancelled"),"Fulfilled","Cancelled")</f>
        <v/>
      </c>
      <c r="Z730" s="17">
        <f>IFERROR(Q730,0)</f>
        <v/>
      </c>
    </row>
    <row r="731">
      <c r="A731" s="25" t="inlineStr">
        <is>
          <t>ORD1730</t>
        </is>
      </c>
      <c r="B731" s="25" t="inlineStr">
        <is>
          <t>2025-05-25</t>
        </is>
      </c>
      <c r="C731" s="25" t="inlineStr">
        <is>
          <t>20:44:47</t>
        </is>
      </c>
      <c r="D731" s="25" t="n">
        <v>1253</v>
      </c>
      <c r="E731" s="25" t="n">
        <v>102</v>
      </c>
      <c r="F731" s="25" t="n">
        <v>225</v>
      </c>
      <c r="G731" s="25" t="inlineStr">
        <is>
          <t>Hyderabad</t>
        </is>
      </c>
      <c r="H731" s="25" t="inlineStr">
        <is>
          <t>Biryani</t>
        </is>
      </c>
      <c r="I731" s="26" t="n">
        <v>578</v>
      </c>
      <c r="J731" s="26" t="n">
        <v>85.70999999999999</v>
      </c>
      <c r="K731" s="26" t="n">
        <v>0</v>
      </c>
      <c r="L731" s="27" t="n">
        <v>0.22</v>
      </c>
      <c r="M731" s="26" t="n">
        <v>127.16</v>
      </c>
      <c r="N731" s="28" t="n">
        <v>4.3</v>
      </c>
      <c r="O731" s="28" t="n">
        <v>36.9</v>
      </c>
      <c r="P731" s="25" t="inlineStr">
        <is>
          <t>Credit Card</t>
        </is>
      </c>
      <c r="Q731" s="25" t="inlineStr">
        <is>
          <t>Delivered</t>
        </is>
      </c>
      <c r="R731" s="25" t="n">
        <v>5</v>
      </c>
      <c r="S731" s="25">
        <f>TEXT(B731,"yyyy-mm")</f>
        <v/>
      </c>
      <c r="T731" s="25">
        <f>VLOOKUP(D731,Customers!A:D,4,FALSE)</f>
        <v/>
      </c>
      <c r="U731" s="25">
        <f>CONCATENATE(A731,"-",G731)</f>
        <v/>
      </c>
      <c r="V731" s="25">
        <f>IF(N731="","",IF(N731&lt;=30,"Fast (&lt;30m)",IF(N731&lt;=45,"Moderate (30-45m)","Delayed (&gt;45m)")))</f>
        <v/>
      </c>
      <c r="W731" s="25">
        <f>IF(AND(I731&gt;600,P731="Delivered"),"High Value Delivered","Standard")</f>
        <v/>
      </c>
      <c r="X731" s="25">
        <f>IF(OR(N731&gt;50,Q731&lt;=2),"High Risk / Delayed","Normal")</f>
        <v/>
      </c>
      <c r="Y731" s="25">
        <f>IF(NOT(P731="Cancelled"),"Fulfilled","Cancelled")</f>
        <v/>
      </c>
      <c r="Z731" s="25">
        <f>IFERROR(Q731,0)</f>
        <v/>
      </c>
    </row>
    <row r="732">
      <c r="A732" s="17" t="inlineStr">
        <is>
          <t>ORD1731</t>
        </is>
      </c>
      <c r="B732" s="17" t="inlineStr">
        <is>
          <t>2025-09-10</t>
        </is>
      </c>
      <c r="C732" s="17" t="inlineStr">
        <is>
          <t>16:19:15</t>
        </is>
      </c>
      <c r="D732" s="17" t="n">
        <v>1079</v>
      </c>
      <c r="E732" s="17" t="n">
        <v>105</v>
      </c>
      <c r="F732" s="17" t="n">
        <v>203</v>
      </c>
      <c r="G732" s="17" t="inlineStr">
        <is>
          <t>Bangalore</t>
        </is>
      </c>
      <c r="H732" s="17" t="inlineStr">
        <is>
          <t>Chinese</t>
        </is>
      </c>
      <c r="I732" s="22" t="n">
        <v>434</v>
      </c>
      <c r="J732" s="22" t="n">
        <v>34.69</v>
      </c>
      <c r="K732" s="22" t="n">
        <v>34.5</v>
      </c>
      <c r="L732" s="23" t="n">
        <v>0.2</v>
      </c>
      <c r="M732" s="22" t="n">
        <v>95.43000000000001</v>
      </c>
      <c r="N732" s="24" t="n">
        <v>4.9</v>
      </c>
      <c r="O732" s="24" t="n">
        <v>29.4</v>
      </c>
      <c r="P732" s="17" t="inlineStr">
        <is>
          <t>Debit Card</t>
        </is>
      </c>
      <c r="Q732" s="17" t="inlineStr">
        <is>
          <t>Delivered</t>
        </is>
      </c>
      <c r="R732" s="17" t="n">
        <v>4</v>
      </c>
      <c r="S732" s="17">
        <f>TEXT(B732,"yyyy-mm")</f>
        <v/>
      </c>
      <c r="T732" s="17">
        <f>VLOOKUP(D732,Customers!A:D,4,FALSE)</f>
        <v/>
      </c>
      <c r="U732" s="17">
        <f>CONCATENATE(A732,"-",G732)</f>
        <v/>
      </c>
      <c r="V732" s="17">
        <f>IF(N732="","",IF(N732&lt;=30,"Fast (&lt;30m)",IF(N732&lt;=45,"Moderate (30-45m)","Delayed (&gt;45m)")))</f>
        <v/>
      </c>
      <c r="W732" s="17">
        <f>IF(AND(I732&gt;600,P732="Delivered"),"High Value Delivered","Standard")</f>
        <v/>
      </c>
      <c r="X732" s="17">
        <f>IF(OR(N732&gt;50,Q732&lt;=2),"High Risk / Delayed","Normal")</f>
        <v/>
      </c>
      <c r="Y732" s="17">
        <f>IF(NOT(P732="Cancelled"),"Fulfilled","Cancelled")</f>
        <v/>
      </c>
      <c r="Z732" s="17">
        <f>IFERROR(Q732,0)</f>
        <v/>
      </c>
    </row>
    <row r="733">
      <c r="A733" s="25" t="inlineStr">
        <is>
          <t>ORD1732</t>
        </is>
      </c>
      <c r="B733" s="25" t="inlineStr">
        <is>
          <t>2025-09-15</t>
        </is>
      </c>
      <c r="C733" s="25" t="inlineStr">
        <is>
          <t>23:02:51</t>
        </is>
      </c>
      <c r="D733" s="25" t="n">
        <v>1053</v>
      </c>
      <c r="E733" s="25" t="n">
        <v>109</v>
      </c>
      <c r="F733" s="25" t="n">
        <v>216</v>
      </c>
      <c r="G733" s="25" t="inlineStr">
        <is>
          <t>Hyderabad</t>
        </is>
      </c>
      <c r="H733" s="25" t="inlineStr">
        <is>
          <t>Biryani</t>
        </is>
      </c>
      <c r="I733" s="26" t="n">
        <v>471</v>
      </c>
      <c r="J733" s="26" t="n">
        <v>67.38</v>
      </c>
      <c r="K733" s="26" t="n">
        <v>30.5</v>
      </c>
      <c r="L733" s="27" t="n">
        <v>0.2</v>
      </c>
      <c r="M733" s="26" t="n">
        <v>101.82</v>
      </c>
      <c r="N733" s="28" t="n">
        <v>4.1</v>
      </c>
      <c r="O733" s="28" t="n">
        <v>32.1</v>
      </c>
      <c r="P733" s="25" t="inlineStr">
        <is>
          <t>UPI</t>
        </is>
      </c>
      <c r="Q733" s="25" t="inlineStr">
        <is>
          <t>Delivered</t>
        </is>
      </c>
      <c r="R733" s="25" t="n">
        <v>4</v>
      </c>
      <c r="S733" s="25">
        <f>TEXT(B733,"yyyy-mm")</f>
        <v/>
      </c>
      <c r="T733" s="25">
        <f>VLOOKUP(D733,Customers!A:D,4,FALSE)</f>
        <v/>
      </c>
      <c r="U733" s="25">
        <f>CONCATENATE(A733,"-",G733)</f>
        <v/>
      </c>
      <c r="V733" s="25">
        <f>IF(N733="","",IF(N733&lt;=30,"Fast (&lt;30m)",IF(N733&lt;=45,"Moderate (30-45m)","Delayed (&gt;45m)")))</f>
        <v/>
      </c>
      <c r="W733" s="25">
        <f>IF(AND(I733&gt;600,P733="Delivered"),"High Value Delivered","Standard")</f>
        <v/>
      </c>
      <c r="X733" s="25">
        <f>IF(OR(N733&gt;50,Q733&lt;=2),"High Risk / Delayed","Normal")</f>
        <v/>
      </c>
      <c r="Y733" s="25">
        <f>IF(NOT(P733="Cancelled"),"Fulfilled","Cancelled")</f>
        <v/>
      </c>
      <c r="Z733" s="25">
        <f>IFERROR(Q733,0)</f>
        <v/>
      </c>
    </row>
    <row r="734">
      <c r="A734" s="17" t="inlineStr">
        <is>
          <t>ORD1733</t>
        </is>
      </c>
      <c r="B734" s="17" t="inlineStr">
        <is>
          <t>2025-06-24</t>
        </is>
      </c>
      <c r="C734" s="17" t="inlineStr">
        <is>
          <t>20:50:22</t>
        </is>
      </c>
      <c r="D734" s="17" t="n">
        <v>1283</v>
      </c>
      <c r="E734" s="17" t="n">
        <v>106</v>
      </c>
      <c r="F734" s="17" t="n">
        <v>209</v>
      </c>
      <c r="G734" s="17" t="inlineStr">
        <is>
          <t>Pune</t>
        </is>
      </c>
      <c r="H734" s="17" t="inlineStr">
        <is>
          <t>South Indian</t>
        </is>
      </c>
      <c r="I734" s="22" t="n">
        <v>267</v>
      </c>
      <c r="J734" s="22" t="n">
        <v>11.9</v>
      </c>
      <c r="K734" s="22" t="n">
        <v>48</v>
      </c>
      <c r="L734" s="23" t="n">
        <v>0.15</v>
      </c>
      <c r="M734" s="22" t="n">
        <v>52.05</v>
      </c>
      <c r="N734" s="24" t="n">
        <v>7.6</v>
      </c>
      <c r="O734" s="24" t="n">
        <v>51.2</v>
      </c>
      <c r="P734" s="17" t="inlineStr">
        <is>
          <t>Digital Wallet</t>
        </is>
      </c>
      <c r="Q734" s="17" t="inlineStr">
        <is>
          <t>Delivered</t>
        </is>
      </c>
      <c r="R734" s="17" t="n">
        <v>2</v>
      </c>
      <c r="S734" s="17">
        <f>TEXT(B734,"yyyy-mm")</f>
        <v/>
      </c>
      <c r="T734" s="17">
        <f>VLOOKUP(D734,Customers!A:D,4,FALSE)</f>
        <v/>
      </c>
      <c r="U734" s="17">
        <f>CONCATENATE(A734,"-",G734)</f>
        <v/>
      </c>
      <c r="V734" s="17">
        <f>IF(N734="","",IF(N734&lt;=30,"Fast (&lt;30m)",IF(N734&lt;=45,"Moderate (30-45m)","Delayed (&gt;45m)")))</f>
        <v/>
      </c>
      <c r="W734" s="17">
        <f>IF(AND(I734&gt;600,P734="Delivered"),"High Value Delivered","Standard")</f>
        <v/>
      </c>
      <c r="X734" s="17">
        <f>IF(OR(N734&gt;50,Q734&lt;=2),"High Risk / Delayed","Normal")</f>
        <v/>
      </c>
      <c r="Y734" s="17">
        <f>IF(NOT(P734="Cancelled"),"Fulfilled","Cancelled")</f>
        <v/>
      </c>
      <c r="Z734" s="17">
        <f>IFERROR(Q734,0)</f>
        <v/>
      </c>
    </row>
    <row r="735">
      <c r="A735" s="25" t="inlineStr">
        <is>
          <t>ORD1734</t>
        </is>
      </c>
      <c r="B735" s="25" t="inlineStr">
        <is>
          <t>2025-08-23</t>
        </is>
      </c>
      <c r="C735" s="25" t="inlineStr">
        <is>
          <t>12:53:48</t>
        </is>
      </c>
      <c r="D735" s="25" t="n">
        <v>1241</v>
      </c>
      <c r="E735" s="25" t="n">
        <v>114</v>
      </c>
      <c r="F735" s="25" t="n">
        <v>216</v>
      </c>
      <c r="G735" s="25" t="inlineStr">
        <is>
          <t>Hyderabad</t>
        </is>
      </c>
      <c r="H735" s="25" t="inlineStr">
        <is>
          <t>Biryani</t>
        </is>
      </c>
      <c r="I735" s="26" t="n">
        <v>682</v>
      </c>
      <c r="J735" s="26" t="n">
        <v>75.42</v>
      </c>
      <c r="K735" s="26" t="n">
        <v>0</v>
      </c>
      <c r="L735" s="27" t="n">
        <v>0.22</v>
      </c>
      <c r="M735" s="26" t="n">
        <v>150.04</v>
      </c>
      <c r="N735" s="28" t="n">
        <v>4.7</v>
      </c>
      <c r="O735" s="28" t="n">
        <v>37.8</v>
      </c>
      <c r="P735" s="25" t="inlineStr">
        <is>
          <t>UPI</t>
        </is>
      </c>
      <c r="Q735" s="25" t="inlineStr">
        <is>
          <t>Delivered</t>
        </is>
      </c>
      <c r="R735" s="25" t="n">
        <v>3</v>
      </c>
      <c r="S735" s="25">
        <f>TEXT(B735,"yyyy-mm")</f>
        <v/>
      </c>
      <c r="T735" s="25">
        <f>VLOOKUP(D735,Customers!A:D,4,FALSE)</f>
        <v/>
      </c>
      <c r="U735" s="25">
        <f>CONCATENATE(A735,"-",G735)</f>
        <v/>
      </c>
      <c r="V735" s="25">
        <f>IF(N735="","",IF(N735&lt;=30,"Fast (&lt;30m)",IF(N735&lt;=45,"Moderate (30-45m)","Delayed (&gt;45m)")))</f>
        <v/>
      </c>
      <c r="W735" s="25">
        <f>IF(AND(I735&gt;600,P735="Delivered"),"High Value Delivered","Standard")</f>
        <v/>
      </c>
      <c r="X735" s="25">
        <f>IF(OR(N735&gt;50,Q735&lt;=2),"High Risk / Delayed","Normal")</f>
        <v/>
      </c>
      <c r="Y735" s="25">
        <f>IF(NOT(P735="Cancelled"),"Fulfilled","Cancelled")</f>
        <v/>
      </c>
      <c r="Z735" s="25">
        <f>IFERROR(Q735,0)</f>
        <v/>
      </c>
    </row>
    <row r="736">
      <c r="A736" s="17" t="inlineStr">
        <is>
          <t>ORD1735</t>
        </is>
      </c>
      <c r="B736" s="17" t="inlineStr">
        <is>
          <t>2025-11-19</t>
        </is>
      </c>
      <c r="C736" s="17" t="inlineStr">
        <is>
          <t>22:07:55</t>
        </is>
      </c>
      <c r="D736" s="17" t="n">
        <v>1225</v>
      </c>
      <c r="E736" s="17" t="n">
        <v>110</v>
      </c>
      <c r="F736" s="17" t="n">
        <v>209</v>
      </c>
      <c r="G736" s="17" t="inlineStr">
        <is>
          <t>Pune</t>
        </is>
      </c>
      <c r="H736" s="17" t="inlineStr">
        <is>
          <t>North Indian</t>
        </is>
      </c>
      <c r="I736" s="22" t="n">
        <v>430</v>
      </c>
      <c r="J736" s="22" t="n">
        <v>5.4</v>
      </c>
      <c r="K736" s="22" t="n">
        <v>25</v>
      </c>
      <c r="L736" s="23" t="n">
        <v>0.18</v>
      </c>
      <c r="M736" s="22" t="n">
        <v>83.65000000000001</v>
      </c>
      <c r="N736" s="24" t="n">
        <v>2.8</v>
      </c>
      <c r="O736" s="24" t="n">
        <v>28</v>
      </c>
      <c r="P736" s="17" t="inlineStr">
        <is>
          <t>Cash on Delivery</t>
        </is>
      </c>
      <c r="Q736" s="17" t="inlineStr">
        <is>
          <t>Delivered</t>
        </is>
      </c>
      <c r="R736" s="17" t="n">
        <v>3</v>
      </c>
      <c r="S736" s="17">
        <f>TEXT(B736,"yyyy-mm")</f>
        <v/>
      </c>
      <c r="T736" s="17">
        <f>VLOOKUP(D736,Customers!A:D,4,FALSE)</f>
        <v/>
      </c>
      <c r="U736" s="17">
        <f>CONCATENATE(A736,"-",G736)</f>
        <v/>
      </c>
      <c r="V736" s="17">
        <f>IF(N736="","",IF(N736&lt;=30,"Fast (&lt;30m)",IF(N736&lt;=45,"Moderate (30-45m)","Delayed (&gt;45m)")))</f>
        <v/>
      </c>
      <c r="W736" s="17">
        <f>IF(AND(I736&gt;600,P736="Delivered"),"High Value Delivered","Standard")</f>
        <v/>
      </c>
      <c r="X736" s="17">
        <f>IF(OR(N736&gt;50,Q736&lt;=2),"High Risk / Delayed","Normal")</f>
        <v/>
      </c>
      <c r="Y736" s="17">
        <f>IF(NOT(P736="Cancelled"),"Fulfilled","Cancelled")</f>
        <v/>
      </c>
      <c r="Z736" s="17">
        <f>IFERROR(Q736,0)</f>
        <v/>
      </c>
    </row>
    <row r="737">
      <c r="A737" s="25" t="inlineStr">
        <is>
          <t>ORD1736</t>
        </is>
      </c>
      <c r="B737" s="25" t="inlineStr">
        <is>
          <t>2025-11-28</t>
        </is>
      </c>
      <c r="C737" s="25" t="inlineStr">
        <is>
          <t>19:23:21</t>
        </is>
      </c>
      <c r="D737" s="25" t="n">
        <v>1054</v>
      </c>
      <c r="E737" s="25" t="n">
        <v>115</v>
      </c>
      <c r="F737" s="25" t="n">
        <v>201</v>
      </c>
      <c r="G737" s="25" t="inlineStr">
        <is>
          <t>Bangalore</t>
        </is>
      </c>
      <c r="H737" s="25" t="inlineStr">
        <is>
          <t>Italian</t>
        </is>
      </c>
      <c r="I737" s="26" t="n">
        <v>492</v>
      </c>
      <c r="J737" s="26" t="n">
        <v>90.95</v>
      </c>
      <c r="K737" s="26" t="n">
        <v>37</v>
      </c>
      <c r="L737" s="27" t="n">
        <v>0.2</v>
      </c>
      <c r="M737" s="26" t="n">
        <v>107.65</v>
      </c>
      <c r="N737" s="28" t="n">
        <v>5.4</v>
      </c>
      <c r="O737" s="28" t="n">
        <v>38</v>
      </c>
      <c r="P737" s="25" t="inlineStr">
        <is>
          <t>Cash on Delivery</t>
        </is>
      </c>
      <c r="Q737" s="25" t="inlineStr">
        <is>
          <t>Delivered</t>
        </is>
      </c>
      <c r="R737" s="25" t="n">
        <v>4</v>
      </c>
      <c r="S737" s="25">
        <f>TEXT(B737,"yyyy-mm")</f>
        <v/>
      </c>
      <c r="T737" s="25">
        <f>VLOOKUP(D737,Customers!A:D,4,FALSE)</f>
        <v/>
      </c>
      <c r="U737" s="25">
        <f>CONCATENATE(A737,"-",G737)</f>
        <v/>
      </c>
      <c r="V737" s="25">
        <f>IF(N737="","",IF(N737&lt;=30,"Fast (&lt;30m)",IF(N737&lt;=45,"Moderate (30-45m)","Delayed (&gt;45m)")))</f>
        <v/>
      </c>
      <c r="W737" s="25">
        <f>IF(AND(I737&gt;600,P737="Delivered"),"High Value Delivered","Standard")</f>
        <v/>
      </c>
      <c r="X737" s="25">
        <f>IF(OR(N737&gt;50,Q737&lt;=2),"High Risk / Delayed","Normal")</f>
        <v/>
      </c>
      <c r="Y737" s="25">
        <f>IF(NOT(P737="Cancelled"),"Fulfilled","Cancelled")</f>
        <v/>
      </c>
      <c r="Z737" s="25">
        <f>IFERROR(Q737,0)</f>
        <v/>
      </c>
    </row>
    <row r="738">
      <c r="A738" s="17" t="inlineStr">
        <is>
          <t>ORD1737</t>
        </is>
      </c>
      <c r="B738" s="17" t="inlineStr">
        <is>
          <t>2025-08-31</t>
        </is>
      </c>
      <c r="C738" s="17" t="inlineStr">
        <is>
          <t>11:21:18</t>
        </is>
      </c>
      <c r="D738" s="17" t="n">
        <v>1263</v>
      </c>
      <c r="E738" s="17" t="n">
        <v>118</v>
      </c>
      <c r="F738" s="17" t="n">
        <v>228</v>
      </c>
      <c r="G738" s="17" t="inlineStr">
        <is>
          <t>Delhi NCR</t>
        </is>
      </c>
      <c r="H738" s="17" t="inlineStr">
        <is>
          <t>North Indian</t>
        </is>
      </c>
      <c r="I738" s="22" t="n">
        <v>737</v>
      </c>
      <c r="J738" s="22" t="n">
        <v>0</v>
      </c>
      <c r="K738" s="22" t="n">
        <v>32.5</v>
      </c>
      <c r="L738" s="23" t="n">
        <v>0.2</v>
      </c>
      <c r="M738" s="22" t="n">
        <v>155.52</v>
      </c>
      <c r="N738" s="24" t="n">
        <v>4.5</v>
      </c>
      <c r="O738" s="24" t="n">
        <v>28.4</v>
      </c>
      <c r="P738" s="17" t="inlineStr">
        <is>
          <t>Cash on Delivery</t>
        </is>
      </c>
      <c r="Q738" s="17" t="inlineStr">
        <is>
          <t>Delivered</t>
        </is>
      </c>
      <c r="R738" s="17" t="n">
        <v>5</v>
      </c>
      <c r="S738" s="17">
        <f>TEXT(B738,"yyyy-mm")</f>
        <v/>
      </c>
      <c r="T738" s="17">
        <f>VLOOKUP(D738,Customers!A:D,4,FALSE)</f>
        <v/>
      </c>
      <c r="U738" s="17">
        <f>CONCATENATE(A738,"-",G738)</f>
        <v/>
      </c>
      <c r="V738" s="17">
        <f>IF(N738="","",IF(N738&lt;=30,"Fast (&lt;30m)",IF(N738&lt;=45,"Moderate (30-45m)","Delayed (&gt;45m)")))</f>
        <v/>
      </c>
      <c r="W738" s="17">
        <f>IF(AND(I738&gt;600,P738="Delivered"),"High Value Delivered","Standard")</f>
        <v/>
      </c>
      <c r="X738" s="17">
        <f>IF(OR(N738&gt;50,Q738&lt;=2),"High Risk / Delayed","Normal")</f>
        <v/>
      </c>
      <c r="Y738" s="17">
        <f>IF(NOT(P738="Cancelled"),"Fulfilled","Cancelled")</f>
        <v/>
      </c>
      <c r="Z738" s="17">
        <f>IFERROR(Q738,0)</f>
        <v/>
      </c>
    </row>
    <row r="739">
      <c r="A739" s="25" t="inlineStr">
        <is>
          <t>ORD1738</t>
        </is>
      </c>
      <c r="B739" s="25" t="inlineStr">
        <is>
          <t>2025-09-29</t>
        </is>
      </c>
      <c r="C739" s="25" t="inlineStr">
        <is>
          <t>20:26:50</t>
        </is>
      </c>
      <c r="D739" s="25" t="n">
        <v>1104</v>
      </c>
      <c r="E739" s="25" t="n">
        <v>103</v>
      </c>
      <c r="F739" s="25" t="n">
        <v>206</v>
      </c>
      <c r="G739" s="25" t="inlineStr">
        <is>
          <t>Mumbai</t>
        </is>
      </c>
      <c r="H739" s="25" t="inlineStr">
        <is>
          <t>Italian</t>
        </is>
      </c>
      <c r="I739" s="26" t="n">
        <v>453</v>
      </c>
      <c r="J739" s="26" t="n">
        <v>0</v>
      </c>
      <c r="K739" s="26" t="n">
        <v>25</v>
      </c>
      <c r="L739" s="27" t="n">
        <v>0.18</v>
      </c>
      <c r="M739" s="26" t="n">
        <v>87.79000000000001</v>
      </c>
      <c r="N739" s="28" t="n">
        <v>1.3</v>
      </c>
      <c r="O739" s="28" t="n">
        <v>27.1</v>
      </c>
      <c r="P739" s="25" t="inlineStr">
        <is>
          <t>Cash on Delivery</t>
        </is>
      </c>
      <c r="Q739" s="25" t="inlineStr">
        <is>
          <t>Delivered</t>
        </is>
      </c>
      <c r="R739" s="25" t="n">
        <v>4</v>
      </c>
      <c r="S739" s="25">
        <f>TEXT(B739,"yyyy-mm")</f>
        <v/>
      </c>
      <c r="T739" s="25">
        <f>VLOOKUP(D739,Customers!A:D,4,FALSE)</f>
        <v/>
      </c>
      <c r="U739" s="25">
        <f>CONCATENATE(A739,"-",G739)</f>
        <v/>
      </c>
      <c r="V739" s="25">
        <f>IF(N739="","",IF(N739&lt;=30,"Fast (&lt;30m)",IF(N739&lt;=45,"Moderate (30-45m)","Delayed (&gt;45m)")))</f>
        <v/>
      </c>
      <c r="W739" s="25">
        <f>IF(AND(I739&gt;600,P739="Delivered"),"High Value Delivered","Standard")</f>
        <v/>
      </c>
      <c r="X739" s="25">
        <f>IF(OR(N739&gt;50,Q739&lt;=2),"High Risk / Delayed","Normal")</f>
        <v/>
      </c>
      <c r="Y739" s="25">
        <f>IF(NOT(P739="Cancelled"),"Fulfilled","Cancelled")</f>
        <v/>
      </c>
      <c r="Z739" s="25">
        <f>IFERROR(Q739,0)</f>
        <v/>
      </c>
    </row>
    <row r="740">
      <c r="A740" s="17" t="inlineStr">
        <is>
          <t>ORD1739</t>
        </is>
      </c>
      <c r="B740" s="17" t="inlineStr">
        <is>
          <t>2025-08-15</t>
        </is>
      </c>
      <c r="C740" s="17" t="inlineStr">
        <is>
          <t>06:09:49</t>
        </is>
      </c>
      <c r="D740" s="17" t="n">
        <v>1133</v>
      </c>
      <c r="E740" s="17" t="n">
        <v>108</v>
      </c>
      <c r="F740" s="17" t="n">
        <v>230</v>
      </c>
      <c r="G740" s="17" t="inlineStr">
        <is>
          <t>Delhi NCR</t>
        </is>
      </c>
      <c r="H740" s="17" t="inlineStr">
        <is>
          <t>Fast Food</t>
        </is>
      </c>
      <c r="I740" s="22" t="n">
        <v>230</v>
      </c>
      <c r="J740" s="22" t="n">
        <v>9.52</v>
      </c>
      <c r="K740" s="22" t="n">
        <v>46.5</v>
      </c>
      <c r="L740" s="23" t="n">
        <v>0.18</v>
      </c>
      <c r="M740" s="22" t="n">
        <v>53.02</v>
      </c>
      <c r="N740" s="24" t="n">
        <v>7.3</v>
      </c>
      <c r="O740" s="24" t="n">
        <v>38.4</v>
      </c>
      <c r="P740" s="17" t="inlineStr">
        <is>
          <t>Debit Card</t>
        </is>
      </c>
      <c r="Q740" s="17" t="inlineStr">
        <is>
          <t>Delivered</t>
        </is>
      </c>
      <c r="R740" s="17" t="n">
        <v>5</v>
      </c>
      <c r="S740" s="17">
        <f>TEXT(B740,"yyyy-mm")</f>
        <v/>
      </c>
      <c r="T740" s="17">
        <f>VLOOKUP(D740,Customers!A:D,4,FALSE)</f>
        <v/>
      </c>
      <c r="U740" s="17">
        <f>CONCATENATE(A740,"-",G740)</f>
        <v/>
      </c>
      <c r="V740" s="17">
        <f>IF(N740="","",IF(N740&lt;=30,"Fast (&lt;30m)",IF(N740&lt;=45,"Moderate (30-45m)","Delayed (&gt;45m)")))</f>
        <v/>
      </c>
      <c r="W740" s="17">
        <f>IF(AND(I740&gt;600,P740="Delivered"),"High Value Delivered","Standard")</f>
        <v/>
      </c>
      <c r="X740" s="17">
        <f>IF(OR(N740&gt;50,Q740&lt;=2),"High Risk / Delayed","Normal")</f>
        <v/>
      </c>
      <c r="Y740" s="17">
        <f>IF(NOT(P740="Cancelled"),"Fulfilled","Cancelled")</f>
        <v/>
      </c>
      <c r="Z740" s="17">
        <f>IFERROR(Q740,0)</f>
        <v/>
      </c>
    </row>
    <row r="741">
      <c r="A741" s="25" t="inlineStr">
        <is>
          <t>ORD1740</t>
        </is>
      </c>
      <c r="B741" s="25" t="inlineStr">
        <is>
          <t>2025-08-11</t>
        </is>
      </c>
      <c r="C741" s="25" t="inlineStr">
        <is>
          <t>11:03:25</t>
        </is>
      </c>
      <c r="D741" s="25" t="n">
        <v>1065</v>
      </c>
      <c r="E741" s="25" t="n">
        <v>118</v>
      </c>
      <c r="F741" s="25" t="n">
        <v>219</v>
      </c>
      <c r="G741" s="25" t="inlineStr">
        <is>
          <t>Delhi NCR</t>
        </is>
      </c>
      <c r="H741" s="25" t="inlineStr">
        <is>
          <t>North Indian</t>
        </is>
      </c>
      <c r="I741" s="26" t="n">
        <v>257</v>
      </c>
      <c r="J741" s="26" t="n">
        <v>13.19</v>
      </c>
      <c r="K741" s="26" t="n">
        <v>35.5</v>
      </c>
      <c r="L741" s="27" t="n">
        <v>0.2</v>
      </c>
      <c r="M741" s="26" t="n">
        <v>60.28</v>
      </c>
      <c r="N741" s="28" t="n">
        <v>5.1</v>
      </c>
      <c r="O741" s="28" t="n">
        <v>35.6</v>
      </c>
      <c r="P741" s="25" t="inlineStr">
        <is>
          <t>UPI</t>
        </is>
      </c>
      <c r="Q741" s="25" t="inlineStr">
        <is>
          <t>Delivered</t>
        </is>
      </c>
      <c r="R741" s="25" t="n">
        <v>4</v>
      </c>
      <c r="S741" s="25">
        <f>TEXT(B741,"yyyy-mm")</f>
        <v/>
      </c>
      <c r="T741" s="25">
        <f>VLOOKUP(D741,Customers!A:D,4,FALSE)</f>
        <v/>
      </c>
      <c r="U741" s="25">
        <f>CONCATENATE(A741,"-",G741)</f>
        <v/>
      </c>
      <c r="V741" s="25">
        <f>IF(N741="","",IF(N741&lt;=30,"Fast (&lt;30m)",IF(N741&lt;=45,"Moderate (30-45m)","Delayed (&gt;45m)")))</f>
        <v/>
      </c>
      <c r="W741" s="25">
        <f>IF(AND(I741&gt;600,P741="Delivered"),"High Value Delivered","Standard")</f>
        <v/>
      </c>
      <c r="X741" s="25">
        <f>IF(OR(N741&gt;50,Q741&lt;=2),"High Risk / Delayed","Normal")</f>
        <v/>
      </c>
      <c r="Y741" s="25">
        <f>IF(NOT(P741="Cancelled"),"Fulfilled","Cancelled")</f>
        <v/>
      </c>
      <c r="Z741" s="25">
        <f>IFERROR(Q741,0)</f>
        <v/>
      </c>
    </row>
    <row r="742">
      <c r="A742" s="17" t="inlineStr">
        <is>
          <t>ORD1741</t>
        </is>
      </c>
      <c r="B742" s="17" t="inlineStr">
        <is>
          <t>2025-12-15</t>
        </is>
      </c>
      <c r="C742" s="17" t="inlineStr">
        <is>
          <t>20:44:35</t>
        </is>
      </c>
      <c r="D742" s="17" t="n">
        <v>1158</v>
      </c>
      <c r="E742" s="17" t="n">
        <v>110</v>
      </c>
      <c r="F742" s="17" t="n">
        <v>217</v>
      </c>
      <c r="G742" s="17" t="inlineStr">
        <is>
          <t>Pune</t>
        </is>
      </c>
      <c r="H742" s="17" t="inlineStr">
        <is>
          <t>North Indian</t>
        </is>
      </c>
      <c r="I742" s="22" t="n">
        <v>531</v>
      </c>
      <c r="J742" s="22" t="n">
        <v>53.37</v>
      </c>
      <c r="K742" s="22" t="n">
        <v>25</v>
      </c>
      <c r="L742" s="23" t="n">
        <v>0.18</v>
      </c>
      <c r="M742" s="22" t="n">
        <v>101.83</v>
      </c>
      <c r="N742" s="24" t="n">
        <v>1.6</v>
      </c>
      <c r="O742" s="24" t="n">
        <v>21.3</v>
      </c>
      <c r="P742" s="17" t="inlineStr">
        <is>
          <t>Debit Card</t>
        </is>
      </c>
      <c r="Q742" s="17" t="inlineStr">
        <is>
          <t>Delivered</t>
        </is>
      </c>
      <c r="R742" s="17" t="n">
        <v>4</v>
      </c>
      <c r="S742" s="17">
        <f>TEXT(B742,"yyyy-mm")</f>
        <v/>
      </c>
      <c r="T742" s="17">
        <f>VLOOKUP(D742,Customers!A:D,4,FALSE)</f>
        <v/>
      </c>
      <c r="U742" s="17">
        <f>CONCATENATE(A742,"-",G742)</f>
        <v/>
      </c>
      <c r="V742" s="17">
        <f>IF(N742="","",IF(N742&lt;=30,"Fast (&lt;30m)",IF(N742&lt;=45,"Moderate (30-45m)","Delayed (&gt;45m)")))</f>
        <v/>
      </c>
      <c r="W742" s="17">
        <f>IF(AND(I742&gt;600,P742="Delivered"),"High Value Delivered","Standard")</f>
        <v/>
      </c>
      <c r="X742" s="17">
        <f>IF(OR(N742&gt;50,Q742&lt;=2),"High Risk / Delayed","Normal")</f>
        <v/>
      </c>
      <c r="Y742" s="17">
        <f>IF(NOT(P742="Cancelled"),"Fulfilled","Cancelled")</f>
        <v/>
      </c>
      <c r="Z742" s="17">
        <f>IFERROR(Q742,0)</f>
        <v/>
      </c>
    </row>
    <row r="743">
      <c r="A743" s="25" t="inlineStr">
        <is>
          <t>ORD1742</t>
        </is>
      </c>
      <c r="B743" s="25" t="inlineStr">
        <is>
          <t>2025-09-28</t>
        </is>
      </c>
      <c r="C743" s="25" t="inlineStr">
        <is>
          <t>13:39:58</t>
        </is>
      </c>
      <c r="D743" s="25" t="n">
        <v>1201</v>
      </c>
      <c r="E743" s="25" t="n">
        <v>101</v>
      </c>
      <c r="F743" s="25" t="n">
        <v>220</v>
      </c>
      <c r="G743" s="25" t="inlineStr">
        <is>
          <t>Bangalore</t>
        </is>
      </c>
      <c r="H743" s="25" t="inlineStr">
        <is>
          <t>North Indian</t>
        </is>
      </c>
      <c r="I743" s="26" t="n">
        <v>370</v>
      </c>
      <c r="J743" s="26" t="n">
        <v>36.64</v>
      </c>
      <c r="K743" s="26" t="n">
        <v>72.5</v>
      </c>
      <c r="L743" s="27" t="n">
        <v>0.2</v>
      </c>
      <c r="M743" s="26" t="n">
        <v>92.12</v>
      </c>
      <c r="N743" s="28" t="n">
        <v>12.5</v>
      </c>
      <c r="O743" s="28" t="n">
        <v>64.3</v>
      </c>
      <c r="P743" s="25" t="inlineStr">
        <is>
          <t>Credit Card</t>
        </is>
      </c>
      <c r="Q743" s="25" t="inlineStr">
        <is>
          <t>Delivered</t>
        </is>
      </c>
      <c r="R743" s="25" t="n">
        <v>1</v>
      </c>
      <c r="S743" s="25">
        <f>TEXT(B743,"yyyy-mm")</f>
        <v/>
      </c>
      <c r="T743" s="25">
        <f>VLOOKUP(D743,Customers!A:D,4,FALSE)</f>
        <v/>
      </c>
      <c r="U743" s="25">
        <f>CONCATENATE(A743,"-",G743)</f>
        <v/>
      </c>
      <c r="V743" s="25">
        <f>IF(N743="","",IF(N743&lt;=30,"Fast (&lt;30m)",IF(N743&lt;=45,"Moderate (30-45m)","Delayed (&gt;45m)")))</f>
        <v/>
      </c>
      <c r="W743" s="25">
        <f>IF(AND(I743&gt;600,P743="Delivered"),"High Value Delivered","Standard")</f>
        <v/>
      </c>
      <c r="X743" s="25">
        <f>IF(OR(N743&gt;50,Q743&lt;=2),"High Risk / Delayed","Normal")</f>
        <v/>
      </c>
      <c r="Y743" s="25">
        <f>IF(NOT(P743="Cancelled"),"Fulfilled","Cancelled")</f>
        <v/>
      </c>
      <c r="Z743" s="25">
        <f>IFERROR(Q743,0)</f>
        <v/>
      </c>
    </row>
    <row r="744">
      <c r="A744" s="17" t="inlineStr">
        <is>
          <t>ORD1743</t>
        </is>
      </c>
      <c r="B744" s="17" t="inlineStr">
        <is>
          <t>2025-04-12</t>
        </is>
      </c>
      <c r="C744" s="17" t="inlineStr">
        <is>
          <t>21:56:19</t>
        </is>
      </c>
      <c r="D744" s="17" t="n">
        <v>1146</v>
      </c>
      <c r="E744" s="17" t="n">
        <v>107</v>
      </c>
      <c r="F744" s="17" t="n">
        <v>206</v>
      </c>
      <c r="G744" s="17" t="inlineStr">
        <is>
          <t>Mumbai</t>
        </is>
      </c>
      <c r="H744" s="17" t="inlineStr">
        <is>
          <t>Desserts</t>
        </is>
      </c>
      <c r="I744" s="22" t="n">
        <v>306</v>
      </c>
      <c r="J744" s="22" t="n">
        <v>0</v>
      </c>
      <c r="K744" s="22" t="n">
        <v>27.5</v>
      </c>
      <c r="L744" s="23" t="n">
        <v>0.25</v>
      </c>
      <c r="M744" s="22" t="n">
        <v>83.38</v>
      </c>
      <c r="N744" s="24" t="n">
        <v>3.5</v>
      </c>
      <c r="O744" s="24" t="n">
        <v>33.2</v>
      </c>
      <c r="P744" s="17" t="inlineStr">
        <is>
          <t>Credit Card</t>
        </is>
      </c>
      <c r="Q744" s="17" t="inlineStr">
        <is>
          <t>Delivered</t>
        </is>
      </c>
      <c r="R744" s="17" t="n">
        <v>4</v>
      </c>
      <c r="S744" s="17">
        <f>TEXT(B744,"yyyy-mm")</f>
        <v/>
      </c>
      <c r="T744" s="17">
        <f>VLOOKUP(D744,Customers!A:D,4,FALSE)</f>
        <v/>
      </c>
      <c r="U744" s="17">
        <f>CONCATENATE(A744,"-",G744)</f>
        <v/>
      </c>
      <c r="V744" s="17">
        <f>IF(N744="","",IF(N744&lt;=30,"Fast (&lt;30m)",IF(N744&lt;=45,"Moderate (30-45m)","Delayed (&gt;45m)")))</f>
        <v/>
      </c>
      <c r="W744" s="17">
        <f>IF(AND(I744&gt;600,P744="Delivered"),"High Value Delivered","Standard")</f>
        <v/>
      </c>
      <c r="X744" s="17">
        <f>IF(OR(N744&gt;50,Q744&lt;=2),"High Risk / Delayed","Normal")</f>
        <v/>
      </c>
      <c r="Y744" s="17">
        <f>IF(NOT(P744="Cancelled"),"Fulfilled","Cancelled")</f>
        <v/>
      </c>
      <c r="Z744" s="17">
        <f>IFERROR(Q744,0)</f>
        <v/>
      </c>
    </row>
    <row r="745">
      <c r="A745" s="25" t="inlineStr">
        <is>
          <t>ORD1744</t>
        </is>
      </c>
      <c r="B745" s="25" t="inlineStr">
        <is>
          <t>2025-09-19</t>
        </is>
      </c>
      <c r="C745" s="25" t="inlineStr">
        <is>
          <t>15:35:19</t>
        </is>
      </c>
      <c r="D745" s="25" t="n">
        <v>1008</v>
      </c>
      <c r="E745" s="25" t="n">
        <v>117</v>
      </c>
      <c r="F745" s="25" t="n">
        <v>229</v>
      </c>
      <c r="G745" s="25" t="inlineStr">
        <is>
          <t>Mumbai</t>
        </is>
      </c>
      <c r="H745" s="25" t="inlineStr">
        <is>
          <t>Chinese</t>
        </is>
      </c>
      <c r="I745" s="26" t="n">
        <v>940</v>
      </c>
      <c r="J745" s="26" t="n">
        <v>165.16</v>
      </c>
      <c r="K745" s="26" t="n">
        <v>0</v>
      </c>
      <c r="L745" s="27" t="n">
        <v>0.2</v>
      </c>
      <c r="M745" s="26" t="n">
        <v>188</v>
      </c>
      <c r="N745" s="28" t="n">
        <v>7.6</v>
      </c>
      <c r="O745" s="28" t="n">
        <v>37.9</v>
      </c>
      <c r="P745" s="25" t="inlineStr">
        <is>
          <t>UPI</t>
        </is>
      </c>
      <c r="Q745" s="25" t="inlineStr">
        <is>
          <t>Delivered</t>
        </is>
      </c>
      <c r="R745" s="25" t="n">
        <v>5</v>
      </c>
      <c r="S745" s="25">
        <f>TEXT(B745,"yyyy-mm")</f>
        <v/>
      </c>
      <c r="T745" s="25">
        <f>VLOOKUP(D745,Customers!A:D,4,FALSE)</f>
        <v/>
      </c>
      <c r="U745" s="25">
        <f>CONCATENATE(A745,"-",G745)</f>
        <v/>
      </c>
      <c r="V745" s="25">
        <f>IF(N745="","",IF(N745&lt;=30,"Fast (&lt;30m)",IF(N745&lt;=45,"Moderate (30-45m)","Delayed (&gt;45m)")))</f>
        <v/>
      </c>
      <c r="W745" s="25">
        <f>IF(AND(I745&gt;600,P745="Delivered"),"High Value Delivered","Standard")</f>
        <v/>
      </c>
      <c r="X745" s="25">
        <f>IF(OR(N745&gt;50,Q745&lt;=2),"High Risk / Delayed","Normal")</f>
        <v/>
      </c>
      <c r="Y745" s="25">
        <f>IF(NOT(P745="Cancelled"),"Fulfilled","Cancelled")</f>
        <v/>
      </c>
      <c r="Z745" s="25">
        <f>IFERROR(Q745,0)</f>
        <v/>
      </c>
    </row>
    <row r="746">
      <c r="A746" s="17" t="inlineStr">
        <is>
          <t>ORD1745</t>
        </is>
      </c>
      <c r="B746" s="17" t="inlineStr">
        <is>
          <t>2025-08-05</t>
        </is>
      </c>
      <c r="C746" s="17" t="inlineStr">
        <is>
          <t>20:32:07</t>
        </is>
      </c>
      <c r="D746" s="17" t="n">
        <v>1130</v>
      </c>
      <c r="E746" s="17" t="n">
        <v>119</v>
      </c>
      <c r="F746" s="17" t="n">
        <v>216</v>
      </c>
      <c r="G746" s="17" t="inlineStr">
        <is>
          <t>Hyderabad</t>
        </is>
      </c>
      <c r="H746" s="17" t="inlineStr">
        <is>
          <t>Biryani</t>
        </is>
      </c>
      <c r="I746" s="22" t="n">
        <v>281</v>
      </c>
      <c r="J746" s="22" t="n">
        <v>5.84</v>
      </c>
      <c r="K746" s="22" t="n">
        <v>25</v>
      </c>
      <c r="L746" s="23" t="n">
        <v>0.2</v>
      </c>
      <c r="M746" s="22" t="n">
        <v>62.45</v>
      </c>
      <c r="N746" s="24" t="n">
        <v>2.3</v>
      </c>
      <c r="O746" s="24" t="n">
        <v/>
      </c>
      <c r="P746" s="17" t="inlineStr">
        <is>
          <t>UPI</t>
        </is>
      </c>
      <c r="Q746" s="17" t="inlineStr">
        <is>
          <t>Cancelled</t>
        </is>
      </c>
      <c r="R746" s="17" t="n">
        <v/>
      </c>
      <c r="S746" s="17">
        <f>TEXT(B746,"yyyy-mm")</f>
        <v/>
      </c>
      <c r="T746" s="17">
        <f>VLOOKUP(D746,Customers!A:D,4,FALSE)</f>
        <v/>
      </c>
      <c r="U746" s="17">
        <f>CONCATENATE(A746,"-",G746)</f>
        <v/>
      </c>
      <c r="V746" s="17">
        <f>IF(N746="","",IF(N746&lt;=30,"Fast (&lt;30m)",IF(N746&lt;=45,"Moderate (30-45m)","Delayed (&gt;45m)")))</f>
        <v/>
      </c>
      <c r="W746" s="17">
        <f>IF(AND(I746&gt;600,P746="Delivered"),"High Value Delivered","Standard")</f>
        <v/>
      </c>
      <c r="X746" s="17">
        <f>IF(OR(N746&gt;50,Q746&lt;=2),"High Risk / Delayed","Normal")</f>
        <v/>
      </c>
      <c r="Y746" s="17">
        <f>IF(NOT(P746="Cancelled"),"Fulfilled","Cancelled")</f>
        <v/>
      </c>
      <c r="Z746" s="17">
        <f>IFERROR(Q746,0)</f>
        <v/>
      </c>
    </row>
    <row r="747">
      <c r="A747" s="25" t="inlineStr">
        <is>
          <t>ORD1746</t>
        </is>
      </c>
      <c r="B747" s="25" t="inlineStr">
        <is>
          <t>2025-08-18</t>
        </is>
      </c>
      <c r="C747" s="25" t="inlineStr">
        <is>
          <t>14:19:36</t>
        </is>
      </c>
      <c r="D747" s="25" t="n">
        <v>1180</v>
      </c>
      <c r="E747" s="25" t="n">
        <v>112</v>
      </c>
      <c r="F747" s="25" t="n">
        <v>212</v>
      </c>
      <c r="G747" s="25" t="inlineStr">
        <is>
          <t>Delhi NCR</t>
        </is>
      </c>
      <c r="H747" s="25" t="inlineStr">
        <is>
          <t>North Indian</t>
        </is>
      </c>
      <c r="I747" s="26" t="n">
        <v>225</v>
      </c>
      <c r="J747" s="26" t="n">
        <v>0</v>
      </c>
      <c r="K747" s="26" t="n">
        <v>25</v>
      </c>
      <c r="L747" s="27" t="n">
        <v>0.22</v>
      </c>
      <c r="M747" s="26" t="n">
        <v>55.75</v>
      </c>
      <c r="N747" s="28" t="n">
        <v>2.1</v>
      </c>
      <c r="O747" s="28" t="n">
        <v/>
      </c>
      <c r="P747" s="25" t="inlineStr">
        <is>
          <t>Digital Wallet</t>
        </is>
      </c>
      <c r="Q747" s="25" t="inlineStr">
        <is>
          <t>Cancelled</t>
        </is>
      </c>
      <c r="R747" s="25" t="n">
        <v/>
      </c>
      <c r="S747" s="25">
        <f>TEXT(B747,"yyyy-mm")</f>
        <v/>
      </c>
      <c r="T747" s="25">
        <f>VLOOKUP(D747,Customers!A:D,4,FALSE)</f>
        <v/>
      </c>
      <c r="U747" s="25">
        <f>CONCATENATE(A747,"-",G747)</f>
        <v/>
      </c>
      <c r="V747" s="25">
        <f>IF(N747="","",IF(N747&lt;=30,"Fast (&lt;30m)",IF(N747&lt;=45,"Moderate (30-45m)","Delayed (&gt;45m)")))</f>
        <v/>
      </c>
      <c r="W747" s="25">
        <f>IF(AND(I747&gt;600,P747="Delivered"),"High Value Delivered","Standard")</f>
        <v/>
      </c>
      <c r="X747" s="25">
        <f>IF(OR(N747&gt;50,Q747&lt;=2),"High Risk / Delayed","Normal")</f>
        <v/>
      </c>
      <c r="Y747" s="25">
        <f>IF(NOT(P747="Cancelled"),"Fulfilled","Cancelled")</f>
        <v/>
      </c>
      <c r="Z747" s="25">
        <f>IFERROR(Q747,0)</f>
        <v/>
      </c>
    </row>
    <row r="748">
      <c r="A748" s="17" t="inlineStr">
        <is>
          <t>ORD1747</t>
        </is>
      </c>
      <c r="B748" s="17" t="inlineStr">
        <is>
          <t>2025-05-26</t>
        </is>
      </c>
      <c r="C748" s="17" t="inlineStr">
        <is>
          <t>22:42:50</t>
        </is>
      </c>
      <c r="D748" s="17" t="n">
        <v>1074</v>
      </c>
      <c r="E748" s="17" t="n">
        <v>116</v>
      </c>
      <c r="F748" s="17" t="n">
        <v>208</v>
      </c>
      <c r="G748" s="17" t="inlineStr">
        <is>
          <t>Pune</t>
        </is>
      </c>
      <c r="H748" s="17" t="inlineStr">
        <is>
          <t>Desserts</t>
        </is>
      </c>
      <c r="I748" s="22" t="n">
        <v>806</v>
      </c>
      <c r="J748" s="22" t="n">
        <v>78.23999999999999</v>
      </c>
      <c r="K748" s="22" t="n">
        <v>29</v>
      </c>
      <c r="L748" s="23" t="n">
        <v>0.25</v>
      </c>
      <c r="M748" s="22" t="n">
        <v>208.75</v>
      </c>
      <c r="N748" s="24" t="n">
        <v>3.8</v>
      </c>
      <c r="O748" s="24" t="n">
        <v>31.9</v>
      </c>
      <c r="P748" s="17" t="inlineStr">
        <is>
          <t>Digital Wallet</t>
        </is>
      </c>
      <c r="Q748" s="17" t="inlineStr">
        <is>
          <t>Delivered</t>
        </is>
      </c>
      <c r="R748" s="17" t="n">
        <v>5</v>
      </c>
      <c r="S748" s="17">
        <f>TEXT(B748,"yyyy-mm")</f>
        <v/>
      </c>
      <c r="T748" s="17">
        <f>VLOOKUP(D748,Customers!A:D,4,FALSE)</f>
        <v/>
      </c>
      <c r="U748" s="17">
        <f>CONCATENATE(A748,"-",G748)</f>
        <v/>
      </c>
      <c r="V748" s="17">
        <f>IF(N748="","",IF(N748&lt;=30,"Fast (&lt;30m)",IF(N748&lt;=45,"Moderate (30-45m)","Delayed (&gt;45m)")))</f>
        <v/>
      </c>
      <c r="W748" s="17">
        <f>IF(AND(I748&gt;600,P748="Delivered"),"High Value Delivered","Standard")</f>
        <v/>
      </c>
      <c r="X748" s="17">
        <f>IF(OR(N748&gt;50,Q748&lt;=2),"High Risk / Delayed","Normal")</f>
        <v/>
      </c>
      <c r="Y748" s="17">
        <f>IF(NOT(P748="Cancelled"),"Fulfilled","Cancelled")</f>
        <v/>
      </c>
      <c r="Z748" s="17">
        <f>IFERROR(Q748,0)</f>
        <v/>
      </c>
    </row>
    <row r="749">
      <c r="A749" s="25" t="inlineStr">
        <is>
          <t>ORD1748</t>
        </is>
      </c>
      <c r="B749" s="25" t="inlineStr">
        <is>
          <t>2025-09-22</t>
        </is>
      </c>
      <c r="C749" s="25" t="inlineStr">
        <is>
          <t>19:37:12</t>
        </is>
      </c>
      <c r="D749" s="25" t="n">
        <v>1013</v>
      </c>
      <c r="E749" s="25" t="n">
        <v>101</v>
      </c>
      <c r="F749" s="25" t="n">
        <v>203</v>
      </c>
      <c r="G749" s="25" t="inlineStr">
        <is>
          <t>Bangalore</t>
        </is>
      </c>
      <c r="H749" s="25" t="inlineStr">
        <is>
          <t>North Indian</t>
        </is>
      </c>
      <c r="I749" s="26" t="n">
        <v>589</v>
      </c>
      <c r="J749" s="26" t="n">
        <v>48.18</v>
      </c>
      <c r="K749" s="26" t="n">
        <v>25</v>
      </c>
      <c r="L749" s="27" t="n">
        <v>0.2</v>
      </c>
      <c r="M749" s="26" t="n">
        <v>124.05</v>
      </c>
      <c r="N749" s="28" t="n">
        <v>2.9</v>
      </c>
      <c r="O749" s="28" t="n">
        <v>25.6</v>
      </c>
      <c r="P749" s="25" t="inlineStr">
        <is>
          <t>Cash on Delivery</t>
        </is>
      </c>
      <c r="Q749" s="25" t="inlineStr">
        <is>
          <t>Delivered</t>
        </is>
      </c>
      <c r="R749" s="25" t="n">
        <v>4</v>
      </c>
      <c r="S749" s="25">
        <f>TEXT(B749,"yyyy-mm")</f>
        <v/>
      </c>
      <c r="T749" s="25">
        <f>VLOOKUP(D749,Customers!A:D,4,FALSE)</f>
        <v/>
      </c>
      <c r="U749" s="25">
        <f>CONCATENATE(A749,"-",G749)</f>
        <v/>
      </c>
      <c r="V749" s="25">
        <f>IF(N749="","",IF(N749&lt;=30,"Fast (&lt;30m)",IF(N749&lt;=45,"Moderate (30-45m)","Delayed (&gt;45m)")))</f>
        <v/>
      </c>
      <c r="W749" s="25">
        <f>IF(AND(I749&gt;600,P749="Delivered"),"High Value Delivered","Standard")</f>
        <v/>
      </c>
      <c r="X749" s="25">
        <f>IF(OR(N749&gt;50,Q749&lt;=2),"High Risk / Delayed","Normal")</f>
        <v/>
      </c>
      <c r="Y749" s="25">
        <f>IF(NOT(P749="Cancelled"),"Fulfilled","Cancelled")</f>
        <v/>
      </c>
      <c r="Z749" s="25">
        <f>IFERROR(Q749,0)</f>
        <v/>
      </c>
    </row>
    <row r="750">
      <c r="A750" s="17" t="inlineStr">
        <is>
          <t>ORD1749</t>
        </is>
      </c>
      <c r="B750" s="17" t="inlineStr">
        <is>
          <t>2025-02-01</t>
        </is>
      </c>
      <c r="C750" s="17" t="inlineStr">
        <is>
          <t>13:27:56</t>
        </is>
      </c>
      <c r="D750" s="17" t="n">
        <v>1136</v>
      </c>
      <c r="E750" s="17" t="n">
        <v>102</v>
      </c>
      <c r="F750" s="17" t="n">
        <v>225</v>
      </c>
      <c r="G750" s="17" t="inlineStr">
        <is>
          <t>Hyderabad</t>
        </is>
      </c>
      <c r="H750" s="17" t="inlineStr">
        <is>
          <t>Biryani</t>
        </is>
      </c>
      <c r="I750" s="22" t="n">
        <v>353</v>
      </c>
      <c r="J750" s="22" t="n">
        <v>0</v>
      </c>
      <c r="K750" s="22" t="n">
        <v>32.5</v>
      </c>
      <c r="L750" s="23" t="n">
        <v>0.22</v>
      </c>
      <c r="M750" s="22" t="n">
        <v>85.78</v>
      </c>
      <c r="N750" s="24" t="n">
        <v>4.5</v>
      </c>
      <c r="O750" s="24" t="n">
        <v/>
      </c>
      <c r="P750" s="17" t="inlineStr">
        <is>
          <t>Debit Card</t>
        </is>
      </c>
      <c r="Q750" s="17" t="inlineStr">
        <is>
          <t>Cancelled</t>
        </is>
      </c>
      <c r="R750" s="17" t="n">
        <v/>
      </c>
      <c r="S750" s="17">
        <f>TEXT(B750,"yyyy-mm")</f>
        <v/>
      </c>
      <c r="T750" s="17">
        <f>VLOOKUP(D750,Customers!A:D,4,FALSE)</f>
        <v/>
      </c>
      <c r="U750" s="17">
        <f>CONCATENATE(A750,"-",G750)</f>
        <v/>
      </c>
      <c r="V750" s="17">
        <f>IF(N750="","",IF(N750&lt;=30,"Fast (&lt;30m)",IF(N750&lt;=45,"Moderate (30-45m)","Delayed (&gt;45m)")))</f>
        <v/>
      </c>
      <c r="W750" s="17">
        <f>IF(AND(I750&gt;600,P750="Delivered"),"High Value Delivered","Standard")</f>
        <v/>
      </c>
      <c r="X750" s="17">
        <f>IF(OR(N750&gt;50,Q750&lt;=2),"High Risk / Delayed","Normal")</f>
        <v/>
      </c>
      <c r="Y750" s="17">
        <f>IF(NOT(P750="Cancelled"),"Fulfilled","Cancelled")</f>
        <v/>
      </c>
      <c r="Z750" s="17">
        <f>IFERROR(Q750,0)</f>
        <v/>
      </c>
    </row>
    <row r="751">
      <c r="A751" s="25" t="inlineStr">
        <is>
          <t>ORD1750</t>
        </is>
      </c>
      <c r="B751" s="25" t="inlineStr">
        <is>
          <t>2025-10-27</t>
        </is>
      </c>
      <c r="C751" s="25" t="inlineStr">
        <is>
          <t>17:31:40</t>
        </is>
      </c>
      <c r="D751" s="25" t="n">
        <v>1052</v>
      </c>
      <c r="E751" s="25" t="n">
        <v>114</v>
      </c>
      <c r="F751" s="25" t="n">
        <v>216</v>
      </c>
      <c r="G751" s="25" t="inlineStr">
        <is>
          <t>Hyderabad</t>
        </is>
      </c>
      <c r="H751" s="25" t="inlineStr">
        <is>
          <t>Biryani</t>
        </is>
      </c>
      <c r="I751" s="26" t="n">
        <v>653</v>
      </c>
      <c r="J751" s="26" t="n">
        <v>78.2</v>
      </c>
      <c r="K751" s="26" t="n">
        <v>25</v>
      </c>
      <c r="L751" s="27" t="n">
        <v>0.22</v>
      </c>
      <c r="M751" s="26" t="n">
        <v>149.91</v>
      </c>
      <c r="N751" s="28" t="n">
        <v>1.7</v>
      </c>
      <c r="O751" s="28" t="n">
        <v>24.9</v>
      </c>
      <c r="P751" s="25" t="inlineStr">
        <is>
          <t>Cash on Delivery</t>
        </is>
      </c>
      <c r="Q751" s="25" t="inlineStr">
        <is>
          <t>Delivered</t>
        </is>
      </c>
      <c r="R751" s="25" t="n">
        <v>3</v>
      </c>
      <c r="S751" s="25">
        <f>TEXT(B751,"yyyy-mm")</f>
        <v/>
      </c>
      <c r="T751" s="25">
        <f>VLOOKUP(D751,Customers!A:D,4,FALSE)</f>
        <v/>
      </c>
      <c r="U751" s="25">
        <f>CONCATENATE(A751,"-",G751)</f>
        <v/>
      </c>
      <c r="V751" s="25">
        <f>IF(N751="","",IF(N751&lt;=30,"Fast (&lt;30m)",IF(N751&lt;=45,"Moderate (30-45m)","Delayed (&gt;45m)")))</f>
        <v/>
      </c>
      <c r="W751" s="25">
        <f>IF(AND(I751&gt;600,P751="Delivered"),"High Value Delivered","Standard")</f>
        <v/>
      </c>
      <c r="X751" s="25">
        <f>IF(OR(N751&gt;50,Q751&lt;=2),"High Risk / Delayed","Normal")</f>
        <v/>
      </c>
      <c r="Y751" s="25">
        <f>IF(NOT(P751="Cancelled"),"Fulfilled","Cancelled")</f>
        <v/>
      </c>
      <c r="Z751" s="25">
        <f>IFERROR(Q751,0)</f>
        <v/>
      </c>
    </row>
    <row r="752">
      <c r="A752" s="17" t="inlineStr">
        <is>
          <t>ORD1751</t>
        </is>
      </c>
      <c r="B752" s="17" t="inlineStr">
        <is>
          <t>2025-09-16</t>
        </is>
      </c>
      <c r="C752" s="17" t="inlineStr">
        <is>
          <t>11:08:31</t>
        </is>
      </c>
      <c r="D752" s="17" t="n">
        <v>1290</v>
      </c>
      <c r="E752" s="17" t="n">
        <v>117</v>
      </c>
      <c r="F752" s="17" t="n">
        <v>222</v>
      </c>
      <c r="G752" s="17" t="inlineStr">
        <is>
          <t>Mumbai</t>
        </is>
      </c>
      <c r="H752" s="17" t="inlineStr">
        <is>
          <t>Chinese</t>
        </is>
      </c>
      <c r="I752" s="22" t="n">
        <v>948</v>
      </c>
      <c r="J752" s="22" t="n">
        <v>0</v>
      </c>
      <c r="K752" s="22" t="n">
        <v>32</v>
      </c>
      <c r="L752" s="23" t="n">
        <v>0.2</v>
      </c>
      <c r="M752" s="22" t="n">
        <v>197.6</v>
      </c>
      <c r="N752" s="24" t="n">
        <v>4.4</v>
      </c>
      <c r="O752" s="24" t="n">
        <v>38.4</v>
      </c>
      <c r="P752" s="17" t="inlineStr">
        <is>
          <t>Digital Wallet</t>
        </is>
      </c>
      <c r="Q752" s="17" t="inlineStr">
        <is>
          <t>Delivered</t>
        </is>
      </c>
      <c r="R752" s="17" t="n">
        <v>5</v>
      </c>
      <c r="S752" s="17">
        <f>TEXT(B752,"yyyy-mm")</f>
        <v/>
      </c>
      <c r="T752" s="17">
        <f>VLOOKUP(D752,Customers!A:D,4,FALSE)</f>
        <v/>
      </c>
      <c r="U752" s="17">
        <f>CONCATENATE(A752,"-",G752)</f>
        <v/>
      </c>
      <c r="V752" s="17">
        <f>IF(N752="","",IF(N752&lt;=30,"Fast (&lt;30m)",IF(N752&lt;=45,"Moderate (30-45m)","Delayed (&gt;45m)")))</f>
        <v/>
      </c>
      <c r="W752" s="17">
        <f>IF(AND(I752&gt;600,P752="Delivered"),"High Value Delivered","Standard")</f>
        <v/>
      </c>
      <c r="X752" s="17">
        <f>IF(OR(N752&gt;50,Q752&lt;=2),"High Risk / Delayed","Normal")</f>
        <v/>
      </c>
      <c r="Y752" s="17">
        <f>IF(NOT(P752="Cancelled"),"Fulfilled","Cancelled")</f>
        <v/>
      </c>
      <c r="Z752" s="17">
        <f>IFERROR(Q752,0)</f>
        <v/>
      </c>
    </row>
    <row r="753">
      <c r="A753" s="25" t="inlineStr">
        <is>
          <t>ORD1752</t>
        </is>
      </c>
      <c r="B753" s="25" t="inlineStr">
        <is>
          <t>2025-08-31</t>
        </is>
      </c>
      <c r="C753" s="25" t="inlineStr">
        <is>
          <t>13:02:47</t>
        </is>
      </c>
      <c r="D753" s="25" t="n">
        <v>1176</v>
      </c>
      <c r="E753" s="25" t="n">
        <v>119</v>
      </c>
      <c r="F753" s="25" t="n">
        <v>225</v>
      </c>
      <c r="G753" s="25" t="inlineStr">
        <is>
          <t>Hyderabad</t>
        </is>
      </c>
      <c r="H753" s="25" t="inlineStr">
        <is>
          <t>Biryani</t>
        </is>
      </c>
      <c r="I753" s="26" t="n">
        <v>380</v>
      </c>
      <c r="J753" s="26" t="n">
        <v>11.23</v>
      </c>
      <c r="K753" s="26" t="n">
        <v>27.5</v>
      </c>
      <c r="L753" s="27" t="n">
        <v>0.2</v>
      </c>
      <c r="M753" s="26" t="n">
        <v>82.88</v>
      </c>
      <c r="N753" s="28" t="n">
        <v>3.5</v>
      </c>
      <c r="O753" s="28" t="n">
        <v>35.8</v>
      </c>
      <c r="P753" s="25" t="inlineStr">
        <is>
          <t>Digital Wallet</t>
        </is>
      </c>
      <c r="Q753" s="25" t="inlineStr">
        <is>
          <t>Delivered</t>
        </is>
      </c>
      <c r="R753" s="25" t="n">
        <v>5</v>
      </c>
      <c r="S753" s="25">
        <f>TEXT(B753,"yyyy-mm")</f>
        <v/>
      </c>
      <c r="T753" s="25">
        <f>VLOOKUP(D753,Customers!A:D,4,FALSE)</f>
        <v/>
      </c>
      <c r="U753" s="25">
        <f>CONCATENATE(A753,"-",G753)</f>
        <v/>
      </c>
      <c r="V753" s="25">
        <f>IF(N753="","",IF(N753&lt;=30,"Fast (&lt;30m)",IF(N753&lt;=45,"Moderate (30-45m)","Delayed (&gt;45m)")))</f>
        <v/>
      </c>
      <c r="W753" s="25">
        <f>IF(AND(I753&gt;600,P753="Delivered"),"High Value Delivered","Standard")</f>
        <v/>
      </c>
      <c r="X753" s="25">
        <f>IF(OR(N753&gt;50,Q753&lt;=2),"High Risk / Delayed","Normal")</f>
        <v/>
      </c>
      <c r="Y753" s="25">
        <f>IF(NOT(P753="Cancelled"),"Fulfilled","Cancelled")</f>
        <v/>
      </c>
      <c r="Z753" s="25">
        <f>IFERROR(Q753,0)</f>
        <v/>
      </c>
    </row>
    <row r="754">
      <c r="A754" s="17" t="inlineStr">
        <is>
          <t>ORD1753</t>
        </is>
      </c>
      <c r="B754" s="17" t="inlineStr">
        <is>
          <t>2025-07-09</t>
        </is>
      </c>
      <c r="C754" s="17" t="inlineStr">
        <is>
          <t>18:36:18</t>
        </is>
      </c>
      <c r="D754" s="17" t="n">
        <v>1120</v>
      </c>
      <c r="E754" s="17" t="n">
        <v>120</v>
      </c>
      <c r="F754" s="17" t="n">
        <v>214</v>
      </c>
      <c r="G754" s="17" t="inlineStr">
        <is>
          <t>Pune</t>
        </is>
      </c>
      <c r="H754" s="17" t="inlineStr">
        <is>
          <t>Fast Food</t>
        </is>
      </c>
      <c r="I754" s="22" t="n">
        <v>261</v>
      </c>
      <c r="J754" s="22" t="n">
        <v>2.46</v>
      </c>
      <c r="K754" s="22" t="n">
        <v>26.5</v>
      </c>
      <c r="L754" s="23" t="n">
        <v>0.18</v>
      </c>
      <c r="M754" s="22" t="n">
        <v>53.6</v>
      </c>
      <c r="N754" s="24" t="n">
        <v>3.3</v>
      </c>
      <c r="O754" s="24" t="n">
        <v>29.8</v>
      </c>
      <c r="P754" s="17" t="inlineStr">
        <is>
          <t>Debit Card</t>
        </is>
      </c>
      <c r="Q754" s="17" t="inlineStr">
        <is>
          <t>Delivered</t>
        </is>
      </c>
      <c r="R754" s="17" t="n">
        <v>5</v>
      </c>
      <c r="S754" s="17">
        <f>TEXT(B754,"yyyy-mm")</f>
        <v/>
      </c>
      <c r="T754" s="17">
        <f>VLOOKUP(D754,Customers!A:D,4,FALSE)</f>
        <v/>
      </c>
      <c r="U754" s="17">
        <f>CONCATENATE(A754,"-",G754)</f>
        <v/>
      </c>
      <c r="V754" s="17">
        <f>IF(N754="","",IF(N754&lt;=30,"Fast (&lt;30m)",IF(N754&lt;=45,"Moderate (30-45m)","Delayed (&gt;45m)")))</f>
        <v/>
      </c>
      <c r="W754" s="17">
        <f>IF(AND(I754&gt;600,P754="Delivered"),"High Value Delivered","Standard")</f>
        <v/>
      </c>
      <c r="X754" s="17">
        <f>IF(OR(N754&gt;50,Q754&lt;=2),"High Risk / Delayed","Normal")</f>
        <v/>
      </c>
      <c r="Y754" s="17">
        <f>IF(NOT(P754="Cancelled"),"Fulfilled","Cancelled")</f>
        <v/>
      </c>
      <c r="Z754" s="17">
        <f>IFERROR(Q754,0)</f>
        <v/>
      </c>
    </row>
    <row r="755">
      <c r="A755" s="25" t="inlineStr">
        <is>
          <t>ORD1754</t>
        </is>
      </c>
      <c r="B755" s="25" t="inlineStr">
        <is>
          <t>2025-01-15</t>
        </is>
      </c>
      <c r="C755" s="25" t="inlineStr">
        <is>
          <t>18:50:09</t>
        </is>
      </c>
      <c r="D755" s="25" t="n">
        <v>1283</v>
      </c>
      <c r="E755" s="25" t="n">
        <v>116</v>
      </c>
      <c r="F755" s="25" t="n">
        <v>204</v>
      </c>
      <c r="G755" s="25" t="inlineStr">
        <is>
          <t>Pune</t>
        </is>
      </c>
      <c r="H755" s="25" t="inlineStr">
        <is>
          <t>Desserts</t>
        </is>
      </c>
      <c r="I755" s="26" t="n">
        <v>365</v>
      </c>
      <c r="J755" s="26" t="n">
        <v>12.32</v>
      </c>
      <c r="K755" s="26" t="n">
        <v>48</v>
      </c>
      <c r="L755" s="27" t="n">
        <v>0.25</v>
      </c>
      <c r="M755" s="26" t="n">
        <v>103.25</v>
      </c>
      <c r="N755" s="28" t="n">
        <v>7.6</v>
      </c>
      <c r="O755" s="28" t="n">
        <v>44</v>
      </c>
      <c r="P755" s="25" t="inlineStr">
        <is>
          <t>Debit Card</t>
        </is>
      </c>
      <c r="Q755" s="25" t="inlineStr">
        <is>
          <t>Delivered</t>
        </is>
      </c>
      <c r="R755" s="25" t="n">
        <v>4</v>
      </c>
      <c r="S755" s="25">
        <f>TEXT(B755,"yyyy-mm")</f>
        <v/>
      </c>
      <c r="T755" s="25">
        <f>VLOOKUP(D755,Customers!A:D,4,FALSE)</f>
        <v/>
      </c>
      <c r="U755" s="25">
        <f>CONCATENATE(A755,"-",G755)</f>
        <v/>
      </c>
      <c r="V755" s="25">
        <f>IF(N755="","",IF(N755&lt;=30,"Fast (&lt;30m)",IF(N755&lt;=45,"Moderate (30-45m)","Delayed (&gt;45m)")))</f>
        <v/>
      </c>
      <c r="W755" s="25">
        <f>IF(AND(I755&gt;600,P755="Delivered"),"High Value Delivered","Standard")</f>
        <v/>
      </c>
      <c r="X755" s="25">
        <f>IF(OR(N755&gt;50,Q755&lt;=2),"High Risk / Delayed","Normal")</f>
        <v/>
      </c>
      <c r="Y755" s="25">
        <f>IF(NOT(P755="Cancelled"),"Fulfilled","Cancelled")</f>
        <v/>
      </c>
      <c r="Z755" s="25">
        <f>IFERROR(Q755,0)</f>
        <v/>
      </c>
    </row>
    <row r="756">
      <c r="A756" s="17" t="inlineStr">
        <is>
          <t>ORD1755</t>
        </is>
      </c>
      <c r="B756" s="17" t="inlineStr">
        <is>
          <t>2025-09-08</t>
        </is>
      </c>
      <c r="C756" s="17" t="inlineStr">
        <is>
          <t>20:00:07</t>
        </is>
      </c>
      <c r="D756" s="17" t="n">
        <v>1128</v>
      </c>
      <c r="E756" s="17" t="n">
        <v>102</v>
      </c>
      <c r="F756" s="17" t="n">
        <v>225</v>
      </c>
      <c r="G756" s="17" t="inlineStr">
        <is>
          <t>Hyderabad</t>
        </is>
      </c>
      <c r="H756" s="17" t="inlineStr">
        <is>
          <t>Biryani</t>
        </is>
      </c>
      <c r="I756" s="22" t="n">
        <v>969</v>
      </c>
      <c r="J756" s="22" t="n">
        <v>103.45</v>
      </c>
      <c r="K756" s="22" t="n">
        <v>0</v>
      </c>
      <c r="L756" s="23" t="n">
        <v>0.22</v>
      </c>
      <c r="M756" s="22" t="n">
        <v>213.18</v>
      </c>
      <c r="N756" s="24" t="n">
        <v>3.6</v>
      </c>
      <c r="O756" s="24" t="n">
        <v>30.2</v>
      </c>
      <c r="P756" s="17" t="inlineStr">
        <is>
          <t>Cash on Delivery</t>
        </is>
      </c>
      <c r="Q756" s="17" t="inlineStr">
        <is>
          <t>Delivered</t>
        </is>
      </c>
      <c r="R756" s="17" t="n">
        <v>4</v>
      </c>
      <c r="S756" s="17">
        <f>TEXT(B756,"yyyy-mm")</f>
        <v/>
      </c>
      <c r="T756" s="17">
        <f>VLOOKUP(D756,Customers!A:D,4,FALSE)</f>
        <v/>
      </c>
      <c r="U756" s="17">
        <f>CONCATENATE(A756,"-",G756)</f>
        <v/>
      </c>
      <c r="V756" s="17">
        <f>IF(N756="","",IF(N756&lt;=30,"Fast (&lt;30m)",IF(N756&lt;=45,"Moderate (30-45m)","Delayed (&gt;45m)")))</f>
        <v/>
      </c>
      <c r="W756" s="17">
        <f>IF(AND(I756&gt;600,P756="Delivered"),"High Value Delivered","Standard")</f>
        <v/>
      </c>
      <c r="X756" s="17">
        <f>IF(OR(N756&gt;50,Q756&lt;=2),"High Risk / Delayed","Normal")</f>
        <v/>
      </c>
      <c r="Y756" s="17">
        <f>IF(NOT(P756="Cancelled"),"Fulfilled","Cancelled")</f>
        <v/>
      </c>
      <c r="Z756" s="17">
        <f>IFERROR(Q756,0)</f>
        <v/>
      </c>
    </row>
    <row r="757">
      <c r="A757" s="25" t="inlineStr">
        <is>
          <t>ORD1756</t>
        </is>
      </c>
      <c r="B757" s="25" t="inlineStr">
        <is>
          <t>2025-07-13</t>
        </is>
      </c>
      <c r="C757" s="25" t="inlineStr">
        <is>
          <t>10:30:53</t>
        </is>
      </c>
      <c r="D757" s="25" t="n">
        <v>1028</v>
      </c>
      <c r="E757" s="25" t="n">
        <v>114</v>
      </c>
      <c r="F757" s="25" t="n">
        <v>225</v>
      </c>
      <c r="G757" s="25" t="inlineStr">
        <is>
          <t>Hyderabad</t>
        </is>
      </c>
      <c r="H757" s="25" t="inlineStr">
        <is>
          <t>Biryani</t>
        </is>
      </c>
      <c r="I757" s="26" t="n">
        <v>840</v>
      </c>
      <c r="J757" s="26" t="n">
        <v>0</v>
      </c>
      <c r="K757" s="26" t="n">
        <v>34</v>
      </c>
      <c r="L757" s="27" t="n">
        <v>0.22</v>
      </c>
      <c r="M757" s="26" t="n">
        <v>193.3</v>
      </c>
      <c r="N757" s="28" t="n">
        <v>4.8</v>
      </c>
      <c r="O757" s="28" t="n">
        <v>29.2</v>
      </c>
      <c r="P757" s="25" t="inlineStr">
        <is>
          <t>Cash on Delivery</t>
        </is>
      </c>
      <c r="Q757" s="25" t="inlineStr">
        <is>
          <t>Delivered</t>
        </is>
      </c>
      <c r="R757" s="25" t="n">
        <v>4</v>
      </c>
      <c r="S757" s="25">
        <f>TEXT(B757,"yyyy-mm")</f>
        <v/>
      </c>
      <c r="T757" s="25">
        <f>VLOOKUP(D757,Customers!A:D,4,FALSE)</f>
        <v/>
      </c>
      <c r="U757" s="25">
        <f>CONCATENATE(A757,"-",G757)</f>
        <v/>
      </c>
      <c r="V757" s="25">
        <f>IF(N757="","",IF(N757&lt;=30,"Fast (&lt;30m)",IF(N757&lt;=45,"Moderate (30-45m)","Delayed (&gt;45m)")))</f>
        <v/>
      </c>
      <c r="W757" s="25">
        <f>IF(AND(I757&gt;600,P757="Delivered"),"High Value Delivered","Standard")</f>
        <v/>
      </c>
      <c r="X757" s="25">
        <f>IF(OR(N757&gt;50,Q757&lt;=2),"High Risk / Delayed","Normal")</f>
        <v/>
      </c>
      <c r="Y757" s="25">
        <f>IF(NOT(P757="Cancelled"),"Fulfilled","Cancelled")</f>
        <v/>
      </c>
      <c r="Z757" s="25">
        <f>IFERROR(Q757,0)</f>
        <v/>
      </c>
    </row>
    <row r="758">
      <c r="A758" s="17" t="inlineStr">
        <is>
          <t>ORD1757</t>
        </is>
      </c>
      <c r="B758" s="17" t="inlineStr">
        <is>
          <t>2025-06-16</t>
        </is>
      </c>
      <c r="C758" s="17" t="inlineStr">
        <is>
          <t>09:05:51</t>
        </is>
      </c>
      <c r="D758" s="17" t="n">
        <v>1263</v>
      </c>
      <c r="E758" s="17" t="n">
        <v>108</v>
      </c>
      <c r="F758" s="17" t="n">
        <v>228</v>
      </c>
      <c r="G758" s="17" t="inlineStr">
        <is>
          <t>Delhi NCR</t>
        </is>
      </c>
      <c r="H758" s="17" t="inlineStr">
        <is>
          <t>Fast Food</t>
        </is>
      </c>
      <c r="I758" s="22" t="n">
        <v>859</v>
      </c>
      <c r="J758" s="22" t="n">
        <v>28.15</v>
      </c>
      <c r="K758" s="22" t="n">
        <v>44.5</v>
      </c>
      <c r="L758" s="23" t="n">
        <v>0.18</v>
      </c>
      <c r="M758" s="22" t="n">
        <v>165.74</v>
      </c>
      <c r="N758" s="24" t="n">
        <v>6.9</v>
      </c>
      <c r="O758" s="24" t="n">
        <v>38.6</v>
      </c>
      <c r="P758" s="17" t="inlineStr">
        <is>
          <t>Cash on Delivery</t>
        </is>
      </c>
      <c r="Q758" s="17" t="inlineStr">
        <is>
          <t>Delivered</t>
        </is>
      </c>
      <c r="R758" s="17" t="n">
        <v>4</v>
      </c>
      <c r="S758" s="17">
        <f>TEXT(B758,"yyyy-mm")</f>
        <v/>
      </c>
      <c r="T758" s="17">
        <f>VLOOKUP(D758,Customers!A:D,4,FALSE)</f>
        <v/>
      </c>
      <c r="U758" s="17">
        <f>CONCATENATE(A758,"-",G758)</f>
        <v/>
      </c>
      <c r="V758" s="17">
        <f>IF(N758="","",IF(N758&lt;=30,"Fast (&lt;30m)",IF(N758&lt;=45,"Moderate (30-45m)","Delayed (&gt;45m)")))</f>
        <v/>
      </c>
      <c r="W758" s="17">
        <f>IF(AND(I758&gt;600,P758="Delivered"),"High Value Delivered","Standard")</f>
        <v/>
      </c>
      <c r="X758" s="17">
        <f>IF(OR(N758&gt;50,Q758&lt;=2),"High Risk / Delayed","Normal")</f>
        <v/>
      </c>
      <c r="Y758" s="17">
        <f>IF(NOT(P758="Cancelled"),"Fulfilled","Cancelled")</f>
        <v/>
      </c>
      <c r="Z758" s="17">
        <f>IFERROR(Q758,0)</f>
        <v/>
      </c>
    </row>
    <row r="759">
      <c r="A759" s="25" t="inlineStr">
        <is>
          <t>ORD1758</t>
        </is>
      </c>
      <c r="B759" s="25" t="inlineStr">
        <is>
          <t>2025-05-23</t>
        </is>
      </c>
      <c r="C759" s="25" t="inlineStr">
        <is>
          <t>22:41:05</t>
        </is>
      </c>
      <c r="D759" s="25" t="n">
        <v>1037</v>
      </c>
      <c r="E759" s="25" t="n">
        <v>101</v>
      </c>
      <c r="F759" s="25" t="n">
        <v>205</v>
      </c>
      <c r="G759" s="25" t="inlineStr">
        <is>
          <t>Bangalore</t>
        </is>
      </c>
      <c r="H759" s="25" t="inlineStr">
        <is>
          <t>North Indian</t>
        </is>
      </c>
      <c r="I759" s="26" t="n">
        <v>389</v>
      </c>
      <c r="J759" s="26" t="n">
        <v>17.8</v>
      </c>
      <c r="K759" s="26" t="n">
        <v>43.5</v>
      </c>
      <c r="L759" s="27" t="n">
        <v>0.2</v>
      </c>
      <c r="M759" s="26" t="n">
        <v>88.68000000000001</v>
      </c>
      <c r="N759" s="28" t="n">
        <v>6.7</v>
      </c>
      <c r="O759" s="28" t="n">
        <v>38.8</v>
      </c>
      <c r="P759" s="25" t="inlineStr">
        <is>
          <t>Debit Card</t>
        </is>
      </c>
      <c r="Q759" s="25" t="inlineStr">
        <is>
          <t>Delivered</t>
        </is>
      </c>
      <c r="R759" s="25" t="n">
        <v>3</v>
      </c>
      <c r="S759" s="25">
        <f>TEXT(B759,"yyyy-mm")</f>
        <v/>
      </c>
      <c r="T759" s="25">
        <f>VLOOKUP(D759,Customers!A:D,4,FALSE)</f>
        <v/>
      </c>
      <c r="U759" s="25">
        <f>CONCATENATE(A759,"-",G759)</f>
        <v/>
      </c>
      <c r="V759" s="25">
        <f>IF(N759="","",IF(N759&lt;=30,"Fast (&lt;30m)",IF(N759&lt;=45,"Moderate (30-45m)","Delayed (&gt;45m)")))</f>
        <v/>
      </c>
      <c r="W759" s="25">
        <f>IF(AND(I759&gt;600,P759="Delivered"),"High Value Delivered","Standard")</f>
        <v/>
      </c>
      <c r="X759" s="25">
        <f>IF(OR(N759&gt;50,Q759&lt;=2),"High Risk / Delayed","Normal")</f>
        <v/>
      </c>
      <c r="Y759" s="25">
        <f>IF(NOT(P759="Cancelled"),"Fulfilled","Cancelled")</f>
        <v/>
      </c>
      <c r="Z759" s="25">
        <f>IFERROR(Q759,0)</f>
        <v/>
      </c>
    </row>
    <row r="760">
      <c r="A760" s="17" t="inlineStr">
        <is>
          <t>ORD1759</t>
        </is>
      </c>
      <c r="B760" s="17" t="inlineStr">
        <is>
          <t>2025-11-13</t>
        </is>
      </c>
      <c r="C760" s="17" t="inlineStr">
        <is>
          <t>13:34:36</t>
        </is>
      </c>
      <c r="D760" s="17" t="n">
        <v>1100</v>
      </c>
      <c r="E760" s="17" t="n">
        <v>114</v>
      </c>
      <c r="F760" s="17" t="n">
        <v>225</v>
      </c>
      <c r="G760" s="17" t="inlineStr">
        <is>
          <t>Hyderabad</t>
        </is>
      </c>
      <c r="H760" s="17" t="inlineStr">
        <is>
          <t>Biryani</t>
        </is>
      </c>
      <c r="I760" s="22" t="n">
        <v>274</v>
      </c>
      <c r="J760" s="22" t="n">
        <v>11.44</v>
      </c>
      <c r="K760" s="22" t="n">
        <v>25</v>
      </c>
      <c r="L760" s="23" t="n">
        <v>0.22</v>
      </c>
      <c r="M760" s="22" t="n">
        <v>66.53</v>
      </c>
      <c r="N760" s="24" t="n">
        <v>2</v>
      </c>
      <c r="O760" s="24" t="n">
        <v>27.8</v>
      </c>
      <c r="P760" s="17" t="inlineStr">
        <is>
          <t>Digital Wallet</t>
        </is>
      </c>
      <c r="Q760" s="17" t="inlineStr">
        <is>
          <t>Delivered</t>
        </is>
      </c>
      <c r="R760" s="17" t="n">
        <v>5</v>
      </c>
      <c r="S760" s="17">
        <f>TEXT(B760,"yyyy-mm")</f>
        <v/>
      </c>
      <c r="T760" s="17">
        <f>VLOOKUP(D760,Customers!A:D,4,FALSE)</f>
        <v/>
      </c>
      <c r="U760" s="17">
        <f>CONCATENATE(A760,"-",G760)</f>
        <v/>
      </c>
      <c r="V760" s="17">
        <f>IF(N760="","",IF(N760&lt;=30,"Fast (&lt;30m)",IF(N760&lt;=45,"Moderate (30-45m)","Delayed (&gt;45m)")))</f>
        <v/>
      </c>
      <c r="W760" s="17">
        <f>IF(AND(I760&gt;600,P760="Delivered"),"High Value Delivered","Standard")</f>
        <v/>
      </c>
      <c r="X760" s="17">
        <f>IF(OR(N760&gt;50,Q760&lt;=2),"High Risk / Delayed","Normal")</f>
        <v/>
      </c>
      <c r="Y760" s="17">
        <f>IF(NOT(P760="Cancelled"),"Fulfilled","Cancelled")</f>
        <v/>
      </c>
      <c r="Z760" s="17">
        <f>IFERROR(Q760,0)</f>
        <v/>
      </c>
    </row>
    <row r="761">
      <c r="A761" s="25" t="inlineStr">
        <is>
          <t>ORD1760</t>
        </is>
      </c>
      <c r="B761" s="25" t="inlineStr">
        <is>
          <t>2025-12-04</t>
        </is>
      </c>
      <c r="C761" s="25" t="inlineStr">
        <is>
          <t>09:59:34</t>
        </is>
      </c>
      <c r="D761" s="25" t="n">
        <v>1032</v>
      </c>
      <c r="E761" s="25" t="n">
        <v>112</v>
      </c>
      <c r="F761" s="25" t="n">
        <v>221</v>
      </c>
      <c r="G761" s="25" t="inlineStr">
        <is>
          <t>Delhi NCR</t>
        </is>
      </c>
      <c r="H761" s="25" t="inlineStr">
        <is>
          <t>North Indian</t>
        </is>
      </c>
      <c r="I761" s="26" t="n">
        <v>404</v>
      </c>
      <c r="J761" s="26" t="n">
        <v>8.890000000000001</v>
      </c>
      <c r="K761" s="26" t="n">
        <v>36.5</v>
      </c>
      <c r="L761" s="27" t="n">
        <v>0.22</v>
      </c>
      <c r="M761" s="26" t="n">
        <v>98</v>
      </c>
      <c r="N761" s="28" t="n">
        <v>5.3</v>
      </c>
      <c r="O761" s="28" t="n">
        <v>29.2</v>
      </c>
      <c r="P761" s="25" t="inlineStr">
        <is>
          <t>Digital Wallet</t>
        </is>
      </c>
      <c r="Q761" s="25" t="inlineStr">
        <is>
          <t>Delivered</t>
        </is>
      </c>
      <c r="R761" s="25" t="n">
        <v>4</v>
      </c>
      <c r="S761" s="25">
        <f>TEXT(B761,"yyyy-mm")</f>
        <v/>
      </c>
      <c r="T761" s="25">
        <f>VLOOKUP(D761,Customers!A:D,4,FALSE)</f>
        <v/>
      </c>
      <c r="U761" s="25">
        <f>CONCATENATE(A761,"-",G761)</f>
        <v/>
      </c>
      <c r="V761" s="25">
        <f>IF(N761="","",IF(N761&lt;=30,"Fast (&lt;30m)",IF(N761&lt;=45,"Moderate (30-45m)","Delayed (&gt;45m)")))</f>
        <v/>
      </c>
      <c r="W761" s="25">
        <f>IF(AND(I761&gt;600,P761="Delivered"),"High Value Delivered","Standard")</f>
        <v/>
      </c>
      <c r="X761" s="25">
        <f>IF(OR(N761&gt;50,Q761&lt;=2),"High Risk / Delayed","Normal")</f>
        <v/>
      </c>
      <c r="Y761" s="25">
        <f>IF(NOT(P761="Cancelled"),"Fulfilled","Cancelled")</f>
        <v/>
      </c>
      <c r="Z761" s="25">
        <f>IFERROR(Q761,0)</f>
        <v/>
      </c>
    </row>
    <row r="762">
      <c r="A762" s="17" t="inlineStr">
        <is>
          <t>ORD1761</t>
        </is>
      </c>
      <c r="B762" s="17" t="inlineStr">
        <is>
          <t>2025-07-25</t>
        </is>
      </c>
      <c r="C762" s="17" t="inlineStr">
        <is>
          <t>20:37:02</t>
        </is>
      </c>
      <c r="D762" s="17" t="n">
        <v>1179</v>
      </c>
      <c r="E762" s="17" t="n">
        <v>117</v>
      </c>
      <c r="F762" s="17" t="n">
        <v>229</v>
      </c>
      <c r="G762" s="17" t="inlineStr">
        <is>
          <t>Mumbai</t>
        </is>
      </c>
      <c r="H762" s="17" t="inlineStr">
        <is>
          <t>Chinese</t>
        </is>
      </c>
      <c r="I762" s="22" t="n">
        <v>1043</v>
      </c>
      <c r="J762" s="22" t="n">
        <v>201.7</v>
      </c>
      <c r="K762" s="22" t="n">
        <v>0</v>
      </c>
      <c r="L762" s="23" t="n">
        <v>0.2</v>
      </c>
      <c r="M762" s="22" t="n">
        <v>208.6</v>
      </c>
      <c r="N762" s="24" t="n">
        <v>4</v>
      </c>
      <c r="O762" s="24" t="n">
        <v>36.4</v>
      </c>
      <c r="P762" s="17" t="inlineStr">
        <is>
          <t>Credit Card</t>
        </is>
      </c>
      <c r="Q762" s="17" t="inlineStr">
        <is>
          <t>Delivered</t>
        </is>
      </c>
      <c r="R762" s="17" t="n">
        <v>4</v>
      </c>
      <c r="S762" s="17">
        <f>TEXT(B762,"yyyy-mm")</f>
        <v/>
      </c>
      <c r="T762" s="17">
        <f>VLOOKUP(D762,Customers!A:D,4,FALSE)</f>
        <v/>
      </c>
      <c r="U762" s="17">
        <f>CONCATENATE(A762,"-",G762)</f>
        <v/>
      </c>
      <c r="V762" s="17">
        <f>IF(N762="","",IF(N762&lt;=30,"Fast (&lt;30m)",IF(N762&lt;=45,"Moderate (30-45m)","Delayed (&gt;45m)")))</f>
        <v/>
      </c>
      <c r="W762" s="17">
        <f>IF(AND(I762&gt;600,P762="Delivered"),"High Value Delivered","Standard")</f>
        <v/>
      </c>
      <c r="X762" s="17">
        <f>IF(OR(N762&gt;50,Q762&lt;=2),"High Risk / Delayed","Normal")</f>
        <v/>
      </c>
      <c r="Y762" s="17">
        <f>IF(NOT(P762="Cancelled"),"Fulfilled","Cancelled")</f>
        <v/>
      </c>
      <c r="Z762" s="17">
        <f>IFERROR(Q762,0)</f>
        <v/>
      </c>
    </row>
    <row r="763">
      <c r="A763" s="25" t="inlineStr">
        <is>
          <t>ORD1762</t>
        </is>
      </c>
      <c r="B763" s="25" t="inlineStr">
        <is>
          <t>2025-07-15</t>
        </is>
      </c>
      <c r="C763" s="25" t="inlineStr">
        <is>
          <t>13:16:05</t>
        </is>
      </c>
      <c r="D763" s="25" t="n">
        <v>1153</v>
      </c>
      <c r="E763" s="25" t="n">
        <v>101</v>
      </c>
      <c r="F763" s="25" t="n">
        <v>220</v>
      </c>
      <c r="G763" s="25" t="inlineStr">
        <is>
          <t>Bangalore</t>
        </is>
      </c>
      <c r="H763" s="25" t="inlineStr">
        <is>
          <t>North Indian</t>
        </is>
      </c>
      <c r="I763" s="26" t="n">
        <v>337</v>
      </c>
      <c r="J763" s="26" t="n">
        <v>14.61</v>
      </c>
      <c r="K763" s="26" t="n">
        <v>35.5</v>
      </c>
      <c r="L763" s="27" t="n">
        <v>0.2</v>
      </c>
      <c r="M763" s="26" t="n">
        <v>76.28</v>
      </c>
      <c r="N763" s="28" t="n">
        <v>5.1</v>
      </c>
      <c r="O763" s="28" t="n">
        <v>35.9</v>
      </c>
      <c r="P763" s="25" t="inlineStr">
        <is>
          <t>Credit Card</t>
        </is>
      </c>
      <c r="Q763" s="25" t="inlineStr">
        <is>
          <t>Delivered</t>
        </is>
      </c>
      <c r="R763" s="25" t="n">
        <v>5</v>
      </c>
      <c r="S763" s="25">
        <f>TEXT(B763,"yyyy-mm")</f>
        <v/>
      </c>
      <c r="T763" s="25">
        <f>VLOOKUP(D763,Customers!A:D,4,FALSE)</f>
        <v/>
      </c>
      <c r="U763" s="25">
        <f>CONCATENATE(A763,"-",G763)</f>
        <v/>
      </c>
      <c r="V763" s="25">
        <f>IF(N763="","",IF(N763&lt;=30,"Fast (&lt;30m)",IF(N763&lt;=45,"Moderate (30-45m)","Delayed (&gt;45m)")))</f>
        <v/>
      </c>
      <c r="W763" s="25">
        <f>IF(AND(I763&gt;600,P763="Delivered"),"High Value Delivered","Standard")</f>
        <v/>
      </c>
      <c r="X763" s="25">
        <f>IF(OR(N763&gt;50,Q763&lt;=2),"High Risk / Delayed","Normal")</f>
        <v/>
      </c>
      <c r="Y763" s="25">
        <f>IF(NOT(P763="Cancelled"),"Fulfilled","Cancelled")</f>
        <v/>
      </c>
      <c r="Z763" s="25">
        <f>IFERROR(Q763,0)</f>
        <v/>
      </c>
    </row>
    <row r="764">
      <c r="A764" s="17" t="inlineStr">
        <is>
          <t>ORD1763</t>
        </is>
      </c>
      <c r="B764" s="17" t="inlineStr">
        <is>
          <t>2025-06-07</t>
        </is>
      </c>
      <c r="C764" s="17" t="inlineStr">
        <is>
          <t>13:26:43</t>
        </is>
      </c>
      <c r="D764" s="17" t="n">
        <v>1266</v>
      </c>
      <c r="E764" s="17" t="n">
        <v>107</v>
      </c>
      <c r="F764" s="17" t="n">
        <v>229</v>
      </c>
      <c r="G764" s="17" t="inlineStr">
        <is>
          <t>Mumbai</t>
        </is>
      </c>
      <c r="H764" s="17" t="inlineStr">
        <is>
          <t>Desserts</t>
        </is>
      </c>
      <c r="I764" s="22" t="n">
        <v>393</v>
      </c>
      <c r="J764" s="22" t="n">
        <v>21.27</v>
      </c>
      <c r="K764" s="22" t="n">
        <v>28.5</v>
      </c>
      <c r="L764" s="23" t="n">
        <v>0.25</v>
      </c>
      <c r="M764" s="22" t="n">
        <v>105.38</v>
      </c>
      <c r="N764" s="24" t="n">
        <v>3.7</v>
      </c>
      <c r="O764" s="24" t="n">
        <v>35.9</v>
      </c>
      <c r="P764" s="17" t="inlineStr">
        <is>
          <t>Credit Card</t>
        </is>
      </c>
      <c r="Q764" s="17" t="inlineStr">
        <is>
          <t>Delivered</t>
        </is>
      </c>
      <c r="R764" s="17" t="n">
        <v>4</v>
      </c>
      <c r="S764" s="17">
        <f>TEXT(B764,"yyyy-mm")</f>
        <v/>
      </c>
      <c r="T764" s="17">
        <f>VLOOKUP(D764,Customers!A:D,4,FALSE)</f>
        <v/>
      </c>
      <c r="U764" s="17">
        <f>CONCATENATE(A764,"-",G764)</f>
        <v/>
      </c>
      <c r="V764" s="17">
        <f>IF(N764="","",IF(N764&lt;=30,"Fast (&lt;30m)",IF(N764&lt;=45,"Moderate (30-45m)","Delayed (&gt;45m)")))</f>
        <v/>
      </c>
      <c r="W764" s="17">
        <f>IF(AND(I764&gt;600,P764="Delivered"),"High Value Delivered","Standard")</f>
        <v/>
      </c>
      <c r="X764" s="17">
        <f>IF(OR(N764&gt;50,Q764&lt;=2),"High Risk / Delayed","Normal")</f>
        <v/>
      </c>
      <c r="Y764" s="17">
        <f>IF(NOT(P764="Cancelled"),"Fulfilled","Cancelled")</f>
        <v/>
      </c>
      <c r="Z764" s="17">
        <f>IFERROR(Q764,0)</f>
        <v/>
      </c>
    </row>
    <row r="765">
      <c r="A765" s="25" t="inlineStr">
        <is>
          <t>ORD1764</t>
        </is>
      </c>
      <c r="B765" s="25" t="inlineStr">
        <is>
          <t>2025-06-02</t>
        </is>
      </c>
      <c r="C765" s="25" t="inlineStr">
        <is>
          <t>09:24:06</t>
        </is>
      </c>
      <c r="D765" s="25" t="n">
        <v>1119</v>
      </c>
      <c r="E765" s="25" t="n">
        <v>104</v>
      </c>
      <c r="F765" s="25" t="n">
        <v>230</v>
      </c>
      <c r="G765" s="25" t="inlineStr">
        <is>
          <t>Delhi NCR</t>
        </is>
      </c>
      <c r="H765" s="25" t="inlineStr">
        <is>
          <t>Fast Food</t>
        </is>
      </c>
      <c r="I765" s="26" t="n">
        <v>683</v>
      </c>
      <c r="J765" s="26" t="n">
        <v>96.5</v>
      </c>
      <c r="K765" s="26" t="n">
        <v>0</v>
      </c>
      <c r="L765" s="27" t="n">
        <v>0.18</v>
      </c>
      <c r="M765" s="26" t="n">
        <v>122.94</v>
      </c>
      <c r="N765" s="28" t="n">
        <v>12.3</v>
      </c>
      <c r="O765" s="28" t="n">
        <v>52.3</v>
      </c>
      <c r="P765" s="25" t="inlineStr">
        <is>
          <t>Cash on Delivery</t>
        </is>
      </c>
      <c r="Q765" s="25" t="inlineStr">
        <is>
          <t>Delivered</t>
        </is>
      </c>
      <c r="R765" s="25" t="n">
        <v>2</v>
      </c>
      <c r="S765" s="25">
        <f>TEXT(B765,"yyyy-mm")</f>
        <v/>
      </c>
      <c r="T765" s="25">
        <f>VLOOKUP(D765,Customers!A:D,4,FALSE)</f>
        <v/>
      </c>
      <c r="U765" s="25">
        <f>CONCATENATE(A765,"-",G765)</f>
        <v/>
      </c>
      <c r="V765" s="25">
        <f>IF(N765="","",IF(N765&lt;=30,"Fast (&lt;30m)",IF(N765&lt;=45,"Moderate (30-45m)","Delayed (&gt;45m)")))</f>
        <v/>
      </c>
      <c r="W765" s="25">
        <f>IF(AND(I765&gt;600,P765="Delivered"),"High Value Delivered","Standard")</f>
        <v/>
      </c>
      <c r="X765" s="25">
        <f>IF(OR(N765&gt;50,Q765&lt;=2),"High Risk / Delayed","Normal")</f>
        <v/>
      </c>
      <c r="Y765" s="25">
        <f>IF(NOT(P765="Cancelled"),"Fulfilled","Cancelled")</f>
        <v/>
      </c>
      <c r="Z765" s="25">
        <f>IFERROR(Q765,0)</f>
        <v/>
      </c>
    </row>
    <row r="766">
      <c r="A766" s="17" t="inlineStr">
        <is>
          <t>ORD1765</t>
        </is>
      </c>
      <c r="B766" s="17" t="inlineStr">
        <is>
          <t>2025-04-14</t>
        </is>
      </c>
      <c r="C766" s="17" t="inlineStr">
        <is>
          <t>16:15:48</t>
        </is>
      </c>
      <c r="D766" s="17" t="n">
        <v>1115</v>
      </c>
      <c r="E766" s="17" t="n">
        <v>114</v>
      </c>
      <c r="F766" s="17" t="n">
        <v>215</v>
      </c>
      <c r="G766" s="17" t="inlineStr">
        <is>
          <t>Hyderabad</t>
        </is>
      </c>
      <c r="H766" s="17" t="inlineStr">
        <is>
          <t>Biryani</t>
        </is>
      </c>
      <c r="I766" s="22" t="n">
        <v>831</v>
      </c>
      <c r="J766" s="22" t="n">
        <v>75.64</v>
      </c>
      <c r="K766" s="22" t="n">
        <v>44</v>
      </c>
      <c r="L766" s="23" t="n">
        <v>0.22</v>
      </c>
      <c r="M766" s="22" t="n">
        <v>193.82</v>
      </c>
      <c r="N766" s="24" t="n">
        <v>6.8</v>
      </c>
      <c r="O766" s="24" t="n">
        <v>37.6</v>
      </c>
      <c r="P766" s="17" t="inlineStr">
        <is>
          <t>Digital Wallet</t>
        </is>
      </c>
      <c r="Q766" s="17" t="inlineStr">
        <is>
          <t>Delivered</t>
        </is>
      </c>
      <c r="R766" s="17" t="n">
        <v>5</v>
      </c>
      <c r="S766" s="17">
        <f>TEXT(B766,"yyyy-mm")</f>
        <v/>
      </c>
      <c r="T766" s="17">
        <f>VLOOKUP(D766,Customers!A:D,4,FALSE)</f>
        <v/>
      </c>
      <c r="U766" s="17">
        <f>CONCATENATE(A766,"-",G766)</f>
        <v/>
      </c>
      <c r="V766" s="17">
        <f>IF(N766="","",IF(N766&lt;=30,"Fast (&lt;30m)",IF(N766&lt;=45,"Moderate (30-45m)","Delayed (&gt;45m)")))</f>
        <v/>
      </c>
      <c r="W766" s="17">
        <f>IF(AND(I766&gt;600,P766="Delivered"),"High Value Delivered","Standard")</f>
        <v/>
      </c>
      <c r="X766" s="17">
        <f>IF(OR(N766&gt;50,Q766&lt;=2),"High Risk / Delayed","Normal")</f>
        <v/>
      </c>
      <c r="Y766" s="17">
        <f>IF(NOT(P766="Cancelled"),"Fulfilled","Cancelled")</f>
        <v/>
      </c>
      <c r="Z766" s="17">
        <f>IFERROR(Q766,0)</f>
        <v/>
      </c>
    </row>
    <row r="767">
      <c r="A767" s="25" t="inlineStr">
        <is>
          <t>ORD1766</t>
        </is>
      </c>
      <c r="B767" s="25" t="inlineStr">
        <is>
          <t>2025-02-01</t>
        </is>
      </c>
      <c r="C767" s="25" t="inlineStr">
        <is>
          <t>22:20:29</t>
        </is>
      </c>
      <c r="D767" s="25" t="n">
        <v>1150</v>
      </c>
      <c r="E767" s="25" t="n">
        <v>119</v>
      </c>
      <c r="F767" s="25" t="n">
        <v>215</v>
      </c>
      <c r="G767" s="25" t="inlineStr">
        <is>
          <t>Hyderabad</t>
        </is>
      </c>
      <c r="H767" s="25" t="inlineStr">
        <is>
          <t>Biryani</t>
        </is>
      </c>
      <c r="I767" s="26" t="n">
        <v>786</v>
      </c>
      <c r="J767" s="26" t="n">
        <v>0</v>
      </c>
      <c r="K767" s="26" t="n">
        <v>28</v>
      </c>
      <c r="L767" s="27" t="n">
        <v>0.2</v>
      </c>
      <c r="M767" s="26" t="n">
        <v>164.2</v>
      </c>
      <c r="N767" s="28" t="n">
        <v>3.6</v>
      </c>
      <c r="O767" s="28" t="n">
        <v>28.7</v>
      </c>
      <c r="P767" s="25" t="inlineStr">
        <is>
          <t>Cash on Delivery</t>
        </is>
      </c>
      <c r="Q767" s="25" t="inlineStr">
        <is>
          <t>Delivered</t>
        </is>
      </c>
      <c r="R767" s="25" t="n">
        <v>4</v>
      </c>
      <c r="S767" s="25">
        <f>TEXT(B767,"yyyy-mm")</f>
        <v/>
      </c>
      <c r="T767" s="25">
        <f>VLOOKUP(D767,Customers!A:D,4,FALSE)</f>
        <v/>
      </c>
      <c r="U767" s="25">
        <f>CONCATENATE(A767,"-",G767)</f>
        <v/>
      </c>
      <c r="V767" s="25">
        <f>IF(N767="","",IF(N767&lt;=30,"Fast (&lt;30m)",IF(N767&lt;=45,"Moderate (30-45m)","Delayed (&gt;45m)")))</f>
        <v/>
      </c>
      <c r="W767" s="25">
        <f>IF(AND(I767&gt;600,P767="Delivered"),"High Value Delivered","Standard")</f>
        <v/>
      </c>
      <c r="X767" s="25">
        <f>IF(OR(N767&gt;50,Q767&lt;=2),"High Risk / Delayed","Normal")</f>
        <v/>
      </c>
      <c r="Y767" s="25">
        <f>IF(NOT(P767="Cancelled"),"Fulfilled","Cancelled")</f>
        <v/>
      </c>
      <c r="Z767" s="25">
        <f>IFERROR(Q767,0)</f>
        <v/>
      </c>
    </row>
    <row r="768">
      <c r="A768" s="17" t="inlineStr">
        <is>
          <t>ORD1767</t>
        </is>
      </c>
      <c r="B768" s="17" t="inlineStr">
        <is>
          <t>2025-10-11</t>
        </is>
      </c>
      <c r="C768" s="17" t="inlineStr">
        <is>
          <t>19:37:43</t>
        </is>
      </c>
      <c r="D768" s="17" t="n">
        <v>1261</v>
      </c>
      <c r="E768" s="17" t="n">
        <v>102</v>
      </c>
      <c r="F768" s="17" t="n">
        <v>225</v>
      </c>
      <c r="G768" s="17" t="inlineStr">
        <is>
          <t>Hyderabad</t>
        </is>
      </c>
      <c r="H768" s="17" t="inlineStr">
        <is>
          <t>Biryani</t>
        </is>
      </c>
      <c r="I768" s="22" t="n">
        <v>323</v>
      </c>
      <c r="J768" s="22" t="n">
        <v>21.72</v>
      </c>
      <c r="K768" s="22" t="n">
        <v>26.5</v>
      </c>
      <c r="L768" s="23" t="n">
        <v>0.22</v>
      </c>
      <c r="M768" s="22" t="n">
        <v>77.68000000000001</v>
      </c>
      <c r="N768" s="24" t="n">
        <v>3.3</v>
      </c>
      <c r="O768" s="24" t="n">
        <v>34.8</v>
      </c>
      <c r="P768" s="17" t="inlineStr">
        <is>
          <t>Credit Card</t>
        </is>
      </c>
      <c r="Q768" s="17" t="inlineStr">
        <is>
          <t>Delivered</t>
        </is>
      </c>
      <c r="R768" s="17" t="n">
        <v>4</v>
      </c>
      <c r="S768" s="17">
        <f>TEXT(B768,"yyyy-mm")</f>
        <v/>
      </c>
      <c r="T768" s="17">
        <f>VLOOKUP(D768,Customers!A:D,4,FALSE)</f>
        <v/>
      </c>
      <c r="U768" s="17">
        <f>CONCATENATE(A768,"-",G768)</f>
        <v/>
      </c>
      <c r="V768" s="17">
        <f>IF(N768="","",IF(N768&lt;=30,"Fast (&lt;30m)",IF(N768&lt;=45,"Moderate (30-45m)","Delayed (&gt;45m)")))</f>
        <v/>
      </c>
      <c r="W768" s="17">
        <f>IF(AND(I768&gt;600,P768="Delivered"),"High Value Delivered","Standard")</f>
        <v/>
      </c>
      <c r="X768" s="17">
        <f>IF(OR(N768&gt;50,Q768&lt;=2),"High Risk / Delayed","Normal")</f>
        <v/>
      </c>
      <c r="Y768" s="17">
        <f>IF(NOT(P768="Cancelled"),"Fulfilled","Cancelled")</f>
        <v/>
      </c>
      <c r="Z768" s="17">
        <f>IFERROR(Q768,0)</f>
        <v/>
      </c>
    </row>
    <row r="769">
      <c r="A769" s="25" t="inlineStr">
        <is>
          <t>ORD1768</t>
        </is>
      </c>
      <c r="B769" s="25" t="inlineStr">
        <is>
          <t>2025-02-12</t>
        </is>
      </c>
      <c r="C769" s="25" t="inlineStr">
        <is>
          <t>19:54:40</t>
        </is>
      </c>
      <c r="D769" s="25" t="n">
        <v>1258</v>
      </c>
      <c r="E769" s="25" t="n">
        <v>113</v>
      </c>
      <c r="F769" s="25" t="n">
        <v>229</v>
      </c>
      <c r="G769" s="25" t="inlineStr">
        <is>
          <t>Mumbai</t>
        </is>
      </c>
      <c r="H769" s="25" t="inlineStr">
        <is>
          <t>Fast Food</t>
        </is>
      </c>
      <c r="I769" s="26" t="n">
        <v>732</v>
      </c>
      <c r="J769" s="26" t="n">
        <v>47.03</v>
      </c>
      <c r="K769" s="26" t="n">
        <v>29.5</v>
      </c>
      <c r="L769" s="27" t="n">
        <v>0.18</v>
      </c>
      <c r="M769" s="26" t="n">
        <v>139.14</v>
      </c>
      <c r="N769" s="28" t="n">
        <v>3.9</v>
      </c>
      <c r="O769" s="28" t="n">
        <v>40.3</v>
      </c>
      <c r="P769" s="25" t="inlineStr">
        <is>
          <t>Debit Card</t>
        </is>
      </c>
      <c r="Q769" s="25" t="inlineStr">
        <is>
          <t>Delivered</t>
        </is>
      </c>
      <c r="R769" s="25" t="n">
        <v>1</v>
      </c>
      <c r="S769" s="25">
        <f>TEXT(B769,"yyyy-mm")</f>
        <v/>
      </c>
      <c r="T769" s="25">
        <f>VLOOKUP(D769,Customers!A:D,4,FALSE)</f>
        <v/>
      </c>
      <c r="U769" s="25">
        <f>CONCATENATE(A769,"-",G769)</f>
        <v/>
      </c>
      <c r="V769" s="25">
        <f>IF(N769="","",IF(N769&lt;=30,"Fast (&lt;30m)",IF(N769&lt;=45,"Moderate (30-45m)","Delayed (&gt;45m)")))</f>
        <v/>
      </c>
      <c r="W769" s="25">
        <f>IF(AND(I769&gt;600,P769="Delivered"),"High Value Delivered","Standard")</f>
        <v/>
      </c>
      <c r="X769" s="25">
        <f>IF(OR(N769&gt;50,Q769&lt;=2),"High Risk / Delayed","Normal")</f>
        <v/>
      </c>
      <c r="Y769" s="25">
        <f>IF(NOT(P769="Cancelled"),"Fulfilled","Cancelled")</f>
        <v/>
      </c>
      <c r="Z769" s="25">
        <f>IFERROR(Q769,0)</f>
        <v/>
      </c>
    </row>
    <row r="770">
      <c r="A770" s="17" t="inlineStr">
        <is>
          <t>ORD1769</t>
        </is>
      </c>
      <c r="B770" s="17" t="inlineStr">
        <is>
          <t>2025-10-12</t>
        </is>
      </c>
      <c r="C770" s="17" t="inlineStr">
        <is>
          <t>18:28:02</t>
        </is>
      </c>
      <c r="D770" s="17" t="n">
        <v>1128</v>
      </c>
      <c r="E770" s="17" t="n">
        <v>102</v>
      </c>
      <c r="F770" s="17" t="n">
        <v>215</v>
      </c>
      <c r="G770" s="17" t="inlineStr">
        <is>
          <t>Hyderabad</t>
        </is>
      </c>
      <c r="H770" s="17" t="inlineStr">
        <is>
          <t>Biryani</t>
        </is>
      </c>
      <c r="I770" s="22" t="n">
        <v>529</v>
      </c>
      <c r="J770" s="22" t="n">
        <v>77.48</v>
      </c>
      <c r="K770" s="22" t="n">
        <v>0</v>
      </c>
      <c r="L770" s="23" t="n">
        <v>0.22</v>
      </c>
      <c r="M770" s="22" t="n">
        <v>116.38</v>
      </c>
      <c r="N770" s="24" t="n">
        <v>4.1</v>
      </c>
      <c r="O770" s="24" t="n">
        <v>33.4</v>
      </c>
      <c r="P770" s="17" t="inlineStr">
        <is>
          <t>Debit Card</t>
        </is>
      </c>
      <c r="Q770" s="17" t="inlineStr">
        <is>
          <t>Delivered</t>
        </is>
      </c>
      <c r="R770" s="17" t="n">
        <v>3</v>
      </c>
      <c r="S770" s="17">
        <f>TEXT(B770,"yyyy-mm")</f>
        <v/>
      </c>
      <c r="T770" s="17">
        <f>VLOOKUP(D770,Customers!A:D,4,FALSE)</f>
        <v/>
      </c>
      <c r="U770" s="17">
        <f>CONCATENATE(A770,"-",G770)</f>
        <v/>
      </c>
      <c r="V770" s="17">
        <f>IF(N770="","",IF(N770&lt;=30,"Fast (&lt;30m)",IF(N770&lt;=45,"Moderate (30-45m)","Delayed (&gt;45m)")))</f>
        <v/>
      </c>
      <c r="W770" s="17">
        <f>IF(AND(I770&gt;600,P770="Delivered"),"High Value Delivered","Standard")</f>
        <v/>
      </c>
      <c r="X770" s="17">
        <f>IF(OR(N770&gt;50,Q770&lt;=2),"High Risk / Delayed","Normal")</f>
        <v/>
      </c>
      <c r="Y770" s="17">
        <f>IF(NOT(P770="Cancelled"),"Fulfilled","Cancelled")</f>
        <v/>
      </c>
      <c r="Z770" s="17">
        <f>IFERROR(Q770,0)</f>
        <v/>
      </c>
    </row>
    <row r="771">
      <c r="A771" s="25" t="inlineStr">
        <is>
          <t>ORD1770</t>
        </is>
      </c>
      <c r="B771" s="25" t="inlineStr">
        <is>
          <t>2025-09-04</t>
        </is>
      </c>
      <c r="C771" s="25" t="inlineStr">
        <is>
          <t>09:17:38</t>
        </is>
      </c>
      <c r="D771" s="25" t="n">
        <v>1251</v>
      </c>
      <c r="E771" s="25" t="n">
        <v>109</v>
      </c>
      <c r="F771" s="25" t="n">
        <v>215</v>
      </c>
      <c r="G771" s="25" t="inlineStr">
        <is>
          <t>Hyderabad</t>
        </is>
      </c>
      <c r="H771" s="25" t="inlineStr">
        <is>
          <t>Biryani</t>
        </is>
      </c>
      <c r="I771" s="26" t="n">
        <v>476</v>
      </c>
      <c r="J771" s="26" t="n">
        <v>14.48</v>
      </c>
      <c r="K771" s="26" t="n">
        <v>25</v>
      </c>
      <c r="L771" s="27" t="n">
        <v>0.2</v>
      </c>
      <c r="M771" s="26" t="n">
        <v>101.45</v>
      </c>
      <c r="N771" s="28" t="n">
        <v>3</v>
      </c>
      <c r="O771" s="28" t="n">
        <v>24.8</v>
      </c>
      <c r="P771" s="25" t="inlineStr">
        <is>
          <t>Credit Card</t>
        </is>
      </c>
      <c r="Q771" s="25" t="inlineStr">
        <is>
          <t>Delivered</t>
        </is>
      </c>
      <c r="R771" s="25" t="n">
        <v>4</v>
      </c>
      <c r="S771" s="25">
        <f>TEXT(B771,"yyyy-mm")</f>
        <v/>
      </c>
      <c r="T771" s="25">
        <f>VLOOKUP(D771,Customers!A:D,4,FALSE)</f>
        <v/>
      </c>
      <c r="U771" s="25">
        <f>CONCATENATE(A771,"-",G771)</f>
        <v/>
      </c>
      <c r="V771" s="25">
        <f>IF(N771="","",IF(N771&lt;=30,"Fast (&lt;30m)",IF(N771&lt;=45,"Moderate (30-45m)","Delayed (&gt;45m)")))</f>
        <v/>
      </c>
      <c r="W771" s="25">
        <f>IF(AND(I771&gt;600,P771="Delivered"),"High Value Delivered","Standard")</f>
        <v/>
      </c>
      <c r="X771" s="25">
        <f>IF(OR(N771&gt;50,Q771&lt;=2),"High Risk / Delayed","Normal")</f>
        <v/>
      </c>
      <c r="Y771" s="25">
        <f>IF(NOT(P771="Cancelled"),"Fulfilled","Cancelled")</f>
        <v/>
      </c>
      <c r="Z771" s="25">
        <f>IFERROR(Q771,0)</f>
        <v/>
      </c>
    </row>
    <row r="772">
      <c r="A772" s="17" t="inlineStr">
        <is>
          <t>ORD1771</t>
        </is>
      </c>
      <c r="B772" s="17" t="inlineStr">
        <is>
          <t>2025-10-01</t>
        </is>
      </c>
      <c r="C772" s="17" t="inlineStr">
        <is>
          <t>17:36:04</t>
        </is>
      </c>
      <c r="D772" s="17" t="n">
        <v>1270</v>
      </c>
      <c r="E772" s="17" t="n">
        <v>102</v>
      </c>
      <c r="F772" s="17" t="n">
        <v>225</v>
      </c>
      <c r="G772" s="17" t="inlineStr">
        <is>
          <t>Hyderabad</t>
        </is>
      </c>
      <c r="H772" s="17" t="inlineStr">
        <is>
          <t>Biryani</t>
        </is>
      </c>
      <c r="I772" s="22" t="n">
        <v>527</v>
      </c>
      <c r="J772" s="22" t="n">
        <v>0</v>
      </c>
      <c r="K772" s="22" t="n">
        <v>32</v>
      </c>
      <c r="L772" s="23" t="n">
        <v>0.22</v>
      </c>
      <c r="M772" s="22" t="n">
        <v>123.94</v>
      </c>
      <c r="N772" s="24" t="n">
        <v>4.4</v>
      </c>
      <c r="O772" s="24" t="n">
        <v>39.1</v>
      </c>
      <c r="P772" s="17" t="inlineStr">
        <is>
          <t>Credit Card</t>
        </is>
      </c>
      <c r="Q772" s="17" t="inlineStr">
        <is>
          <t>Delivered</t>
        </is>
      </c>
      <c r="R772" s="17" t="n">
        <v>4</v>
      </c>
      <c r="S772" s="17">
        <f>TEXT(B772,"yyyy-mm")</f>
        <v/>
      </c>
      <c r="T772" s="17">
        <f>VLOOKUP(D772,Customers!A:D,4,FALSE)</f>
        <v/>
      </c>
      <c r="U772" s="17">
        <f>CONCATENATE(A772,"-",G772)</f>
        <v/>
      </c>
      <c r="V772" s="17">
        <f>IF(N772="","",IF(N772&lt;=30,"Fast (&lt;30m)",IF(N772&lt;=45,"Moderate (30-45m)","Delayed (&gt;45m)")))</f>
        <v/>
      </c>
      <c r="W772" s="17">
        <f>IF(AND(I772&gt;600,P772="Delivered"),"High Value Delivered","Standard")</f>
        <v/>
      </c>
      <c r="X772" s="17">
        <f>IF(OR(N772&gt;50,Q772&lt;=2),"High Risk / Delayed","Normal")</f>
        <v/>
      </c>
      <c r="Y772" s="17">
        <f>IF(NOT(P772="Cancelled"),"Fulfilled","Cancelled")</f>
        <v/>
      </c>
      <c r="Z772" s="17">
        <f>IFERROR(Q772,0)</f>
        <v/>
      </c>
    </row>
    <row r="773">
      <c r="A773" s="25" t="inlineStr">
        <is>
          <t>ORD1772</t>
        </is>
      </c>
      <c r="B773" s="25" t="inlineStr">
        <is>
          <t>2025-11-09</t>
        </is>
      </c>
      <c r="C773" s="25" t="inlineStr">
        <is>
          <t>11:32:51</t>
        </is>
      </c>
      <c r="D773" s="25" t="n">
        <v>1053</v>
      </c>
      <c r="E773" s="25" t="n">
        <v>119</v>
      </c>
      <c r="F773" s="25" t="n">
        <v>225</v>
      </c>
      <c r="G773" s="25" t="inlineStr">
        <is>
          <t>Hyderabad</t>
        </is>
      </c>
      <c r="H773" s="25" t="inlineStr">
        <is>
          <t>Biryani</t>
        </is>
      </c>
      <c r="I773" s="26" t="n">
        <v>871</v>
      </c>
      <c r="J773" s="26" t="n">
        <v>146.51</v>
      </c>
      <c r="K773" s="26" t="n">
        <v>0</v>
      </c>
      <c r="L773" s="27" t="n">
        <v>0.2</v>
      </c>
      <c r="M773" s="26" t="n">
        <v>174.2</v>
      </c>
      <c r="N773" s="28" t="n">
        <v>3.7</v>
      </c>
      <c r="O773" s="28" t="n">
        <v>28.4</v>
      </c>
      <c r="P773" s="25" t="inlineStr">
        <is>
          <t>Debit Card</t>
        </is>
      </c>
      <c r="Q773" s="25" t="inlineStr">
        <is>
          <t>Delivered</t>
        </is>
      </c>
      <c r="R773" s="25" t="n">
        <v>2</v>
      </c>
      <c r="S773" s="25">
        <f>TEXT(B773,"yyyy-mm")</f>
        <v/>
      </c>
      <c r="T773" s="25">
        <f>VLOOKUP(D773,Customers!A:D,4,FALSE)</f>
        <v/>
      </c>
      <c r="U773" s="25">
        <f>CONCATENATE(A773,"-",G773)</f>
        <v/>
      </c>
      <c r="V773" s="25">
        <f>IF(N773="","",IF(N773&lt;=30,"Fast (&lt;30m)",IF(N773&lt;=45,"Moderate (30-45m)","Delayed (&gt;45m)")))</f>
        <v/>
      </c>
      <c r="W773" s="25">
        <f>IF(AND(I773&gt;600,P773="Delivered"),"High Value Delivered","Standard")</f>
        <v/>
      </c>
      <c r="X773" s="25">
        <f>IF(OR(N773&gt;50,Q773&lt;=2),"High Risk / Delayed","Normal")</f>
        <v/>
      </c>
      <c r="Y773" s="25">
        <f>IF(NOT(P773="Cancelled"),"Fulfilled","Cancelled")</f>
        <v/>
      </c>
      <c r="Z773" s="25">
        <f>IFERROR(Q773,0)</f>
        <v/>
      </c>
    </row>
    <row r="774">
      <c r="A774" s="17" t="inlineStr">
        <is>
          <t>ORD1773</t>
        </is>
      </c>
      <c r="B774" s="17" t="inlineStr">
        <is>
          <t>2025-12-06</t>
        </is>
      </c>
      <c r="C774" s="17" t="inlineStr">
        <is>
          <t>11:20:21</t>
        </is>
      </c>
      <c r="D774" s="17" t="n">
        <v>1103</v>
      </c>
      <c r="E774" s="17" t="n">
        <v>108</v>
      </c>
      <c r="F774" s="17" t="n">
        <v>219</v>
      </c>
      <c r="G774" s="17" t="inlineStr">
        <is>
          <t>Delhi NCR</t>
        </is>
      </c>
      <c r="H774" s="17" t="inlineStr">
        <is>
          <t>Fast Food</t>
        </is>
      </c>
      <c r="I774" s="22" t="n">
        <v>435</v>
      </c>
      <c r="J774" s="22" t="n">
        <v>0</v>
      </c>
      <c r="K774" s="22" t="n">
        <v>27</v>
      </c>
      <c r="L774" s="23" t="n">
        <v>0.18</v>
      </c>
      <c r="M774" s="22" t="n">
        <v>85.05</v>
      </c>
      <c r="N774" s="24" t="n">
        <v>3.4</v>
      </c>
      <c r="O774" s="24" t="n">
        <v>29.3</v>
      </c>
      <c r="P774" s="17" t="inlineStr">
        <is>
          <t>UPI</t>
        </is>
      </c>
      <c r="Q774" s="17" t="inlineStr">
        <is>
          <t>Delivered</t>
        </is>
      </c>
      <c r="R774" s="17" t="n">
        <v>5</v>
      </c>
      <c r="S774" s="17">
        <f>TEXT(B774,"yyyy-mm")</f>
        <v/>
      </c>
      <c r="T774" s="17">
        <f>VLOOKUP(D774,Customers!A:D,4,FALSE)</f>
        <v/>
      </c>
      <c r="U774" s="17">
        <f>CONCATENATE(A774,"-",G774)</f>
        <v/>
      </c>
      <c r="V774" s="17">
        <f>IF(N774="","",IF(N774&lt;=30,"Fast (&lt;30m)",IF(N774&lt;=45,"Moderate (30-45m)","Delayed (&gt;45m)")))</f>
        <v/>
      </c>
      <c r="W774" s="17">
        <f>IF(AND(I774&gt;600,P774="Delivered"),"High Value Delivered","Standard")</f>
        <v/>
      </c>
      <c r="X774" s="17">
        <f>IF(OR(N774&gt;50,Q774&lt;=2),"High Risk / Delayed","Normal")</f>
        <v/>
      </c>
      <c r="Y774" s="17">
        <f>IF(NOT(P774="Cancelled"),"Fulfilled","Cancelled")</f>
        <v/>
      </c>
      <c r="Z774" s="17">
        <f>IFERROR(Q774,0)</f>
        <v/>
      </c>
    </row>
    <row r="775">
      <c r="A775" s="25" t="inlineStr">
        <is>
          <t>ORD1774</t>
        </is>
      </c>
      <c r="B775" s="25" t="inlineStr">
        <is>
          <t>2025-01-03</t>
        </is>
      </c>
      <c r="C775" s="25" t="inlineStr">
        <is>
          <t>13:57:00</t>
        </is>
      </c>
      <c r="D775" s="25" t="n">
        <v>1045</v>
      </c>
      <c r="E775" s="25" t="n">
        <v>101</v>
      </c>
      <c r="F775" s="25" t="n">
        <v>210</v>
      </c>
      <c r="G775" s="25" t="inlineStr">
        <is>
          <t>Bangalore</t>
        </is>
      </c>
      <c r="H775" s="25" t="inlineStr">
        <is>
          <t>North Indian</t>
        </is>
      </c>
      <c r="I775" s="26" t="n">
        <v>908</v>
      </c>
      <c r="J775" s="26" t="n">
        <v>0</v>
      </c>
      <c r="K775" s="26" t="n">
        <v>29</v>
      </c>
      <c r="L775" s="27" t="n">
        <v>0.2</v>
      </c>
      <c r="M775" s="26" t="n">
        <v>188.85</v>
      </c>
      <c r="N775" s="28" t="n">
        <v>3.8</v>
      </c>
      <c r="O775" s="28" t="n">
        <v>53.9</v>
      </c>
      <c r="P775" s="25" t="inlineStr">
        <is>
          <t>Cash on Delivery</t>
        </is>
      </c>
      <c r="Q775" s="25" t="inlineStr">
        <is>
          <t>Delivered</t>
        </is>
      </c>
      <c r="R775" s="25" t="n">
        <v>2</v>
      </c>
      <c r="S775" s="25">
        <f>TEXT(B775,"yyyy-mm")</f>
        <v/>
      </c>
      <c r="T775" s="25">
        <f>VLOOKUP(D775,Customers!A:D,4,FALSE)</f>
        <v/>
      </c>
      <c r="U775" s="25">
        <f>CONCATENATE(A775,"-",G775)</f>
        <v/>
      </c>
      <c r="V775" s="25">
        <f>IF(N775="","",IF(N775&lt;=30,"Fast (&lt;30m)",IF(N775&lt;=45,"Moderate (30-45m)","Delayed (&gt;45m)")))</f>
        <v/>
      </c>
      <c r="W775" s="25">
        <f>IF(AND(I775&gt;600,P775="Delivered"),"High Value Delivered","Standard")</f>
        <v/>
      </c>
      <c r="X775" s="25">
        <f>IF(OR(N775&gt;50,Q775&lt;=2),"High Risk / Delayed","Normal")</f>
        <v/>
      </c>
      <c r="Y775" s="25">
        <f>IF(NOT(P775="Cancelled"),"Fulfilled","Cancelled")</f>
        <v/>
      </c>
      <c r="Z775" s="25">
        <f>IFERROR(Q775,0)</f>
        <v/>
      </c>
    </row>
    <row r="776">
      <c r="A776" s="17" t="inlineStr">
        <is>
          <t>ORD1775</t>
        </is>
      </c>
      <c r="B776" s="17" t="inlineStr">
        <is>
          <t>2025-10-03</t>
        </is>
      </c>
      <c r="C776" s="17" t="inlineStr">
        <is>
          <t>21:01:57</t>
        </is>
      </c>
      <c r="D776" s="17" t="n">
        <v>1018</v>
      </c>
      <c r="E776" s="17" t="n">
        <v>104</v>
      </c>
      <c r="F776" s="17" t="n">
        <v>219</v>
      </c>
      <c r="G776" s="17" t="inlineStr">
        <is>
          <t>Delhi NCR</t>
        </is>
      </c>
      <c r="H776" s="17" t="inlineStr">
        <is>
          <t>Fast Food</t>
        </is>
      </c>
      <c r="I776" s="22" t="n">
        <v>907</v>
      </c>
      <c r="J776" s="22" t="n">
        <v>0</v>
      </c>
      <c r="K776" s="22" t="n">
        <v>42.5</v>
      </c>
      <c r="L776" s="23" t="n">
        <v>0.18</v>
      </c>
      <c r="M776" s="22" t="n">
        <v>173.88</v>
      </c>
      <c r="N776" s="24" t="n">
        <v>6.5</v>
      </c>
      <c r="O776" s="24" t="n">
        <v>38.8</v>
      </c>
      <c r="P776" s="17" t="inlineStr">
        <is>
          <t>Cash on Delivery</t>
        </is>
      </c>
      <c r="Q776" s="17" t="inlineStr">
        <is>
          <t>Delivered</t>
        </is>
      </c>
      <c r="R776" s="17" t="n">
        <v>5</v>
      </c>
      <c r="S776" s="17">
        <f>TEXT(B776,"yyyy-mm")</f>
        <v/>
      </c>
      <c r="T776" s="17">
        <f>VLOOKUP(D776,Customers!A:D,4,FALSE)</f>
        <v/>
      </c>
      <c r="U776" s="17">
        <f>CONCATENATE(A776,"-",G776)</f>
        <v/>
      </c>
      <c r="V776" s="17">
        <f>IF(N776="","",IF(N776&lt;=30,"Fast (&lt;30m)",IF(N776&lt;=45,"Moderate (30-45m)","Delayed (&gt;45m)")))</f>
        <v/>
      </c>
      <c r="W776" s="17">
        <f>IF(AND(I776&gt;600,P776="Delivered"),"High Value Delivered","Standard")</f>
        <v/>
      </c>
      <c r="X776" s="17">
        <f>IF(OR(N776&gt;50,Q776&lt;=2),"High Risk / Delayed","Normal")</f>
        <v/>
      </c>
      <c r="Y776" s="17">
        <f>IF(NOT(P776="Cancelled"),"Fulfilled","Cancelled")</f>
        <v/>
      </c>
      <c r="Z776" s="17">
        <f>IFERROR(Q776,0)</f>
        <v/>
      </c>
    </row>
    <row r="777">
      <c r="A777" s="25" t="inlineStr">
        <is>
          <t>ORD1776</t>
        </is>
      </c>
      <c r="B777" s="25" t="inlineStr">
        <is>
          <t>2025-12-23</t>
        </is>
      </c>
      <c r="C777" s="25" t="inlineStr">
        <is>
          <t>22:00:07</t>
        </is>
      </c>
      <c r="D777" s="25" t="n">
        <v>1032</v>
      </c>
      <c r="E777" s="25" t="n">
        <v>112</v>
      </c>
      <c r="F777" s="25" t="n">
        <v>221</v>
      </c>
      <c r="G777" s="25" t="inlineStr">
        <is>
          <t>Delhi NCR</t>
        </is>
      </c>
      <c r="H777" s="25" t="inlineStr">
        <is>
          <t>North Indian</t>
        </is>
      </c>
      <c r="I777" s="26" t="n">
        <v>693</v>
      </c>
      <c r="J777" s="26" t="n">
        <v>0</v>
      </c>
      <c r="K777" s="26" t="n">
        <v>25</v>
      </c>
      <c r="L777" s="27" t="n">
        <v>0.22</v>
      </c>
      <c r="M777" s="26" t="n">
        <v>158.71</v>
      </c>
      <c r="N777" s="28" t="n">
        <v>2</v>
      </c>
      <c r="O777" s="28" t="n">
        <v>37.3</v>
      </c>
      <c r="P777" s="25" t="inlineStr">
        <is>
          <t>UPI</t>
        </is>
      </c>
      <c r="Q777" s="25" t="inlineStr">
        <is>
          <t>Delivered</t>
        </is>
      </c>
      <c r="R777" s="25" t="n">
        <v>3</v>
      </c>
      <c r="S777" s="25">
        <f>TEXT(B777,"yyyy-mm")</f>
        <v/>
      </c>
      <c r="T777" s="25">
        <f>VLOOKUP(D777,Customers!A:D,4,FALSE)</f>
        <v/>
      </c>
      <c r="U777" s="25">
        <f>CONCATENATE(A777,"-",G777)</f>
        <v/>
      </c>
      <c r="V777" s="25">
        <f>IF(N777="","",IF(N777&lt;=30,"Fast (&lt;30m)",IF(N777&lt;=45,"Moderate (30-45m)","Delayed (&gt;45m)")))</f>
        <v/>
      </c>
      <c r="W777" s="25">
        <f>IF(AND(I777&gt;600,P777="Delivered"),"High Value Delivered","Standard")</f>
        <v/>
      </c>
      <c r="X777" s="25">
        <f>IF(OR(N777&gt;50,Q777&lt;=2),"High Risk / Delayed","Normal")</f>
        <v/>
      </c>
      <c r="Y777" s="25">
        <f>IF(NOT(P777="Cancelled"),"Fulfilled","Cancelled")</f>
        <v/>
      </c>
      <c r="Z777" s="25">
        <f>IFERROR(Q777,0)</f>
        <v/>
      </c>
    </row>
    <row r="778">
      <c r="A778" s="17" t="inlineStr">
        <is>
          <t>ORD1777</t>
        </is>
      </c>
      <c r="B778" s="17" t="inlineStr">
        <is>
          <t>2025-05-24</t>
        </is>
      </c>
      <c r="C778" s="17" t="inlineStr">
        <is>
          <t>11:43:58</t>
        </is>
      </c>
      <c r="D778" s="17" t="n">
        <v>1172</v>
      </c>
      <c r="E778" s="17" t="n">
        <v>120</v>
      </c>
      <c r="F778" s="17" t="n">
        <v>226</v>
      </c>
      <c r="G778" s="17" t="inlineStr">
        <is>
          <t>Pune</t>
        </is>
      </c>
      <c r="H778" s="17" t="inlineStr">
        <is>
          <t>Fast Food</t>
        </is>
      </c>
      <c r="I778" s="22" t="n">
        <v>946</v>
      </c>
      <c r="J778" s="22" t="n">
        <v>0</v>
      </c>
      <c r="K778" s="22" t="n">
        <v>29.5</v>
      </c>
      <c r="L778" s="23" t="n">
        <v>0.18</v>
      </c>
      <c r="M778" s="22" t="n">
        <v>177.66</v>
      </c>
      <c r="N778" s="24" t="n">
        <v>3.9</v>
      </c>
      <c r="O778" s="24" t="n">
        <v>27.5</v>
      </c>
      <c r="P778" s="17" t="inlineStr">
        <is>
          <t>Digital Wallet</t>
        </is>
      </c>
      <c r="Q778" s="17" t="inlineStr">
        <is>
          <t>Delivered</t>
        </is>
      </c>
      <c r="R778" s="17" t="n">
        <v>4</v>
      </c>
      <c r="S778" s="17">
        <f>TEXT(B778,"yyyy-mm")</f>
        <v/>
      </c>
      <c r="T778" s="17">
        <f>VLOOKUP(D778,Customers!A:D,4,FALSE)</f>
        <v/>
      </c>
      <c r="U778" s="17">
        <f>CONCATENATE(A778,"-",G778)</f>
        <v/>
      </c>
      <c r="V778" s="17">
        <f>IF(N778="","",IF(N778&lt;=30,"Fast (&lt;30m)",IF(N778&lt;=45,"Moderate (30-45m)","Delayed (&gt;45m)")))</f>
        <v/>
      </c>
      <c r="W778" s="17">
        <f>IF(AND(I778&gt;600,P778="Delivered"),"High Value Delivered","Standard")</f>
        <v/>
      </c>
      <c r="X778" s="17">
        <f>IF(OR(N778&gt;50,Q778&lt;=2),"High Risk / Delayed","Normal")</f>
        <v/>
      </c>
      <c r="Y778" s="17">
        <f>IF(NOT(P778="Cancelled"),"Fulfilled","Cancelled")</f>
        <v/>
      </c>
      <c r="Z778" s="17">
        <f>IFERROR(Q778,0)</f>
        <v/>
      </c>
    </row>
    <row r="779">
      <c r="A779" s="25" t="inlineStr">
        <is>
          <t>ORD1778</t>
        </is>
      </c>
      <c r="B779" s="25" t="inlineStr">
        <is>
          <t>2025-09-10</t>
        </is>
      </c>
      <c r="C779" s="25" t="inlineStr">
        <is>
          <t>12:23:02</t>
        </is>
      </c>
      <c r="D779" s="25" t="n">
        <v>1058</v>
      </c>
      <c r="E779" s="25" t="n">
        <v>103</v>
      </c>
      <c r="F779" s="25" t="n">
        <v>222</v>
      </c>
      <c r="G779" s="25" t="inlineStr">
        <is>
          <t>Mumbai</t>
        </is>
      </c>
      <c r="H779" s="25" t="inlineStr">
        <is>
          <t>Italian</t>
        </is>
      </c>
      <c r="I779" s="26" t="n">
        <v>507</v>
      </c>
      <c r="J779" s="26" t="n">
        <v>0</v>
      </c>
      <c r="K779" s="26" t="n">
        <v>25</v>
      </c>
      <c r="L779" s="27" t="n">
        <v>0.18</v>
      </c>
      <c r="M779" s="26" t="n">
        <v>97.51000000000001</v>
      </c>
      <c r="N779" s="28" t="n">
        <v>2.9</v>
      </c>
      <c r="O779" s="28" t="n">
        <v>35.1</v>
      </c>
      <c r="P779" s="25" t="inlineStr">
        <is>
          <t>Digital Wallet</t>
        </is>
      </c>
      <c r="Q779" s="25" t="inlineStr">
        <is>
          <t>Delivered</t>
        </is>
      </c>
      <c r="R779" s="25" t="n">
        <v>4</v>
      </c>
      <c r="S779" s="25">
        <f>TEXT(B779,"yyyy-mm")</f>
        <v/>
      </c>
      <c r="T779" s="25">
        <f>VLOOKUP(D779,Customers!A:D,4,FALSE)</f>
        <v/>
      </c>
      <c r="U779" s="25">
        <f>CONCATENATE(A779,"-",G779)</f>
        <v/>
      </c>
      <c r="V779" s="25">
        <f>IF(N779="","",IF(N779&lt;=30,"Fast (&lt;30m)",IF(N779&lt;=45,"Moderate (30-45m)","Delayed (&gt;45m)")))</f>
        <v/>
      </c>
      <c r="W779" s="25">
        <f>IF(AND(I779&gt;600,P779="Delivered"),"High Value Delivered","Standard")</f>
        <v/>
      </c>
      <c r="X779" s="25">
        <f>IF(OR(N779&gt;50,Q779&lt;=2),"High Risk / Delayed","Normal")</f>
        <v/>
      </c>
      <c r="Y779" s="25">
        <f>IF(NOT(P779="Cancelled"),"Fulfilled","Cancelled")</f>
        <v/>
      </c>
      <c r="Z779" s="25">
        <f>IFERROR(Q779,0)</f>
        <v/>
      </c>
    </row>
    <row r="780">
      <c r="A780" s="17" t="inlineStr">
        <is>
          <t>ORD1779</t>
        </is>
      </c>
      <c r="B780" s="17" t="inlineStr">
        <is>
          <t>2025-04-11</t>
        </is>
      </c>
      <c r="C780" s="17" t="inlineStr">
        <is>
          <t>12:52:40</t>
        </is>
      </c>
      <c r="D780" s="17" t="n">
        <v>1241</v>
      </c>
      <c r="E780" s="17" t="n">
        <v>119</v>
      </c>
      <c r="F780" s="17" t="n">
        <v>225</v>
      </c>
      <c r="G780" s="17" t="inlineStr">
        <is>
          <t>Hyderabad</t>
        </is>
      </c>
      <c r="H780" s="17" t="inlineStr">
        <is>
          <t>Biryani</t>
        </is>
      </c>
      <c r="I780" s="22" t="n">
        <v>753</v>
      </c>
      <c r="J780" s="22" t="n">
        <v>140.8</v>
      </c>
      <c r="K780" s="22" t="n">
        <v>0</v>
      </c>
      <c r="L780" s="23" t="n">
        <v>0.2</v>
      </c>
      <c r="M780" s="22" t="n">
        <v>150.6</v>
      </c>
      <c r="N780" s="24" t="n">
        <v>2</v>
      </c>
      <c r="O780" s="24" t="n">
        <v>28.5</v>
      </c>
      <c r="P780" s="17" t="inlineStr">
        <is>
          <t>Cash on Delivery</t>
        </is>
      </c>
      <c r="Q780" s="17" t="inlineStr">
        <is>
          <t>Delivered</t>
        </is>
      </c>
      <c r="R780" s="17" t="n">
        <v>4</v>
      </c>
      <c r="S780" s="17">
        <f>TEXT(B780,"yyyy-mm")</f>
        <v/>
      </c>
      <c r="T780" s="17">
        <f>VLOOKUP(D780,Customers!A:D,4,FALSE)</f>
        <v/>
      </c>
      <c r="U780" s="17">
        <f>CONCATENATE(A780,"-",G780)</f>
        <v/>
      </c>
      <c r="V780" s="17">
        <f>IF(N780="","",IF(N780&lt;=30,"Fast (&lt;30m)",IF(N780&lt;=45,"Moderate (30-45m)","Delayed (&gt;45m)")))</f>
        <v/>
      </c>
      <c r="W780" s="17">
        <f>IF(AND(I780&gt;600,P780="Delivered"),"High Value Delivered","Standard")</f>
        <v/>
      </c>
      <c r="X780" s="17">
        <f>IF(OR(N780&gt;50,Q780&lt;=2),"High Risk / Delayed","Normal")</f>
        <v/>
      </c>
      <c r="Y780" s="17">
        <f>IF(NOT(P780="Cancelled"),"Fulfilled","Cancelled")</f>
        <v/>
      </c>
      <c r="Z780" s="17">
        <f>IFERROR(Q780,0)</f>
        <v/>
      </c>
    </row>
    <row r="781">
      <c r="A781" s="25" t="inlineStr">
        <is>
          <t>ORD1780</t>
        </is>
      </c>
      <c r="B781" s="25" t="inlineStr">
        <is>
          <t>2025-12-04</t>
        </is>
      </c>
      <c r="C781" s="25" t="inlineStr">
        <is>
          <t>21:47:36</t>
        </is>
      </c>
      <c r="D781" s="25" t="n">
        <v>1008</v>
      </c>
      <c r="E781" s="25" t="n">
        <v>103</v>
      </c>
      <c r="F781" s="25" t="n">
        <v>202</v>
      </c>
      <c r="G781" s="25" t="inlineStr">
        <is>
          <t>Mumbai</t>
        </is>
      </c>
      <c r="H781" s="25" t="inlineStr">
        <is>
          <t>Italian</t>
        </is>
      </c>
      <c r="I781" s="26" t="n">
        <v>1182</v>
      </c>
      <c r="J781" s="26" t="n">
        <v>189.47</v>
      </c>
      <c r="K781" s="26" t="n">
        <v>0</v>
      </c>
      <c r="L781" s="27" t="n">
        <v>0.18</v>
      </c>
      <c r="M781" s="26" t="n">
        <v>212.76</v>
      </c>
      <c r="N781" s="28" t="n">
        <v>6.1</v>
      </c>
      <c r="O781" s="28" t="n">
        <v>42.2</v>
      </c>
      <c r="P781" s="25" t="inlineStr">
        <is>
          <t>Digital Wallet</t>
        </is>
      </c>
      <c r="Q781" s="25" t="inlineStr">
        <is>
          <t>Delivered</t>
        </is>
      </c>
      <c r="R781" s="25" t="n">
        <v>2</v>
      </c>
      <c r="S781" s="25">
        <f>TEXT(B781,"yyyy-mm")</f>
        <v/>
      </c>
      <c r="T781" s="25">
        <f>VLOOKUP(D781,Customers!A:D,4,FALSE)</f>
        <v/>
      </c>
      <c r="U781" s="25">
        <f>CONCATENATE(A781,"-",G781)</f>
        <v/>
      </c>
      <c r="V781" s="25">
        <f>IF(N781="","",IF(N781&lt;=30,"Fast (&lt;30m)",IF(N781&lt;=45,"Moderate (30-45m)","Delayed (&gt;45m)")))</f>
        <v/>
      </c>
      <c r="W781" s="25">
        <f>IF(AND(I781&gt;600,P781="Delivered"),"High Value Delivered","Standard")</f>
        <v/>
      </c>
      <c r="X781" s="25">
        <f>IF(OR(N781&gt;50,Q781&lt;=2),"High Risk / Delayed","Normal")</f>
        <v/>
      </c>
      <c r="Y781" s="25">
        <f>IF(NOT(P781="Cancelled"),"Fulfilled","Cancelled")</f>
        <v/>
      </c>
      <c r="Z781" s="25">
        <f>IFERROR(Q781,0)</f>
        <v/>
      </c>
    </row>
    <row r="782">
      <c r="A782" s="17" t="inlineStr">
        <is>
          <t>ORD1781</t>
        </is>
      </c>
      <c r="B782" s="17" t="inlineStr">
        <is>
          <t>2025-03-07</t>
        </is>
      </c>
      <c r="C782" s="17" t="inlineStr">
        <is>
          <t>13:16:59</t>
        </is>
      </c>
      <c r="D782" s="17" t="n">
        <v>1075</v>
      </c>
      <c r="E782" s="17" t="n">
        <v>118</v>
      </c>
      <c r="F782" s="17" t="n">
        <v>219</v>
      </c>
      <c r="G782" s="17" t="inlineStr">
        <is>
          <t>Delhi NCR</t>
        </is>
      </c>
      <c r="H782" s="17" t="inlineStr">
        <is>
          <t>North Indian</t>
        </is>
      </c>
      <c r="I782" s="22" t="n">
        <v>803</v>
      </c>
      <c r="J782" s="22" t="n">
        <v>88.23999999999999</v>
      </c>
      <c r="K782" s="22" t="n">
        <v>25</v>
      </c>
      <c r="L782" s="23" t="n">
        <v>0.2</v>
      </c>
      <c r="M782" s="22" t="n">
        <v>166.85</v>
      </c>
      <c r="N782" s="24" t="n">
        <v>1.7</v>
      </c>
      <c r="O782" s="24" t="n">
        <v/>
      </c>
      <c r="P782" s="17" t="inlineStr">
        <is>
          <t>Debit Card</t>
        </is>
      </c>
      <c r="Q782" s="17" t="inlineStr">
        <is>
          <t>Cancelled</t>
        </is>
      </c>
      <c r="R782" s="17" t="n">
        <v/>
      </c>
      <c r="S782" s="17">
        <f>TEXT(B782,"yyyy-mm")</f>
        <v/>
      </c>
      <c r="T782" s="17">
        <f>VLOOKUP(D782,Customers!A:D,4,FALSE)</f>
        <v/>
      </c>
      <c r="U782" s="17">
        <f>CONCATENATE(A782,"-",G782)</f>
        <v/>
      </c>
      <c r="V782" s="17">
        <f>IF(N782="","",IF(N782&lt;=30,"Fast (&lt;30m)",IF(N782&lt;=45,"Moderate (30-45m)","Delayed (&gt;45m)")))</f>
        <v/>
      </c>
      <c r="W782" s="17">
        <f>IF(AND(I782&gt;600,P782="Delivered"),"High Value Delivered","Standard")</f>
        <v/>
      </c>
      <c r="X782" s="17">
        <f>IF(OR(N782&gt;50,Q782&lt;=2),"High Risk / Delayed","Normal")</f>
        <v/>
      </c>
      <c r="Y782" s="17">
        <f>IF(NOT(P782="Cancelled"),"Fulfilled","Cancelled")</f>
        <v/>
      </c>
      <c r="Z782" s="17">
        <f>IFERROR(Q782,0)</f>
        <v/>
      </c>
    </row>
    <row r="783">
      <c r="A783" s="25" t="inlineStr">
        <is>
          <t>ORD1782</t>
        </is>
      </c>
      <c r="B783" s="25" t="inlineStr">
        <is>
          <t>2025-12-21</t>
        </is>
      </c>
      <c r="C783" s="25" t="inlineStr">
        <is>
          <t>12:43:34</t>
        </is>
      </c>
      <c r="D783" s="25" t="n">
        <v>1274</v>
      </c>
      <c r="E783" s="25" t="n">
        <v>103</v>
      </c>
      <c r="F783" s="25" t="n">
        <v>202</v>
      </c>
      <c r="G783" s="25" t="inlineStr">
        <is>
          <t>Mumbai</t>
        </is>
      </c>
      <c r="H783" s="25" t="inlineStr">
        <is>
          <t>Italian</t>
        </is>
      </c>
      <c r="I783" s="26" t="n">
        <v>1013</v>
      </c>
      <c r="J783" s="26" t="n">
        <v>170.25</v>
      </c>
      <c r="K783" s="26" t="n">
        <v>0</v>
      </c>
      <c r="L783" s="27" t="n">
        <v>0.18</v>
      </c>
      <c r="M783" s="26" t="n">
        <v>182.34</v>
      </c>
      <c r="N783" s="28" t="n">
        <v>13.1</v>
      </c>
      <c r="O783" s="28" t="n">
        <v>77.3</v>
      </c>
      <c r="P783" s="25" t="inlineStr">
        <is>
          <t>UPI</t>
        </is>
      </c>
      <c r="Q783" s="25" t="inlineStr">
        <is>
          <t>Delivered</t>
        </is>
      </c>
      <c r="R783" s="25" t="n">
        <v>2</v>
      </c>
      <c r="S783" s="25">
        <f>TEXT(B783,"yyyy-mm")</f>
        <v/>
      </c>
      <c r="T783" s="25">
        <f>VLOOKUP(D783,Customers!A:D,4,FALSE)</f>
        <v/>
      </c>
      <c r="U783" s="25">
        <f>CONCATENATE(A783,"-",G783)</f>
        <v/>
      </c>
      <c r="V783" s="25">
        <f>IF(N783="","",IF(N783&lt;=30,"Fast (&lt;30m)",IF(N783&lt;=45,"Moderate (30-45m)","Delayed (&gt;45m)")))</f>
        <v/>
      </c>
      <c r="W783" s="25">
        <f>IF(AND(I783&gt;600,P783="Delivered"),"High Value Delivered","Standard")</f>
        <v/>
      </c>
      <c r="X783" s="25">
        <f>IF(OR(N783&gt;50,Q783&lt;=2),"High Risk / Delayed","Normal")</f>
        <v/>
      </c>
      <c r="Y783" s="25">
        <f>IF(NOT(P783="Cancelled"),"Fulfilled","Cancelled")</f>
        <v/>
      </c>
      <c r="Z783" s="25">
        <f>IFERROR(Q783,0)</f>
        <v/>
      </c>
    </row>
    <row r="784">
      <c r="A784" s="17" t="inlineStr">
        <is>
          <t>ORD1783</t>
        </is>
      </c>
      <c r="B784" s="17" t="inlineStr">
        <is>
          <t>2025-08-10</t>
        </is>
      </c>
      <c r="C784" s="17" t="inlineStr">
        <is>
          <t>19:54:26</t>
        </is>
      </c>
      <c r="D784" s="17" t="n">
        <v>1263</v>
      </c>
      <c r="E784" s="17" t="n">
        <v>104</v>
      </c>
      <c r="F784" s="17" t="n">
        <v>230</v>
      </c>
      <c r="G784" s="17" t="inlineStr">
        <is>
          <t>Delhi NCR</t>
        </is>
      </c>
      <c r="H784" s="17" t="inlineStr">
        <is>
          <t>Fast Food</t>
        </is>
      </c>
      <c r="I784" s="22" t="n">
        <v>500</v>
      </c>
      <c r="J784" s="22" t="n">
        <v>0</v>
      </c>
      <c r="K784" s="22" t="n">
        <v>25</v>
      </c>
      <c r="L784" s="23" t="n">
        <v>0.18</v>
      </c>
      <c r="M784" s="22" t="n">
        <v>96.25</v>
      </c>
      <c r="N784" s="24" t="n">
        <v>2.9</v>
      </c>
      <c r="O784" s="24" t="n">
        <v>34.9</v>
      </c>
      <c r="P784" s="17" t="inlineStr">
        <is>
          <t>Cash on Delivery</t>
        </is>
      </c>
      <c r="Q784" s="17" t="inlineStr">
        <is>
          <t>Delivered</t>
        </is>
      </c>
      <c r="R784" s="17" t="n">
        <v>4</v>
      </c>
      <c r="S784" s="17">
        <f>TEXT(B784,"yyyy-mm")</f>
        <v/>
      </c>
      <c r="T784" s="17">
        <f>VLOOKUP(D784,Customers!A:D,4,FALSE)</f>
        <v/>
      </c>
      <c r="U784" s="17">
        <f>CONCATENATE(A784,"-",G784)</f>
        <v/>
      </c>
      <c r="V784" s="17">
        <f>IF(N784="","",IF(N784&lt;=30,"Fast (&lt;30m)",IF(N784&lt;=45,"Moderate (30-45m)","Delayed (&gt;45m)")))</f>
        <v/>
      </c>
      <c r="W784" s="17">
        <f>IF(AND(I784&gt;600,P784="Delivered"),"High Value Delivered","Standard")</f>
        <v/>
      </c>
      <c r="X784" s="17">
        <f>IF(OR(N784&gt;50,Q784&lt;=2),"High Risk / Delayed","Normal")</f>
        <v/>
      </c>
      <c r="Y784" s="17">
        <f>IF(NOT(P784="Cancelled"),"Fulfilled","Cancelled")</f>
        <v/>
      </c>
      <c r="Z784" s="17">
        <f>IFERROR(Q784,0)</f>
        <v/>
      </c>
    </row>
    <row r="785">
      <c r="A785" s="25" t="inlineStr">
        <is>
          <t>ORD1784</t>
        </is>
      </c>
      <c r="B785" s="25" t="inlineStr">
        <is>
          <t>2025-01-25</t>
        </is>
      </c>
      <c r="C785" s="25" t="inlineStr">
        <is>
          <t>17:17:58</t>
        </is>
      </c>
      <c r="D785" s="25" t="n">
        <v>1062</v>
      </c>
      <c r="E785" s="25" t="n">
        <v>117</v>
      </c>
      <c r="F785" s="25" t="n">
        <v>229</v>
      </c>
      <c r="G785" s="25" t="inlineStr">
        <is>
          <t>Mumbai</t>
        </is>
      </c>
      <c r="H785" s="25" t="inlineStr">
        <is>
          <t>Chinese</t>
        </is>
      </c>
      <c r="I785" s="26" t="n">
        <v>650</v>
      </c>
      <c r="J785" s="26" t="n">
        <v>16.44</v>
      </c>
      <c r="K785" s="26" t="n">
        <v>26</v>
      </c>
      <c r="L785" s="27" t="n">
        <v>0.2</v>
      </c>
      <c r="M785" s="26" t="n">
        <v>136.5</v>
      </c>
      <c r="N785" s="28" t="n">
        <v>3.2</v>
      </c>
      <c r="O785" s="28" t="n">
        <v>31.8</v>
      </c>
      <c r="P785" s="25" t="inlineStr">
        <is>
          <t>Debit Card</t>
        </is>
      </c>
      <c r="Q785" s="25" t="inlineStr">
        <is>
          <t>Delivered</t>
        </is>
      </c>
      <c r="R785" s="25" t="n">
        <v>5</v>
      </c>
      <c r="S785" s="25">
        <f>TEXT(B785,"yyyy-mm")</f>
        <v/>
      </c>
      <c r="T785" s="25">
        <f>VLOOKUP(D785,Customers!A:D,4,FALSE)</f>
        <v/>
      </c>
      <c r="U785" s="25">
        <f>CONCATENATE(A785,"-",G785)</f>
        <v/>
      </c>
      <c r="V785" s="25">
        <f>IF(N785="","",IF(N785&lt;=30,"Fast (&lt;30m)",IF(N785&lt;=45,"Moderate (30-45m)","Delayed (&gt;45m)")))</f>
        <v/>
      </c>
      <c r="W785" s="25">
        <f>IF(AND(I785&gt;600,P785="Delivered"),"High Value Delivered","Standard")</f>
        <v/>
      </c>
      <c r="X785" s="25">
        <f>IF(OR(N785&gt;50,Q785&lt;=2),"High Risk / Delayed","Normal")</f>
        <v/>
      </c>
      <c r="Y785" s="25">
        <f>IF(NOT(P785="Cancelled"),"Fulfilled","Cancelled")</f>
        <v/>
      </c>
      <c r="Z785" s="25">
        <f>IFERROR(Q785,0)</f>
        <v/>
      </c>
    </row>
    <row r="786">
      <c r="A786" s="17" t="inlineStr">
        <is>
          <t>ORD1785</t>
        </is>
      </c>
      <c r="B786" s="17" t="inlineStr">
        <is>
          <t>2025-04-26</t>
        </is>
      </c>
      <c r="C786" s="17" t="inlineStr">
        <is>
          <t>15:44:27</t>
        </is>
      </c>
      <c r="D786" s="17" t="n">
        <v>1017</v>
      </c>
      <c r="E786" s="17" t="n">
        <v>107</v>
      </c>
      <c r="F786" s="17" t="n">
        <v>229</v>
      </c>
      <c r="G786" s="17" t="inlineStr">
        <is>
          <t>Mumbai</t>
        </is>
      </c>
      <c r="H786" s="17" t="inlineStr">
        <is>
          <t>Desserts</t>
        </is>
      </c>
      <c r="I786" s="22" t="n">
        <v>296</v>
      </c>
      <c r="J786" s="22" t="n">
        <v>4.66</v>
      </c>
      <c r="K786" s="22" t="n">
        <v>25.5</v>
      </c>
      <c r="L786" s="23" t="n">
        <v>0.25</v>
      </c>
      <c r="M786" s="22" t="n">
        <v>80.38</v>
      </c>
      <c r="N786" s="24" t="n">
        <v>3.1</v>
      </c>
      <c r="O786" s="24" t="n">
        <v>32.2</v>
      </c>
      <c r="P786" s="17" t="inlineStr">
        <is>
          <t>UPI</t>
        </is>
      </c>
      <c r="Q786" s="17" t="inlineStr">
        <is>
          <t>Delivered</t>
        </is>
      </c>
      <c r="R786" s="17" t="n">
        <v>4</v>
      </c>
      <c r="S786" s="17">
        <f>TEXT(B786,"yyyy-mm")</f>
        <v/>
      </c>
      <c r="T786" s="17">
        <f>VLOOKUP(D786,Customers!A:D,4,FALSE)</f>
        <v/>
      </c>
      <c r="U786" s="17">
        <f>CONCATENATE(A786,"-",G786)</f>
        <v/>
      </c>
      <c r="V786" s="17">
        <f>IF(N786="","",IF(N786&lt;=30,"Fast (&lt;30m)",IF(N786&lt;=45,"Moderate (30-45m)","Delayed (&gt;45m)")))</f>
        <v/>
      </c>
      <c r="W786" s="17">
        <f>IF(AND(I786&gt;600,P786="Delivered"),"High Value Delivered","Standard")</f>
        <v/>
      </c>
      <c r="X786" s="17">
        <f>IF(OR(N786&gt;50,Q786&lt;=2),"High Risk / Delayed","Normal")</f>
        <v/>
      </c>
      <c r="Y786" s="17">
        <f>IF(NOT(P786="Cancelled"),"Fulfilled","Cancelled")</f>
        <v/>
      </c>
      <c r="Z786" s="17">
        <f>IFERROR(Q786,0)</f>
        <v/>
      </c>
    </row>
    <row r="787">
      <c r="A787" s="25" t="inlineStr">
        <is>
          <t>ORD1786</t>
        </is>
      </c>
      <c r="B787" s="25" t="inlineStr">
        <is>
          <t>2025-08-10</t>
        </is>
      </c>
      <c r="C787" s="25" t="inlineStr">
        <is>
          <t>11:51:01</t>
        </is>
      </c>
      <c r="D787" s="25" t="n">
        <v>1040</v>
      </c>
      <c r="E787" s="25" t="n">
        <v>110</v>
      </c>
      <c r="F787" s="25" t="n">
        <v>209</v>
      </c>
      <c r="G787" s="25" t="inlineStr">
        <is>
          <t>Pune</t>
        </is>
      </c>
      <c r="H787" s="25" t="inlineStr">
        <is>
          <t>North Indian</t>
        </is>
      </c>
      <c r="I787" s="26" t="n">
        <v>826</v>
      </c>
      <c r="J787" s="26" t="n">
        <v>61.79</v>
      </c>
      <c r="K787" s="26" t="n">
        <v>26</v>
      </c>
      <c r="L787" s="27" t="n">
        <v>0.18</v>
      </c>
      <c r="M787" s="26" t="n">
        <v>155.18</v>
      </c>
      <c r="N787" s="28" t="n">
        <v>3.2</v>
      </c>
      <c r="O787" s="28" t="n">
        <v>30.1</v>
      </c>
      <c r="P787" s="25" t="inlineStr">
        <is>
          <t>Credit Card</t>
        </is>
      </c>
      <c r="Q787" s="25" t="inlineStr">
        <is>
          <t>Delivered</t>
        </is>
      </c>
      <c r="R787" s="25" t="n">
        <v>2</v>
      </c>
      <c r="S787" s="25">
        <f>TEXT(B787,"yyyy-mm")</f>
        <v/>
      </c>
      <c r="T787" s="25">
        <f>VLOOKUP(D787,Customers!A:D,4,FALSE)</f>
        <v/>
      </c>
      <c r="U787" s="25">
        <f>CONCATENATE(A787,"-",G787)</f>
        <v/>
      </c>
      <c r="V787" s="25">
        <f>IF(N787="","",IF(N787&lt;=30,"Fast (&lt;30m)",IF(N787&lt;=45,"Moderate (30-45m)","Delayed (&gt;45m)")))</f>
        <v/>
      </c>
      <c r="W787" s="25">
        <f>IF(AND(I787&gt;600,P787="Delivered"),"High Value Delivered","Standard")</f>
        <v/>
      </c>
      <c r="X787" s="25">
        <f>IF(OR(N787&gt;50,Q787&lt;=2),"High Risk / Delayed","Normal")</f>
        <v/>
      </c>
      <c r="Y787" s="25">
        <f>IF(NOT(P787="Cancelled"),"Fulfilled","Cancelled")</f>
        <v/>
      </c>
      <c r="Z787" s="25">
        <f>IFERROR(Q787,0)</f>
        <v/>
      </c>
    </row>
    <row r="788">
      <c r="A788" s="17" t="inlineStr">
        <is>
          <t>ORD1787</t>
        </is>
      </c>
      <c r="B788" s="17" t="inlineStr">
        <is>
          <t>2025-05-03</t>
        </is>
      </c>
      <c r="C788" s="17" t="inlineStr">
        <is>
          <t>12:21:53</t>
        </is>
      </c>
      <c r="D788" s="17" t="n">
        <v>1283</v>
      </c>
      <c r="E788" s="17" t="n">
        <v>120</v>
      </c>
      <c r="F788" s="17" t="n">
        <v>204</v>
      </c>
      <c r="G788" s="17" t="inlineStr">
        <is>
          <t>Pune</t>
        </is>
      </c>
      <c r="H788" s="17" t="inlineStr">
        <is>
          <t>Fast Food</t>
        </is>
      </c>
      <c r="I788" s="22" t="n">
        <v>275</v>
      </c>
      <c r="J788" s="22" t="n">
        <v>11.43</v>
      </c>
      <c r="K788" s="22" t="n">
        <v>25</v>
      </c>
      <c r="L788" s="23" t="n">
        <v>0.18</v>
      </c>
      <c r="M788" s="22" t="n">
        <v>55.75</v>
      </c>
      <c r="N788" s="24" t="n">
        <v>2.5</v>
      </c>
      <c r="O788" s="24" t="n">
        <v>26.9</v>
      </c>
      <c r="P788" s="17" t="inlineStr">
        <is>
          <t>UPI</t>
        </is>
      </c>
      <c r="Q788" s="17" t="inlineStr">
        <is>
          <t>Delivered</t>
        </is>
      </c>
      <c r="R788" s="17" t="n">
        <v>2</v>
      </c>
      <c r="S788" s="17">
        <f>TEXT(B788,"yyyy-mm")</f>
        <v/>
      </c>
      <c r="T788" s="17">
        <f>VLOOKUP(D788,Customers!A:D,4,FALSE)</f>
        <v/>
      </c>
      <c r="U788" s="17">
        <f>CONCATENATE(A788,"-",G788)</f>
        <v/>
      </c>
      <c r="V788" s="17">
        <f>IF(N788="","",IF(N788&lt;=30,"Fast (&lt;30m)",IF(N788&lt;=45,"Moderate (30-45m)","Delayed (&gt;45m)")))</f>
        <v/>
      </c>
      <c r="W788" s="17">
        <f>IF(AND(I788&gt;600,P788="Delivered"),"High Value Delivered","Standard")</f>
        <v/>
      </c>
      <c r="X788" s="17">
        <f>IF(OR(N788&gt;50,Q788&lt;=2),"High Risk / Delayed","Normal")</f>
        <v/>
      </c>
      <c r="Y788" s="17">
        <f>IF(NOT(P788="Cancelled"),"Fulfilled","Cancelled")</f>
        <v/>
      </c>
      <c r="Z788" s="17">
        <f>IFERROR(Q788,0)</f>
        <v/>
      </c>
    </row>
    <row r="789">
      <c r="A789" s="25" t="inlineStr">
        <is>
          <t>ORD1788</t>
        </is>
      </c>
      <c r="B789" s="25" t="inlineStr">
        <is>
          <t>2025-10-24</t>
        </is>
      </c>
      <c r="C789" s="25" t="inlineStr">
        <is>
          <t>11:07:05</t>
        </is>
      </c>
      <c r="D789" s="25" t="n">
        <v>1063</v>
      </c>
      <c r="E789" s="25" t="n">
        <v>115</v>
      </c>
      <c r="F789" s="25" t="n">
        <v>213</v>
      </c>
      <c r="G789" s="25" t="inlineStr">
        <is>
          <t>Bangalore</t>
        </is>
      </c>
      <c r="H789" s="25" t="inlineStr">
        <is>
          <t>Italian</t>
        </is>
      </c>
      <c r="I789" s="26" t="n">
        <v>282</v>
      </c>
      <c r="J789" s="26" t="n">
        <v>32.2</v>
      </c>
      <c r="K789" s="26" t="n">
        <v>35.5</v>
      </c>
      <c r="L789" s="27" t="n">
        <v>0.2</v>
      </c>
      <c r="M789" s="26" t="n">
        <v>65.28</v>
      </c>
      <c r="N789" s="28" t="n">
        <v>5.1</v>
      </c>
      <c r="O789" s="28" t="n">
        <v>32.7</v>
      </c>
      <c r="P789" s="25" t="inlineStr">
        <is>
          <t>UPI</t>
        </is>
      </c>
      <c r="Q789" s="25" t="inlineStr">
        <is>
          <t>Delivered</t>
        </is>
      </c>
      <c r="R789" s="25" t="n">
        <v>5</v>
      </c>
      <c r="S789" s="25">
        <f>TEXT(B789,"yyyy-mm")</f>
        <v/>
      </c>
      <c r="T789" s="25">
        <f>VLOOKUP(D789,Customers!A:D,4,FALSE)</f>
        <v/>
      </c>
      <c r="U789" s="25">
        <f>CONCATENATE(A789,"-",G789)</f>
        <v/>
      </c>
      <c r="V789" s="25">
        <f>IF(N789="","",IF(N789&lt;=30,"Fast (&lt;30m)",IF(N789&lt;=45,"Moderate (30-45m)","Delayed (&gt;45m)")))</f>
        <v/>
      </c>
      <c r="W789" s="25">
        <f>IF(AND(I789&gt;600,P789="Delivered"),"High Value Delivered","Standard")</f>
        <v/>
      </c>
      <c r="X789" s="25">
        <f>IF(OR(N789&gt;50,Q789&lt;=2),"High Risk / Delayed","Normal")</f>
        <v/>
      </c>
      <c r="Y789" s="25">
        <f>IF(NOT(P789="Cancelled"),"Fulfilled","Cancelled")</f>
        <v/>
      </c>
      <c r="Z789" s="25">
        <f>IFERROR(Q789,0)</f>
        <v/>
      </c>
    </row>
    <row r="790">
      <c r="A790" s="17" t="inlineStr">
        <is>
          <t>ORD1789</t>
        </is>
      </c>
      <c r="B790" s="17" t="inlineStr">
        <is>
          <t>2025-08-15</t>
        </is>
      </c>
      <c r="C790" s="17" t="inlineStr">
        <is>
          <t>17:03:19</t>
        </is>
      </c>
      <c r="D790" s="17" t="n">
        <v>1250</v>
      </c>
      <c r="E790" s="17" t="n">
        <v>106</v>
      </c>
      <c r="F790" s="17" t="n">
        <v>208</v>
      </c>
      <c r="G790" s="17" t="inlineStr">
        <is>
          <t>Pune</t>
        </is>
      </c>
      <c r="H790" s="17" t="inlineStr">
        <is>
          <t>South Indian</t>
        </is>
      </c>
      <c r="I790" s="22" t="n">
        <v>1105</v>
      </c>
      <c r="J790" s="22" t="n">
        <v>158.22</v>
      </c>
      <c r="K790" s="22" t="n">
        <v>0</v>
      </c>
      <c r="L790" s="23" t="n">
        <v>0.15</v>
      </c>
      <c r="M790" s="22" t="n">
        <v>165.75</v>
      </c>
      <c r="N790" s="24" t="n">
        <v>4.2</v>
      </c>
      <c r="O790" s="24" t="n">
        <v/>
      </c>
      <c r="P790" s="17" t="inlineStr">
        <is>
          <t>UPI</t>
        </is>
      </c>
      <c r="Q790" s="17" t="inlineStr">
        <is>
          <t>Cancelled</t>
        </is>
      </c>
      <c r="R790" s="17" t="n">
        <v/>
      </c>
      <c r="S790" s="17">
        <f>TEXT(B790,"yyyy-mm")</f>
        <v/>
      </c>
      <c r="T790" s="17">
        <f>VLOOKUP(D790,Customers!A:D,4,FALSE)</f>
        <v/>
      </c>
      <c r="U790" s="17">
        <f>CONCATENATE(A790,"-",G790)</f>
        <v/>
      </c>
      <c r="V790" s="17">
        <f>IF(N790="","",IF(N790&lt;=30,"Fast (&lt;30m)",IF(N790&lt;=45,"Moderate (30-45m)","Delayed (&gt;45m)")))</f>
        <v/>
      </c>
      <c r="W790" s="17">
        <f>IF(AND(I790&gt;600,P790="Delivered"),"High Value Delivered","Standard")</f>
        <v/>
      </c>
      <c r="X790" s="17">
        <f>IF(OR(N790&gt;50,Q790&lt;=2),"High Risk / Delayed","Normal")</f>
        <v/>
      </c>
      <c r="Y790" s="17">
        <f>IF(NOT(P790="Cancelled"),"Fulfilled","Cancelled")</f>
        <v/>
      </c>
      <c r="Z790" s="17">
        <f>IFERROR(Q790,0)</f>
        <v/>
      </c>
    </row>
    <row r="791">
      <c r="A791" s="25" t="inlineStr">
        <is>
          <t>ORD1790</t>
        </is>
      </c>
      <c r="B791" s="25" t="inlineStr">
        <is>
          <t>2025-07-25</t>
        </is>
      </c>
      <c r="C791" s="25" t="inlineStr">
        <is>
          <t>12:06:39</t>
        </is>
      </c>
      <c r="D791" s="25" t="n">
        <v>1119</v>
      </c>
      <c r="E791" s="25" t="n">
        <v>118</v>
      </c>
      <c r="F791" s="25" t="n">
        <v>230</v>
      </c>
      <c r="G791" s="25" t="inlineStr">
        <is>
          <t>Delhi NCR</t>
        </is>
      </c>
      <c r="H791" s="25" t="inlineStr">
        <is>
          <t>North Indian</t>
        </is>
      </c>
      <c r="I791" s="26" t="n">
        <v>799</v>
      </c>
      <c r="J791" s="26" t="n">
        <v>148.98</v>
      </c>
      <c r="K791" s="26" t="n">
        <v>0</v>
      </c>
      <c r="L791" s="27" t="n">
        <v>0.2</v>
      </c>
      <c r="M791" s="26" t="n">
        <v>159.8</v>
      </c>
      <c r="N791" s="28" t="n">
        <v>3.5</v>
      </c>
      <c r="O791" s="28" t="n">
        <v>33.4</v>
      </c>
      <c r="P791" s="25" t="inlineStr">
        <is>
          <t>Digital Wallet</t>
        </is>
      </c>
      <c r="Q791" s="25" t="inlineStr">
        <is>
          <t>Delivered</t>
        </is>
      </c>
      <c r="R791" s="25" t="n">
        <v>4</v>
      </c>
      <c r="S791" s="25">
        <f>TEXT(B791,"yyyy-mm")</f>
        <v/>
      </c>
      <c r="T791" s="25">
        <f>VLOOKUP(D791,Customers!A:D,4,FALSE)</f>
        <v/>
      </c>
      <c r="U791" s="25">
        <f>CONCATENATE(A791,"-",G791)</f>
        <v/>
      </c>
      <c r="V791" s="25">
        <f>IF(N791="","",IF(N791&lt;=30,"Fast (&lt;30m)",IF(N791&lt;=45,"Moderate (30-45m)","Delayed (&gt;45m)")))</f>
        <v/>
      </c>
      <c r="W791" s="25">
        <f>IF(AND(I791&gt;600,P791="Delivered"),"High Value Delivered","Standard")</f>
        <v/>
      </c>
      <c r="X791" s="25">
        <f>IF(OR(N791&gt;50,Q791&lt;=2),"High Risk / Delayed","Normal")</f>
        <v/>
      </c>
      <c r="Y791" s="25">
        <f>IF(NOT(P791="Cancelled"),"Fulfilled","Cancelled")</f>
        <v/>
      </c>
      <c r="Z791" s="25">
        <f>IFERROR(Q791,0)</f>
        <v/>
      </c>
    </row>
    <row r="792">
      <c r="A792" s="17" t="inlineStr">
        <is>
          <t>ORD1791</t>
        </is>
      </c>
      <c r="B792" s="17" t="inlineStr">
        <is>
          <t>2025-07-16</t>
        </is>
      </c>
      <c r="C792" s="17" t="inlineStr">
        <is>
          <t>13:29:50</t>
        </is>
      </c>
      <c r="D792" s="17" t="n">
        <v>1045</v>
      </c>
      <c r="E792" s="17" t="n">
        <v>101</v>
      </c>
      <c r="F792" s="17" t="n">
        <v>218</v>
      </c>
      <c r="G792" s="17" t="inlineStr">
        <is>
          <t>Bangalore</t>
        </is>
      </c>
      <c r="H792" s="17" t="inlineStr">
        <is>
          <t>North Indian</t>
        </is>
      </c>
      <c r="I792" s="22" t="n">
        <v>658</v>
      </c>
      <c r="J792" s="22" t="n">
        <v>32.6</v>
      </c>
      <c r="K792" s="22" t="n">
        <v>40</v>
      </c>
      <c r="L792" s="23" t="n">
        <v>0.2</v>
      </c>
      <c r="M792" s="22" t="n">
        <v>141.6</v>
      </c>
      <c r="N792" s="24" t="n">
        <v>6</v>
      </c>
      <c r="O792" s="24" t="n">
        <v>41.2</v>
      </c>
      <c r="P792" s="17" t="inlineStr">
        <is>
          <t>UPI</t>
        </is>
      </c>
      <c r="Q792" s="17" t="inlineStr">
        <is>
          <t>Delivered</t>
        </is>
      </c>
      <c r="R792" s="17" t="n">
        <v>3</v>
      </c>
      <c r="S792" s="17">
        <f>TEXT(B792,"yyyy-mm")</f>
        <v/>
      </c>
      <c r="T792" s="17">
        <f>VLOOKUP(D792,Customers!A:D,4,FALSE)</f>
        <v/>
      </c>
      <c r="U792" s="17">
        <f>CONCATENATE(A792,"-",G792)</f>
        <v/>
      </c>
      <c r="V792" s="17">
        <f>IF(N792="","",IF(N792&lt;=30,"Fast (&lt;30m)",IF(N792&lt;=45,"Moderate (30-45m)","Delayed (&gt;45m)")))</f>
        <v/>
      </c>
      <c r="W792" s="17">
        <f>IF(AND(I792&gt;600,P792="Delivered"),"High Value Delivered","Standard")</f>
        <v/>
      </c>
      <c r="X792" s="17">
        <f>IF(OR(N792&gt;50,Q792&lt;=2),"High Risk / Delayed","Normal")</f>
        <v/>
      </c>
      <c r="Y792" s="17">
        <f>IF(NOT(P792="Cancelled"),"Fulfilled","Cancelled")</f>
        <v/>
      </c>
      <c r="Z792" s="17">
        <f>IFERROR(Q792,0)</f>
        <v/>
      </c>
    </row>
    <row r="793">
      <c r="A793" s="25" t="inlineStr">
        <is>
          <t>ORD1792</t>
        </is>
      </c>
      <c r="B793" s="25" t="inlineStr">
        <is>
          <t>2025-02-25</t>
        </is>
      </c>
      <c r="C793" s="25" t="inlineStr">
        <is>
          <t>01:06:00</t>
        </is>
      </c>
      <c r="D793" s="25" t="n">
        <v>1071</v>
      </c>
      <c r="E793" s="25" t="n">
        <v>106</v>
      </c>
      <c r="F793" s="25" t="n">
        <v>226</v>
      </c>
      <c r="G793" s="25" t="inlineStr">
        <is>
          <t>Pune</t>
        </is>
      </c>
      <c r="H793" s="25" t="inlineStr">
        <is>
          <t>South Indian</t>
        </is>
      </c>
      <c r="I793" s="26" t="n">
        <v>829</v>
      </c>
      <c r="J793" s="26" t="n">
        <v>82.84</v>
      </c>
      <c r="K793" s="26" t="n">
        <v>25</v>
      </c>
      <c r="L793" s="27" t="n">
        <v>0.15</v>
      </c>
      <c r="M793" s="26" t="n">
        <v>130.6</v>
      </c>
      <c r="N793" s="28" t="n">
        <v>2.2</v>
      </c>
      <c r="O793" s="28" t="n">
        <v>25.2</v>
      </c>
      <c r="P793" s="25" t="inlineStr">
        <is>
          <t>Credit Card</t>
        </is>
      </c>
      <c r="Q793" s="25" t="inlineStr">
        <is>
          <t>Delivered</t>
        </is>
      </c>
      <c r="R793" s="25" t="n">
        <v>4</v>
      </c>
      <c r="S793" s="25">
        <f>TEXT(B793,"yyyy-mm")</f>
        <v/>
      </c>
      <c r="T793" s="25">
        <f>VLOOKUP(D793,Customers!A:D,4,FALSE)</f>
        <v/>
      </c>
      <c r="U793" s="25">
        <f>CONCATENATE(A793,"-",G793)</f>
        <v/>
      </c>
      <c r="V793" s="25">
        <f>IF(N793="","",IF(N793&lt;=30,"Fast (&lt;30m)",IF(N793&lt;=45,"Moderate (30-45m)","Delayed (&gt;45m)")))</f>
        <v/>
      </c>
      <c r="W793" s="25">
        <f>IF(AND(I793&gt;600,P793="Delivered"),"High Value Delivered","Standard")</f>
        <v/>
      </c>
      <c r="X793" s="25">
        <f>IF(OR(N793&gt;50,Q793&lt;=2),"High Risk / Delayed","Normal")</f>
        <v/>
      </c>
      <c r="Y793" s="25">
        <f>IF(NOT(P793="Cancelled"),"Fulfilled","Cancelled")</f>
        <v/>
      </c>
      <c r="Z793" s="25">
        <f>IFERROR(Q793,0)</f>
        <v/>
      </c>
    </row>
    <row r="794">
      <c r="A794" s="17" t="inlineStr">
        <is>
          <t>ORD1793</t>
        </is>
      </c>
      <c r="B794" s="17" t="inlineStr">
        <is>
          <t>2025-08-04</t>
        </is>
      </c>
      <c r="C794" s="17" t="inlineStr">
        <is>
          <t>22:30:46</t>
        </is>
      </c>
      <c r="D794" s="17" t="n">
        <v>1023</v>
      </c>
      <c r="E794" s="17" t="n">
        <v>101</v>
      </c>
      <c r="F794" s="17" t="n">
        <v>205</v>
      </c>
      <c r="G794" s="17" t="inlineStr">
        <is>
          <t>Bangalore</t>
        </is>
      </c>
      <c r="H794" s="17" t="inlineStr">
        <is>
          <t>North Indian</t>
        </is>
      </c>
      <c r="I794" s="22" t="n">
        <v>855</v>
      </c>
      <c r="J794" s="22" t="n">
        <v>0</v>
      </c>
      <c r="K794" s="22" t="n">
        <v>32</v>
      </c>
      <c r="L794" s="23" t="n">
        <v>0.2</v>
      </c>
      <c r="M794" s="22" t="n">
        <v>179</v>
      </c>
      <c r="N794" s="24" t="n">
        <v>4.4</v>
      </c>
      <c r="O794" s="24" t="n">
        <v>27.8</v>
      </c>
      <c r="P794" s="17" t="inlineStr">
        <is>
          <t>UPI</t>
        </is>
      </c>
      <c r="Q794" s="17" t="inlineStr">
        <is>
          <t>Delivered</t>
        </is>
      </c>
      <c r="R794" s="17" t="n">
        <v>4</v>
      </c>
      <c r="S794" s="17">
        <f>TEXT(B794,"yyyy-mm")</f>
        <v/>
      </c>
      <c r="T794" s="17">
        <f>VLOOKUP(D794,Customers!A:D,4,FALSE)</f>
        <v/>
      </c>
      <c r="U794" s="17">
        <f>CONCATENATE(A794,"-",G794)</f>
        <v/>
      </c>
      <c r="V794" s="17">
        <f>IF(N794="","",IF(N794&lt;=30,"Fast (&lt;30m)",IF(N794&lt;=45,"Moderate (30-45m)","Delayed (&gt;45m)")))</f>
        <v/>
      </c>
      <c r="W794" s="17">
        <f>IF(AND(I794&gt;600,P794="Delivered"),"High Value Delivered","Standard")</f>
        <v/>
      </c>
      <c r="X794" s="17">
        <f>IF(OR(N794&gt;50,Q794&lt;=2),"High Risk / Delayed","Normal")</f>
        <v/>
      </c>
      <c r="Y794" s="17">
        <f>IF(NOT(P794="Cancelled"),"Fulfilled","Cancelled")</f>
        <v/>
      </c>
      <c r="Z794" s="17">
        <f>IFERROR(Q794,0)</f>
        <v/>
      </c>
    </row>
    <row r="795">
      <c r="A795" s="25" t="inlineStr">
        <is>
          <t>ORD1794</t>
        </is>
      </c>
      <c r="B795" s="25" t="inlineStr">
        <is>
          <t>2025-06-09</t>
        </is>
      </c>
      <c r="C795" s="25" t="inlineStr">
        <is>
          <t>08:37:27</t>
        </is>
      </c>
      <c r="D795" s="25" t="n">
        <v>1072</v>
      </c>
      <c r="E795" s="25" t="n">
        <v>116</v>
      </c>
      <c r="F795" s="25" t="n">
        <v>224</v>
      </c>
      <c r="G795" s="25" t="inlineStr">
        <is>
          <t>Pune</t>
        </is>
      </c>
      <c r="H795" s="25" t="inlineStr">
        <is>
          <t>Desserts</t>
        </is>
      </c>
      <c r="I795" s="26" t="n">
        <v>745</v>
      </c>
      <c r="J795" s="26" t="n">
        <v>44.96</v>
      </c>
      <c r="K795" s="26" t="n">
        <v>25</v>
      </c>
      <c r="L795" s="27" t="n">
        <v>0.25</v>
      </c>
      <c r="M795" s="26" t="n">
        <v>192.5</v>
      </c>
      <c r="N795" s="28" t="n">
        <v>3</v>
      </c>
      <c r="O795" s="28" t="n">
        <v>23.6</v>
      </c>
      <c r="P795" s="25" t="inlineStr">
        <is>
          <t>Digital Wallet</t>
        </is>
      </c>
      <c r="Q795" s="25" t="inlineStr">
        <is>
          <t>Delivered</t>
        </is>
      </c>
      <c r="R795" s="25" t="n">
        <v>5</v>
      </c>
      <c r="S795" s="25">
        <f>TEXT(B795,"yyyy-mm")</f>
        <v/>
      </c>
      <c r="T795" s="25">
        <f>VLOOKUP(D795,Customers!A:D,4,FALSE)</f>
        <v/>
      </c>
      <c r="U795" s="25">
        <f>CONCATENATE(A795,"-",G795)</f>
        <v/>
      </c>
      <c r="V795" s="25">
        <f>IF(N795="","",IF(N795&lt;=30,"Fast (&lt;30m)",IF(N795&lt;=45,"Moderate (30-45m)","Delayed (&gt;45m)")))</f>
        <v/>
      </c>
      <c r="W795" s="25">
        <f>IF(AND(I795&gt;600,P795="Delivered"),"High Value Delivered","Standard")</f>
        <v/>
      </c>
      <c r="X795" s="25">
        <f>IF(OR(N795&gt;50,Q795&lt;=2),"High Risk / Delayed","Normal")</f>
        <v/>
      </c>
      <c r="Y795" s="25">
        <f>IF(NOT(P795="Cancelled"),"Fulfilled","Cancelled")</f>
        <v/>
      </c>
      <c r="Z795" s="25">
        <f>IFERROR(Q795,0)</f>
        <v/>
      </c>
    </row>
    <row r="796">
      <c r="A796" s="17" t="inlineStr">
        <is>
          <t>ORD1795</t>
        </is>
      </c>
      <c r="B796" s="17" t="inlineStr">
        <is>
          <t>2025-08-29</t>
        </is>
      </c>
      <c r="C796" s="17" t="inlineStr">
        <is>
          <t>15:19:38</t>
        </is>
      </c>
      <c r="D796" s="17" t="n">
        <v>1148</v>
      </c>
      <c r="E796" s="17" t="n">
        <v>111</v>
      </c>
      <c r="F796" s="17" t="n">
        <v>213</v>
      </c>
      <c r="G796" s="17" t="inlineStr">
        <is>
          <t>Bangalore</t>
        </is>
      </c>
      <c r="H796" s="17" t="inlineStr">
        <is>
          <t>South Indian</t>
        </is>
      </c>
      <c r="I796" s="22" t="n">
        <v>571</v>
      </c>
      <c r="J796" s="22" t="n">
        <v>0</v>
      </c>
      <c r="K796" s="22" t="n">
        <v>25</v>
      </c>
      <c r="L796" s="23" t="n">
        <v>0.15</v>
      </c>
      <c r="M796" s="22" t="n">
        <v>91.90000000000001</v>
      </c>
      <c r="N796" s="24" t="n">
        <v>1.9</v>
      </c>
      <c r="O796" s="24" t="n">
        <v/>
      </c>
      <c r="P796" s="17" t="inlineStr">
        <is>
          <t>Digital Wallet</t>
        </is>
      </c>
      <c r="Q796" s="17" t="inlineStr">
        <is>
          <t>Cancelled</t>
        </is>
      </c>
      <c r="R796" s="17" t="n">
        <v/>
      </c>
      <c r="S796" s="17">
        <f>TEXT(B796,"yyyy-mm")</f>
        <v/>
      </c>
      <c r="T796" s="17">
        <f>VLOOKUP(D796,Customers!A:D,4,FALSE)</f>
        <v/>
      </c>
      <c r="U796" s="17">
        <f>CONCATENATE(A796,"-",G796)</f>
        <v/>
      </c>
      <c r="V796" s="17">
        <f>IF(N796="","",IF(N796&lt;=30,"Fast (&lt;30m)",IF(N796&lt;=45,"Moderate (30-45m)","Delayed (&gt;45m)")))</f>
        <v/>
      </c>
      <c r="W796" s="17">
        <f>IF(AND(I796&gt;600,P796="Delivered"),"High Value Delivered","Standard")</f>
        <v/>
      </c>
      <c r="X796" s="17">
        <f>IF(OR(N796&gt;50,Q796&lt;=2),"High Risk / Delayed","Normal")</f>
        <v/>
      </c>
      <c r="Y796" s="17">
        <f>IF(NOT(P796="Cancelled"),"Fulfilled","Cancelled")</f>
        <v/>
      </c>
      <c r="Z796" s="17">
        <f>IFERROR(Q796,0)</f>
        <v/>
      </c>
    </row>
    <row r="797">
      <c r="A797" s="25" t="inlineStr">
        <is>
          <t>ORD1796</t>
        </is>
      </c>
      <c r="B797" s="25" t="inlineStr">
        <is>
          <t>2025-09-17</t>
        </is>
      </c>
      <c r="C797" s="25" t="inlineStr">
        <is>
          <t>19:52:53</t>
        </is>
      </c>
      <c r="D797" s="25" t="n">
        <v>1100</v>
      </c>
      <c r="E797" s="25" t="n">
        <v>109</v>
      </c>
      <c r="F797" s="25" t="n">
        <v>216</v>
      </c>
      <c r="G797" s="25" t="inlineStr">
        <is>
          <t>Hyderabad</t>
        </is>
      </c>
      <c r="H797" s="25" t="inlineStr">
        <is>
          <t>Biryani</t>
        </is>
      </c>
      <c r="I797" s="26" t="n">
        <v>792</v>
      </c>
      <c r="J797" s="26" t="n">
        <v>26.74</v>
      </c>
      <c r="K797" s="26" t="n">
        <v>29.5</v>
      </c>
      <c r="L797" s="27" t="n">
        <v>0.2</v>
      </c>
      <c r="M797" s="26" t="n">
        <v>165.78</v>
      </c>
      <c r="N797" s="28" t="n">
        <v>3.9</v>
      </c>
      <c r="O797" s="28" t="n">
        <v>39.7</v>
      </c>
      <c r="P797" s="25" t="inlineStr">
        <is>
          <t>Credit Card</t>
        </is>
      </c>
      <c r="Q797" s="25" t="inlineStr">
        <is>
          <t>Delivered</t>
        </is>
      </c>
      <c r="R797" s="25" t="n">
        <v>3</v>
      </c>
      <c r="S797" s="25">
        <f>TEXT(B797,"yyyy-mm")</f>
        <v/>
      </c>
      <c r="T797" s="25">
        <f>VLOOKUP(D797,Customers!A:D,4,FALSE)</f>
        <v/>
      </c>
      <c r="U797" s="25">
        <f>CONCATENATE(A797,"-",G797)</f>
        <v/>
      </c>
      <c r="V797" s="25">
        <f>IF(N797="","",IF(N797&lt;=30,"Fast (&lt;30m)",IF(N797&lt;=45,"Moderate (30-45m)","Delayed (&gt;45m)")))</f>
        <v/>
      </c>
      <c r="W797" s="25">
        <f>IF(AND(I797&gt;600,P797="Delivered"),"High Value Delivered","Standard")</f>
        <v/>
      </c>
      <c r="X797" s="25">
        <f>IF(OR(N797&gt;50,Q797&lt;=2),"High Risk / Delayed","Normal")</f>
        <v/>
      </c>
      <c r="Y797" s="25">
        <f>IF(NOT(P797="Cancelled"),"Fulfilled","Cancelled")</f>
        <v/>
      </c>
      <c r="Z797" s="25">
        <f>IFERROR(Q797,0)</f>
        <v/>
      </c>
    </row>
    <row r="798">
      <c r="A798" s="17" t="inlineStr">
        <is>
          <t>ORD1797</t>
        </is>
      </c>
      <c r="B798" s="17" t="inlineStr">
        <is>
          <t>2025-04-07</t>
        </is>
      </c>
      <c r="C798" s="17" t="inlineStr">
        <is>
          <t>15:42:30</t>
        </is>
      </c>
      <c r="D798" s="17" t="n">
        <v>1045</v>
      </c>
      <c r="E798" s="17" t="n">
        <v>101</v>
      </c>
      <c r="F798" s="17" t="n">
        <v>220</v>
      </c>
      <c r="G798" s="17" t="inlineStr">
        <is>
          <t>Bangalore</t>
        </is>
      </c>
      <c r="H798" s="17" t="inlineStr">
        <is>
          <t>North Indian</t>
        </is>
      </c>
      <c r="I798" s="22" t="n">
        <v>931</v>
      </c>
      <c r="J798" s="22" t="n">
        <v>34.81</v>
      </c>
      <c r="K798" s="22" t="n">
        <v>31.5</v>
      </c>
      <c r="L798" s="23" t="n">
        <v>0.2</v>
      </c>
      <c r="M798" s="22" t="n">
        <v>194.08</v>
      </c>
      <c r="N798" s="24" t="n">
        <v>4.3</v>
      </c>
      <c r="O798" s="24" t="n">
        <v>37.3</v>
      </c>
      <c r="P798" s="17" t="inlineStr">
        <is>
          <t>Digital Wallet</t>
        </is>
      </c>
      <c r="Q798" s="17" t="inlineStr">
        <is>
          <t>Returned</t>
        </is>
      </c>
      <c r="R798" s="17" t="n">
        <v>4</v>
      </c>
      <c r="S798" s="17">
        <f>TEXT(B798,"yyyy-mm")</f>
        <v/>
      </c>
      <c r="T798" s="17">
        <f>VLOOKUP(D798,Customers!A:D,4,FALSE)</f>
        <v/>
      </c>
      <c r="U798" s="17">
        <f>CONCATENATE(A798,"-",G798)</f>
        <v/>
      </c>
      <c r="V798" s="17">
        <f>IF(N798="","",IF(N798&lt;=30,"Fast (&lt;30m)",IF(N798&lt;=45,"Moderate (30-45m)","Delayed (&gt;45m)")))</f>
        <v/>
      </c>
      <c r="W798" s="17">
        <f>IF(AND(I798&gt;600,P798="Delivered"),"High Value Delivered","Standard")</f>
        <v/>
      </c>
      <c r="X798" s="17">
        <f>IF(OR(N798&gt;50,Q798&lt;=2),"High Risk / Delayed","Normal")</f>
        <v/>
      </c>
      <c r="Y798" s="17">
        <f>IF(NOT(P798="Cancelled"),"Fulfilled","Cancelled")</f>
        <v/>
      </c>
      <c r="Z798" s="17">
        <f>IFERROR(Q798,0)</f>
        <v/>
      </c>
    </row>
    <row r="799">
      <c r="A799" s="25" t="inlineStr">
        <is>
          <t>ORD1798</t>
        </is>
      </c>
      <c r="B799" s="25" t="inlineStr">
        <is>
          <t>2025-06-18</t>
        </is>
      </c>
      <c r="C799" s="25" t="inlineStr">
        <is>
          <t>18:10:06</t>
        </is>
      </c>
      <c r="D799" s="25" t="n">
        <v>1023</v>
      </c>
      <c r="E799" s="25" t="n">
        <v>101</v>
      </c>
      <c r="F799" s="25" t="n">
        <v>227</v>
      </c>
      <c r="G799" s="25" t="inlineStr">
        <is>
          <t>Bangalore</t>
        </is>
      </c>
      <c r="H799" s="25" t="inlineStr">
        <is>
          <t>North Indian</t>
        </is>
      </c>
      <c r="I799" s="26" t="n">
        <v>685</v>
      </c>
      <c r="J799" s="26" t="n">
        <v>49.9</v>
      </c>
      <c r="K799" s="26" t="n">
        <v>35</v>
      </c>
      <c r="L799" s="27" t="n">
        <v>0.2</v>
      </c>
      <c r="M799" s="26" t="n">
        <v>145.75</v>
      </c>
      <c r="N799" s="28" t="n">
        <v>5</v>
      </c>
      <c r="O799" s="28" t="n">
        <v>38.4</v>
      </c>
      <c r="P799" s="25" t="inlineStr">
        <is>
          <t>UPI</t>
        </is>
      </c>
      <c r="Q799" s="25" t="inlineStr">
        <is>
          <t>Delivered</t>
        </is>
      </c>
      <c r="R799" s="25" t="n">
        <v>5</v>
      </c>
      <c r="S799" s="25">
        <f>TEXT(B799,"yyyy-mm")</f>
        <v/>
      </c>
      <c r="T799" s="25">
        <f>VLOOKUP(D799,Customers!A:D,4,FALSE)</f>
        <v/>
      </c>
      <c r="U799" s="25">
        <f>CONCATENATE(A799,"-",G799)</f>
        <v/>
      </c>
      <c r="V799" s="25">
        <f>IF(N799="","",IF(N799&lt;=30,"Fast (&lt;30m)",IF(N799&lt;=45,"Moderate (30-45m)","Delayed (&gt;45m)")))</f>
        <v/>
      </c>
      <c r="W799" s="25">
        <f>IF(AND(I799&gt;600,P799="Delivered"),"High Value Delivered","Standard")</f>
        <v/>
      </c>
      <c r="X799" s="25">
        <f>IF(OR(N799&gt;50,Q799&lt;=2),"High Risk / Delayed","Normal")</f>
        <v/>
      </c>
      <c r="Y799" s="25">
        <f>IF(NOT(P799="Cancelled"),"Fulfilled","Cancelled")</f>
        <v/>
      </c>
      <c r="Z799" s="25">
        <f>IFERROR(Q799,0)</f>
        <v/>
      </c>
    </row>
    <row r="800">
      <c r="A800" s="17" t="inlineStr">
        <is>
          <t>ORD1799</t>
        </is>
      </c>
      <c r="B800" s="17" t="inlineStr">
        <is>
          <t>2025-11-16</t>
        </is>
      </c>
      <c r="C800" s="17" t="inlineStr">
        <is>
          <t>22:13:15</t>
        </is>
      </c>
      <c r="D800" s="17" t="n">
        <v>1259</v>
      </c>
      <c r="E800" s="17" t="n">
        <v>102</v>
      </c>
      <c r="F800" s="17" t="n">
        <v>225</v>
      </c>
      <c r="G800" s="17" t="inlineStr">
        <is>
          <t>Hyderabad</t>
        </is>
      </c>
      <c r="H800" s="17" t="inlineStr">
        <is>
          <t>Biryani</t>
        </is>
      </c>
      <c r="I800" s="22" t="n">
        <v>712</v>
      </c>
      <c r="J800" s="22" t="n">
        <v>54.26</v>
      </c>
      <c r="K800" s="22" t="n">
        <v>25</v>
      </c>
      <c r="L800" s="23" t="n">
        <v>0.22</v>
      </c>
      <c r="M800" s="22" t="n">
        <v>162.89</v>
      </c>
      <c r="N800" s="24" t="n">
        <v>3</v>
      </c>
      <c r="O800" s="24" t="n">
        <v>26.6</v>
      </c>
      <c r="P800" s="17" t="inlineStr">
        <is>
          <t>Cash on Delivery</t>
        </is>
      </c>
      <c r="Q800" s="17" t="inlineStr">
        <is>
          <t>Delivered</t>
        </is>
      </c>
      <c r="R800" s="17" t="n">
        <v>3</v>
      </c>
      <c r="S800" s="17">
        <f>TEXT(B800,"yyyy-mm")</f>
        <v/>
      </c>
      <c r="T800" s="17">
        <f>VLOOKUP(D800,Customers!A:D,4,FALSE)</f>
        <v/>
      </c>
      <c r="U800" s="17">
        <f>CONCATENATE(A800,"-",G800)</f>
        <v/>
      </c>
      <c r="V800" s="17">
        <f>IF(N800="","",IF(N800&lt;=30,"Fast (&lt;30m)",IF(N800&lt;=45,"Moderate (30-45m)","Delayed (&gt;45m)")))</f>
        <v/>
      </c>
      <c r="W800" s="17">
        <f>IF(AND(I800&gt;600,P800="Delivered"),"High Value Delivered","Standard")</f>
        <v/>
      </c>
      <c r="X800" s="17">
        <f>IF(OR(N800&gt;50,Q800&lt;=2),"High Risk / Delayed","Normal")</f>
        <v/>
      </c>
      <c r="Y800" s="17">
        <f>IF(NOT(P800="Cancelled"),"Fulfilled","Cancelled")</f>
        <v/>
      </c>
      <c r="Z800" s="17">
        <f>IFERROR(Q800,0)</f>
        <v/>
      </c>
    </row>
    <row r="801">
      <c r="A801" s="25" t="inlineStr">
        <is>
          <t>ORD1800</t>
        </is>
      </c>
      <c r="B801" s="25" t="inlineStr">
        <is>
          <t>2025-04-05</t>
        </is>
      </c>
      <c r="C801" s="25" t="inlineStr">
        <is>
          <t>12:52:00</t>
        </is>
      </c>
      <c r="D801" s="25" t="n">
        <v>1041</v>
      </c>
      <c r="E801" s="25" t="n">
        <v>109</v>
      </c>
      <c r="F801" s="25" t="n">
        <v>216</v>
      </c>
      <c r="G801" s="25" t="inlineStr">
        <is>
          <t>Hyderabad</t>
        </is>
      </c>
      <c r="H801" s="25" t="inlineStr">
        <is>
          <t>Biryani</t>
        </is>
      </c>
      <c r="I801" s="26" t="n">
        <v>591</v>
      </c>
      <c r="J801" s="26" t="n">
        <v>0</v>
      </c>
      <c r="K801" s="26" t="n">
        <v>40</v>
      </c>
      <c r="L801" s="27" t="n">
        <v>0.2</v>
      </c>
      <c r="M801" s="26" t="n">
        <v>128.2</v>
      </c>
      <c r="N801" s="28" t="n">
        <v>6</v>
      </c>
      <c r="O801" s="28" t="n">
        <v>40.2</v>
      </c>
      <c r="P801" s="25" t="inlineStr">
        <is>
          <t>Digital Wallet</t>
        </is>
      </c>
      <c r="Q801" s="25" t="inlineStr">
        <is>
          <t>Delivered</t>
        </is>
      </c>
      <c r="R801" s="25" t="n">
        <v>1</v>
      </c>
      <c r="S801" s="25">
        <f>TEXT(B801,"yyyy-mm")</f>
        <v/>
      </c>
      <c r="T801" s="25">
        <f>VLOOKUP(D801,Customers!A:D,4,FALSE)</f>
        <v/>
      </c>
      <c r="U801" s="25">
        <f>CONCATENATE(A801,"-",G801)</f>
        <v/>
      </c>
      <c r="V801" s="25">
        <f>IF(N801="","",IF(N801&lt;=30,"Fast (&lt;30m)",IF(N801&lt;=45,"Moderate (30-45m)","Delayed (&gt;45m)")))</f>
        <v/>
      </c>
      <c r="W801" s="25">
        <f>IF(AND(I801&gt;600,P801="Delivered"),"High Value Delivered","Standard")</f>
        <v/>
      </c>
      <c r="X801" s="25">
        <f>IF(OR(N801&gt;50,Q801&lt;=2),"High Risk / Delayed","Normal")</f>
        <v/>
      </c>
      <c r="Y801" s="25">
        <f>IF(NOT(P801="Cancelled"),"Fulfilled","Cancelled")</f>
        <v/>
      </c>
      <c r="Z801" s="25">
        <f>IFERROR(Q801,0)</f>
        <v/>
      </c>
    </row>
    <row r="802">
      <c r="A802" s="17" t="inlineStr">
        <is>
          <t>ORD1801</t>
        </is>
      </c>
      <c r="B802" s="17" t="inlineStr">
        <is>
          <t>2025-05-29</t>
        </is>
      </c>
      <c r="C802" s="17" t="inlineStr">
        <is>
          <t>06:28:12</t>
        </is>
      </c>
      <c r="D802" s="17" t="n">
        <v>1054</v>
      </c>
      <c r="E802" s="17" t="n">
        <v>101</v>
      </c>
      <c r="F802" s="17" t="n">
        <v>213</v>
      </c>
      <c r="G802" s="17" t="inlineStr">
        <is>
          <t>Bangalore</t>
        </is>
      </c>
      <c r="H802" s="17" t="inlineStr">
        <is>
          <t>North Indian</t>
        </is>
      </c>
      <c r="I802" s="22" t="n">
        <v>1115</v>
      </c>
      <c r="J802" s="22" t="n">
        <v>213.27</v>
      </c>
      <c r="K802" s="22" t="n">
        <v>0</v>
      </c>
      <c r="L802" s="23" t="n">
        <v>0.2</v>
      </c>
      <c r="M802" s="22" t="n">
        <v>223</v>
      </c>
      <c r="N802" s="24" t="n">
        <v>5.5</v>
      </c>
      <c r="O802" s="24" t="n">
        <v>31.8</v>
      </c>
      <c r="P802" s="17" t="inlineStr">
        <is>
          <t>UPI</t>
        </is>
      </c>
      <c r="Q802" s="17" t="inlineStr">
        <is>
          <t>Delivered</t>
        </is>
      </c>
      <c r="R802" s="17" t="n">
        <v>3</v>
      </c>
      <c r="S802" s="17">
        <f>TEXT(B802,"yyyy-mm")</f>
        <v/>
      </c>
      <c r="T802" s="17">
        <f>VLOOKUP(D802,Customers!A:D,4,FALSE)</f>
        <v/>
      </c>
      <c r="U802" s="17">
        <f>CONCATENATE(A802,"-",G802)</f>
        <v/>
      </c>
      <c r="V802" s="17">
        <f>IF(N802="","",IF(N802&lt;=30,"Fast (&lt;30m)",IF(N802&lt;=45,"Moderate (30-45m)","Delayed (&gt;45m)")))</f>
        <v/>
      </c>
      <c r="W802" s="17">
        <f>IF(AND(I802&gt;600,P802="Delivered"),"High Value Delivered","Standard")</f>
        <v/>
      </c>
      <c r="X802" s="17">
        <f>IF(OR(N802&gt;50,Q802&lt;=2),"High Risk / Delayed","Normal")</f>
        <v/>
      </c>
      <c r="Y802" s="17">
        <f>IF(NOT(P802="Cancelled"),"Fulfilled","Cancelled")</f>
        <v/>
      </c>
      <c r="Z802" s="17">
        <f>IFERROR(Q802,0)</f>
        <v/>
      </c>
    </row>
    <row r="803">
      <c r="A803" s="25" t="inlineStr">
        <is>
          <t>ORD1802</t>
        </is>
      </c>
      <c r="B803" s="25" t="inlineStr">
        <is>
          <t>2025-05-26</t>
        </is>
      </c>
      <c r="C803" s="25" t="inlineStr">
        <is>
          <t>21:11:14</t>
        </is>
      </c>
      <c r="D803" s="25" t="n">
        <v>1036</v>
      </c>
      <c r="E803" s="25" t="n">
        <v>113</v>
      </c>
      <c r="F803" s="25" t="n">
        <v>222</v>
      </c>
      <c r="G803" s="25" t="inlineStr">
        <is>
          <t>Mumbai</t>
        </is>
      </c>
      <c r="H803" s="25" t="inlineStr">
        <is>
          <t>Fast Food</t>
        </is>
      </c>
      <c r="I803" s="26" t="n">
        <v>488</v>
      </c>
      <c r="J803" s="26" t="n">
        <v>48.96</v>
      </c>
      <c r="K803" s="26" t="n">
        <v>26.5</v>
      </c>
      <c r="L803" s="27" t="n">
        <v>0.18</v>
      </c>
      <c r="M803" s="26" t="n">
        <v>94.45999999999999</v>
      </c>
      <c r="N803" s="28" t="n">
        <v>3.3</v>
      </c>
      <c r="O803" s="28" t="n">
        <v>33.1</v>
      </c>
      <c r="P803" s="25" t="inlineStr">
        <is>
          <t>Digital Wallet</t>
        </is>
      </c>
      <c r="Q803" s="25" t="inlineStr">
        <is>
          <t>Delivered</t>
        </is>
      </c>
      <c r="R803" s="25" t="n">
        <v>4</v>
      </c>
      <c r="S803" s="25">
        <f>TEXT(B803,"yyyy-mm")</f>
        <v/>
      </c>
      <c r="T803" s="25">
        <f>VLOOKUP(D803,Customers!A:D,4,FALSE)</f>
        <v/>
      </c>
      <c r="U803" s="25">
        <f>CONCATENATE(A803,"-",G803)</f>
        <v/>
      </c>
      <c r="V803" s="25">
        <f>IF(N803="","",IF(N803&lt;=30,"Fast (&lt;30m)",IF(N803&lt;=45,"Moderate (30-45m)","Delayed (&gt;45m)")))</f>
        <v/>
      </c>
      <c r="W803" s="25">
        <f>IF(AND(I803&gt;600,P803="Delivered"),"High Value Delivered","Standard")</f>
        <v/>
      </c>
      <c r="X803" s="25">
        <f>IF(OR(N803&gt;50,Q803&lt;=2),"High Risk / Delayed","Normal")</f>
        <v/>
      </c>
      <c r="Y803" s="25">
        <f>IF(NOT(P803="Cancelled"),"Fulfilled","Cancelled")</f>
        <v/>
      </c>
      <c r="Z803" s="25">
        <f>IFERROR(Q803,0)</f>
        <v/>
      </c>
    </row>
    <row r="804">
      <c r="A804" s="17" t="inlineStr">
        <is>
          <t>ORD1803</t>
        </is>
      </c>
      <c r="B804" s="17" t="inlineStr">
        <is>
          <t>2025-04-11</t>
        </is>
      </c>
      <c r="C804" s="17" t="inlineStr">
        <is>
          <t>11:01:11</t>
        </is>
      </c>
      <c r="D804" s="17" t="n">
        <v>1225</v>
      </c>
      <c r="E804" s="17" t="n">
        <v>106</v>
      </c>
      <c r="F804" s="17" t="n">
        <v>208</v>
      </c>
      <c r="G804" s="17" t="inlineStr">
        <is>
          <t>Pune</t>
        </is>
      </c>
      <c r="H804" s="17" t="inlineStr">
        <is>
          <t>South Indian</t>
        </is>
      </c>
      <c r="I804" s="22" t="n">
        <v>488</v>
      </c>
      <c r="J804" s="22" t="n">
        <v>0.82</v>
      </c>
      <c r="K804" s="22" t="n">
        <v>29</v>
      </c>
      <c r="L804" s="23" t="n">
        <v>0.15</v>
      </c>
      <c r="M804" s="22" t="n">
        <v>80.45</v>
      </c>
      <c r="N804" s="24" t="n">
        <v>3.8</v>
      </c>
      <c r="O804" s="24" t="n">
        <v>36.1</v>
      </c>
      <c r="P804" s="17" t="inlineStr">
        <is>
          <t>Cash on Delivery</t>
        </is>
      </c>
      <c r="Q804" s="17" t="inlineStr">
        <is>
          <t>Delivered</t>
        </is>
      </c>
      <c r="R804" s="17" t="n">
        <v>5</v>
      </c>
      <c r="S804" s="17">
        <f>TEXT(B804,"yyyy-mm")</f>
        <v/>
      </c>
      <c r="T804" s="17">
        <f>VLOOKUP(D804,Customers!A:D,4,FALSE)</f>
        <v/>
      </c>
      <c r="U804" s="17">
        <f>CONCATENATE(A804,"-",G804)</f>
        <v/>
      </c>
      <c r="V804" s="17">
        <f>IF(N804="","",IF(N804&lt;=30,"Fast (&lt;30m)",IF(N804&lt;=45,"Moderate (30-45m)","Delayed (&gt;45m)")))</f>
        <v/>
      </c>
      <c r="W804" s="17">
        <f>IF(AND(I804&gt;600,P804="Delivered"),"High Value Delivered","Standard")</f>
        <v/>
      </c>
      <c r="X804" s="17">
        <f>IF(OR(N804&gt;50,Q804&lt;=2),"High Risk / Delayed","Normal")</f>
        <v/>
      </c>
      <c r="Y804" s="17">
        <f>IF(NOT(P804="Cancelled"),"Fulfilled","Cancelled")</f>
        <v/>
      </c>
      <c r="Z804" s="17">
        <f>IFERROR(Q804,0)</f>
        <v/>
      </c>
    </row>
    <row r="805">
      <c r="A805" s="25" t="inlineStr">
        <is>
          <t>ORD1804</t>
        </is>
      </c>
      <c r="B805" s="25" t="inlineStr">
        <is>
          <t>2025-06-06</t>
        </is>
      </c>
      <c r="C805" s="25" t="inlineStr">
        <is>
          <t>17:29:15</t>
        </is>
      </c>
      <c r="D805" s="25" t="n">
        <v>1013</v>
      </c>
      <c r="E805" s="25" t="n">
        <v>111</v>
      </c>
      <c r="F805" s="25" t="n">
        <v>201</v>
      </c>
      <c r="G805" s="25" t="inlineStr">
        <is>
          <t>Bangalore</t>
        </is>
      </c>
      <c r="H805" s="25" t="inlineStr">
        <is>
          <t>South Indian</t>
        </is>
      </c>
      <c r="I805" s="26" t="n">
        <v>598</v>
      </c>
      <c r="J805" s="26" t="n">
        <v>63.79</v>
      </c>
      <c r="K805" s="26" t="n">
        <v>38</v>
      </c>
      <c r="L805" s="27" t="n">
        <v>0.15</v>
      </c>
      <c r="M805" s="26" t="n">
        <v>99.2</v>
      </c>
      <c r="N805" s="28" t="n">
        <v>5.6</v>
      </c>
      <c r="O805" s="28" t="n">
        <v>47.2</v>
      </c>
      <c r="P805" s="25" t="inlineStr">
        <is>
          <t>Digital Wallet</t>
        </is>
      </c>
      <c r="Q805" s="25" t="inlineStr">
        <is>
          <t>Delivered</t>
        </is>
      </c>
      <c r="R805" s="25" t="n">
        <v>4</v>
      </c>
      <c r="S805" s="25">
        <f>TEXT(B805,"yyyy-mm")</f>
        <v/>
      </c>
      <c r="T805" s="25">
        <f>VLOOKUP(D805,Customers!A:D,4,FALSE)</f>
        <v/>
      </c>
      <c r="U805" s="25">
        <f>CONCATENATE(A805,"-",G805)</f>
        <v/>
      </c>
      <c r="V805" s="25">
        <f>IF(N805="","",IF(N805&lt;=30,"Fast (&lt;30m)",IF(N805&lt;=45,"Moderate (30-45m)","Delayed (&gt;45m)")))</f>
        <v/>
      </c>
      <c r="W805" s="25">
        <f>IF(AND(I805&gt;600,P805="Delivered"),"High Value Delivered","Standard")</f>
        <v/>
      </c>
      <c r="X805" s="25">
        <f>IF(OR(N805&gt;50,Q805&lt;=2),"High Risk / Delayed","Normal")</f>
        <v/>
      </c>
      <c r="Y805" s="25">
        <f>IF(NOT(P805="Cancelled"),"Fulfilled","Cancelled")</f>
        <v/>
      </c>
      <c r="Z805" s="25">
        <f>IFERROR(Q805,0)</f>
        <v/>
      </c>
    </row>
    <row r="806">
      <c r="A806" s="17" t="inlineStr">
        <is>
          <t>ORD1805</t>
        </is>
      </c>
      <c r="B806" s="17" t="inlineStr">
        <is>
          <t>2025-03-15</t>
        </is>
      </c>
      <c r="C806" s="17" t="inlineStr">
        <is>
          <t>16:56:59</t>
        </is>
      </c>
      <c r="D806" s="17" t="n">
        <v>1164</v>
      </c>
      <c r="E806" s="17" t="n">
        <v>116</v>
      </c>
      <c r="F806" s="17" t="n">
        <v>209</v>
      </c>
      <c r="G806" s="17" t="inlineStr">
        <is>
          <t>Pune</t>
        </is>
      </c>
      <c r="H806" s="17" t="inlineStr">
        <is>
          <t>Desserts</t>
        </is>
      </c>
      <c r="I806" s="22" t="n">
        <v>353</v>
      </c>
      <c r="J806" s="22" t="n">
        <v>5.41</v>
      </c>
      <c r="K806" s="22" t="n">
        <v>44</v>
      </c>
      <c r="L806" s="23" t="n">
        <v>0.25</v>
      </c>
      <c r="M806" s="22" t="n">
        <v>99.25</v>
      </c>
      <c r="N806" s="24" t="n">
        <v>6.8</v>
      </c>
      <c r="O806" s="24" t="n">
        <v>35.8</v>
      </c>
      <c r="P806" s="17" t="inlineStr">
        <is>
          <t>Debit Card</t>
        </is>
      </c>
      <c r="Q806" s="17" t="inlineStr">
        <is>
          <t>Delivered</t>
        </is>
      </c>
      <c r="R806" s="17" t="n">
        <v>5</v>
      </c>
      <c r="S806" s="17">
        <f>TEXT(B806,"yyyy-mm")</f>
        <v/>
      </c>
      <c r="T806" s="17">
        <f>VLOOKUP(D806,Customers!A:D,4,FALSE)</f>
        <v/>
      </c>
      <c r="U806" s="17">
        <f>CONCATENATE(A806,"-",G806)</f>
        <v/>
      </c>
      <c r="V806" s="17">
        <f>IF(N806="","",IF(N806&lt;=30,"Fast (&lt;30m)",IF(N806&lt;=45,"Moderate (30-45m)","Delayed (&gt;45m)")))</f>
        <v/>
      </c>
      <c r="W806" s="17">
        <f>IF(AND(I806&gt;600,P806="Delivered"),"High Value Delivered","Standard")</f>
        <v/>
      </c>
      <c r="X806" s="17">
        <f>IF(OR(N806&gt;50,Q806&lt;=2),"High Risk / Delayed","Normal")</f>
        <v/>
      </c>
      <c r="Y806" s="17">
        <f>IF(NOT(P806="Cancelled"),"Fulfilled","Cancelled")</f>
        <v/>
      </c>
      <c r="Z806" s="17">
        <f>IFERROR(Q806,0)</f>
        <v/>
      </c>
    </row>
    <row r="807">
      <c r="A807" s="25" t="inlineStr">
        <is>
          <t>ORD1806</t>
        </is>
      </c>
      <c r="B807" s="25" t="inlineStr">
        <is>
          <t>2025-01-24</t>
        </is>
      </c>
      <c r="C807" s="25" t="inlineStr">
        <is>
          <t>22:48:39</t>
        </is>
      </c>
      <c r="D807" s="25" t="n">
        <v>1092</v>
      </c>
      <c r="E807" s="25" t="n">
        <v>118</v>
      </c>
      <c r="F807" s="25" t="n">
        <v>211</v>
      </c>
      <c r="G807" s="25" t="inlineStr">
        <is>
          <t>Delhi NCR</t>
        </is>
      </c>
      <c r="H807" s="25" t="inlineStr">
        <is>
          <t>North Indian</t>
        </is>
      </c>
      <c r="I807" s="26" t="n">
        <v>821</v>
      </c>
      <c r="J807" s="26" t="n">
        <v>51.92</v>
      </c>
      <c r="K807" s="26" t="n">
        <v>25</v>
      </c>
      <c r="L807" s="27" t="n">
        <v>0.2</v>
      </c>
      <c r="M807" s="26" t="n">
        <v>170.45</v>
      </c>
      <c r="N807" s="28" t="n">
        <v>2.9</v>
      </c>
      <c r="O807" s="28" t="n">
        <v>28.9</v>
      </c>
      <c r="P807" s="25" t="inlineStr">
        <is>
          <t>Credit Card</t>
        </is>
      </c>
      <c r="Q807" s="25" t="inlineStr">
        <is>
          <t>Delivered</t>
        </is>
      </c>
      <c r="R807" s="25" t="n">
        <v>5</v>
      </c>
      <c r="S807" s="25">
        <f>TEXT(B807,"yyyy-mm")</f>
        <v/>
      </c>
      <c r="T807" s="25">
        <f>VLOOKUP(D807,Customers!A:D,4,FALSE)</f>
        <v/>
      </c>
      <c r="U807" s="25">
        <f>CONCATENATE(A807,"-",G807)</f>
        <v/>
      </c>
      <c r="V807" s="25">
        <f>IF(N807="","",IF(N807&lt;=30,"Fast (&lt;30m)",IF(N807&lt;=45,"Moderate (30-45m)","Delayed (&gt;45m)")))</f>
        <v/>
      </c>
      <c r="W807" s="25">
        <f>IF(AND(I807&gt;600,P807="Delivered"),"High Value Delivered","Standard")</f>
        <v/>
      </c>
      <c r="X807" s="25">
        <f>IF(OR(N807&gt;50,Q807&lt;=2),"High Risk / Delayed","Normal")</f>
        <v/>
      </c>
      <c r="Y807" s="25">
        <f>IF(NOT(P807="Cancelled"),"Fulfilled","Cancelled")</f>
        <v/>
      </c>
      <c r="Z807" s="25">
        <f>IFERROR(Q807,0)</f>
        <v/>
      </c>
    </row>
    <row r="808">
      <c r="A808" s="17" t="inlineStr">
        <is>
          <t>ORD1807</t>
        </is>
      </c>
      <c r="B808" s="17" t="inlineStr">
        <is>
          <t>2025-11-19</t>
        </is>
      </c>
      <c r="C808" s="17" t="inlineStr">
        <is>
          <t>19:50:17</t>
        </is>
      </c>
      <c r="D808" s="17" t="n">
        <v>1296</v>
      </c>
      <c r="E808" s="17" t="n">
        <v>112</v>
      </c>
      <c r="F808" s="17" t="n">
        <v>219</v>
      </c>
      <c r="G808" s="17" t="inlineStr">
        <is>
          <t>Delhi NCR</t>
        </is>
      </c>
      <c r="H808" s="17" t="inlineStr">
        <is>
          <t>North Indian</t>
        </is>
      </c>
      <c r="I808" s="22" t="n">
        <v>349</v>
      </c>
      <c r="J808" s="22" t="n">
        <v>27.04</v>
      </c>
      <c r="K808" s="22" t="n">
        <v>31.5</v>
      </c>
      <c r="L808" s="23" t="n">
        <v>0.22</v>
      </c>
      <c r="M808" s="22" t="n">
        <v>84.66</v>
      </c>
      <c r="N808" s="24" t="n">
        <v>4.3</v>
      </c>
      <c r="O808" s="24" t="n">
        <v>42.1</v>
      </c>
      <c r="P808" s="17" t="inlineStr">
        <is>
          <t>Credit Card</t>
        </is>
      </c>
      <c r="Q808" s="17" t="inlineStr">
        <is>
          <t>Delivered</t>
        </is>
      </c>
      <c r="R808" s="17" t="n">
        <v>4</v>
      </c>
      <c r="S808" s="17">
        <f>TEXT(B808,"yyyy-mm")</f>
        <v/>
      </c>
      <c r="T808" s="17">
        <f>VLOOKUP(D808,Customers!A:D,4,FALSE)</f>
        <v/>
      </c>
      <c r="U808" s="17">
        <f>CONCATENATE(A808,"-",G808)</f>
        <v/>
      </c>
      <c r="V808" s="17">
        <f>IF(N808="","",IF(N808&lt;=30,"Fast (&lt;30m)",IF(N808&lt;=45,"Moderate (30-45m)","Delayed (&gt;45m)")))</f>
        <v/>
      </c>
      <c r="W808" s="17">
        <f>IF(AND(I808&gt;600,P808="Delivered"),"High Value Delivered","Standard")</f>
        <v/>
      </c>
      <c r="X808" s="17">
        <f>IF(OR(N808&gt;50,Q808&lt;=2),"High Risk / Delayed","Normal")</f>
        <v/>
      </c>
      <c r="Y808" s="17">
        <f>IF(NOT(P808="Cancelled"),"Fulfilled","Cancelled")</f>
        <v/>
      </c>
      <c r="Z808" s="17">
        <f>IFERROR(Q808,0)</f>
        <v/>
      </c>
    </row>
    <row r="809">
      <c r="A809" s="25" t="inlineStr">
        <is>
          <t>ORD1808</t>
        </is>
      </c>
      <c r="B809" s="25" t="inlineStr">
        <is>
          <t>2025-03-27</t>
        </is>
      </c>
      <c r="C809" s="25" t="inlineStr">
        <is>
          <t>13:32:24</t>
        </is>
      </c>
      <c r="D809" s="25" t="n">
        <v>1271</v>
      </c>
      <c r="E809" s="25" t="n">
        <v>112</v>
      </c>
      <c r="F809" s="25" t="n">
        <v>219</v>
      </c>
      <c r="G809" s="25" t="inlineStr">
        <is>
          <t>Delhi NCR</t>
        </is>
      </c>
      <c r="H809" s="25" t="inlineStr">
        <is>
          <t>North Indian</t>
        </is>
      </c>
      <c r="I809" s="26" t="n">
        <v>880</v>
      </c>
      <c r="J809" s="26" t="n">
        <v>90.27</v>
      </c>
      <c r="K809" s="26" t="n">
        <v>25</v>
      </c>
      <c r="L809" s="27" t="n">
        <v>0.22</v>
      </c>
      <c r="M809" s="26" t="n">
        <v>199.85</v>
      </c>
      <c r="N809" s="28" t="n">
        <v>2.1</v>
      </c>
      <c r="O809" s="28" t="n">
        <v>24.2</v>
      </c>
      <c r="P809" s="25" t="inlineStr">
        <is>
          <t>Digital Wallet</t>
        </is>
      </c>
      <c r="Q809" s="25" t="inlineStr">
        <is>
          <t>Delivered</t>
        </is>
      </c>
      <c r="R809" s="25" t="n">
        <v>3</v>
      </c>
      <c r="S809" s="25">
        <f>TEXT(B809,"yyyy-mm")</f>
        <v/>
      </c>
      <c r="T809" s="25">
        <f>VLOOKUP(D809,Customers!A:D,4,FALSE)</f>
        <v/>
      </c>
      <c r="U809" s="25">
        <f>CONCATENATE(A809,"-",G809)</f>
        <v/>
      </c>
      <c r="V809" s="25">
        <f>IF(N809="","",IF(N809&lt;=30,"Fast (&lt;30m)",IF(N809&lt;=45,"Moderate (30-45m)","Delayed (&gt;45m)")))</f>
        <v/>
      </c>
      <c r="W809" s="25">
        <f>IF(AND(I809&gt;600,P809="Delivered"),"High Value Delivered","Standard")</f>
        <v/>
      </c>
      <c r="X809" s="25">
        <f>IF(OR(N809&gt;50,Q809&lt;=2),"High Risk / Delayed","Normal")</f>
        <v/>
      </c>
      <c r="Y809" s="25">
        <f>IF(NOT(P809="Cancelled"),"Fulfilled","Cancelled")</f>
        <v/>
      </c>
      <c r="Z809" s="25">
        <f>IFERROR(Q809,0)</f>
        <v/>
      </c>
    </row>
    <row r="810">
      <c r="A810" s="17" t="inlineStr">
        <is>
          <t>ORD1809</t>
        </is>
      </c>
      <c r="B810" s="17" t="inlineStr">
        <is>
          <t>2025-12-31</t>
        </is>
      </c>
      <c r="C810" s="17" t="inlineStr">
        <is>
          <t>13:23:33</t>
        </is>
      </c>
      <c r="D810" s="17" t="n">
        <v>1199</v>
      </c>
      <c r="E810" s="17" t="n">
        <v>119</v>
      </c>
      <c r="F810" s="17" t="n">
        <v>225</v>
      </c>
      <c r="G810" s="17" t="inlineStr">
        <is>
          <t>Hyderabad</t>
        </is>
      </c>
      <c r="H810" s="17" t="inlineStr">
        <is>
          <t>Biryani</t>
        </is>
      </c>
      <c r="I810" s="22" t="n">
        <v>1154</v>
      </c>
      <c r="J810" s="22" t="n">
        <v>197.99</v>
      </c>
      <c r="K810" s="22" t="n">
        <v>0</v>
      </c>
      <c r="L810" s="23" t="n">
        <v>0.2</v>
      </c>
      <c r="M810" s="22" t="n">
        <v>230.8</v>
      </c>
      <c r="N810" s="24" t="n">
        <v>3.4</v>
      </c>
      <c r="O810" s="24" t="n">
        <v>38.4</v>
      </c>
      <c r="P810" s="17" t="inlineStr">
        <is>
          <t>Debit Card</t>
        </is>
      </c>
      <c r="Q810" s="17" t="inlineStr">
        <is>
          <t>Delivered</t>
        </is>
      </c>
      <c r="R810" s="17" t="n">
        <v>4</v>
      </c>
      <c r="S810" s="17">
        <f>TEXT(B810,"yyyy-mm")</f>
        <v/>
      </c>
      <c r="T810" s="17">
        <f>VLOOKUP(D810,Customers!A:D,4,FALSE)</f>
        <v/>
      </c>
      <c r="U810" s="17">
        <f>CONCATENATE(A810,"-",G810)</f>
        <v/>
      </c>
      <c r="V810" s="17">
        <f>IF(N810="","",IF(N810&lt;=30,"Fast (&lt;30m)",IF(N810&lt;=45,"Moderate (30-45m)","Delayed (&gt;45m)")))</f>
        <v/>
      </c>
      <c r="W810" s="17">
        <f>IF(AND(I810&gt;600,P810="Delivered"),"High Value Delivered","Standard")</f>
        <v/>
      </c>
      <c r="X810" s="17">
        <f>IF(OR(N810&gt;50,Q810&lt;=2),"High Risk / Delayed","Normal")</f>
        <v/>
      </c>
      <c r="Y810" s="17">
        <f>IF(NOT(P810="Cancelled"),"Fulfilled","Cancelled")</f>
        <v/>
      </c>
      <c r="Z810" s="17">
        <f>IFERROR(Q810,0)</f>
        <v/>
      </c>
    </row>
    <row r="811">
      <c r="A811" s="25" t="inlineStr">
        <is>
          <t>ORD1810</t>
        </is>
      </c>
      <c r="B811" s="25" t="inlineStr">
        <is>
          <t>2025-04-23</t>
        </is>
      </c>
      <c r="C811" s="25" t="inlineStr">
        <is>
          <t>23:57:12</t>
        </is>
      </c>
      <c r="D811" s="25" t="n">
        <v>1231</v>
      </c>
      <c r="E811" s="25" t="n">
        <v>111</v>
      </c>
      <c r="F811" s="25" t="n">
        <v>203</v>
      </c>
      <c r="G811" s="25" t="inlineStr">
        <is>
          <t>Bangalore</t>
        </is>
      </c>
      <c r="H811" s="25" t="inlineStr">
        <is>
          <t>South Indian</t>
        </is>
      </c>
      <c r="I811" s="26" t="n">
        <v>682</v>
      </c>
      <c r="J811" s="26" t="n">
        <v>75.31</v>
      </c>
      <c r="K811" s="26" t="n">
        <v>43</v>
      </c>
      <c r="L811" s="27" t="n">
        <v>0.15</v>
      </c>
      <c r="M811" s="26" t="n">
        <v>113.05</v>
      </c>
      <c r="N811" s="28" t="n">
        <v>6.6</v>
      </c>
      <c r="O811" s="28" t="n">
        <v>38.8</v>
      </c>
      <c r="P811" s="25" t="inlineStr">
        <is>
          <t>Debit Card</t>
        </is>
      </c>
      <c r="Q811" s="25" t="inlineStr">
        <is>
          <t>Delivered</t>
        </is>
      </c>
      <c r="R811" s="25" t="n">
        <v>5</v>
      </c>
      <c r="S811" s="25">
        <f>TEXT(B811,"yyyy-mm")</f>
        <v/>
      </c>
      <c r="T811" s="25">
        <f>VLOOKUP(D811,Customers!A:D,4,FALSE)</f>
        <v/>
      </c>
      <c r="U811" s="25">
        <f>CONCATENATE(A811,"-",G811)</f>
        <v/>
      </c>
      <c r="V811" s="25">
        <f>IF(N811="","",IF(N811&lt;=30,"Fast (&lt;30m)",IF(N811&lt;=45,"Moderate (30-45m)","Delayed (&gt;45m)")))</f>
        <v/>
      </c>
      <c r="W811" s="25">
        <f>IF(AND(I811&gt;600,P811="Delivered"),"High Value Delivered","Standard")</f>
        <v/>
      </c>
      <c r="X811" s="25">
        <f>IF(OR(N811&gt;50,Q811&lt;=2),"High Risk / Delayed","Normal")</f>
        <v/>
      </c>
      <c r="Y811" s="25">
        <f>IF(NOT(P811="Cancelled"),"Fulfilled","Cancelled")</f>
        <v/>
      </c>
      <c r="Z811" s="25">
        <f>IFERROR(Q811,0)</f>
        <v/>
      </c>
    </row>
    <row r="812">
      <c r="A812" s="17" t="inlineStr">
        <is>
          <t>ORD1811</t>
        </is>
      </c>
      <c r="B812" s="17" t="inlineStr">
        <is>
          <t>2025-07-11</t>
        </is>
      </c>
      <c r="C812" s="17" t="inlineStr">
        <is>
          <t>13:16:35</t>
        </is>
      </c>
      <c r="D812" s="17" t="n">
        <v>1222</v>
      </c>
      <c r="E812" s="17" t="n">
        <v>109</v>
      </c>
      <c r="F812" s="17" t="n">
        <v>215</v>
      </c>
      <c r="G812" s="17" t="inlineStr">
        <is>
          <t>Hyderabad</t>
        </is>
      </c>
      <c r="H812" s="17" t="inlineStr">
        <is>
          <t>Biryani</t>
        </is>
      </c>
      <c r="I812" s="22" t="n">
        <v>306</v>
      </c>
      <c r="J812" s="22" t="n">
        <v>0</v>
      </c>
      <c r="K812" s="22" t="n">
        <v>25</v>
      </c>
      <c r="L812" s="23" t="n">
        <v>0.2</v>
      </c>
      <c r="M812" s="22" t="n">
        <v>67.45</v>
      </c>
      <c r="N812" s="24" t="n">
        <v>2.7</v>
      </c>
      <c r="O812" s="24" t="n">
        <v>23.1</v>
      </c>
      <c r="P812" s="17" t="inlineStr">
        <is>
          <t>Cash on Delivery</t>
        </is>
      </c>
      <c r="Q812" s="17" t="inlineStr">
        <is>
          <t>Delivered</t>
        </is>
      </c>
      <c r="R812" s="17" t="n">
        <v>4</v>
      </c>
      <c r="S812" s="17">
        <f>TEXT(B812,"yyyy-mm")</f>
        <v/>
      </c>
      <c r="T812" s="17">
        <f>VLOOKUP(D812,Customers!A:D,4,FALSE)</f>
        <v/>
      </c>
      <c r="U812" s="17">
        <f>CONCATENATE(A812,"-",G812)</f>
        <v/>
      </c>
      <c r="V812" s="17">
        <f>IF(N812="","",IF(N812&lt;=30,"Fast (&lt;30m)",IF(N812&lt;=45,"Moderate (30-45m)","Delayed (&gt;45m)")))</f>
        <v/>
      </c>
      <c r="W812" s="17">
        <f>IF(AND(I812&gt;600,P812="Delivered"),"High Value Delivered","Standard")</f>
        <v/>
      </c>
      <c r="X812" s="17">
        <f>IF(OR(N812&gt;50,Q812&lt;=2),"High Risk / Delayed","Normal")</f>
        <v/>
      </c>
      <c r="Y812" s="17">
        <f>IF(NOT(P812="Cancelled"),"Fulfilled","Cancelled")</f>
        <v/>
      </c>
      <c r="Z812" s="17">
        <f>IFERROR(Q812,0)</f>
        <v/>
      </c>
    </row>
    <row r="813">
      <c r="A813" s="25" t="inlineStr">
        <is>
          <t>ORD1812</t>
        </is>
      </c>
      <c r="B813" s="25" t="inlineStr">
        <is>
          <t>2025-08-27</t>
        </is>
      </c>
      <c r="C813" s="25" t="inlineStr">
        <is>
          <t>14:32:39</t>
        </is>
      </c>
      <c r="D813" s="25" t="n">
        <v>1113</v>
      </c>
      <c r="E813" s="25" t="n">
        <v>101</v>
      </c>
      <c r="F813" s="25" t="n">
        <v>201</v>
      </c>
      <c r="G813" s="25" t="inlineStr">
        <is>
          <t>Bangalore</t>
        </is>
      </c>
      <c r="H813" s="25" t="inlineStr">
        <is>
          <t>North Indian</t>
        </is>
      </c>
      <c r="I813" s="26" t="n">
        <v>773</v>
      </c>
      <c r="J813" s="26" t="n">
        <v>112.17</v>
      </c>
      <c r="K813" s="26" t="n">
        <v>0</v>
      </c>
      <c r="L813" s="27" t="n">
        <v>0.2</v>
      </c>
      <c r="M813" s="26" t="n">
        <v>154.6</v>
      </c>
      <c r="N813" s="28" t="n">
        <v>3.8</v>
      </c>
      <c r="O813" s="28" t="n">
        <v>34.2</v>
      </c>
      <c r="P813" s="25" t="inlineStr">
        <is>
          <t>Debit Card</t>
        </is>
      </c>
      <c r="Q813" s="25" t="inlineStr">
        <is>
          <t>Delivered</t>
        </is>
      </c>
      <c r="R813" s="25" t="n">
        <v>5</v>
      </c>
      <c r="S813" s="25">
        <f>TEXT(B813,"yyyy-mm")</f>
        <v/>
      </c>
      <c r="T813" s="25">
        <f>VLOOKUP(D813,Customers!A:D,4,FALSE)</f>
        <v/>
      </c>
      <c r="U813" s="25">
        <f>CONCATENATE(A813,"-",G813)</f>
        <v/>
      </c>
      <c r="V813" s="25">
        <f>IF(N813="","",IF(N813&lt;=30,"Fast (&lt;30m)",IF(N813&lt;=45,"Moderate (30-45m)","Delayed (&gt;45m)")))</f>
        <v/>
      </c>
      <c r="W813" s="25">
        <f>IF(AND(I813&gt;600,P813="Delivered"),"High Value Delivered","Standard")</f>
        <v/>
      </c>
      <c r="X813" s="25">
        <f>IF(OR(N813&gt;50,Q813&lt;=2),"High Risk / Delayed","Normal")</f>
        <v/>
      </c>
      <c r="Y813" s="25">
        <f>IF(NOT(P813="Cancelled"),"Fulfilled","Cancelled")</f>
        <v/>
      </c>
      <c r="Z813" s="25">
        <f>IFERROR(Q813,0)</f>
        <v/>
      </c>
    </row>
    <row r="814">
      <c r="A814" s="17" t="inlineStr">
        <is>
          <t>ORD1813</t>
        </is>
      </c>
      <c r="B814" s="17" t="inlineStr">
        <is>
          <t>2025-07-15</t>
        </is>
      </c>
      <c r="C814" s="17" t="inlineStr">
        <is>
          <t>18:01:11</t>
        </is>
      </c>
      <c r="D814" s="17" t="n">
        <v>1104</v>
      </c>
      <c r="E814" s="17" t="n">
        <v>117</v>
      </c>
      <c r="F814" s="17" t="n">
        <v>222</v>
      </c>
      <c r="G814" s="17" t="inlineStr">
        <is>
          <t>Mumbai</t>
        </is>
      </c>
      <c r="H814" s="17" t="inlineStr">
        <is>
          <t>Chinese</t>
        </is>
      </c>
      <c r="I814" s="22" t="n">
        <v>672</v>
      </c>
      <c r="J814" s="22" t="n">
        <v>0</v>
      </c>
      <c r="K814" s="22" t="n">
        <v>26</v>
      </c>
      <c r="L814" s="23" t="n">
        <v>0.2</v>
      </c>
      <c r="M814" s="22" t="n">
        <v>140.9</v>
      </c>
      <c r="N814" s="24" t="n">
        <v>3.2</v>
      </c>
      <c r="O814" s="24" t="n">
        <v>37</v>
      </c>
      <c r="P814" s="17" t="inlineStr">
        <is>
          <t>Debit Card</t>
        </is>
      </c>
      <c r="Q814" s="17" t="inlineStr">
        <is>
          <t>Delivered</t>
        </is>
      </c>
      <c r="R814" s="17" t="n">
        <v>4</v>
      </c>
      <c r="S814" s="17">
        <f>TEXT(B814,"yyyy-mm")</f>
        <v/>
      </c>
      <c r="T814" s="17">
        <f>VLOOKUP(D814,Customers!A:D,4,FALSE)</f>
        <v/>
      </c>
      <c r="U814" s="17">
        <f>CONCATENATE(A814,"-",G814)</f>
        <v/>
      </c>
      <c r="V814" s="17">
        <f>IF(N814="","",IF(N814&lt;=30,"Fast (&lt;30m)",IF(N814&lt;=45,"Moderate (30-45m)","Delayed (&gt;45m)")))</f>
        <v/>
      </c>
      <c r="W814" s="17">
        <f>IF(AND(I814&gt;600,P814="Delivered"),"High Value Delivered","Standard")</f>
        <v/>
      </c>
      <c r="X814" s="17">
        <f>IF(OR(N814&gt;50,Q814&lt;=2),"High Risk / Delayed","Normal")</f>
        <v/>
      </c>
      <c r="Y814" s="17">
        <f>IF(NOT(P814="Cancelled"),"Fulfilled","Cancelled")</f>
        <v/>
      </c>
      <c r="Z814" s="17">
        <f>IFERROR(Q814,0)</f>
        <v/>
      </c>
    </row>
    <row r="815">
      <c r="A815" s="25" t="inlineStr">
        <is>
          <t>ORD1814</t>
        </is>
      </c>
      <c r="B815" s="25" t="inlineStr">
        <is>
          <t>2025-09-14</t>
        </is>
      </c>
      <c r="C815" s="25" t="inlineStr">
        <is>
          <t>20:32:34</t>
        </is>
      </c>
      <c r="D815" s="25" t="n">
        <v>1159</v>
      </c>
      <c r="E815" s="25" t="n">
        <v>112</v>
      </c>
      <c r="F815" s="25" t="n">
        <v>212</v>
      </c>
      <c r="G815" s="25" t="inlineStr">
        <is>
          <t>Delhi NCR</t>
        </is>
      </c>
      <c r="H815" s="25" t="inlineStr">
        <is>
          <t>North Indian</t>
        </is>
      </c>
      <c r="I815" s="26" t="n">
        <v>879</v>
      </c>
      <c r="J815" s="26" t="n">
        <v>0</v>
      </c>
      <c r="K815" s="26" t="n">
        <v>26.5</v>
      </c>
      <c r="L815" s="27" t="n">
        <v>0.22</v>
      </c>
      <c r="M815" s="26" t="n">
        <v>200</v>
      </c>
      <c r="N815" s="28" t="n">
        <v>3.3</v>
      </c>
      <c r="O815" s="28" t="n">
        <v>27.4</v>
      </c>
      <c r="P815" s="25" t="inlineStr">
        <is>
          <t>Credit Card</t>
        </is>
      </c>
      <c r="Q815" s="25" t="inlineStr">
        <is>
          <t>Delivered</t>
        </is>
      </c>
      <c r="R815" s="25" t="n">
        <v>5</v>
      </c>
      <c r="S815" s="25">
        <f>TEXT(B815,"yyyy-mm")</f>
        <v/>
      </c>
      <c r="T815" s="25">
        <f>VLOOKUP(D815,Customers!A:D,4,FALSE)</f>
        <v/>
      </c>
      <c r="U815" s="25">
        <f>CONCATENATE(A815,"-",G815)</f>
        <v/>
      </c>
      <c r="V815" s="25">
        <f>IF(N815="","",IF(N815&lt;=30,"Fast (&lt;30m)",IF(N815&lt;=45,"Moderate (30-45m)","Delayed (&gt;45m)")))</f>
        <v/>
      </c>
      <c r="W815" s="25">
        <f>IF(AND(I815&gt;600,P815="Delivered"),"High Value Delivered","Standard")</f>
        <v/>
      </c>
      <c r="X815" s="25">
        <f>IF(OR(N815&gt;50,Q815&lt;=2),"High Risk / Delayed","Normal")</f>
        <v/>
      </c>
      <c r="Y815" s="25">
        <f>IF(NOT(P815="Cancelled"),"Fulfilled","Cancelled")</f>
        <v/>
      </c>
      <c r="Z815" s="25">
        <f>IFERROR(Q815,0)</f>
        <v/>
      </c>
    </row>
    <row r="816">
      <c r="A816" s="17" t="inlineStr">
        <is>
          <t>ORD1815</t>
        </is>
      </c>
      <c r="B816" s="17" t="inlineStr">
        <is>
          <t>2025-02-06</t>
        </is>
      </c>
      <c r="C816" s="17" t="inlineStr">
        <is>
          <t>19:23:02</t>
        </is>
      </c>
      <c r="D816" s="17" t="n">
        <v>1135</v>
      </c>
      <c r="E816" s="17" t="n">
        <v>107</v>
      </c>
      <c r="F816" s="17" t="n">
        <v>206</v>
      </c>
      <c r="G816" s="17" t="inlineStr">
        <is>
          <t>Mumbai</t>
        </is>
      </c>
      <c r="H816" s="17" t="inlineStr">
        <is>
          <t>Desserts</t>
        </is>
      </c>
      <c r="I816" s="22" t="n">
        <v>930</v>
      </c>
      <c r="J816" s="22" t="n">
        <v>124.04</v>
      </c>
      <c r="K816" s="22" t="n">
        <v>0</v>
      </c>
      <c r="L816" s="23" t="n">
        <v>0.25</v>
      </c>
      <c r="M816" s="22" t="n">
        <v>232.5</v>
      </c>
      <c r="N816" s="24" t="n">
        <v>2.5</v>
      </c>
      <c r="O816" s="24" t="n">
        <v>29.4</v>
      </c>
      <c r="P816" s="17" t="inlineStr">
        <is>
          <t>Debit Card</t>
        </is>
      </c>
      <c r="Q816" s="17" t="inlineStr">
        <is>
          <t>Delivered</t>
        </is>
      </c>
      <c r="R816" s="17" t="n">
        <v>2</v>
      </c>
      <c r="S816" s="17">
        <f>TEXT(B816,"yyyy-mm")</f>
        <v/>
      </c>
      <c r="T816" s="17">
        <f>VLOOKUP(D816,Customers!A:D,4,FALSE)</f>
        <v/>
      </c>
      <c r="U816" s="17">
        <f>CONCATENATE(A816,"-",G816)</f>
        <v/>
      </c>
      <c r="V816" s="17">
        <f>IF(N816="","",IF(N816&lt;=30,"Fast (&lt;30m)",IF(N816&lt;=45,"Moderate (30-45m)","Delayed (&gt;45m)")))</f>
        <v/>
      </c>
      <c r="W816" s="17">
        <f>IF(AND(I816&gt;600,P816="Delivered"),"High Value Delivered","Standard")</f>
        <v/>
      </c>
      <c r="X816" s="17">
        <f>IF(OR(N816&gt;50,Q816&lt;=2),"High Risk / Delayed","Normal")</f>
        <v/>
      </c>
      <c r="Y816" s="17">
        <f>IF(NOT(P816="Cancelled"),"Fulfilled","Cancelled")</f>
        <v/>
      </c>
      <c r="Z816" s="17">
        <f>IFERROR(Q816,0)</f>
        <v/>
      </c>
    </row>
    <row r="817">
      <c r="A817" s="25" t="inlineStr">
        <is>
          <t>ORD1816</t>
        </is>
      </c>
      <c r="B817" s="25" t="inlineStr">
        <is>
          <t>2025-12-28</t>
        </is>
      </c>
      <c r="C817" s="25" t="inlineStr">
        <is>
          <t>07:38:08</t>
        </is>
      </c>
      <c r="D817" s="25" t="n">
        <v>1199</v>
      </c>
      <c r="E817" s="25" t="n">
        <v>114</v>
      </c>
      <c r="F817" s="25" t="n">
        <v>225</v>
      </c>
      <c r="G817" s="25" t="inlineStr">
        <is>
          <t>Hyderabad</t>
        </is>
      </c>
      <c r="H817" s="25" t="inlineStr">
        <is>
          <t>Biryani</t>
        </is>
      </c>
      <c r="I817" s="26" t="n">
        <v>1109</v>
      </c>
      <c r="J817" s="26" t="n">
        <v>139.86</v>
      </c>
      <c r="K817" s="26" t="n">
        <v>0</v>
      </c>
      <c r="L817" s="27" t="n">
        <v>0.22</v>
      </c>
      <c r="M817" s="26" t="n">
        <v>243.98</v>
      </c>
      <c r="N817" s="28" t="n">
        <v>2.5</v>
      </c>
      <c r="O817" s="28" t="n">
        <v>29.4</v>
      </c>
      <c r="P817" s="25" t="inlineStr">
        <is>
          <t>Debit Card</t>
        </is>
      </c>
      <c r="Q817" s="25" t="inlineStr">
        <is>
          <t>Delivered</t>
        </is>
      </c>
      <c r="R817" s="25" t="n">
        <v>5</v>
      </c>
      <c r="S817" s="25">
        <f>TEXT(B817,"yyyy-mm")</f>
        <v/>
      </c>
      <c r="T817" s="25">
        <f>VLOOKUP(D817,Customers!A:D,4,FALSE)</f>
        <v/>
      </c>
      <c r="U817" s="25">
        <f>CONCATENATE(A817,"-",G817)</f>
        <v/>
      </c>
      <c r="V817" s="25">
        <f>IF(N817="","",IF(N817&lt;=30,"Fast (&lt;30m)",IF(N817&lt;=45,"Moderate (30-45m)","Delayed (&gt;45m)")))</f>
        <v/>
      </c>
      <c r="W817" s="25">
        <f>IF(AND(I817&gt;600,P817="Delivered"),"High Value Delivered","Standard")</f>
        <v/>
      </c>
      <c r="X817" s="25">
        <f>IF(OR(N817&gt;50,Q817&lt;=2),"High Risk / Delayed","Normal")</f>
        <v/>
      </c>
      <c r="Y817" s="25">
        <f>IF(NOT(P817="Cancelled"),"Fulfilled","Cancelled")</f>
        <v/>
      </c>
      <c r="Z817" s="25">
        <f>IFERROR(Q817,0)</f>
        <v/>
      </c>
    </row>
    <row r="818">
      <c r="A818" s="17" t="inlineStr">
        <is>
          <t>ORD1817</t>
        </is>
      </c>
      <c r="B818" s="17" t="inlineStr">
        <is>
          <t>2025-10-24</t>
        </is>
      </c>
      <c r="C818" s="17" t="inlineStr">
        <is>
          <t>21:48:41</t>
        </is>
      </c>
      <c r="D818" s="17" t="n">
        <v>1060</v>
      </c>
      <c r="E818" s="17" t="n">
        <v>112</v>
      </c>
      <c r="F818" s="17" t="n">
        <v>211</v>
      </c>
      <c r="G818" s="17" t="inlineStr">
        <is>
          <t>Delhi NCR</t>
        </is>
      </c>
      <c r="H818" s="17" t="inlineStr">
        <is>
          <t>North Indian</t>
        </is>
      </c>
      <c r="I818" s="22" t="n">
        <v>232</v>
      </c>
      <c r="J818" s="22" t="n">
        <v>0</v>
      </c>
      <c r="K818" s="22" t="n">
        <v>32</v>
      </c>
      <c r="L818" s="23" t="n">
        <v>0.22</v>
      </c>
      <c r="M818" s="22" t="n">
        <v>59.04</v>
      </c>
      <c r="N818" s="24" t="n">
        <v>4.4</v>
      </c>
      <c r="O818" s="24" t="n">
        <v>34.7</v>
      </c>
      <c r="P818" s="17" t="inlineStr">
        <is>
          <t>Credit Card</t>
        </is>
      </c>
      <c r="Q818" s="17" t="inlineStr">
        <is>
          <t>Delivered</t>
        </is>
      </c>
      <c r="R818" s="17" t="n">
        <v>4</v>
      </c>
      <c r="S818" s="17">
        <f>TEXT(B818,"yyyy-mm")</f>
        <v/>
      </c>
      <c r="T818" s="17">
        <f>VLOOKUP(D818,Customers!A:D,4,FALSE)</f>
        <v/>
      </c>
      <c r="U818" s="17">
        <f>CONCATENATE(A818,"-",G818)</f>
        <v/>
      </c>
      <c r="V818" s="17">
        <f>IF(N818="","",IF(N818&lt;=30,"Fast (&lt;30m)",IF(N818&lt;=45,"Moderate (30-45m)","Delayed (&gt;45m)")))</f>
        <v/>
      </c>
      <c r="W818" s="17">
        <f>IF(AND(I818&gt;600,P818="Delivered"),"High Value Delivered","Standard")</f>
        <v/>
      </c>
      <c r="X818" s="17">
        <f>IF(OR(N818&gt;50,Q818&lt;=2),"High Risk / Delayed","Normal")</f>
        <v/>
      </c>
      <c r="Y818" s="17">
        <f>IF(NOT(P818="Cancelled"),"Fulfilled","Cancelled")</f>
        <v/>
      </c>
      <c r="Z818" s="17">
        <f>IFERROR(Q818,0)</f>
        <v/>
      </c>
    </row>
    <row r="819">
      <c r="A819" s="25" t="inlineStr">
        <is>
          <t>ORD1818</t>
        </is>
      </c>
      <c r="B819" s="25" t="inlineStr">
        <is>
          <t>2025-04-18</t>
        </is>
      </c>
      <c r="C819" s="25" t="inlineStr">
        <is>
          <t>22:30:14</t>
        </is>
      </c>
      <c r="D819" s="25" t="n">
        <v>1169</v>
      </c>
      <c r="E819" s="25" t="n">
        <v>103</v>
      </c>
      <c r="F819" s="25" t="n">
        <v>202</v>
      </c>
      <c r="G819" s="25" t="inlineStr">
        <is>
          <t>Mumbai</t>
        </is>
      </c>
      <c r="H819" s="25" t="inlineStr">
        <is>
          <t>Italian</t>
        </is>
      </c>
      <c r="I819" s="26" t="n">
        <v>748</v>
      </c>
      <c r="J819" s="26" t="n">
        <v>33.07</v>
      </c>
      <c r="K819" s="26" t="n">
        <v>27</v>
      </c>
      <c r="L819" s="27" t="n">
        <v>0.18</v>
      </c>
      <c r="M819" s="26" t="n">
        <v>141.39</v>
      </c>
      <c r="N819" s="28" t="n">
        <v>3.4</v>
      </c>
      <c r="O819" s="28" t="n">
        <v>38.4</v>
      </c>
      <c r="P819" s="25" t="inlineStr">
        <is>
          <t>Cash on Delivery</t>
        </is>
      </c>
      <c r="Q819" s="25" t="inlineStr">
        <is>
          <t>Delivered</t>
        </is>
      </c>
      <c r="R819" s="25" t="n">
        <v>4</v>
      </c>
      <c r="S819" s="25">
        <f>TEXT(B819,"yyyy-mm")</f>
        <v/>
      </c>
      <c r="T819" s="25">
        <f>VLOOKUP(D819,Customers!A:D,4,FALSE)</f>
        <v/>
      </c>
      <c r="U819" s="25">
        <f>CONCATENATE(A819,"-",G819)</f>
        <v/>
      </c>
      <c r="V819" s="25">
        <f>IF(N819="","",IF(N819&lt;=30,"Fast (&lt;30m)",IF(N819&lt;=45,"Moderate (30-45m)","Delayed (&gt;45m)")))</f>
        <v/>
      </c>
      <c r="W819" s="25">
        <f>IF(AND(I819&gt;600,P819="Delivered"),"High Value Delivered","Standard")</f>
        <v/>
      </c>
      <c r="X819" s="25">
        <f>IF(OR(N819&gt;50,Q819&lt;=2),"High Risk / Delayed","Normal")</f>
        <v/>
      </c>
      <c r="Y819" s="25">
        <f>IF(NOT(P819="Cancelled"),"Fulfilled","Cancelled")</f>
        <v/>
      </c>
      <c r="Z819" s="25">
        <f>IFERROR(Q819,0)</f>
        <v/>
      </c>
    </row>
    <row r="820">
      <c r="A820" s="17" t="inlineStr">
        <is>
          <t>ORD1819</t>
        </is>
      </c>
      <c r="B820" s="17" t="inlineStr">
        <is>
          <t>2025-04-07</t>
        </is>
      </c>
      <c r="C820" s="17" t="inlineStr">
        <is>
          <t>21:27:49</t>
        </is>
      </c>
      <c r="D820" s="17" t="n">
        <v>1121</v>
      </c>
      <c r="E820" s="17" t="n">
        <v>101</v>
      </c>
      <c r="F820" s="17" t="n">
        <v>205</v>
      </c>
      <c r="G820" s="17" t="inlineStr">
        <is>
          <t>Bangalore</t>
        </is>
      </c>
      <c r="H820" s="17" t="inlineStr">
        <is>
          <t>North Indian</t>
        </is>
      </c>
      <c r="I820" s="22" t="n">
        <v>934</v>
      </c>
      <c r="J820" s="22" t="n">
        <v>74.01000000000001</v>
      </c>
      <c r="K820" s="22" t="n">
        <v>32.5</v>
      </c>
      <c r="L820" s="23" t="n">
        <v>0.2</v>
      </c>
      <c r="M820" s="22" t="n">
        <v>194.92</v>
      </c>
      <c r="N820" s="24" t="n">
        <v>4.5</v>
      </c>
      <c r="O820" s="24" t="n">
        <v>34.4</v>
      </c>
      <c r="P820" s="17" t="inlineStr">
        <is>
          <t>Digital Wallet</t>
        </is>
      </c>
      <c r="Q820" s="17" t="inlineStr">
        <is>
          <t>Delivered</t>
        </is>
      </c>
      <c r="R820" s="17" t="n">
        <v>1</v>
      </c>
      <c r="S820" s="17">
        <f>TEXT(B820,"yyyy-mm")</f>
        <v/>
      </c>
      <c r="T820" s="17">
        <f>VLOOKUP(D820,Customers!A:D,4,FALSE)</f>
        <v/>
      </c>
      <c r="U820" s="17">
        <f>CONCATENATE(A820,"-",G820)</f>
        <v/>
      </c>
      <c r="V820" s="17">
        <f>IF(N820="","",IF(N820&lt;=30,"Fast (&lt;30m)",IF(N820&lt;=45,"Moderate (30-45m)","Delayed (&gt;45m)")))</f>
        <v/>
      </c>
      <c r="W820" s="17">
        <f>IF(AND(I820&gt;600,P820="Delivered"),"High Value Delivered","Standard")</f>
        <v/>
      </c>
      <c r="X820" s="17">
        <f>IF(OR(N820&gt;50,Q820&lt;=2),"High Risk / Delayed","Normal")</f>
        <v/>
      </c>
      <c r="Y820" s="17">
        <f>IF(NOT(P820="Cancelled"),"Fulfilled","Cancelled")</f>
        <v/>
      </c>
      <c r="Z820" s="17">
        <f>IFERROR(Q820,0)</f>
        <v/>
      </c>
    </row>
    <row r="821">
      <c r="A821" s="25" t="inlineStr">
        <is>
          <t>ORD1820</t>
        </is>
      </c>
      <c r="B821" s="25" t="inlineStr">
        <is>
          <t>2025-03-13</t>
        </is>
      </c>
      <c r="C821" s="25" t="inlineStr">
        <is>
          <t>08:36:55</t>
        </is>
      </c>
      <c r="D821" s="25" t="n">
        <v>1217</v>
      </c>
      <c r="E821" s="25" t="n">
        <v>119</v>
      </c>
      <c r="F821" s="25" t="n">
        <v>225</v>
      </c>
      <c r="G821" s="25" t="inlineStr">
        <is>
          <t>Hyderabad</t>
        </is>
      </c>
      <c r="H821" s="25" t="inlineStr">
        <is>
          <t>Biryani</t>
        </is>
      </c>
      <c r="I821" s="26" t="n">
        <v>351</v>
      </c>
      <c r="J821" s="26" t="n">
        <v>0</v>
      </c>
      <c r="K821" s="26" t="n">
        <v>50.5</v>
      </c>
      <c r="L821" s="27" t="n">
        <v>0.2</v>
      </c>
      <c r="M821" s="26" t="n">
        <v>82.81999999999999</v>
      </c>
      <c r="N821" s="28" t="n">
        <v>8.1</v>
      </c>
      <c r="O821" s="28" t="n">
        <v>47.1</v>
      </c>
      <c r="P821" s="25" t="inlineStr">
        <is>
          <t>Cash on Delivery</t>
        </is>
      </c>
      <c r="Q821" s="25" t="inlineStr">
        <is>
          <t>Delivered</t>
        </is>
      </c>
      <c r="R821" s="25" t="n">
        <v>1</v>
      </c>
      <c r="S821" s="25">
        <f>TEXT(B821,"yyyy-mm")</f>
        <v/>
      </c>
      <c r="T821" s="25">
        <f>VLOOKUP(D821,Customers!A:D,4,FALSE)</f>
        <v/>
      </c>
      <c r="U821" s="25">
        <f>CONCATENATE(A821,"-",G821)</f>
        <v/>
      </c>
      <c r="V821" s="25">
        <f>IF(N821="","",IF(N821&lt;=30,"Fast (&lt;30m)",IF(N821&lt;=45,"Moderate (30-45m)","Delayed (&gt;45m)")))</f>
        <v/>
      </c>
      <c r="W821" s="25">
        <f>IF(AND(I821&gt;600,P821="Delivered"),"High Value Delivered","Standard")</f>
        <v/>
      </c>
      <c r="X821" s="25">
        <f>IF(OR(N821&gt;50,Q821&lt;=2),"High Risk / Delayed","Normal")</f>
        <v/>
      </c>
      <c r="Y821" s="25">
        <f>IF(NOT(P821="Cancelled"),"Fulfilled","Cancelled")</f>
        <v/>
      </c>
      <c r="Z821" s="25">
        <f>IFERROR(Q821,0)</f>
        <v/>
      </c>
    </row>
    <row r="822">
      <c r="A822" s="17" t="inlineStr">
        <is>
          <t>ORD1821</t>
        </is>
      </c>
      <c r="B822" s="17" t="inlineStr">
        <is>
          <t>2025-08-03</t>
        </is>
      </c>
      <c r="C822" s="17" t="inlineStr">
        <is>
          <t>13:27:43</t>
        </is>
      </c>
      <c r="D822" s="17" t="n">
        <v>1206</v>
      </c>
      <c r="E822" s="17" t="n">
        <v>107</v>
      </c>
      <c r="F822" s="17" t="n">
        <v>229</v>
      </c>
      <c r="G822" s="17" t="inlineStr">
        <is>
          <t>Mumbai</t>
        </is>
      </c>
      <c r="H822" s="17" t="inlineStr">
        <is>
          <t>Desserts</t>
        </is>
      </c>
      <c r="I822" s="22" t="n">
        <v>633</v>
      </c>
      <c r="J822" s="22" t="n">
        <v>34.97</v>
      </c>
      <c r="K822" s="22" t="n">
        <v>28</v>
      </c>
      <c r="L822" s="23" t="n">
        <v>0.25</v>
      </c>
      <c r="M822" s="22" t="n">
        <v>165.25</v>
      </c>
      <c r="N822" s="24" t="n">
        <v>3.6</v>
      </c>
      <c r="O822" s="24" t="n">
        <v>31.8</v>
      </c>
      <c r="P822" s="17" t="inlineStr">
        <is>
          <t>Digital Wallet</t>
        </is>
      </c>
      <c r="Q822" s="17" t="inlineStr">
        <is>
          <t>Delivered</t>
        </is>
      </c>
      <c r="R822" s="17" t="n">
        <v>4</v>
      </c>
      <c r="S822" s="17">
        <f>TEXT(B822,"yyyy-mm")</f>
        <v/>
      </c>
      <c r="T822" s="17">
        <f>VLOOKUP(D822,Customers!A:D,4,FALSE)</f>
        <v/>
      </c>
      <c r="U822" s="17">
        <f>CONCATENATE(A822,"-",G822)</f>
        <v/>
      </c>
      <c r="V822" s="17">
        <f>IF(N822="","",IF(N822&lt;=30,"Fast (&lt;30m)",IF(N822&lt;=45,"Moderate (30-45m)","Delayed (&gt;45m)")))</f>
        <v/>
      </c>
      <c r="W822" s="17">
        <f>IF(AND(I822&gt;600,P822="Delivered"),"High Value Delivered","Standard")</f>
        <v/>
      </c>
      <c r="X822" s="17">
        <f>IF(OR(N822&gt;50,Q822&lt;=2),"High Risk / Delayed","Normal")</f>
        <v/>
      </c>
      <c r="Y822" s="17">
        <f>IF(NOT(P822="Cancelled"),"Fulfilled","Cancelled")</f>
        <v/>
      </c>
      <c r="Z822" s="17">
        <f>IFERROR(Q822,0)</f>
        <v/>
      </c>
    </row>
    <row r="823">
      <c r="A823" s="25" t="inlineStr">
        <is>
          <t>ORD1822</t>
        </is>
      </c>
      <c r="B823" s="25" t="inlineStr">
        <is>
          <t>2025-03-13</t>
        </is>
      </c>
      <c r="C823" s="25" t="inlineStr">
        <is>
          <t>21:09:21</t>
        </is>
      </c>
      <c r="D823" s="25" t="n">
        <v>1206</v>
      </c>
      <c r="E823" s="25" t="n">
        <v>107</v>
      </c>
      <c r="F823" s="25" t="n">
        <v>229</v>
      </c>
      <c r="G823" s="25" t="inlineStr">
        <is>
          <t>Mumbai</t>
        </is>
      </c>
      <c r="H823" s="25" t="inlineStr">
        <is>
          <t>Desserts</t>
        </is>
      </c>
      <c r="I823" s="26" t="n">
        <v>801</v>
      </c>
      <c r="J823" s="26" t="n">
        <v>38.64</v>
      </c>
      <c r="K823" s="26" t="n">
        <v>37</v>
      </c>
      <c r="L823" s="27" t="n">
        <v>0.25</v>
      </c>
      <c r="M823" s="26" t="n">
        <v>209.5</v>
      </c>
      <c r="N823" s="28" t="n">
        <v>5.4</v>
      </c>
      <c r="O823" s="28" t="n">
        <v>45</v>
      </c>
      <c r="P823" s="25" t="inlineStr">
        <is>
          <t>Cash on Delivery</t>
        </is>
      </c>
      <c r="Q823" s="25" t="inlineStr">
        <is>
          <t>Delivered</t>
        </is>
      </c>
      <c r="R823" s="25" t="n">
        <v>1</v>
      </c>
      <c r="S823" s="25">
        <f>TEXT(B823,"yyyy-mm")</f>
        <v/>
      </c>
      <c r="T823" s="25">
        <f>VLOOKUP(D823,Customers!A:D,4,FALSE)</f>
        <v/>
      </c>
      <c r="U823" s="25">
        <f>CONCATENATE(A823,"-",G823)</f>
        <v/>
      </c>
      <c r="V823" s="25">
        <f>IF(N823="","",IF(N823&lt;=30,"Fast (&lt;30m)",IF(N823&lt;=45,"Moderate (30-45m)","Delayed (&gt;45m)")))</f>
        <v/>
      </c>
      <c r="W823" s="25">
        <f>IF(AND(I823&gt;600,P823="Delivered"),"High Value Delivered","Standard")</f>
        <v/>
      </c>
      <c r="X823" s="25">
        <f>IF(OR(N823&gt;50,Q823&lt;=2),"High Risk / Delayed","Normal")</f>
        <v/>
      </c>
      <c r="Y823" s="25">
        <f>IF(NOT(P823="Cancelled"),"Fulfilled","Cancelled")</f>
        <v/>
      </c>
      <c r="Z823" s="25">
        <f>IFERROR(Q823,0)</f>
        <v/>
      </c>
    </row>
    <row r="824">
      <c r="A824" s="17" t="inlineStr">
        <is>
          <t>ORD1823</t>
        </is>
      </c>
      <c r="B824" s="17" t="inlineStr">
        <is>
          <t>2025-02-02</t>
        </is>
      </c>
      <c r="C824" s="17" t="inlineStr">
        <is>
          <t>20:34:24</t>
        </is>
      </c>
      <c r="D824" s="17" t="n">
        <v>1176</v>
      </c>
      <c r="E824" s="17" t="n">
        <v>119</v>
      </c>
      <c r="F824" s="17" t="n">
        <v>215</v>
      </c>
      <c r="G824" s="17" t="inlineStr">
        <is>
          <t>Hyderabad</t>
        </is>
      </c>
      <c r="H824" s="17" t="inlineStr">
        <is>
          <t>Biryani</t>
        </is>
      </c>
      <c r="I824" s="22" t="n">
        <v>412</v>
      </c>
      <c r="J824" s="22" t="n">
        <v>0</v>
      </c>
      <c r="K824" s="22" t="n">
        <v>42</v>
      </c>
      <c r="L824" s="23" t="n">
        <v>0.2</v>
      </c>
      <c r="M824" s="22" t="n">
        <v>92.90000000000001</v>
      </c>
      <c r="N824" s="24" t="n">
        <v>6.4</v>
      </c>
      <c r="O824" s="24" t="n">
        <v>41.3</v>
      </c>
      <c r="P824" s="17" t="inlineStr">
        <is>
          <t>Cash on Delivery</t>
        </is>
      </c>
      <c r="Q824" s="17" t="inlineStr">
        <is>
          <t>Delivered</t>
        </is>
      </c>
      <c r="R824" s="17" t="n">
        <v>3</v>
      </c>
      <c r="S824" s="17">
        <f>TEXT(B824,"yyyy-mm")</f>
        <v/>
      </c>
      <c r="T824" s="17">
        <f>VLOOKUP(D824,Customers!A:D,4,FALSE)</f>
        <v/>
      </c>
      <c r="U824" s="17">
        <f>CONCATENATE(A824,"-",G824)</f>
        <v/>
      </c>
      <c r="V824" s="17">
        <f>IF(N824="","",IF(N824&lt;=30,"Fast (&lt;30m)",IF(N824&lt;=45,"Moderate (30-45m)","Delayed (&gt;45m)")))</f>
        <v/>
      </c>
      <c r="W824" s="17">
        <f>IF(AND(I824&gt;600,P824="Delivered"),"High Value Delivered","Standard")</f>
        <v/>
      </c>
      <c r="X824" s="17">
        <f>IF(OR(N824&gt;50,Q824&lt;=2),"High Risk / Delayed","Normal")</f>
        <v/>
      </c>
      <c r="Y824" s="17">
        <f>IF(NOT(P824="Cancelled"),"Fulfilled","Cancelled")</f>
        <v/>
      </c>
      <c r="Z824" s="17">
        <f>IFERROR(Q824,0)</f>
        <v/>
      </c>
    </row>
    <row r="825">
      <c r="A825" s="25" t="inlineStr">
        <is>
          <t>ORD1824</t>
        </is>
      </c>
      <c r="B825" s="25" t="inlineStr">
        <is>
          <t>2025-02-23</t>
        </is>
      </c>
      <c r="C825" s="25" t="inlineStr">
        <is>
          <t>20:43:35</t>
        </is>
      </c>
      <c r="D825" s="25" t="n">
        <v>1188</v>
      </c>
      <c r="E825" s="25" t="n">
        <v>102</v>
      </c>
      <c r="F825" s="25" t="n">
        <v>215</v>
      </c>
      <c r="G825" s="25" t="inlineStr">
        <is>
          <t>Hyderabad</t>
        </is>
      </c>
      <c r="H825" s="25" t="inlineStr">
        <is>
          <t>Biryani</t>
        </is>
      </c>
      <c r="I825" s="26" t="n">
        <v>401</v>
      </c>
      <c r="J825" s="26" t="n">
        <v>0</v>
      </c>
      <c r="K825" s="26" t="n">
        <v>25</v>
      </c>
      <c r="L825" s="27" t="n">
        <v>0.22</v>
      </c>
      <c r="M825" s="26" t="n">
        <v>94.47</v>
      </c>
      <c r="N825" s="28" t="n">
        <v>3</v>
      </c>
      <c r="O825" s="28" t="n">
        <v>31.8</v>
      </c>
      <c r="P825" s="25" t="inlineStr">
        <is>
          <t>Cash on Delivery</t>
        </is>
      </c>
      <c r="Q825" s="25" t="inlineStr">
        <is>
          <t>Delivered</t>
        </is>
      </c>
      <c r="R825" s="25" t="n">
        <v>5</v>
      </c>
      <c r="S825" s="25">
        <f>TEXT(B825,"yyyy-mm")</f>
        <v/>
      </c>
      <c r="T825" s="25">
        <f>VLOOKUP(D825,Customers!A:D,4,FALSE)</f>
        <v/>
      </c>
      <c r="U825" s="25">
        <f>CONCATENATE(A825,"-",G825)</f>
        <v/>
      </c>
      <c r="V825" s="25">
        <f>IF(N825="","",IF(N825&lt;=30,"Fast (&lt;30m)",IF(N825&lt;=45,"Moderate (30-45m)","Delayed (&gt;45m)")))</f>
        <v/>
      </c>
      <c r="W825" s="25">
        <f>IF(AND(I825&gt;600,P825="Delivered"),"High Value Delivered","Standard")</f>
        <v/>
      </c>
      <c r="X825" s="25">
        <f>IF(OR(N825&gt;50,Q825&lt;=2),"High Risk / Delayed","Normal")</f>
        <v/>
      </c>
      <c r="Y825" s="25">
        <f>IF(NOT(P825="Cancelled"),"Fulfilled","Cancelled")</f>
        <v/>
      </c>
      <c r="Z825" s="25">
        <f>IFERROR(Q825,0)</f>
        <v/>
      </c>
    </row>
    <row r="826">
      <c r="A826" s="17" t="inlineStr">
        <is>
          <t>ORD1825</t>
        </is>
      </c>
      <c r="B826" s="17" t="inlineStr">
        <is>
          <t>2025-04-12</t>
        </is>
      </c>
      <c r="C826" s="17" t="inlineStr">
        <is>
          <t>12:04:58</t>
        </is>
      </c>
      <c r="D826" s="17" t="n">
        <v>1121</v>
      </c>
      <c r="E826" s="17" t="n">
        <v>105</v>
      </c>
      <c r="F826" s="17" t="n">
        <v>227</v>
      </c>
      <c r="G826" s="17" t="inlineStr">
        <is>
          <t>Bangalore</t>
        </is>
      </c>
      <c r="H826" s="17" t="inlineStr">
        <is>
          <t>Chinese</t>
        </is>
      </c>
      <c r="I826" s="22" t="n">
        <v>615</v>
      </c>
      <c r="J826" s="22" t="n">
        <v>42.97</v>
      </c>
      <c r="K826" s="22" t="n">
        <v>25</v>
      </c>
      <c r="L826" s="23" t="n">
        <v>0.2</v>
      </c>
      <c r="M826" s="22" t="n">
        <v>129.25</v>
      </c>
      <c r="N826" s="24" t="n">
        <v>3</v>
      </c>
      <c r="O826" s="24" t="n">
        <v>28.3</v>
      </c>
      <c r="P826" s="17" t="inlineStr">
        <is>
          <t>Digital Wallet</t>
        </is>
      </c>
      <c r="Q826" s="17" t="inlineStr">
        <is>
          <t>Delivered</t>
        </is>
      </c>
      <c r="R826" s="17" t="n">
        <v>4</v>
      </c>
      <c r="S826" s="17">
        <f>TEXT(B826,"yyyy-mm")</f>
        <v/>
      </c>
      <c r="T826" s="17">
        <f>VLOOKUP(D826,Customers!A:D,4,FALSE)</f>
        <v/>
      </c>
      <c r="U826" s="17">
        <f>CONCATENATE(A826,"-",G826)</f>
        <v/>
      </c>
      <c r="V826" s="17">
        <f>IF(N826="","",IF(N826&lt;=30,"Fast (&lt;30m)",IF(N826&lt;=45,"Moderate (30-45m)","Delayed (&gt;45m)")))</f>
        <v/>
      </c>
      <c r="W826" s="17">
        <f>IF(AND(I826&gt;600,P826="Delivered"),"High Value Delivered","Standard")</f>
        <v/>
      </c>
      <c r="X826" s="17">
        <f>IF(OR(N826&gt;50,Q826&lt;=2),"High Risk / Delayed","Normal")</f>
        <v/>
      </c>
      <c r="Y826" s="17">
        <f>IF(NOT(P826="Cancelled"),"Fulfilled","Cancelled")</f>
        <v/>
      </c>
      <c r="Z826" s="17">
        <f>IFERROR(Q826,0)</f>
        <v/>
      </c>
    </row>
    <row r="827">
      <c r="A827" s="25" t="inlineStr">
        <is>
          <t>ORD1826</t>
        </is>
      </c>
      <c r="B827" s="25" t="inlineStr">
        <is>
          <t>2025-01-30</t>
        </is>
      </c>
      <c r="C827" s="25" t="inlineStr">
        <is>
          <t>21:23:33</t>
        </is>
      </c>
      <c r="D827" s="25" t="n">
        <v>1181</v>
      </c>
      <c r="E827" s="25" t="n">
        <v>115</v>
      </c>
      <c r="F827" s="25" t="n">
        <v>205</v>
      </c>
      <c r="G827" s="25" t="inlineStr">
        <is>
          <t>Bangalore</t>
        </is>
      </c>
      <c r="H827" s="25" t="inlineStr">
        <is>
          <t>Italian</t>
        </is>
      </c>
      <c r="I827" s="26" t="n">
        <v>231</v>
      </c>
      <c r="J827" s="26" t="n">
        <v>0</v>
      </c>
      <c r="K827" s="26" t="n">
        <v>35</v>
      </c>
      <c r="L827" s="27" t="n">
        <v>0.2</v>
      </c>
      <c r="M827" s="26" t="n">
        <v>54.95</v>
      </c>
      <c r="N827" s="28" t="n">
        <v>5</v>
      </c>
      <c r="O827" s="28" t="n">
        <v/>
      </c>
      <c r="P827" s="25" t="inlineStr">
        <is>
          <t>Cash on Delivery</t>
        </is>
      </c>
      <c r="Q827" s="25" t="inlineStr">
        <is>
          <t>Cancelled</t>
        </is>
      </c>
      <c r="R827" s="25" t="n">
        <v/>
      </c>
      <c r="S827" s="25">
        <f>TEXT(B827,"yyyy-mm")</f>
        <v/>
      </c>
      <c r="T827" s="25">
        <f>VLOOKUP(D827,Customers!A:D,4,FALSE)</f>
        <v/>
      </c>
      <c r="U827" s="25">
        <f>CONCATENATE(A827,"-",G827)</f>
        <v/>
      </c>
      <c r="V827" s="25">
        <f>IF(N827="","",IF(N827&lt;=30,"Fast (&lt;30m)",IF(N827&lt;=45,"Moderate (30-45m)","Delayed (&gt;45m)")))</f>
        <v/>
      </c>
      <c r="W827" s="25">
        <f>IF(AND(I827&gt;600,P827="Delivered"),"High Value Delivered","Standard")</f>
        <v/>
      </c>
      <c r="X827" s="25">
        <f>IF(OR(N827&gt;50,Q827&lt;=2),"High Risk / Delayed","Normal")</f>
        <v/>
      </c>
      <c r="Y827" s="25">
        <f>IF(NOT(P827="Cancelled"),"Fulfilled","Cancelled")</f>
        <v/>
      </c>
      <c r="Z827" s="25">
        <f>IFERROR(Q827,0)</f>
        <v/>
      </c>
    </row>
    <row r="828">
      <c r="A828" s="17" t="inlineStr">
        <is>
          <t>ORD1827</t>
        </is>
      </c>
      <c r="B828" s="17" t="inlineStr">
        <is>
          <t>2025-03-08</t>
        </is>
      </c>
      <c r="C828" s="17" t="inlineStr">
        <is>
          <t>08:34:26</t>
        </is>
      </c>
      <c r="D828" s="17" t="n">
        <v>1209</v>
      </c>
      <c r="E828" s="17" t="n">
        <v>106</v>
      </c>
      <c r="F828" s="17" t="n">
        <v>226</v>
      </c>
      <c r="G828" s="17" t="inlineStr">
        <is>
          <t>Pune</t>
        </is>
      </c>
      <c r="H828" s="17" t="inlineStr">
        <is>
          <t>South Indian</t>
        </is>
      </c>
      <c r="I828" s="22" t="n">
        <v>709</v>
      </c>
      <c r="J828" s="22" t="n">
        <v>22.06</v>
      </c>
      <c r="K828" s="22" t="n">
        <v>25</v>
      </c>
      <c r="L828" s="23" t="n">
        <v>0.15</v>
      </c>
      <c r="M828" s="22" t="n">
        <v>112.6</v>
      </c>
      <c r="N828" s="24" t="n">
        <v>2.8</v>
      </c>
      <c r="O828" s="24" t="n">
        <v>33.2</v>
      </c>
      <c r="P828" s="17" t="inlineStr">
        <is>
          <t>Credit Card</t>
        </is>
      </c>
      <c r="Q828" s="17" t="inlineStr">
        <is>
          <t>Delivered</t>
        </is>
      </c>
      <c r="R828" s="17" t="n">
        <v>5</v>
      </c>
      <c r="S828" s="17">
        <f>TEXT(B828,"yyyy-mm")</f>
        <v/>
      </c>
      <c r="T828" s="17">
        <f>VLOOKUP(D828,Customers!A:D,4,FALSE)</f>
        <v/>
      </c>
      <c r="U828" s="17">
        <f>CONCATENATE(A828,"-",G828)</f>
        <v/>
      </c>
      <c r="V828" s="17">
        <f>IF(N828="","",IF(N828&lt;=30,"Fast (&lt;30m)",IF(N828&lt;=45,"Moderate (30-45m)","Delayed (&gt;45m)")))</f>
        <v/>
      </c>
      <c r="W828" s="17">
        <f>IF(AND(I828&gt;600,P828="Delivered"),"High Value Delivered","Standard")</f>
        <v/>
      </c>
      <c r="X828" s="17">
        <f>IF(OR(N828&gt;50,Q828&lt;=2),"High Risk / Delayed","Normal")</f>
        <v/>
      </c>
      <c r="Y828" s="17">
        <f>IF(NOT(P828="Cancelled"),"Fulfilled","Cancelled")</f>
        <v/>
      </c>
      <c r="Z828" s="17">
        <f>IFERROR(Q828,0)</f>
        <v/>
      </c>
    </row>
    <row r="829">
      <c r="A829" s="25" t="inlineStr">
        <is>
          <t>ORD1828</t>
        </is>
      </c>
      <c r="B829" s="25" t="inlineStr">
        <is>
          <t>2025-06-08</t>
        </is>
      </c>
      <c r="C829" s="25" t="inlineStr">
        <is>
          <t>09:27:52</t>
        </is>
      </c>
      <c r="D829" s="25" t="n">
        <v>1059</v>
      </c>
      <c r="E829" s="25" t="n">
        <v>102</v>
      </c>
      <c r="F829" s="25" t="n">
        <v>216</v>
      </c>
      <c r="G829" s="25" t="inlineStr">
        <is>
          <t>Hyderabad</t>
        </is>
      </c>
      <c r="H829" s="25" t="inlineStr">
        <is>
          <t>Biryani</t>
        </is>
      </c>
      <c r="I829" s="26" t="n">
        <v>946</v>
      </c>
      <c r="J829" s="26" t="n">
        <v>12.02</v>
      </c>
      <c r="K829" s="26" t="n">
        <v>32</v>
      </c>
      <c r="L829" s="27" t="n">
        <v>0.22</v>
      </c>
      <c r="M829" s="26" t="n">
        <v>216.12</v>
      </c>
      <c r="N829" s="28" t="n">
        <v>4.4</v>
      </c>
      <c r="O829" s="28" t="n">
        <v>30.6</v>
      </c>
      <c r="P829" s="25" t="inlineStr">
        <is>
          <t>Debit Card</t>
        </is>
      </c>
      <c r="Q829" s="25" t="inlineStr">
        <is>
          <t>Delivered</t>
        </is>
      </c>
      <c r="R829" s="25" t="n">
        <v>5</v>
      </c>
      <c r="S829" s="25">
        <f>TEXT(B829,"yyyy-mm")</f>
        <v/>
      </c>
      <c r="T829" s="25">
        <f>VLOOKUP(D829,Customers!A:D,4,FALSE)</f>
        <v/>
      </c>
      <c r="U829" s="25">
        <f>CONCATENATE(A829,"-",G829)</f>
        <v/>
      </c>
      <c r="V829" s="25">
        <f>IF(N829="","",IF(N829&lt;=30,"Fast (&lt;30m)",IF(N829&lt;=45,"Moderate (30-45m)","Delayed (&gt;45m)")))</f>
        <v/>
      </c>
      <c r="W829" s="25">
        <f>IF(AND(I829&gt;600,P829="Delivered"),"High Value Delivered","Standard")</f>
        <v/>
      </c>
      <c r="X829" s="25">
        <f>IF(OR(N829&gt;50,Q829&lt;=2),"High Risk / Delayed","Normal")</f>
        <v/>
      </c>
      <c r="Y829" s="25">
        <f>IF(NOT(P829="Cancelled"),"Fulfilled","Cancelled")</f>
        <v/>
      </c>
      <c r="Z829" s="25">
        <f>IFERROR(Q829,0)</f>
        <v/>
      </c>
    </row>
    <row r="830">
      <c r="A830" s="17" t="inlineStr">
        <is>
          <t>ORD1829</t>
        </is>
      </c>
      <c r="B830" s="17" t="inlineStr">
        <is>
          <t>2025-04-14</t>
        </is>
      </c>
      <c r="C830" s="17" t="inlineStr">
        <is>
          <t>21:00:09</t>
        </is>
      </c>
      <c r="D830" s="17" t="n">
        <v>1057</v>
      </c>
      <c r="E830" s="17" t="n">
        <v>117</v>
      </c>
      <c r="F830" s="17" t="n">
        <v>206</v>
      </c>
      <c r="G830" s="17" t="inlineStr">
        <is>
          <t>Mumbai</t>
        </is>
      </c>
      <c r="H830" s="17" t="inlineStr">
        <is>
          <t>Chinese</t>
        </is>
      </c>
      <c r="I830" s="22" t="n">
        <v>676</v>
      </c>
      <c r="J830" s="22" t="n">
        <v>0</v>
      </c>
      <c r="K830" s="22" t="n">
        <v>26</v>
      </c>
      <c r="L830" s="23" t="n">
        <v>0.2</v>
      </c>
      <c r="M830" s="22" t="n">
        <v>141.7</v>
      </c>
      <c r="N830" s="24" t="n">
        <v>3.2</v>
      </c>
      <c r="O830" s="24" t="n">
        <v>36.3</v>
      </c>
      <c r="P830" s="17" t="inlineStr">
        <is>
          <t>Credit Card</t>
        </is>
      </c>
      <c r="Q830" s="17" t="inlineStr">
        <is>
          <t>Delivered</t>
        </is>
      </c>
      <c r="R830" s="17" t="n">
        <v>5</v>
      </c>
      <c r="S830" s="17">
        <f>TEXT(B830,"yyyy-mm")</f>
        <v/>
      </c>
      <c r="T830" s="17">
        <f>VLOOKUP(D830,Customers!A:D,4,FALSE)</f>
        <v/>
      </c>
      <c r="U830" s="17">
        <f>CONCATENATE(A830,"-",G830)</f>
        <v/>
      </c>
      <c r="V830" s="17">
        <f>IF(N830="","",IF(N830&lt;=30,"Fast (&lt;30m)",IF(N830&lt;=45,"Moderate (30-45m)","Delayed (&gt;45m)")))</f>
        <v/>
      </c>
      <c r="W830" s="17">
        <f>IF(AND(I830&gt;600,P830="Delivered"),"High Value Delivered","Standard")</f>
        <v/>
      </c>
      <c r="X830" s="17">
        <f>IF(OR(N830&gt;50,Q830&lt;=2),"High Risk / Delayed","Normal")</f>
        <v/>
      </c>
      <c r="Y830" s="17">
        <f>IF(NOT(P830="Cancelled"),"Fulfilled","Cancelled")</f>
        <v/>
      </c>
      <c r="Z830" s="17">
        <f>IFERROR(Q830,0)</f>
        <v/>
      </c>
    </row>
    <row r="831">
      <c r="A831" s="25" t="inlineStr">
        <is>
          <t>ORD1830</t>
        </is>
      </c>
      <c r="B831" s="25" t="inlineStr">
        <is>
          <t>2025-08-25</t>
        </is>
      </c>
      <c r="C831" s="25" t="inlineStr">
        <is>
          <t>21:36:02</t>
        </is>
      </c>
      <c r="D831" s="25" t="n">
        <v>1279</v>
      </c>
      <c r="E831" s="25" t="n">
        <v>118</v>
      </c>
      <c r="F831" s="25" t="n">
        <v>221</v>
      </c>
      <c r="G831" s="25" t="inlineStr">
        <is>
          <t>Delhi NCR</t>
        </is>
      </c>
      <c r="H831" s="25" t="inlineStr">
        <is>
          <t>North Indian</t>
        </is>
      </c>
      <c r="I831" s="26" t="n">
        <v>313</v>
      </c>
      <c r="J831" s="26" t="n">
        <v>21.96</v>
      </c>
      <c r="K831" s="26" t="n">
        <v>25</v>
      </c>
      <c r="L831" s="27" t="n">
        <v>0.2</v>
      </c>
      <c r="M831" s="26" t="n">
        <v>68.84999999999999</v>
      </c>
      <c r="N831" s="28" t="n">
        <v>1.2</v>
      </c>
      <c r="O831" s="28" t="n">
        <v>25.5</v>
      </c>
      <c r="P831" s="25" t="inlineStr">
        <is>
          <t>Cash on Delivery</t>
        </is>
      </c>
      <c r="Q831" s="25" t="inlineStr">
        <is>
          <t>Delivered</t>
        </is>
      </c>
      <c r="R831" s="25" t="n">
        <v>4</v>
      </c>
      <c r="S831" s="25">
        <f>TEXT(B831,"yyyy-mm")</f>
        <v/>
      </c>
      <c r="T831" s="25">
        <f>VLOOKUP(D831,Customers!A:D,4,FALSE)</f>
        <v/>
      </c>
      <c r="U831" s="25">
        <f>CONCATENATE(A831,"-",G831)</f>
        <v/>
      </c>
      <c r="V831" s="25">
        <f>IF(N831="","",IF(N831&lt;=30,"Fast (&lt;30m)",IF(N831&lt;=45,"Moderate (30-45m)","Delayed (&gt;45m)")))</f>
        <v/>
      </c>
      <c r="W831" s="25">
        <f>IF(AND(I831&gt;600,P831="Delivered"),"High Value Delivered","Standard")</f>
        <v/>
      </c>
      <c r="X831" s="25">
        <f>IF(OR(N831&gt;50,Q831&lt;=2),"High Risk / Delayed","Normal")</f>
        <v/>
      </c>
      <c r="Y831" s="25">
        <f>IF(NOT(P831="Cancelled"),"Fulfilled","Cancelled")</f>
        <v/>
      </c>
      <c r="Z831" s="25">
        <f>IFERROR(Q831,0)</f>
        <v/>
      </c>
    </row>
    <row r="832">
      <c r="A832" s="17" t="inlineStr">
        <is>
          <t>ORD1831</t>
        </is>
      </c>
      <c r="B832" s="17" t="inlineStr">
        <is>
          <t>2025-11-10</t>
        </is>
      </c>
      <c r="C832" s="17" t="inlineStr">
        <is>
          <t>19:52:51</t>
        </is>
      </c>
      <c r="D832" s="17" t="n">
        <v>1210</v>
      </c>
      <c r="E832" s="17" t="n">
        <v>104</v>
      </c>
      <c r="F832" s="17" t="n">
        <v>221</v>
      </c>
      <c r="G832" s="17" t="inlineStr">
        <is>
          <t>Delhi NCR</t>
        </is>
      </c>
      <c r="H832" s="17" t="inlineStr">
        <is>
          <t>Fast Food</t>
        </is>
      </c>
      <c r="I832" s="22" t="n">
        <v>399</v>
      </c>
      <c r="J832" s="22" t="n">
        <v>0</v>
      </c>
      <c r="K832" s="22" t="n">
        <v>28.5</v>
      </c>
      <c r="L832" s="23" t="n">
        <v>0.18</v>
      </c>
      <c r="M832" s="22" t="n">
        <v>78.94</v>
      </c>
      <c r="N832" s="24" t="n">
        <v>3.7</v>
      </c>
      <c r="O832" s="24" t="n">
        <v>28</v>
      </c>
      <c r="P832" s="17" t="inlineStr">
        <is>
          <t>Digital Wallet</t>
        </is>
      </c>
      <c r="Q832" s="17" t="inlineStr">
        <is>
          <t>Delivered</t>
        </is>
      </c>
      <c r="R832" s="17" t="n">
        <v>4</v>
      </c>
      <c r="S832" s="17">
        <f>TEXT(B832,"yyyy-mm")</f>
        <v/>
      </c>
      <c r="T832" s="17">
        <f>VLOOKUP(D832,Customers!A:D,4,FALSE)</f>
        <v/>
      </c>
      <c r="U832" s="17">
        <f>CONCATENATE(A832,"-",G832)</f>
        <v/>
      </c>
      <c r="V832" s="17">
        <f>IF(N832="","",IF(N832&lt;=30,"Fast (&lt;30m)",IF(N832&lt;=45,"Moderate (30-45m)","Delayed (&gt;45m)")))</f>
        <v/>
      </c>
      <c r="W832" s="17">
        <f>IF(AND(I832&gt;600,P832="Delivered"),"High Value Delivered","Standard")</f>
        <v/>
      </c>
      <c r="X832" s="17">
        <f>IF(OR(N832&gt;50,Q832&lt;=2),"High Risk / Delayed","Normal")</f>
        <v/>
      </c>
      <c r="Y832" s="17">
        <f>IF(NOT(P832="Cancelled"),"Fulfilled","Cancelled")</f>
        <v/>
      </c>
      <c r="Z832" s="17">
        <f>IFERROR(Q832,0)</f>
        <v/>
      </c>
    </row>
    <row r="833">
      <c r="A833" s="25" t="inlineStr">
        <is>
          <t>ORD1832</t>
        </is>
      </c>
      <c r="B833" s="25" t="inlineStr">
        <is>
          <t>2025-12-04</t>
        </is>
      </c>
      <c r="C833" s="25" t="inlineStr">
        <is>
          <t>20:11:44</t>
        </is>
      </c>
      <c r="D833" s="25" t="n">
        <v>1218</v>
      </c>
      <c r="E833" s="25" t="n">
        <v>118</v>
      </c>
      <c r="F833" s="25" t="n">
        <v>211</v>
      </c>
      <c r="G833" s="25" t="inlineStr">
        <is>
          <t>Delhi NCR</t>
        </is>
      </c>
      <c r="H833" s="25" t="inlineStr">
        <is>
          <t>North Indian</t>
        </is>
      </c>
      <c r="I833" s="26" t="n">
        <v>802</v>
      </c>
      <c r="J833" s="26" t="n">
        <v>45.46</v>
      </c>
      <c r="K833" s="26" t="n">
        <v>25</v>
      </c>
      <c r="L833" s="27" t="n">
        <v>0.2</v>
      </c>
      <c r="M833" s="26" t="n">
        <v>166.65</v>
      </c>
      <c r="N833" s="28" t="n">
        <v>1.8</v>
      </c>
      <c r="O833" s="28" t="n">
        <v>26.7</v>
      </c>
      <c r="P833" s="25" t="inlineStr">
        <is>
          <t>UPI</t>
        </is>
      </c>
      <c r="Q833" s="25" t="inlineStr">
        <is>
          <t>Delivered</t>
        </is>
      </c>
      <c r="R833" s="25" t="n">
        <v>5</v>
      </c>
      <c r="S833" s="25">
        <f>TEXT(B833,"yyyy-mm")</f>
        <v/>
      </c>
      <c r="T833" s="25">
        <f>VLOOKUP(D833,Customers!A:D,4,FALSE)</f>
        <v/>
      </c>
      <c r="U833" s="25">
        <f>CONCATENATE(A833,"-",G833)</f>
        <v/>
      </c>
      <c r="V833" s="25">
        <f>IF(N833="","",IF(N833&lt;=30,"Fast (&lt;30m)",IF(N833&lt;=45,"Moderate (30-45m)","Delayed (&gt;45m)")))</f>
        <v/>
      </c>
      <c r="W833" s="25">
        <f>IF(AND(I833&gt;600,P833="Delivered"),"High Value Delivered","Standard")</f>
        <v/>
      </c>
      <c r="X833" s="25">
        <f>IF(OR(N833&gt;50,Q833&lt;=2),"High Risk / Delayed","Normal")</f>
        <v/>
      </c>
      <c r="Y833" s="25">
        <f>IF(NOT(P833="Cancelled"),"Fulfilled","Cancelled")</f>
        <v/>
      </c>
      <c r="Z833" s="25">
        <f>IFERROR(Q833,0)</f>
        <v/>
      </c>
    </row>
    <row r="834">
      <c r="A834" s="17" t="inlineStr">
        <is>
          <t>ORD1833</t>
        </is>
      </c>
      <c r="B834" s="17" t="inlineStr">
        <is>
          <t>2025-05-21</t>
        </is>
      </c>
      <c r="C834" s="17" t="inlineStr">
        <is>
          <t>21:56:40</t>
        </is>
      </c>
      <c r="D834" s="17" t="n">
        <v>1058</v>
      </c>
      <c r="E834" s="17" t="n">
        <v>103</v>
      </c>
      <c r="F834" s="17" t="n">
        <v>206</v>
      </c>
      <c r="G834" s="17" t="inlineStr">
        <is>
          <t>Mumbai</t>
        </is>
      </c>
      <c r="H834" s="17" t="inlineStr">
        <is>
          <t>Italian</t>
        </is>
      </c>
      <c r="I834" s="22" t="n">
        <v>770</v>
      </c>
      <c r="J834" s="22" t="n">
        <v>0</v>
      </c>
      <c r="K834" s="22" t="n">
        <v>25</v>
      </c>
      <c r="L834" s="23" t="n">
        <v>0.18</v>
      </c>
      <c r="M834" s="22" t="n">
        <v>144.85</v>
      </c>
      <c r="N834" s="24" t="n">
        <v>2.9</v>
      </c>
      <c r="O834" s="24" t="n">
        <v>39.9</v>
      </c>
      <c r="P834" s="17" t="inlineStr">
        <is>
          <t>Credit Card</t>
        </is>
      </c>
      <c r="Q834" s="17" t="inlineStr">
        <is>
          <t>Delivered</t>
        </is>
      </c>
      <c r="R834" s="17" t="n">
        <v>3</v>
      </c>
      <c r="S834" s="17">
        <f>TEXT(B834,"yyyy-mm")</f>
        <v/>
      </c>
      <c r="T834" s="17">
        <f>VLOOKUP(D834,Customers!A:D,4,FALSE)</f>
        <v/>
      </c>
      <c r="U834" s="17">
        <f>CONCATENATE(A834,"-",G834)</f>
        <v/>
      </c>
      <c r="V834" s="17">
        <f>IF(N834="","",IF(N834&lt;=30,"Fast (&lt;30m)",IF(N834&lt;=45,"Moderate (30-45m)","Delayed (&gt;45m)")))</f>
        <v/>
      </c>
      <c r="W834" s="17">
        <f>IF(AND(I834&gt;600,P834="Delivered"),"High Value Delivered","Standard")</f>
        <v/>
      </c>
      <c r="X834" s="17">
        <f>IF(OR(N834&gt;50,Q834&lt;=2),"High Risk / Delayed","Normal")</f>
        <v/>
      </c>
      <c r="Y834" s="17">
        <f>IF(NOT(P834="Cancelled"),"Fulfilled","Cancelled")</f>
        <v/>
      </c>
      <c r="Z834" s="17">
        <f>IFERROR(Q834,0)</f>
        <v/>
      </c>
    </row>
    <row r="835">
      <c r="A835" s="25" t="inlineStr">
        <is>
          <t>ORD1834</t>
        </is>
      </c>
      <c r="B835" s="25" t="inlineStr">
        <is>
          <t>2025-07-08</t>
        </is>
      </c>
      <c r="C835" s="25" t="inlineStr">
        <is>
          <t>12:04:48</t>
        </is>
      </c>
      <c r="D835" s="25" t="n">
        <v>1274</v>
      </c>
      <c r="E835" s="25" t="n">
        <v>107</v>
      </c>
      <c r="F835" s="25" t="n">
        <v>229</v>
      </c>
      <c r="G835" s="25" t="inlineStr">
        <is>
          <t>Mumbai</t>
        </is>
      </c>
      <c r="H835" s="25" t="inlineStr">
        <is>
          <t>Desserts</t>
        </is>
      </c>
      <c r="I835" s="26" t="n">
        <v>556</v>
      </c>
      <c r="J835" s="26" t="n">
        <v>98.22</v>
      </c>
      <c r="K835" s="26" t="n">
        <v>0</v>
      </c>
      <c r="L835" s="27" t="n">
        <v>0.25</v>
      </c>
      <c r="M835" s="26" t="n">
        <v>139</v>
      </c>
      <c r="N835" s="28" t="n">
        <v>1.5</v>
      </c>
      <c r="O835" s="28" t="n">
        <v>21.6</v>
      </c>
      <c r="P835" s="25" t="inlineStr">
        <is>
          <t>Cash on Delivery</t>
        </is>
      </c>
      <c r="Q835" s="25" t="inlineStr">
        <is>
          <t>Delivered</t>
        </is>
      </c>
      <c r="R835" s="25" t="n">
        <v>1</v>
      </c>
      <c r="S835" s="25">
        <f>TEXT(B835,"yyyy-mm")</f>
        <v/>
      </c>
      <c r="T835" s="25">
        <f>VLOOKUP(D835,Customers!A:D,4,FALSE)</f>
        <v/>
      </c>
      <c r="U835" s="25">
        <f>CONCATENATE(A835,"-",G835)</f>
        <v/>
      </c>
      <c r="V835" s="25">
        <f>IF(N835="","",IF(N835&lt;=30,"Fast (&lt;30m)",IF(N835&lt;=45,"Moderate (30-45m)","Delayed (&gt;45m)")))</f>
        <v/>
      </c>
      <c r="W835" s="25">
        <f>IF(AND(I835&gt;600,P835="Delivered"),"High Value Delivered","Standard")</f>
        <v/>
      </c>
      <c r="X835" s="25">
        <f>IF(OR(N835&gt;50,Q835&lt;=2),"High Risk / Delayed","Normal")</f>
        <v/>
      </c>
      <c r="Y835" s="25">
        <f>IF(NOT(P835="Cancelled"),"Fulfilled","Cancelled")</f>
        <v/>
      </c>
      <c r="Z835" s="25">
        <f>IFERROR(Q835,0)</f>
        <v/>
      </c>
    </row>
    <row r="836">
      <c r="A836" s="17" t="inlineStr">
        <is>
          <t>ORD1835</t>
        </is>
      </c>
      <c r="B836" s="17" t="inlineStr">
        <is>
          <t>2025-04-17</t>
        </is>
      </c>
      <c r="C836" s="17" t="inlineStr">
        <is>
          <t>11:32:02</t>
        </is>
      </c>
      <c r="D836" s="17" t="n">
        <v>1101</v>
      </c>
      <c r="E836" s="17" t="n">
        <v>115</v>
      </c>
      <c r="F836" s="17" t="n">
        <v>205</v>
      </c>
      <c r="G836" s="17" t="inlineStr">
        <is>
          <t>Bangalore</t>
        </is>
      </c>
      <c r="H836" s="17" t="inlineStr">
        <is>
          <t>Italian</t>
        </is>
      </c>
      <c r="I836" s="22" t="n">
        <v>693</v>
      </c>
      <c r="J836" s="22" t="n">
        <v>0</v>
      </c>
      <c r="K836" s="22" t="n">
        <v>28</v>
      </c>
      <c r="L836" s="23" t="n">
        <v>0.2</v>
      </c>
      <c r="M836" s="22" t="n">
        <v>145.6</v>
      </c>
      <c r="N836" s="24" t="n">
        <v>3.6</v>
      </c>
      <c r="O836" s="24" t="n">
        <v>30.6</v>
      </c>
      <c r="P836" s="17" t="inlineStr">
        <is>
          <t>Cash on Delivery</t>
        </is>
      </c>
      <c r="Q836" s="17" t="inlineStr">
        <is>
          <t>Delivered</t>
        </is>
      </c>
      <c r="R836" s="17" t="n">
        <v>4</v>
      </c>
      <c r="S836" s="17">
        <f>TEXT(B836,"yyyy-mm")</f>
        <v/>
      </c>
      <c r="T836" s="17">
        <f>VLOOKUP(D836,Customers!A:D,4,FALSE)</f>
        <v/>
      </c>
      <c r="U836" s="17">
        <f>CONCATENATE(A836,"-",G836)</f>
        <v/>
      </c>
      <c r="V836" s="17">
        <f>IF(N836="","",IF(N836&lt;=30,"Fast (&lt;30m)",IF(N836&lt;=45,"Moderate (30-45m)","Delayed (&gt;45m)")))</f>
        <v/>
      </c>
      <c r="W836" s="17">
        <f>IF(AND(I836&gt;600,P836="Delivered"),"High Value Delivered","Standard")</f>
        <v/>
      </c>
      <c r="X836" s="17">
        <f>IF(OR(N836&gt;50,Q836&lt;=2),"High Risk / Delayed","Normal")</f>
        <v/>
      </c>
      <c r="Y836" s="17">
        <f>IF(NOT(P836="Cancelled"),"Fulfilled","Cancelled")</f>
        <v/>
      </c>
      <c r="Z836" s="17">
        <f>IFERROR(Q836,0)</f>
        <v/>
      </c>
    </row>
    <row r="837">
      <c r="A837" s="25" t="inlineStr">
        <is>
          <t>ORD1836</t>
        </is>
      </c>
      <c r="B837" s="25" t="inlineStr">
        <is>
          <t>2025-04-10</t>
        </is>
      </c>
      <c r="C837" s="25" t="inlineStr">
        <is>
          <t>22:25:02</t>
        </is>
      </c>
      <c r="D837" s="25" t="n">
        <v>1157</v>
      </c>
      <c r="E837" s="25" t="n">
        <v>119</v>
      </c>
      <c r="F837" s="25" t="n">
        <v>215</v>
      </c>
      <c r="G837" s="25" t="inlineStr">
        <is>
          <t>Hyderabad</t>
        </is>
      </c>
      <c r="H837" s="25" t="inlineStr">
        <is>
          <t>Biryani</t>
        </is>
      </c>
      <c r="I837" s="26" t="n">
        <v>230</v>
      </c>
      <c r="J837" s="26" t="n">
        <v>15.53</v>
      </c>
      <c r="K837" s="26" t="n">
        <v>36.5</v>
      </c>
      <c r="L837" s="27" t="n">
        <v>0.2</v>
      </c>
      <c r="M837" s="26" t="n">
        <v>55.12</v>
      </c>
      <c r="N837" s="28" t="n">
        <v>5.3</v>
      </c>
      <c r="O837" s="28" t="n">
        <v>38.1</v>
      </c>
      <c r="P837" s="25" t="inlineStr">
        <is>
          <t>Credit Card</t>
        </is>
      </c>
      <c r="Q837" s="25" t="inlineStr">
        <is>
          <t>Delivered</t>
        </is>
      </c>
      <c r="R837" s="25" t="n">
        <v>1</v>
      </c>
      <c r="S837" s="25">
        <f>TEXT(B837,"yyyy-mm")</f>
        <v/>
      </c>
      <c r="T837" s="25">
        <f>VLOOKUP(D837,Customers!A:D,4,FALSE)</f>
        <v/>
      </c>
      <c r="U837" s="25">
        <f>CONCATENATE(A837,"-",G837)</f>
        <v/>
      </c>
      <c r="V837" s="25">
        <f>IF(N837="","",IF(N837&lt;=30,"Fast (&lt;30m)",IF(N837&lt;=45,"Moderate (30-45m)","Delayed (&gt;45m)")))</f>
        <v/>
      </c>
      <c r="W837" s="25">
        <f>IF(AND(I837&gt;600,P837="Delivered"),"High Value Delivered","Standard")</f>
        <v/>
      </c>
      <c r="X837" s="25">
        <f>IF(OR(N837&gt;50,Q837&lt;=2),"High Risk / Delayed","Normal")</f>
        <v/>
      </c>
      <c r="Y837" s="25">
        <f>IF(NOT(P837="Cancelled"),"Fulfilled","Cancelled")</f>
        <v/>
      </c>
      <c r="Z837" s="25">
        <f>IFERROR(Q837,0)</f>
        <v/>
      </c>
    </row>
    <row r="838">
      <c r="A838" s="17" t="inlineStr">
        <is>
          <t>ORD1837</t>
        </is>
      </c>
      <c r="B838" s="17" t="inlineStr">
        <is>
          <t>2025-08-25</t>
        </is>
      </c>
      <c r="C838" s="17" t="inlineStr">
        <is>
          <t>21:04:05</t>
        </is>
      </c>
      <c r="D838" s="17" t="n">
        <v>1255</v>
      </c>
      <c r="E838" s="17" t="n">
        <v>116</v>
      </c>
      <c r="F838" s="17" t="n">
        <v>208</v>
      </c>
      <c r="G838" s="17" t="inlineStr">
        <is>
          <t>Pune</t>
        </is>
      </c>
      <c r="H838" s="17" t="inlineStr">
        <is>
          <t>Desserts</t>
        </is>
      </c>
      <c r="I838" s="22" t="n">
        <v>781</v>
      </c>
      <c r="J838" s="22" t="n">
        <v>44.58</v>
      </c>
      <c r="K838" s="22" t="n">
        <v>25</v>
      </c>
      <c r="L838" s="23" t="n">
        <v>0.25</v>
      </c>
      <c r="M838" s="22" t="n">
        <v>201.5</v>
      </c>
      <c r="N838" s="24" t="n">
        <v>2.6</v>
      </c>
      <c r="O838" s="24" t="n">
        <v>30.7</v>
      </c>
      <c r="P838" s="17" t="inlineStr">
        <is>
          <t>Cash on Delivery</t>
        </is>
      </c>
      <c r="Q838" s="17" t="inlineStr">
        <is>
          <t>Delivered</t>
        </is>
      </c>
      <c r="R838" s="17" t="n">
        <v>2</v>
      </c>
      <c r="S838" s="17">
        <f>TEXT(B838,"yyyy-mm")</f>
        <v/>
      </c>
      <c r="T838" s="17">
        <f>VLOOKUP(D838,Customers!A:D,4,FALSE)</f>
        <v/>
      </c>
      <c r="U838" s="17">
        <f>CONCATENATE(A838,"-",G838)</f>
        <v/>
      </c>
      <c r="V838" s="17">
        <f>IF(N838="","",IF(N838&lt;=30,"Fast (&lt;30m)",IF(N838&lt;=45,"Moderate (30-45m)","Delayed (&gt;45m)")))</f>
        <v/>
      </c>
      <c r="W838" s="17">
        <f>IF(AND(I838&gt;600,P838="Delivered"),"High Value Delivered","Standard")</f>
        <v/>
      </c>
      <c r="X838" s="17">
        <f>IF(OR(N838&gt;50,Q838&lt;=2),"High Risk / Delayed","Normal")</f>
        <v/>
      </c>
      <c r="Y838" s="17">
        <f>IF(NOT(P838="Cancelled"),"Fulfilled","Cancelled")</f>
        <v/>
      </c>
      <c r="Z838" s="17">
        <f>IFERROR(Q838,0)</f>
        <v/>
      </c>
    </row>
    <row r="839">
      <c r="A839" s="25" t="inlineStr">
        <is>
          <t>ORD1838</t>
        </is>
      </c>
      <c r="B839" s="25" t="inlineStr">
        <is>
          <t>2025-01-10</t>
        </is>
      </c>
      <c r="C839" s="25" t="inlineStr">
        <is>
          <t>08:38:06</t>
        </is>
      </c>
      <c r="D839" s="25" t="n">
        <v>1191</v>
      </c>
      <c r="E839" s="25" t="n">
        <v>118</v>
      </c>
      <c r="F839" s="25" t="n">
        <v>230</v>
      </c>
      <c r="G839" s="25" t="inlineStr">
        <is>
          <t>Delhi NCR</t>
        </is>
      </c>
      <c r="H839" s="25" t="inlineStr">
        <is>
          <t>North Indian</t>
        </is>
      </c>
      <c r="I839" s="26" t="n">
        <v>401</v>
      </c>
      <c r="J839" s="26" t="n">
        <v>0</v>
      </c>
      <c r="K839" s="26" t="n">
        <v>37</v>
      </c>
      <c r="L839" s="27" t="n">
        <v>0.2</v>
      </c>
      <c r="M839" s="26" t="n">
        <v>89.45</v>
      </c>
      <c r="N839" s="28" t="n">
        <v>5.4</v>
      </c>
      <c r="O839" s="28" t="n">
        <v>60</v>
      </c>
      <c r="P839" s="25" t="inlineStr">
        <is>
          <t>Cash on Delivery</t>
        </is>
      </c>
      <c r="Q839" s="25" t="inlineStr">
        <is>
          <t>Delivered</t>
        </is>
      </c>
      <c r="R839" s="25" t="n">
        <v>3</v>
      </c>
      <c r="S839" s="25">
        <f>TEXT(B839,"yyyy-mm")</f>
        <v/>
      </c>
      <c r="T839" s="25">
        <f>VLOOKUP(D839,Customers!A:D,4,FALSE)</f>
        <v/>
      </c>
      <c r="U839" s="25">
        <f>CONCATENATE(A839,"-",G839)</f>
        <v/>
      </c>
      <c r="V839" s="25">
        <f>IF(N839="","",IF(N839&lt;=30,"Fast (&lt;30m)",IF(N839&lt;=45,"Moderate (30-45m)","Delayed (&gt;45m)")))</f>
        <v/>
      </c>
      <c r="W839" s="25">
        <f>IF(AND(I839&gt;600,P839="Delivered"),"High Value Delivered","Standard")</f>
        <v/>
      </c>
      <c r="X839" s="25">
        <f>IF(OR(N839&gt;50,Q839&lt;=2),"High Risk / Delayed","Normal")</f>
        <v/>
      </c>
      <c r="Y839" s="25">
        <f>IF(NOT(P839="Cancelled"),"Fulfilled","Cancelled")</f>
        <v/>
      </c>
      <c r="Z839" s="25">
        <f>IFERROR(Q839,0)</f>
        <v/>
      </c>
    </row>
    <row r="840">
      <c r="A840" s="17" t="inlineStr">
        <is>
          <t>ORD1839</t>
        </is>
      </c>
      <c r="B840" s="17" t="inlineStr">
        <is>
          <t>2025-12-10</t>
        </is>
      </c>
      <c r="C840" s="17" t="inlineStr">
        <is>
          <t>22:48:00</t>
        </is>
      </c>
      <c r="D840" s="17" t="n">
        <v>1131</v>
      </c>
      <c r="E840" s="17" t="n">
        <v>104</v>
      </c>
      <c r="F840" s="17" t="n">
        <v>221</v>
      </c>
      <c r="G840" s="17" t="inlineStr">
        <is>
          <t>Delhi NCR</t>
        </is>
      </c>
      <c r="H840" s="17" t="inlineStr">
        <is>
          <t>Fast Food</t>
        </is>
      </c>
      <c r="I840" s="22" t="n">
        <v>913</v>
      </c>
      <c r="J840" s="22" t="n">
        <v>0</v>
      </c>
      <c r="K840" s="22" t="n">
        <v>25</v>
      </c>
      <c r="L840" s="23" t="n">
        <v>0.18</v>
      </c>
      <c r="M840" s="22" t="n">
        <v>170.59</v>
      </c>
      <c r="N840" s="24" t="n">
        <v>2</v>
      </c>
      <c r="O840" s="24" t="n">
        <v/>
      </c>
      <c r="P840" s="17" t="inlineStr">
        <is>
          <t>Credit Card</t>
        </is>
      </c>
      <c r="Q840" s="17" t="inlineStr">
        <is>
          <t>Cancelled</t>
        </is>
      </c>
      <c r="R840" s="17" t="n">
        <v/>
      </c>
      <c r="S840" s="17">
        <f>TEXT(B840,"yyyy-mm")</f>
        <v/>
      </c>
      <c r="T840" s="17">
        <f>VLOOKUP(D840,Customers!A:D,4,FALSE)</f>
        <v/>
      </c>
      <c r="U840" s="17">
        <f>CONCATENATE(A840,"-",G840)</f>
        <v/>
      </c>
      <c r="V840" s="17">
        <f>IF(N840="","",IF(N840&lt;=30,"Fast (&lt;30m)",IF(N840&lt;=45,"Moderate (30-45m)","Delayed (&gt;45m)")))</f>
        <v/>
      </c>
      <c r="W840" s="17">
        <f>IF(AND(I840&gt;600,P840="Delivered"),"High Value Delivered","Standard")</f>
        <v/>
      </c>
      <c r="X840" s="17">
        <f>IF(OR(N840&gt;50,Q840&lt;=2),"High Risk / Delayed","Normal")</f>
        <v/>
      </c>
      <c r="Y840" s="17">
        <f>IF(NOT(P840="Cancelled"),"Fulfilled","Cancelled")</f>
        <v/>
      </c>
      <c r="Z840" s="17">
        <f>IFERROR(Q840,0)</f>
        <v/>
      </c>
    </row>
    <row r="841">
      <c r="A841" s="25" t="inlineStr">
        <is>
          <t>ORD1840</t>
        </is>
      </c>
      <c r="B841" s="25" t="inlineStr">
        <is>
          <t>2025-12-12</t>
        </is>
      </c>
      <c r="C841" s="25" t="inlineStr">
        <is>
          <t>14:34:13</t>
        </is>
      </c>
      <c r="D841" s="25" t="n">
        <v>1283</v>
      </c>
      <c r="E841" s="25" t="n">
        <v>106</v>
      </c>
      <c r="F841" s="25" t="n">
        <v>214</v>
      </c>
      <c r="G841" s="25" t="inlineStr">
        <is>
          <t>Pune</t>
        </is>
      </c>
      <c r="H841" s="25" t="inlineStr">
        <is>
          <t>South Indian</t>
        </is>
      </c>
      <c r="I841" s="26" t="n">
        <v>672</v>
      </c>
      <c r="J841" s="26" t="n">
        <v>44.97</v>
      </c>
      <c r="K841" s="26" t="n">
        <v>27</v>
      </c>
      <c r="L841" s="27" t="n">
        <v>0.15</v>
      </c>
      <c r="M841" s="26" t="n">
        <v>107.55</v>
      </c>
      <c r="N841" s="28" t="n">
        <v>3.4</v>
      </c>
      <c r="O841" s="28" t="n">
        <v>34.4</v>
      </c>
      <c r="P841" s="25" t="inlineStr">
        <is>
          <t>UPI</t>
        </is>
      </c>
      <c r="Q841" s="25" t="inlineStr">
        <is>
          <t>Delivered</t>
        </is>
      </c>
      <c r="R841" s="25" t="n">
        <v>5</v>
      </c>
      <c r="S841" s="25">
        <f>TEXT(B841,"yyyy-mm")</f>
        <v/>
      </c>
      <c r="T841" s="25">
        <f>VLOOKUP(D841,Customers!A:D,4,FALSE)</f>
        <v/>
      </c>
      <c r="U841" s="25">
        <f>CONCATENATE(A841,"-",G841)</f>
        <v/>
      </c>
      <c r="V841" s="25">
        <f>IF(N841="","",IF(N841&lt;=30,"Fast (&lt;30m)",IF(N841&lt;=45,"Moderate (30-45m)","Delayed (&gt;45m)")))</f>
        <v/>
      </c>
      <c r="W841" s="25">
        <f>IF(AND(I841&gt;600,P841="Delivered"),"High Value Delivered","Standard")</f>
        <v/>
      </c>
      <c r="X841" s="25">
        <f>IF(OR(N841&gt;50,Q841&lt;=2),"High Risk / Delayed","Normal")</f>
        <v/>
      </c>
      <c r="Y841" s="25">
        <f>IF(NOT(P841="Cancelled"),"Fulfilled","Cancelled")</f>
        <v/>
      </c>
      <c r="Z841" s="25">
        <f>IFERROR(Q841,0)</f>
        <v/>
      </c>
    </row>
    <row r="842">
      <c r="A842" s="17" t="inlineStr">
        <is>
          <t>ORD1841</t>
        </is>
      </c>
      <c r="B842" s="17" t="inlineStr">
        <is>
          <t>2025-01-27</t>
        </is>
      </c>
      <c r="C842" s="17" t="inlineStr">
        <is>
          <t>20:38:00</t>
        </is>
      </c>
      <c r="D842" s="17" t="n">
        <v>1055</v>
      </c>
      <c r="E842" s="17" t="n">
        <v>111</v>
      </c>
      <c r="F842" s="17" t="n">
        <v>220</v>
      </c>
      <c r="G842" s="17" t="inlineStr">
        <is>
          <t>Bangalore</t>
        </is>
      </c>
      <c r="H842" s="17" t="inlineStr">
        <is>
          <t>South Indian</t>
        </is>
      </c>
      <c r="I842" s="22" t="n">
        <v>269</v>
      </c>
      <c r="J842" s="22" t="n">
        <v>16.51</v>
      </c>
      <c r="K842" s="22" t="n">
        <v>31</v>
      </c>
      <c r="L842" s="23" t="n">
        <v>0.15</v>
      </c>
      <c r="M842" s="22" t="n">
        <v>48.1</v>
      </c>
      <c r="N842" s="24" t="n">
        <v>4.2</v>
      </c>
      <c r="O842" s="24" t="n">
        <v>40</v>
      </c>
      <c r="P842" s="17" t="inlineStr">
        <is>
          <t>Debit Card</t>
        </is>
      </c>
      <c r="Q842" s="17" t="inlineStr">
        <is>
          <t>Delivered</t>
        </is>
      </c>
      <c r="R842" s="17" t="n">
        <v>3</v>
      </c>
      <c r="S842" s="17">
        <f>TEXT(B842,"yyyy-mm")</f>
        <v/>
      </c>
      <c r="T842" s="17">
        <f>VLOOKUP(D842,Customers!A:D,4,FALSE)</f>
        <v/>
      </c>
      <c r="U842" s="17">
        <f>CONCATENATE(A842,"-",G842)</f>
        <v/>
      </c>
      <c r="V842" s="17">
        <f>IF(N842="","",IF(N842&lt;=30,"Fast (&lt;30m)",IF(N842&lt;=45,"Moderate (30-45m)","Delayed (&gt;45m)")))</f>
        <v/>
      </c>
      <c r="W842" s="17">
        <f>IF(AND(I842&gt;600,P842="Delivered"),"High Value Delivered","Standard")</f>
        <v/>
      </c>
      <c r="X842" s="17">
        <f>IF(OR(N842&gt;50,Q842&lt;=2),"High Risk / Delayed","Normal")</f>
        <v/>
      </c>
      <c r="Y842" s="17">
        <f>IF(NOT(P842="Cancelled"),"Fulfilled","Cancelled")</f>
        <v/>
      </c>
      <c r="Z842" s="17">
        <f>IFERROR(Q842,0)</f>
        <v/>
      </c>
    </row>
    <row r="843">
      <c r="A843" s="25" t="inlineStr">
        <is>
          <t>ORD1842</t>
        </is>
      </c>
      <c r="B843" s="25" t="inlineStr">
        <is>
          <t>2025-02-16</t>
        </is>
      </c>
      <c r="C843" s="25" t="inlineStr">
        <is>
          <t>12:01:26</t>
        </is>
      </c>
      <c r="D843" s="25" t="n">
        <v>1236</v>
      </c>
      <c r="E843" s="25" t="n">
        <v>108</v>
      </c>
      <c r="F843" s="25" t="n">
        <v>221</v>
      </c>
      <c r="G843" s="25" t="inlineStr">
        <is>
          <t>Delhi NCR</t>
        </is>
      </c>
      <c r="H843" s="25" t="inlineStr">
        <is>
          <t>Fast Food</t>
        </is>
      </c>
      <c r="I843" s="26" t="n">
        <v>248</v>
      </c>
      <c r="J843" s="26" t="n">
        <v>29.57</v>
      </c>
      <c r="K843" s="26" t="n">
        <v>25</v>
      </c>
      <c r="L843" s="27" t="n">
        <v>0.18</v>
      </c>
      <c r="M843" s="26" t="n">
        <v>50.89</v>
      </c>
      <c r="N843" s="28" t="n">
        <v>2.9</v>
      </c>
      <c r="O843" s="28" t="n">
        <v>26.6</v>
      </c>
      <c r="P843" s="25" t="inlineStr">
        <is>
          <t>Credit Card</t>
        </is>
      </c>
      <c r="Q843" s="25" t="inlineStr">
        <is>
          <t>Delivered</t>
        </is>
      </c>
      <c r="R843" s="25" t="n">
        <v>4</v>
      </c>
      <c r="S843" s="25">
        <f>TEXT(B843,"yyyy-mm")</f>
        <v/>
      </c>
      <c r="T843" s="25">
        <f>VLOOKUP(D843,Customers!A:D,4,FALSE)</f>
        <v/>
      </c>
      <c r="U843" s="25">
        <f>CONCATENATE(A843,"-",G843)</f>
        <v/>
      </c>
      <c r="V843" s="25">
        <f>IF(N843="","",IF(N843&lt;=30,"Fast (&lt;30m)",IF(N843&lt;=45,"Moderate (30-45m)","Delayed (&gt;45m)")))</f>
        <v/>
      </c>
      <c r="W843" s="25">
        <f>IF(AND(I843&gt;600,P843="Delivered"),"High Value Delivered","Standard")</f>
        <v/>
      </c>
      <c r="X843" s="25">
        <f>IF(OR(N843&gt;50,Q843&lt;=2),"High Risk / Delayed","Normal")</f>
        <v/>
      </c>
      <c r="Y843" s="25">
        <f>IF(NOT(P843="Cancelled"),"Fulfilled","Cancelled")</f>
        <v/>
      </c>
      <c r="Z843" s="25">
        <f>IFERROR(Q843,0)</f>
        <v/>
      </c>
    </row>
    <row r="844">
      <c r="A844" s="17" t="inlineStr">
        <is>
          <t>ORD1843</t>
        </is>
      </c>
      <c r="B844" s="17" t="inlineStr">
        <is>
          <t>2025-12-07</t>
        </is>
      </c>
      <c r="C844" s="17" t="inlineStr">
        <is>
          <t>19:10:46</t>
        </is>
      </c>
      <c r="D844" s="17" t="n">
        <v>1135</v>
      </c>
      <c r="E844" s="17" t="n">
        <v>103</v>
      </c>
      <c r="F844" s="17" t="n">
        <v>206</v>
      </c>
      <c r="G844" s="17" t="inlineStr">
        <is>
          <t>Mumbai</t>
        </is>
      </c>
      <c r="H844" s="17" t="inlineStr">
        <is>
          <t>Italian</t>
        </is>
      </c>
      <c r="I844" s="22" t="n">
        <v>502</v>
      </c>
      <c r="J844" s="22" t="n">
        <v>71.06999999999999</v>
      </c>
      <c r="K844" s="22" t="n">
        <v>0</v>
      </c>
      <c r="L844" s="23" t="n">
        <v>0.18</v>
      </c>
      <c r="M844" s="22" t="n">
        <v>90.36</v>
      </c>
      <c r="N844" s="24" t="n">
        <v>4.1</v>
      </c>
      <c r="O844" s="24" t="n">
        <v>33.6</v>
      </c>
      <c r="P844" s="17" t="inlineStr">
        <is>
          <t>Debit Card</t>
        </is>
      </c>
      <c r="Q844" s="17" t="inlineStr">
        <is>
          <t>Delivered</t>
        </is>
      </c>
      <c r="R844" s="17" t="n">
        <v>4</v>
      </c>
      <c r="S844" s="17">
        <f>TEXT(B844,"yyyy-mm")</f>
        <v/>
      </c>
      <c r="T844" s="17">
        <f>VLOOKUP(D844,Customers!A:D,4,FALSE)</f>
        <v/>
      </c>
      <c r="U844" s="17">
        <f>CONCATENATE(A844,"-",G844)</f>
        <v/>
      </c>
      <c r="V844" s="17">
        <f>IF(N844="","",IF(N844&lt;=30,"Fast (&lt;30m)",IF(N844&lt;=45,"Moderate (30-45m)","Delayed (&gt;45m)")))</f>
        <v/>
      </c>
      <c r="W844" s="17">
        <f>IF(AND(I844&gt;600,P844="Delivered"),"High Value Delivered","Standard")</f>
        <v/>
      </c>
      <c r="X844" s="17">
        <f>IF(OR(N844&gt;50,Q844&lt;=2),"High Risk / Delayed","Normal")</f>
        <v/>
      </c>
      <c r="Y844" s="17">
        <f>IF(NOT(P844="Cancelled"),"Fulfilled","Cancelled")</f>
        <v/>
      </c>
      <c r="Z844" s="17">
        <f>IFERROR(Q844,0)</f>
        <v/>
      </c>
    </row>
    <row r="845">
      <c r="A845" s="25" t="inlineStr">
        <is>
          <t>ORD1844</t>
        </is>
      </c>
      <c r="B845" s="25" t="inlineStr">
        <is>
          <t>2025-10-05</t>
        </is>
      </c>
      <c r="C845" s="25" t="inlineStr">
        <is>
          <t>21:25:27</t>
        </is>
      </c>
      <c r="D845" s="25" t="n">
        <v>1029</v>
      </c>
      <c r="E845" s="25" t="n">
        <v>108</v>
      </c>
      <c r="F845" s="25" t="n">
        <v>211</v>
      </c>
      <c r="G845" s="25" t="inlineStr">
        <is>
          <t>Delhi NCR</t>
        </is>
      </c>
      <c r="H845" s="25" t="inlineStr">
        <is>
          <t>Fast Food</t>
        </is>
      </c>
      <c r="I845" s="26" t="n">
        <v>343</v>
      </c>
      <c r="J845" s="26" t="n">
        <v>0</v>
      </c>
      <c r="K845" s="26" t="n">
        <v>42.5</v>
      </c>
      <c r="L845" s="27" t="n">
        <v>0.18</v>
      </c>
      <c r="M845" s="26" t="n">
        <v>72.36</v>
      </c>
      <c r="N845" s="28" t="n">
        <v>6.5</v>
      </c>
      <c r="O845" s="28" t="n">
        <v>38.3</v>
      </c>
      <c r="P845" s="25" t="inlineStr">
        <is>
          <t>Debit Card</t>
        </is>
      </c>
      <c r="Q845" s="25" t="inlineStr">
        <is>
          <t>Delivered</t>
        </is>
      </c>
      <c r="R845" s="25" t="n">
        <v>5</v>
      </c>
      <c r="S845" s="25">
        <f>TEXT(B845,"yyyy-mm")</f>
        <v/>
      </c>
      <c r="T845" s="25">
        <f>VLOOKUP(D845,Customers!A:D,4,FALSE)</f>
        <v/>
      </c>
      <c r="U845" s="25">
        <f>CONCATENATE(A845,"-",G845)</f>
        <v/>
      </c>
      <c r="V845" s="25">
        <f>IF(N845="","",IF(N845&lt;=30,"Fast (&lt;30m)",IF(N845&lt;=45,"Moderate (30-45m)","Delayed (&gt;45m)")))</f>
        <v/>
      </c>
      <c r="W845" s="25">
        <f>IF(AND(I845&gt;600,P845="Delivered"),"High Value Delivered","Standard")</f>
        <v/>
      </c>
      <c r="X845" s="25">
        <f>IF(OR(N845&gt;50,Q845&lt;=2),"High Risk / Delayed","Normal")</f>
        <v/>
      </c>
      <c r="Y845" s="25">
        <f>IF(NOT(P845="Cancelled"),"Fulfilled","Cancelled")</f>
        <v/>
      </c>
      <c r="Z845" s="25">
        <f>IFERROR(Q845,0)</f>
        <v/>
      </c>
    </row>
    <row r="846">
      <c r="A846" s="17" t="inlineStr">
        <is>
          <t>ORD1845</t>
        </is>
      </c>
      <c r="B846" s="17" t="inlineStr">
        <is>
          <t>2025-07-25</t>
        </is>
      </c>
      <c r="C846" s="17" t="inlineStr">
        <is>
          <t>19:41:20</t>
        </is>
      </c>
      <c r="D846" s="17" t="n">
        <v>1244</v>
      </c>
      <c r="E846" s="17" t="n">
        <v>108</v>
      </c>
      <c r="F846" s="17" t="n">
        <v>228</v>
      </c>
      <c r="G846" s="17" t="inlineStr">
        <is>
          <t>Delhi NCR</t>
        </is>
      </c>
      <c r="H846" s="17" t="inlineStr">
        <is>
          <t>Fast Food</t>
        </is>
      </c>
      <c r="I846" s="22" t="n">
        <v>232</v>
      </c>
      <c r="J846" s="22" t="n">
        <v>0</v>
      </c>
      <c r="K846" s="22" t="n">
        <v>28.5</v>
      </c>
      <c r="L846" s="23" t="n">
        <v>0.18</v>
      </c>
      <c r="M846" s="22" t="n">
        <v>48.88</v>
      </c>
      <c r="N846" s="24" t="n">
        <v>3.7</v>
      </c>
      <c r="O846" s="24" t="n">
        <v>35.3</v>
      </c>
      <c r="P846" s="17" t="inlineStr">
        <is>
          <t>UPI</t>
        </is>
      </c>
      <c r="Q846" s="17" t="inlineStr">
        <is>
          <t>Delivered</t>
        </is>
      </c>
      <c r="R846" s="17" t="n">
        <v>4</v>
      </c>
      <c r="S846" s="17">
        <f>TEXT(B846,"yyyy-mm")</f>
        <v/>
      </c>
      <c r="T846" s="17">
        <f>VLOOKUP(D846,Customers!A:D,4,FALSE)</f>
        <v/>
      </c>
      <c r="U846" s="17">
        <f>CONCATENATE(A846,"-",G846)</f>
        <v/>
      </c>
      <c r="V846" s="17">
        <f>IF(N846="","",IF(N846&lt;=30,"Fast (&lt;30m)",IF(N846&lt;=45,"Moderate (30-45m)","Delayed (&gt;45m)")))</f>
        <v/>
      </c>
      <c r="W846" s="17">
        <f>IF(AND(I846&gt;600,P846="Delivered"),"High Value Delivered","Standard")</f>
        <v/>
      </c>
      <c r="X846" s="17">
        <f>IF(OR(N846&gt;50,Q846&lt;=2),"High Risk / Delayed","Normal")</f>
        <v/>
      </c>
      <c r="Y846" s="17">
        <f>IF(NOT(P846="Cancelled"),"Fulfilled","Cancelled")</f>
        <v/>
      </c>
      <c r="Z846" s="17">
        <f>IFERROR(Q846,0)</f>
        <v/>
      </c>
    </row>
    <row r="847">
      <c r="A847" s="25" t="inlineStr">
        <is>
          <t>ORD1846</t>
        </is>
      </c>
      <c r="B847" s="25" t="inlineStr">
        <is>
          <t>2025-02-04</t>
        </is>
      </c>
      <c r="C847" s="25" t="inlineStr">
        <is>
          <t>20:56:13</t>
        </is>
      </c>
      <c r="D847" s="25" t="n">
        <v>1188</v>
      </c>
      <c r="E847" s="25" t="n">
        <v>114</v>
      </c>
      <c r="F847" s="25" t="n">
        <v>225</v>
      </c>
      <c r="G847" s="25" t="inlineStr">
        <is>
          <t>Hyderabad</t>
        </is>
      </c>
      <c r="H847" s="25" t="inlineStr">
        <is>
          <t>Biryani</t>
        </is>
      </c>
      <c r="I847" s="26" t="n">
        <v>640</v>
      </c>
      <c r="J847" s="26" t="n">
        <v>0</v>
      </c>
      <c r="K847" s="26" t="n">
        <v>43</v>
      </c>
      <c r="L847" s="27" t="n">
        <v>0.22</v>
      </c>
      <c r="M847" s="26" t="n">
        <v>151.55</v>
      </c>
      <c r="N847" s="28" t="n">
        <v>6.6</v>
      </c>
      <c r="O847" s="28" t="n">
        <v>46.8</v>
      </c>
      <c r="P847" s="25" t="inlineStr">
        <is>
          <t>UPI</t>
        </is>
      </c>
      <c r="Q847" s="25" t="inlineStr">
        <is>
          <t>Delivered</t>
        </is>
      </c>
      <c r="R847" s="25" t="n">
        <v>1</v>
      </c>
      <c r="S847" s="25">
        <f>TEXT(B847,"yyyy-mm")</f>
        <v/>
      </c>
      <c r="T847" s="25">
        <f>VLOOKUP(D847,Customers!A:D,4,FALSE)</f>
        <v/>
      </c>
      <c r="U847" s="25">
        <f>CONCATENATE(A847,"-",G847)</f>
        <v/>
      </c>
      <c r="V847" s="25">
        <f>IF(N847="","",IF(N847&lt;=30,"Fast (&lt;30m)",IF(N847&lt;=45,"Moderate (30-45m)","Delayed (&gt;45m)")))</f>
        <v/>
      </c>
      <c r="W847" s="25">
        <f>IF(AND(I847&gt;600,P847="Delivered"),"High Value Delivered","Standard")</f>
        <v/>
      </c>
      <c r="X847" s="25">
        <f>IF(OR(N847&gt;50,Q847&lt;=2),"High Risk / Delayed","Normal")</f>
        <v/>
      </c>
      <c r="Y847" s="25">
        <f>IF(NOT(P847="Cancelled"),"Fulfilled","Cancelled")</f>
        <v/>
      </c>
      <c r="Z847" s="25">
        <f>IFERROR(Q847,0)</f>
        <v/>
      </c>
    </row>
    <row r="848">
      <c r="A848" s="17" t="inlineStr">
        <is>
          <t>ORD1847</t>
        </is>
      </c>
      <c r="B848" s="17" t="inlineStr">
        <is>
          <t>2025-11-04</t>
        </is>
      </c>
      <c r="C848" s="17" t="inlineStr">
        <is>
          <t>22:20:40</t>
        </is>
      </c>
      <c r="D848" s="17" t="n">
        <v>1202</v>
      </c>
      <c r="E848" s="17" t="n">
        <v>115</v>
      </c>
      <c r="F848" s="17" t="n">
        <v>227</v>
      </c>
      <c r="G848" s="17" t="inlineStr">
        <is>
          <t>Bangalore</t>
        </is>
      </c>
      <c r="H848" s="17" t="inlineStr">
        <is>
          <t>Italian</t>
        </is>
      </c>
      <c r="I848" s="22" t="n">
        <v>933</v>
      </c>
      <c r="J848" s="22" t="n">
        <v>0</v>
      </c>
      <c r="K848" s="22" t="n">
        <v>25</v>
      </c>
      <c r="L848" s="23" t="n">
        <v>0.2</v>
      </c>
      <c r="M848" s="22" t="n">
        <v>192.85</v>
      </c>
      <c r="N848" s="24" t="n">
        <v>2.8</v>
      </c>
      <c r="O848" s="24" t="n">
        <v>30.6</v>
      </c>
      <c r="P848" s="17" t="inlineStr">
        <is>
          <t>Credit Card</t>
        </is>
      </c>
      <c r="Q848" s="17" t="inlineStr">
        <is>
          <t>Delivered</t>
        </is>
      </c>
      <c r="R848" s="17" t="n">
        <v>5</v>
      </c>
      <c r="S848" s="17">
        <f>TEXT(B848,"yyyy-mm")</f>
        <v/>
      </c>
      <c r="T848" s="17">
        <f>VLOOKUP(D848,Customers!A:D,4,FALSE)</f>
        <v/>
      </c>
      <c r="U848" s="17">
        <f>CONCATENATE(A848,"-",G848)</f>
        <v/>
      </c>
      <c r="V848" s="17">
        <f>IF(N848="","",IF(N848&lt;=30,"Fast (&lt;30m)",IF(N848&lt;=45,"Moderate (30-45m)","Delayed (&gt;45m)")))</f>
        <v/>
      </c>
      <c r="W848" s="17">
        <f>IF(AND(I848&gt;600,P848="Delivered"),"High Value Delivered","Standard")</f>
        <v/>
      </c>
      <c r="X848" s="17">
        <f>IF(OR(N848&gt;50,Q848&lt;=2),"High Risk / Delayed","Normal")</f>
        <v/>
      </c>
      <c r="Y848" s="17">
        <f>IF(NOT(P848="Cancelled"),"Fulfilled","Cancelled")</f>
        <v/>
      </c>
      <c r="Z848" s="17">
        <f>IFERROR(Q848,0)</f>
        <v/>
      </c>
    </row>
    <row r="849">
      <c r="A849" s="25" t="inlineStr">
        <is>
          <t>ORD1848</t>
        </is>
      </c>
      <c r="B849" s="25" t="inlineStr">
        <is>
          <t>2025-12-08</t>
        </is>
      </c>
      <c r="C849" s="25" t="inlineStr">
        <is>
          <t>22:30:04</t>
        </is>
      </c>
      <c r="D849" s="25" t="n">
        <v>1258</v>
      </c>
      <c r="E849" s="25" t="n">
        <v>113</v>
      </c>
      <c r="F849" s="25" t="n">
        <v>206</v>
      </c>
      <c r="G849" s="25" t="inlineStr">
        <is>
          <t>Mumbai</t>
        </is>
      </c>
      <c r="H849" s="25" t="inlineStr">
        <is>
          <t>Fast Food</t>
        </is>
      </c>
      <c r="I849" s="26" t="n">
        <v>563</v>
      </c>
      <c r="J849" s="26" t="n">
        <v>28.85</v>
      </c>
      <c r="K849" s="26" t="n">
        <v>25</v>
      </c>
      <c r="L849" s="27" t="n">
        <v>0.18</v>
      </c>
      <c r="M849" s="26" t="n">
        <v>107.59</v>
      </c>
      <c r="N849" s="28" t="n">
        <v>3</v>
      </c>
      <c r="O849" s="28" t="n">
        <v>34.6</v>
      </c>
      <c r="P849" s="25" t="inlineStr">
        <is>
          <t>Cash on Delivery</t>
        </is>
      </c>
      <c r="Q849" s="25" t="inlineStr">
        <is>
          <t>Delivered</t>
        </is>
      </c>
      <c r="R849" s="25" t="n">
        <v>4</v>
      </c>
      <c r="S849" s="25">
        <f>TEXT(B849,"yyyy-mm")</f>
        <v/>
      </c>
      <c r="T849" s="25">
        <f>VLOOKUP(D849,Customers!A:D,4,FALSE)</f>
        <v/>
      </c>
      <c r="U849" s="25">
        <f>CONCATENATE(A849,"-",G849)</f>
        <v/>
      </c>
      <c r="V849" s="25">
        <f>IF(N849="","",IF(N849&lt;=30,"Fast (&lt;30m)",IF(N849&lt;=45,"Moderate (30-45m)","Delayed (&gt;45m)")))</f>
        <v/>
      </c>
      <c r="W849" s="25">
        <f>IF(AND(I849&gt;600,P849="Delivered"),"High Value Delivered","Standard")</f>
        <v/>
      </c>
      <c r="X849" s="25">
        <f>IF(OR(N849&gt;50,Q849&lt;=2),"High Risk / Delayed","Normal")</f>
        <v/>
      </c>
      <c r="Y849" s="25">
        <f>IF(NOT(P849="Cancelled"),"Fulfilled","Cancelled")</f>
        <v/>
      </c>
      <c r="Z849" s="25">
        <f>IFERROR(Q849,0)</f>
        <v/>
      </c>
    </row>
    <row r="850">
      <c r="A850" s="17" t="inlineStr">
        <is>
          <t>ORD1849</t>
        </is>
      </c>
      <c r="B850" s="17" t="inlineStr">
        <is>
          <t>2025-04-30</t>
        </is>
      </c>
      <c r="C850" s="17" t="inlineStr">
        <is>
          <t>12:01:39</t>
        </is>
      </c>
      <c r="D850" s="17" t="n">
        <v>1034</v>
      </c>
      <c r="E850" s="17" t="n">
        <v>117</v>
      </c>
      <c r="F850" s="17" t="n">
        <v>206</v>
      </c>
      <c r="G850" s="17" t="inlineStr">
        <is>
          <t>Mumbai</t>
        </is>
      </c>
      <c r="H850" s="17" t="inlineStr">
        <is>
          <t>Chinese</t>
        </is>
      </c>
      <c r="I850" s="22" t="n">
        <v>526</v>
      </c>
      <c r="J850" s="22" t="n">
        <v>65.03</v>
      </c>
      <c r="K850" s="22" t="n">
        <v>0</v>
      </c>
      <c r="L850" s="23" t="n">
        <v>0.2</v>
      </c>
      <c r="M850" s="22" t="n">
        <v>105.2</v>
      </c>
      <c r="N850" s="24" t="n">
        <v>2.6</v>
      </c>
      <c r="O850" s="24" t="n">
        <v/>
      </c>
      <c r="P850" s="17" t="inlineStr">
        <is>
          <t>Credit Card</t>
        </is>
      </c>
      <c r="Q850" s="17" t="inlineStr">
        <is>
          <t>Cancelled</t>
        </is>
      </c>
      <c r="R850" s="17" t="n">
        <v/>
      </c>
      <c r="S850" s="17">
        <f>TEXT(B850,"yyyy-mm")</f>
        <v/>
      </c>
      <c r="T850" s="17">
        <f>VLOOKUP(D850,Customers!A:D,4,FALSE)</f>
        <v/>
      </c>
      <c r="U850" s="17">
        <f>CONCATENATE(A850,"-",G850)</f>
        <v/>
      </c>
      <c r="V850" s="17">
        <f>IF(N850="","",IF(N850&lt;=30,"Fast (&lt;30m)",IF(N850&lt;=45,"Moderate (30-45m)","Delayed (&gt;45m)")))</f>
        <v/>
      </c>
      <c r="W850" s="17">
        <f>IF(AND(I850&gt;600,P850="Delivered"),"High Value Delivered","Standard")</f>
        <v/>
      </c>
      <c r="X850" s="17">
        <f>IF(OR(N850&gt;50,Q850&lt;=2),"High Risk / Delayed","Normal")</f>
        <v/>
      </c>
      <c r="Y850" s="17">
        <f>IF(NOT(P850="Cancelled"),"Fulfilled","Cancelled")</f>
        <v/>
      </c>
      <c r="Z850" s="17">
        <f>IFERROR(Q850,0)</f>
        <v/>
      </c>
    </row>
    <row r="851">
      <c r="A851" s="25" t="inlineStr">
        <is>
          <t>ORD1850</t>
        </is>
      </c>
      <c r="B851" s="25" t="inlineStr">
        <is>
          <t>2025-07-11</t>
        </is>
      </c>
      <c r="C851" s="25" t="inlineStr">
        <is>
          <t>12:31:18</t>
        </is>
      </c>
      <c r="D851" s="25" t="n">
        <v>1082</v>
      </c>
      <c r="E851" s="25" t="n">
        <v>116</v>
      </c>
      <c r="F851" s="25" t="n">
        <v>207</v>
      </c>
      <c r="G851" s="25" t="inlineStr">
        <is>
          <t>Pune</t>
        </is>
      </c>
      <c r="H851" s="25" t="inlineStr">
        <is>
          <t>Desserts</t>
        </is>
      </c>
      <c r="I851" s="26" t="n">
        <v>426</v>
      </c>
      <c r="J851" s="26" t="n">
        <v>25.82</v>
      </c>
      <c r="K851" s="26" t="n">
        <v>25</v>
      </c>
      <c r="L851" s="27" t="n">
        <v>0.25</v>
      </c>
      <c r="M851" s="26" t="n">
        <v>112.75</v>
      </c>
      <c r="N851" s="28" t="n">
        <v>2.8</v>
      </c>
      <c r="O851" s="28" t="n">
        <v>27.8</v>
      </c>
      <c r="P851" s="25" t="inlineStr">
        <is>
          <t>UPI</t>
        </is>
      </c>
      <c r="Q851" s="25" t="inlineStr">
        <is>
          <t>Delivered</t>
        </is>
      </c>
      <c r="R851" s="25" t="n">
        <v>5</v>
      </c>
      <c r="S851" s="25">
        <f>TEXT(B851,"yyyy-mm")</f>
        <v/>
      </c>
      <c r="T851" s="25">
        <f>VLOOKUP(D851,Customers!A:D,4,FALSE)</f>
        <v/>
      </c>
      <c r="U851" s="25">
        <f>CONCATENATE(A851,"-",G851)</f>
        <v/>
      </c>
      <c r="V851" s="25">
        <f>IF(N851="","",IF(N851&lt;=30,"Fast (&lt;30m)",IF(N851&lt;=45,"Moderate (30-45m)","Delayed (&gt;45m)")))</f>
        <v/>
      </c>
      <c r="W851" s="25">
        <f>IF(AND(I851&gt;600,P851="Delivered"),"High Value Delivered","Standard")</f>
        <v/>
      </c>
      <c r="X851" s="25">
        <f>IF(OR(N851&gt;50,Q851&lt;=2),"High Risk / Delayed","Normal")</f>
        <v/>
      </c>
      <c r="Y851" s="25">
        <f>IF(NOT(P851="Cancelled"),"Fulfilled","Cancelled")</f>
        <v/>
      </c>
      <c r="Z851" s="25">
        <f>IFERROR(Q851,0)</f>
        <v/>
      </c>
    </row>
    <row r="852">
      <c r="A852" s="17" t="inlineStr">
        <is>
          <t>ORD1851</t>
        </is>
      </c>
      <c r="B852" s="17" t="inlineStr">
        <is>
          <t>2025-06-18</t>
        </is>
      </c>
      <c r="C852" s="17" t="inlineStr">
        <is>
          <t>19:08:17</t>
        </is>
      </c>
      <c r="D852" s="17" t="n">
        <v>1250</v>
      </c>
      <c r="E852" s="17" t="n">
        <v>116</v>
      </c>
      <c r="F852" s="17" t="n">
        <v>208</v>
      </c>
      <c r="G852" s="17" t="inlineStr">
        <is>
          <t>Pune</t>
        </is>
      </c>
      <c r="H852" s="17" t="inlineStr">
        <is>
          <t>Desserts</t>
        </is>
      </c>
      <c r="I852" s="22" t="n">
        <v>809</v>
      </c>
      <c r="J852" s="22" t="n">
        <v>144.57</v>
      </c>
      <c r="K852" s="22" t="n">
        <v>0</v>
      </c>
      <c r="L852" s="23" t="n">
        <v>0.25</v>
      </c>
      <c r="M852" s="22" t="n">
        <v>202.25</v>
      </c>
      <c r="N852" s="24" t="n">
        <v>2.7</v>
      </c>
      <c r="O852" s="24" t="n">
        <v>27.3</v>
      </c>
      <c r="P852" s="17" t="inlineStr">
        <is>
          <t>Cash on Delivery</t>
        </is>
      </c>
      <c r="Q852" s="17" t="inlineStr">
        <is>
          <t>Delivered</t>
        </is>
      </c>
      <c r="R852" s="17" t="n">
        <v>5</v>
      </c>
      <c r="S852" s="17">
        <f>TEXT(B852,"yyyy-mm")</f>
        <v/>
      </c>
      <c r="T852" s="17">
        <f>VLOOKUP(D852,Customers!A:D,4,FALSE)</f>
        <v/>
      </c>
      <c r="U852" s="17">
        <f>CONCATENATE(A852,"-",G852)</f>
        <v/>
      </c>
      <c r="V852" s="17">
        <f>IF(N852="","",IF(N852&lt;=30,"Fast (&lt;30m)",IF(N852&lt;=45,"Moderate (30-45m)","Delayed (&gt;45m)")))</f>
        <v/>
      </c>
      <c r="W852" s="17">
        <f>IF(AND(I852&gt;600,P852="Delivered"),"High Value Delivered","Standard")</f>
        <v/>
      </c>
      <c r="X852" s="17">
        <f>IF(OR(N852&gt;50,Q852&lt;=2),"High Risk / Delayed","Normal")</f>
        <v/>
      </c>
      <c r="Y852" s="17">
        <f>IF(NOT(P852="Cancelled"),"Fulfilled","Cancelled")</f>
        <v/>
      </c>
      <c r="Z852" s="17">
        <f>IFERROR(Q852,0)</f>
        <v/>
      </c>
    </row>
    <row r="853">
      <c r="A853" s="25" t="inlineStr">
        <is>
          <t>ORD1852</t>
        </is>
      </c>
      <c r="B853" s="25" t="inlineStr">
        <is>
          <t>2025-06-19</t>
        </is>
      </c>
      <c r="C853" s="25" t="inlineStr">
        <is>
          <t>21:21:15</t>
        </is>
      </c>
      <c r="D853" s="25" t="n">
        <v>1007</v>
      </c>
      <c r="E853" s="25" t="n">
        <v>111</v>
      </c>
      <c r="F853" s="25" t="n">
        <v>223</v>
      </c>
      <c r="G853" s="25" t="inlineStr">
        <is>
          <t>Bangalore</t>
        </is>
      </c>
      <c r="H853" s="25" t="inlineStr">
        <is>
          <t>South Indian</t>
        </is>
      </c>
      <c r="I853" s="26" t="n">
        <v>430</v>
      </c>
      <c r="J853" s="26" t="n">
        <v>31.19</v>
      </c>
      <c r="K853" s="26" t="n">
        <v>41</v>
      </c>
      <c r="L853" s="27" t="n">
        <v>0.15</v>
      </c>
      <c r="M853" s="26" t="n">
        <v>74.75</v>
      </c>
      <c r="N853" s="28" t="n">
        <v>6.2</v>
      </c>
      <c r="O853" s="28" t="n">
        <v>45.7</v>
      </c>
      <c r="P853" s="25" t="inlineStr">
        <is>
          <t>Credit Card</t>
        </is>
      </c>
      <c r="Q853" s="25" t="inlineStr">
        <is>
          <t>Delivered</t>
        </is>
      </c>
      <c r="R853" s="25" t="n">
        <v>2</v>
      </c>
      <c r="S853" s="25">
        <f>TEXT(B853,"yyyy-mm")</f>
        <v/>
      </c>
      <c r="T853" s="25">
        <f>VLOOKUP(D853,Customers!A:D,4,FALSE)</f>
        <v/>
      </c>
      <c r="U853" s="25">
        <f>CONCATENATE(A853,"-",G853)</f>
        <v/>
      </c>
      <c r="V853" s="25">
        <f>IF(N853="","",IF(N853&lt;=30,"Fast (&lt;30m)",IF(N853&lt;=45,"Moderate (30-45m)","Delayed (&gt;45m)")))</f>
        <v/>
      </c>
      <c r="W853" s="25">
        <f>IF(AND(I853&gt;600,P853="Delivered"),"High Value Delivered","Standard")</f>
        <v/>
      </c>
      <c r="X853" s="25">
        <f>IF(OR(N853&gt;50,Q853&lt;=2),"High Risk / Delayed","Normal")</f>
        <v/>
      </c>
      <c r="Y853" s="25">
        <f>IF(NOT(P853="Cancelled"),"Fulfilled","Cancelled")</f>
        <v/>
      </c>
      <c r="Z853" s="25">
        <f>IFERROR(Q853,0)</f>
        <v/>
      </c>
    </row>
    <row r="854">
      <c r="A854" s="17" t="inlineStr">
        <is>
          <t>ORD1853</t>
        </is>
      </c>
      <c r="B854" s="17" t="inlineStr">
        <is>
          <t>2025-04-04</t>
        </is>
      </c>
      <c r="C854" s="17" t="inlineStr">
        <is>
          <t>00:28:40</t>
        </is>
      </c>
      <c r="D854" s="17" t="n">
        <v>1238</v>
      </c>
      <c r="E854" s="17" t="n">
        <v>111</v>
      </c>
      <c r="F854" s="17" t="n">
        <v>205</v>
      </c>
      <c r="G854" s="17" t="inlineStr">
        <is>
          <t>Bangalore</t>
        </is>
      </c>
      <c r="H854" s="17" t="inlineStr">
        <is>
          <t>South Indian</t>
        </is>
      </c>
      <c r="I854" s="22" t="n">
        <v>226</v>
      </c>
      <c r="J854" s="22" t="n">
        <v>0</v>
      </c>
      <c r="K854" s="22" t="n">
        <v>25</v>
      </c>
      <c r="L854" s="23" t="n">
        <v>0.15</v>
      </c>
      <c r="M854" s="22" t="n">
        <v>40.15</v>
      </c>
      <c r="N854" s="24" t="n">
        <v>2.6</v>
      </c>
      <c r="O854" s="24" t="n">
        <v>24.2</v>
      </c>
      <c r="P854" s="17" t="inlineStr">
        <is>
          <t>Credit Card</t>
        </is>
      </c>
      <c r="Q854" s="17" t="inlineStr">
        <is>
          <t>Delivered</t>
        </is>
      </c>
      <c r="R854" s="17" t="n">
        <v>5</v>
      </c>
      <c r="S854" s="17">
        <f>TEXT(B854,"yyyy-mm")</f>
        <v/>
      </c>
      <c r="T854" s="17">
        <f>VLOOKUP(D854,Customers!A:D,4,FALSE)</f>
        <v/>
      </c>
      <c r="U854" s="17">
        <f>CONCATENATE(A854,"-",G854)</f>
        <v/>
      </c>
      <c r="V854" s="17">
        <f>IF(N854="","",IF(N854&lt;=30,"Fast (&lt;30m)",IF(N854&lt;=45,"Moderate (30-45m)","Delayed (&gt;45m)")))</f>
        <v/>
      </c>
      <c r="W854" s="17">
        <f>IF(AND(I854&gt;600,P854="Delivered"),"High Value Delivered","Standard")</f>
        <v/>
      </c>
      <c r="X854" s="17">
        <f>IF(OR(N854&gt;50,Q854&lt;=2),"High Risk / Delayed","Normal")</f>
        <v/>
      </c>
      <c r="Y854" s="17">
        <f>IF(NOT(P854="Cancelled"),"Fulfilled","Cancelled")</f>
        <v/>
      </c>
      <c r="Z854" s="17">
        <f>IFERROR(Q854,0)</f>
        <v/>
      </c>
    </row>
    <row r="855">
      <c r="A855" s="25" t="inlineStr">
        <is>
          <t>ORD1854</t>
        </is>
      </c>
      <c r="B855" s="25" t="inlineStr">
        <is>
          <t>2025-04-15</t>
        </is>
      </c>
      <c r="C855" s="25" t="inlineStr">
        <is>
          <t>09:08:05</t>
        </is>
      </c>
      <c r="D855" s="25" t="n">
        <v>1147</v>
      </c>
      <c r="E855" s="25" t="n">
        <v>103</v>
      </c>
      <c r="F855" s="25" t="n">
        <v>229</v>
      </c>
      <c r="G855" s="25" t="inlineStr">
        <is>
          <t>Mumbai</t>
        </is>
      </c>
      <c r="H855" s="25" t="inlineStr">
        <is>
          <t>Italian</t>
        </is>
      </c>
      <c r="I855" s="26" t="n">
        <v>397</v>
      </c>
      <c r="J855" s="26" t="n">
        <v>36.32</v>
      </c>
      <c r="K855" s="26" t="n">
        <v>25</v>
      </c>
      <c r="L855" s="27" t="n">
        <v>0.18</v>
      </c>
      <c r="M855" s="26" t="n">
        <v>77.70999999999999</v>
      </c>
      <c r="N855" s="28" t="n">
        <v>2.8</v>
      </c>
      <c r="O855" s="28" t="n">
        <v>32.6</v>
      </c>
      <c r="P855" s="25" t="inlineStr">
        <is>
          <t>Credit Card</t>
        </is>
      </c>
      <c r="Q855" s="25" t="inlineStr">
        <is>
          <t>Delivered</t>
        </is>
      </c>
      <c r="R855" s="25" t="n">
        <v>5</v>
      </c>
      <c r="S855" s="25">
        <f>TEXT(B855,"yyyy-mm")</f>
        <v/>
      </c>
      <c r="T855" s="25">
        <f>VLOOKUP(D855,Customers!A:D,4,FALSE)</f>
        <v/>
      </c>
      <c r="U855" s="25">
        <f>CONCATENATE(A855,"-",G855)</f>
        <v/>
      </c>
      <c r="V855" s="25">
        <f>IF(N855="","",IF(N855&lt;=30,"Fast (&lt;30m)",IF(N855&lt;=45,"Moderate (30-45m)","Delayed (&gt;45m)")))</f>
        <v/>
      </c>
      <c r="W855" s="25">
        <f>IF(AND(I855&gt;600,P855="Delivered"),"High Value Delivered","Standard")</f>
        <v/>
      </c>
      <c r="X855" s="25">
        <f>IF(OR(N855&gt;50,Q855&lt;=2),"High Risk / Delayed","Normal")</f>
        <v/>
      </c>
      <c r="Y855" s="25">
        <f>IF(NOT(P855="Cancelled"),"Fulfilled","Cancelled")</f>
        <v/>
      </c>
      <c r="Z855" s="25">
        <f>IFERROR(Q855,0)</f>
        <v/>
      </c>
    </row>
    <row r="856">
      <c r="A856" s="17" t="inlineStr">
        <is>
          <t>ORD1855</t>
        </is>
      </c>
      <c r="B856" s="17" t="inlineStr">
        <is>
          <t>2025-08-07</t>
        </is>
      </c>
      <c r="C856" s="17" t="inlineStr">
        <is>
          <t>16:46:29</t>
        </is>
      </c>
      <c r="D856" s="17" t="n">
        <v>1109</v>
      </c>
      <c r="E856" s="17" t="n">
        <v>117</v>
      </c>
      <c r="F856" s="17" t="n">
        <v>202</v>
      </c>
      <c r="G856" s="17" t="inlineStr">
        <is>
          <t>Mumbai</t>
        </is>
      </c>
      <c r="H856" s="17" t="inlineStr">
        <is>
          <t>Chinese</t>
        </is>
      </c>
      <c r="I856" s="22" t="n">
        <v>538</v>
      </c>
      <c r="J856" s="22" t="n">
        <v>0</v>
      </c>
      <c r="K856" s="22" t="n">
        <v>34.5</v>
      </c>
      <c r="L856" s="23" t="n">
        <v>0.2</v>
      </c>
      <c r="M856" s="22" t="n">
        <v>116.22</v>
      </c>
      <c r="N856" s="24" t="n">
        <v>4.9</v>
      </c>
      <c r="O856" s="24" t="n">
        <v/>
      </c>
      <c r="P856" s="17" t="inlineStr">
        <is>
          <t>Cash on Delivery</t>
        </is>
      </c>
      <c r="Q856" s="17" t="inlineStr">
        <is>
          <t>Cancelled</t>
        </is>
      </c>
      <c r="R856" s="17" t="n">
        <v/>
      </c>
      <c r="S856" s="17">
        <f>TEXT(B856,"yyyy-mm")</f>
        <v/>
      </c>
      <c r="T856" s="17">
        <f>VLOOKUP(D856,Customers!A:D,4,FALSE)</f>
        <v/>
      </c>
      <c r="U856" s="17">
        <f>CONCATENATE(A856,"-",G856)</f>
        <v/>
      </c>
      <c r="V856" s="17">
        <f>IF(N856="","",IF(N856&lt;=30,"Fast (&lt;30m)",IF(N856&lt;=45,"Moderate (30-45m)","Delayed (&gt;45m)")))</f>
        <v/>
      </c>
      <c r="W856" s="17">
        <f>IF(AND(I856&gt;600,P856="Delivered"),"High Value Delivered","Standard")</f>
        <v/>
      </c>
      <c r="X856" s="17">
        <f>IF(OR(N856&gt;50,Q856&lt;=2),"High Risk / Delayed","Normal")</f>
        <v/>
      </c>
      <c r="Y856" s="17">
        <f>IF(NOT(P856="Cancelled"),"Fulfilled","Cancelled")</f>
        <v/>
      </c>
      <c r="Z856" s="17">
        <f>IFERROR(Q856,0)</f>
        <v/>
      </c>
    </row>
    <row r="857">
      <c r="A857" s="25" t="inlineStr">
        <is>
          <t>ORD1856</t>
        </is>
      </c>
      <c r="B857" s="25" t="inlineStr">
        <is>
          <t>2025-06-05</t>
        </is>
      </c>
      <c r="C857" s="25" t="inlineStr">
        <is>
          <t>21:18:36</t>
        </is>
      </c>
      <c r="D857" s="25" t="n">
        <v>1083</v>
      </c>
      <c r="E857" s="25" t="n">
        <v>108</v>
      </c>
      <c r="F857" s="25" t="n">
        <v>211</v>
      </c>
      <c r="G857" s="25" t="inlineStr">
        <is>
          <t>Delhi NCR</t>
        </is>
      </c>
      <c r="H857" s="25" t="inlineStr">
        <is>
          <t>Fast Food</t>
        </is>
      </c>
      <c r="I857" s="26" t="n">
        <v>679</v>
      </c>
      <c r="J857" s="26" t="n">
        <v>10.94</v>
      </c>
      <c r="K857" s="26" t="n">
        <v>25</v>
      </c>
      <c r="L857" s="27" t="n">
        <v>0.18</v>
      </c>
      <c r="M857" s="26" t="n">
        <v>128.47</v>
      </c>
      <c r="N857" s="28" t="n">
        <v>1.6</v>
      </c>
      <c r="O857" s="28" t="n">
        <v>27</v>
      </c>
      <c r="P857" s="25" t="inlineStr">
        <is>
          <t>Cash on Delivery</t>
        </is>
      </c>
      <c r="Q857" s="25" t="inlineStr">
        <is>
          <t>Delivered</t>
        </is>
      </c>
      <c r="R857" s="25" t="n">
        <v>4</v>
      </c>
      <c r="S857" s="25">
        <f>TEXT(B857,"yyyy-mm")</f>
        <v/>
      </c>
      <c r="T857" s="25">
        <f>VLOOKUP(D857,Customers!A:D,4,FALSE)</f>
        <v/>
      </c>
      <c r="U857" s="25">
        <f>CONCATENATE(A857,"-",G857)</f>
        <v/>
      </c>
      <c r="V857" s="25">
        <f>IF(N857="","",IF(N857&lt;=30,"Fast (&lt;30m)",IF(N857&lt;=45,"Moderate (30-45m)","Delayed (&gt;45m)")))</f>
        <v/>
      </c>
      <c r="W857" s="25">
        <f>IF(AND(I857&gt;600,P857="Delivered"),"High Value Delivered","Standard")</f>
        <v/>
      </c>
      <c r="X857" s="25">
        <f>IF(OR(N857&gt;50,Q857&lt;=2),"High Risk / Delayed","Normal")</f>
        <v/>
      </c>
      <c r="Y857" s="25">
        <f>IF(NOT(P857="Cancelled"),"Fulfilled","Cancelled")</f>
        <v/>
      </c>
      <c r="Z857" s="25">
        <f>IFERROR(Q857,0)</f>
        <v/>
      </c>
    </row>
    <row r="858">
      <c r="A858" s="17" t="inlineStr">
        <is>
          <t>ORD1857</t>
        </is>
      </c>
      <c r="B858" s="17" t="inlineStr">
        <is>
          <t>2025-07-23</t>
        </is>
      </c>
      <c r="C858" s="17" t="inlineStr">
        <is>
          <t>13:24:10</t>
        </is>
      </c>
      <c r="D858" s="17" t="n">
        <v>1077</v>
      </c>
      <c r="E858" s="17" t="n">
        <v>109</v>
      </c>
      <c r="F858" s="17" t="n">
        <v>215</v>
      </c>
      <c r="G858" s="17" t="inlineStr">
        <is>
          <t>Hyderabad</t>
        </is>
      </c>
      <c r="H858" s="17" t="inlineStr">
        <is>
          <t>Biryani</t>
        </is>
      </c>
      <c r="I858" s="22" t="n">
        <v>702</v>
      </c>
      <c r="J858" s="22" t="n">
        <v>56.79</v>
      </c>
      <c r="K858" s="22" t="n">
        <v>28</v>
      </c>
      <c r="L858" s="23" t="n">
        <v>0.2</v>
      </c>
      <c r="M858" s="22" t="n">
        <v>147.4</v>
      </c>
      <c r="N858" s="24" t="n">
        <v>3.6</v>
      </c>
      <c r="O858" s="24" t="n">
        <v>32.9</v>
      </c>
      <c r="P858" s="17" t="inlineStr">
        <is>
          <t>Cash on Delivery</t>
        </is>
      </c>
      <c r="Q858" s="17" t="inlineStr">
        <is>
          <t>Delivered</t>
        </is>
      </c>
      <c r="R858" s="17" t="n">
        <v>2</v>
      </c>
      <c r="S858" s="17">
        <f>TEXT(B858,"yyyy-mm")</f>
        <v/>
      </c>
      <c r="T858" s="17">
        <f>VLOOKUP(D858,Customers!A:D,4,FALSE)</f>
        <v/>
      </c>
      <c r="U858" s="17">
        <f>CONCATENATE(A858,"-",G858)</f>
        <v/>
      </c>
      <c r="V858" s="17">
        <f>IF(N858="","",IF(N858&lt;=30,"Fast (&lt;30m)",IF(N858&lt;=45,"Moderate (30-45m)","Delayed (&gt;45m)")))</f>
        <v/>
      </c>
      <c r="W858" s="17">
        <f>IF(AND(I858&gt;600,P858="Delivered"),"High Value Delivered","Standard")</f>
        <v/>
      </c>
      <c r="X858" s="17">
        <f>IF(OR(N858&gt;50,Q858&lt;=2),"High Risk / Delayed","Normal")</f>
        <v/>
      </c>
      <c r="Y858" s="17">
        <f>IF(NOT(P858="Cancelled"),"Fulfilled","Cancelled")</f>
        <v/>
      </c>
      <c r="Z858" s="17">
        <f>IFERROR(Q858,0)</f>
        <v/>
      </c>
    </row>
    <row r="859">
      <c r="A859" s="25" t="inlineStr">
        <is>
          <t>ORD1858</t>
        </is>
      </c>
      <c r="B859" s="25" t="inlineStr">
        <is>
          <t>2025-01-11</t>
        </is>
      </c>
      <c r="C859" s="25" t="inlineStr">
        <is>
          <t>09:48:24</t>
        </is>
      </c>
      <c r="D859" s="25" t="n">
        <v>1265</v>
      </c>
      <c r="E859" s="25" t="n">
        <v>115</v>
      </c>
      <c r="F859" s="25" t="n">
        <v>227</v>
      </c>
      <c r="G859" s="25" t="inlineStr">
        <is>
          <t>Bangalore</t>
        </is>
      </c>
      <c r="H859" s="25" t="inlineStr">
        <is>
          <t>Italian</t>
        </is>
      </c>
      <c r="I859" s="26" t="n">
        <v>975</v>
      </c>
      <c r="J859" s="26" t="n">
        <v>105.62</v>
      </c>
      <c r="K859" s="26" t="n">
        <v>0</v>
      </c>
      <c r="L859" s="27" t="n">
        <v>0.2</v>
      </c>
      <c r="M859" s="26" t="n">
        <v>195</v>
      </c>
      <c r="N859" s="28" t="n">
        <v>4.6</v>
      </c>
      <c r="O859" s="28" t="n">
        <v>34.1</v>
      </c>
      <c r="P859" s="25" t="inlineStr">
        <is>
          <t>Debit Card</t>
        </is>
      </c>
      <c r="Q859" s="25" t="inlineStr">
        <is>
          <t>Delivered</t>
        </is>
      </c>
      <c r="R859" s="25" t="n">
        <v>3</v>
      </c>
      <c r="S859" s="25">
        <f>TEXT(B859,"yyyy-mm")</f>
        <v/>
      </c>
      <c r="T859" s="25">
        <f>VLOOKUP(D859,Customers!A:D,4,FALSE)</f>
        <v/>
      </c>
      <c r="U859" s="25">
        <f>CONCATENATE(A859,"-",G859)</f>
        <v/>
      </c>
      <c r="V859" s="25">
        <f>IF(N859="","",IF(N859&lt;=30,"Fast (&lt;30m)",IF(N859&lt;=45,"Moderate (30-45m)","Delayed (&gt;45m)")))</f>
        <v/>
      </c>
      <c r="W859" s="25">
        <f>IF(AND(I859&gt;600,P859="Delivered"),"High Value Delivered","Standard")</f>
        <v/>
      </c>
      <c r="X859" s="25">
        <f>IF(OR(N859&gt;50,Q859&lt;=2),"High Risk / Delayed","Normal")</f>
        <v/>
      </c>
      <c r="Y859" s="25">
        <f>IF(NOT(P859="Cancelled"),"Fulfilled","Cancelled")</f>
        <v/>
      </c>
      <c r="Z859" s="25">
        <f>IFERROR(Q859,0)</f>
        <v/>
      </c>
    </row>
    <row r="860">
      <c r="A860" s="17" t="inlineStr">
        <is>
          <t>ORD1859</t>
        </is>
      </c>
      <c r="B860" s="17" t="inlineStr">
        <is>
          <t>2025-07-14</t>
        </is>
      </c>
      <c r="C860" s="17" t="inlineStr">
        <is>
          <t>21:29:19</t>
        </is>
      </c>
      <c r="D860" s="17" t="n">
        <v>1085</v>
      </c>
      <c r="E860" s="17" t="n">
        <v>114</v>
      </c>
      <c r="F860" s="17" t="n">
        <v>225</v>
      </c>
      <c r="G860" s="17" t="inlineStr">
        <is>
          <t>Hyderabad</t>
        </is>
      </c>
      <c r="H860" s="17" t="inlineStr">
        <is>
          <t>Biryani</t>
        </is>
      </c>
      <c r="I860" s="22" t="n">
        <v>684</v>
      </c>
      <c r="J860" s="22" t="n">
        <v>0</v>
      </c>
      <c r="K860" s="22" t="n">
        <v>29.5</v>
      </c>
      <c r="L860" s="23" t="n">
        <v>0.22</v>
      </c>
      <c r="M860" s="22" t="n">
        <v>157.85</v>
      </c>
      <c r="N860" s="24" t="n">
        <v>3.9</v>
      </c>
      <c r="O860" s="24" t="n">
        <v>35.5</v>
      </c>
      <c r="P860" s="17" t="inlineStr">
        <is>
          <t>Cash on Delivery</t>
        </is>
      </c>
      <c r="Q860" s="17" t="inlineStr">
        <is>
          <t>Delivered</t>
        </is>
      </c>
      <c r="R860" s="17" t="n">
        <v>5</v>
      </c>
      <c r="S860" s="17">
        <f>TEXT(B860,"yyyy-mm")</f>
        <v/>
      </c>
      <c r="T860" s="17">
        <f>VLOOKUP(D860,Customers!A:D,4,FALSE)</f>
        <v/>
      </c>
      <c r="U860" s="17">
        <f>CONCATENATE(A860,"-",G860)</f>
        <v/>
      </c>
      <c r="V860" s="17">
        <f>IF(N860="","",IF(N860&lt;=30,"Fast (&lt;30m)",IF(N860&lt;=45,"Moderate (30-45m)","Delayed (&gt;45m)")))</f>
        <v/>
      </c>
      <c r="W860" s="17">
        <f>IF(AND(I860&gt;600,P860="Delivered"),"High Value Delivered","Standard")</f>
        <v/>
      </c>
      <c r="X860" s="17">
        <f>IF(OR(N860&gt;50,Q860&lt;=2),"High Risk / Delayed","Normal")</f>
        <v/>
      </c>
      <c r="Y860" s="17">
        <f>IF(NOT(P860="Cancelled"),"Fulfilled","Cancelled")</f>
        <v/>
      </c>
      <c r="Z860" s="17">
        <f>IFERROR(Q860,0)</f>
        <v/>
      </c>
    </row>
    <row r="861">
      <c r="A861" s="25" t="inlineStr">
        <is>
          <t>ORD1860</t>
        </is>
      </c>
      <c r="B861" s="25" t="inlineStr">
        <is>
          <t>2025-03-11</t>
        </is>
      </c>
      <c r="C861" s="25" t="inlineStr">
        <is>
          <t>20:45:30</t>
        </is>
      </c>
      <c r="D861" s="25" t="n">
        <v>1103</v>
      </c>
      <c r="E861" s="25" t="n">
        <v>118</v>
      </c>
      <c r="F861" s="25" t="n">
        <v>212</v>
      </c>
      <c r="G861" s="25" t="inlineStr">
        <is>
          <t>Delhi NCR</t>
        </is>
      </c>
      <c r="H861" s="25" t="inlineStr">
        <is>
          <t>North Indian</t>
        </is>
      </c>
      <c r="I861" s="26" t="n">
        <v>420</v>
      </c>
      <c r="J861" s="26" t="n">
        <v>0</v>
      </c>
      <c r="K861" s="26" t="n">
        <v>34</v>
      </c>
      <c r="L861" s="27" t="n">
        <v>0.2</v>
      </c>
      <c r="M861" s="26" t="n">
        <v>92.5</v>
      </c>
      <c r="N861" s="28" t="n">
        <v>4.8</v>
      </c>
      <c r="O861" s="28" t="n">
        <v>34.1</v>
      </c>
      <c r="P861" s="25" t="inlineStr">
        <is>
          <t>UPI</t>
        </is>
      </c>
      <c r="Q861" s="25" t="inlineStr">
        <is>
          <t>Delivered</t>
        </is>
      </c>
      <c r="R861" s="25" t="n">
        <v>5</v>
      </c>
      <c r="S861" s="25">
        <f>TEXT(B861,"yyyy-mm")</f>
        <v/>
      </c>
      <c r="T861" s="25">
        <f>VLOOKUP(D861,Customers!A:D,4,FALSE)</f>
        <v/>
      </c>
      <c r="U861" s="25">
        <f>CONCATENATE(A861,"-",G861)</f>
        <v/>
      </c>
      <c r="V861" s="25">
        <f>IF(N861="","",IF(N861&lt;=30,"Fast (&lt;30m)",IF(N861&lt;=45,"Moderate (30-45m)","Delayed (&gt;45m)")))</f>
        <v/>
      </c>
      <c r="W861" s="25">
        <f>IF(AND(I861&gt;600,P861="Delivered"),"High Value Delivered","Standard")</f>
        <v/>
      </c>
      <c r="X861" s="25">
        <f>IF(OR(N861&gt;50,Q861&lt;=2),"High Risk / Delayed","Normal")</f>
        <v/>
      </c>
      <c r="Y861" s="25">
        <f>IF(NOT(P861="Cancelled"),"Fulfilled","Cancelled")</f>
        <v/>
      </c>
      <c r="Z861" s="25">
        <f>IFERROR(Q861,0)</f>
        <v/>
      </c>
    </row>
    <row r="862">
      <c r="A862" s="17" t="inlineStr">
        <is>
          <t>ORD1861</t>
        </is>
      </c>
      <c r="B862" s="17" t="inlineStr">
        <is>
          <t>2025-08-01</t>
        </is>
      </c>
      <c r="C862" s="17" t="inlineStr">
        <is>
          <t>16:25:47</t>
        </is>
      </c>
      <c r="D862" s="17" t="n">
        <v>1017</v>
      </c>
      <c r="E862" s="17" t="n">
        <v>113</v>
      </c>
      <c r="F862" s="17" t="n">
        <v>222</v>
      </c>
      <c r="G862" s="17" t="inlineStr">
        <is>
          <t>Mumbai</t>
        </is>
      </c>
      <c r="H862" s="17" t="inlineStr">
        <is>
          <t>Fast Food</t>
        </is>
      </c>
      <c r="I862" s="22" t="n">
        <v>602</v>
      </c>
      <c r="J862" s="22" t="n">
        <v>0</v>
      </c>
      <c r="K862" s="22" t="n">
        <v>36.5</v>
      </c>
      <c r="L862" s="23" t="n">
        <v>0.18</v>
      </c>
      <c r="M862" s="22" t="n">
        <v>117.48</v>
      </c>
      <c r="N862" s="24" t="n">
        <v>5.3</v>
      </c>
      <c r="O862" s="24" t="n">
        <v>32.9</v>
      </c>
      <c r="P862" s="17" t="inlineStr">
        <is>
          <t>Digital Wallet</t>
        </is>
      </c>
      <c r="Q862" s="17" t="inlineStr">
        <is>
          <t>Delivered</t>
        </is>
      </c>
      <c r="R862" s="17" t="n">
        <v>4</v>
      </c>
      <c r="S862" s="17">
        <f>TEXT(B862,"yyyy-mm")</f>
        <v/>
      </c>
      <c r="T862" s="17">
        <f>VLOOKUP(D862,Customers!A:D,4,FALSE)</f>
        <v/>
      </c>
      <c r="U862" s="17">
        <f>CONCATENATE(A862,"-",G862)</f>
        <v/>
      </c>
      <c r="V862" s="17">
        <f>IF(N862="","",IF(N862&lt;=30,"Fast (&lt;30m)",IF(N862&lt;=45,"Moderate (30-45m)","Delayed (&gt;45m)")))</f>
        <v/>
      </c>
      <c r="W862" s="17">
        <f>IF(AND(I862&gt;600,P862="Delivered"),"High Value Delivered","Standard")</f>
        <v/>
      </c>
      <c r="X862" s="17">
        <f>IF(OR(N862&gt;50,Q862&lt;=2),"High Risk / Delayed","Normal")</f>
        <v/>
      </c>
      <c r="Y862" s="17">
        <f>IF(NOT(P862="Cancelled"),"Fulfilled","Cancelled")</f>
        <v/>
      </c>
      <c r="Z862" s="17">
        <f>IFERROR(Q862,0)</f>
        <v/>
      </c>
    </row>
    <row r="863">
      <c r="A863" s="25" t="inlineStr">
        <is>
          <t>ORD1862</t>
        </is>
      </c>
      <c r="B863" s="25" t="inlineStr">
        <is>
          <t>2025-01-20</t>
        </is>
      </c>
      <c r="C863" s="25" t="inlineStr">
        <is>
          <t>14:58:07</t>
        </is>
      </c>
      <c r="D863" s="25" t="n">
        <v>1296</v>
      </c>
      <c r="E863" s="25" t="n">
        <v>112</v>
      </c>
      <c r="F863" s="25" t="n">
        <v>219</v>
      </c>
      <c r="G863" s="25" t="inlineStr">
        <is>
          <t>Delhi NCR</t>
        </is>
      </c>
      <c r="H863" s="25" t="inlineStr">
        <is>
          <t>North Indian</t>
        </is>
      </c>
      <c r="I863" s="26" t="n">
        <v>614</v>
      </c>
      <c r="J863" s="26" t="n">
        <v>7.98</v>
      </c>
      <c r="K863" s="26" t="n">
        <v>25</v>
      </c>
      <c r="L863" s="27" t="n">
        <v>0.22</v>
      </c>
      <c r="M863" s="26" t="n">
        <v>141.33</v>
      </c>
      <c r="N863" s="28" t="n">
        <v>3</v>
      </c>
      <c r="O863" s="28" t="n">
        <v>34.1</v>
      </c>
      <c r="P863" s="25" t="inlineStr">
        <is>
          <t>Debit Card</t>
        </is>
      </c>
      <c r="Q863" s="25" t="inlineStr">
        <is>
          <t>Delivered</t>
        </is>
      </c>
      <c r="R863" s="25" t="n">
        <v>3</v>
      </c>
      <c r="S863" s="25">
        <f>TEXT(B863,"yyyy-mm")</f>
        <v/>
      </c>
      <c r="T863" s="25">
        <f>VLOOKUP(D863,Customers!A:D,4,FALSE)</f>
        <v/>
      </c>
      <c r="U863" s="25">
        <f>CONCATENATE(A863,"-",G863)</f>
        <v/>
      </c>
      <c r="V863" s="25">
        <f>IF(N863="","",IF(N863&lt;=30,"Fast (&lt;30m)",IF(N863&lt;=45,"Moderate (30-45m)","Delayed (&gt;45m)")))</f>
        <v/>
      </c>
      <c r="W863" s="25">
        <f>IF(AND(I863&gt;600,P863="Delivered"),"High Value Delivered","Standard")</f>
        <v/>
      </c>
      <c r="X863" s="25">
        <f>IF(OR(N863&gt;50,Q863&lt;=2),"High Risk / Delayed","Normal")</f>
        <v/>
      </c>
      <c r="Y863" s="25">
        <f>IF(NOT(P863="Cancelled"),"Fulfilled","Cancelled")</f>
        <v/>
      </c>
      <c r="Z863" s="25">
        <f>IFERROR(Q863,0)</f>
        <v/>
      </c>
    </row>
    <row r="864">
      <c r="A864" s="17" t="inlineStr">
        <is>
          <t>ORD1863</t>
        </is>
      </c>
      <c r="B864" s="17" t="inlineStr">
        <is>
          <t>2025-12-23</t>
        </is>
      </c>
      <c r="C864" s="17" t="inlineStr">
        <is>
          <t>18:03:41</t>
        </is>
      </c>
      <c r="D864" s="17" t="n">
        <v>1087</v>
      </c>
      <c r="E864" s="17" t="n">
        <v>120</v>
      </c>
      <c r="F864" s="17" t="n">
        <v>208</v>
      </c>
      <c r="G864" s="17" t="inlineStr">
        <is>
          <t>Pune</t>
        </is>
      </c>
      <c r="H864" s="17" t="inlineStr">
        <is>
          <t>Fast Food</t>
        </is>
      </c>
      <c r="I864" s="22" t="n">
        <v>614</v>
      </c>
      <c r="J864" s="22" t="n">
        <v>70.52</v>
      </c>
      <c r="K864" s="22" t="n">
        <v>32</v>
      </c>
      <c r="L864" s="23" t="n">
        <v>0.18</v>
      </c>
      <c r="M864" s="22" t="n">
        <v>118.52</v>
      </c>
      <c r="N864" s="24" t="n">
        <v>4.4</v>
      </c>
      <c r="O864" s="24" t="n">
        <v>34.7</v>
      </c>
      <c r="P864" s="17" t="inlineStr">
        <is>
          <t>Credit Card</t>
        </is>
      </c>
      <c r="Q864" s="17" t="inlineStr">
        <is>
          <t>Delivered</t>
        </is>
      </c>
      <c r="R864" s="17" t="n">
        <v>5</v>
      </c>
      <c r="S864" s="17">
        <f>TEXT(B864,"yyyy-mm")</f>
        <v/>
      </c>
      <c r="T864" s="17">
        <f>VLOOKUP(D864,Customers!A:D,4,FALSE)</f>
        <v/>
      </c>
      <c r="U864" s="17">
        <f>CONCATENATE(A864,"-",G864)</f>
        <v/>
      </c>
      <c r="V864" s="17">
        <f>IF(N864="","",IF(N864&lt;=30,"Fast (&lt;30m)",IF(N864&lt;=45,"Moderate (30-45m)","Delayed (&gt;45m)")))</f>
        <v/>
      </c>
      <c r="W864" s="17">
        <f>IF(AND(I864&gt;600,P864="Delivered"),"High Value Delivered","Standard")</f>
        <v/>
      </c>
      <c r="X864" s="17">
        <f>IF(OR(N864&gt;50,Q864&lt;=2),"High Risk / Delayed","Normal")</f>
        <v/>
      </c>
      <c r="Y864" s="17">
        <f>IF(NOT(P864="Cancelled"),"Fulfilled","Cancelled")</f>
        <v/>
      </c>
      <c r="Z864" s="17">
        <f>IFERROR(Q864,0)</f>
        <v/>
      </c>
    </row>
    <row r="865">
      <c r="A865" s="25" t="inlineStr">
        <is>
          <t>ORD1864</t>
        </is>
      </c>
      <c r="B865" s="25" t="inlineStr">
        <is>
          <t>2025-11-20</t>
        </is>
      </c>
      <c r="C865" s="25" t="inlineStr">
        <is>
          <t>13:45:43</t>
        </is>
      </c>
      <c r="D865" s="25" t="n">
        <v>1155</v>
      </c>
      <c r="E865" s="25" t="n">
        <v>116</v>
      </c>
      <c r="F865" s="25" t="n">
        <v>207</v>
      </c>
      <c r="G865" s="25" t="inlineStr">
        <is>
          <t>Pune</t>
        </is>
      </c>
      <c r="H865" s="25" t="inlineStr">
        <is>
          <t>Desserts</t>
        </is>
      </c>
      <c r="I865" s="26" t="n">
        <v>526</v>
      </c>
      <c r="J865" s="26" t="n">
        <v>87.61</v>
      </c>
      <c r="K865" s="26" t="n">
        <v>0</v>
      </c>
      <c r="L865" s="27" t="n">
        <v>0.25</v>
      </c>
      <c r="M865" s="26" t="n">
        <v>131.5</v>
      </c>
      <c r="N865" s="28" t="n">
        <v>2.8</v>
      </c>
      <c r="O865" s="28" t="n">
        <v>25</v>
      </c>
      <c r="P865" s="25" t="inlineStr">
        <is>
          <t>Digital Wallet</t>
        </is>
      </c>
      <c r="Q865" s="25" t="inlineStr">
        <is>
          <t>Delivered</t>
        </is>
      </c>
      <c r="R865" s="25" t="n">
        <v>3</v>
      </c>
      <c r="S865" s="25">
        <f>TEXT(B865,"yyyy-mm")</f>
        <v/>
      </c>
      <c r="T865" s="25">
        <f>VLOOKUP(D865,Customers!A:D,4,FALSE)</f>
        <v/>
      </c>
      <c r="U865" s="25">
        <f>CONCATENATE(A865,"-",G865)</f>
        <v/>
      </c>
      <c r="V865" s="25">
        <f>IF(N865="","",IF(N865&lt;=30,"Fast (&lt;30m)",IF(N865&lt;=45,"Moderate (30-45m)","Delayed (&gt;45m)")))</f>
        <v/>
      </c>
      <c r="W865" s="25">
        <f>IF(AND(I865&gt;600,P865="Delivered"),"High Value Delivered","Standard")</f>
        <v/>
      </c>
      <c r="X865" s="25">
        <f>IF(OR(N865&gt;50,Q865&lt;=2),"High Risk / Delayed","Normal")</f>
        <v/>
      </c>
      <c r="Y865" s="25">
        <f>IF(NOT(P865="Cancelled"),"Fulfilled","Cancelled")</f>
        <v/>
      </c>
      <c r="Z865" s="25">
        <f>IFERROR(Q865,0)</f>
        <v/>
      </c>
    </row>
    <row r="866">
      <c r="A866" s="17" t="inlineStr">
        <is>
          <t>ORD1865</t>
        </is>
      </c>
      <c r="B866" s="17" t="inlineStr">
        <is>
          <t>2025-05-07</t>
        </is>
      </c>
      <c r="C866" s="17" t="inlineStr">
        <is>
          <t>20:38:37</t>
        </is>
      </c>
      <c r="D866" s="17" t="n">
        <v>1148</v>
      </c>
      <c r="E866" s="17" t="n">
        <v>105</v>
      </c>
      <c r="F866" s="17" t="n">
        <v>203</v>
      </c>
      <c r="G866" s="17" t="inlineStr">
        <is>
          <t>Bangalore</t>
        </is>
      </c>
      <c r="H866" s="17" t="inlineStr">
        <is>
          <t>Chinese</t>
        </is>
      </c>
      <c r="I866" s="22" t="n">
        <v>898</v>
      </c>
      <c r="J866" s="22" t="n">
        <v>0.89</v>
      </c>
      <c r="K866" s="22" t="n">
        <v>25</v>
      </c>
      <c r="L866" s="23" t="n">
        <v>0.2</v>
      </c>
      <c r="M866" s="22" t="n">
        <v>185.85</v>
      </c>
      <c r="N866" s="24" t="n">
        <v>2.1</v>
      </c>
      <c r="O866" s="24" t="n">
        <v>41.8</v>
      </c>
      <c r="P866" s="17" t="inlineStr">
        <is>
          <t>Cash on Delivery</t>
        </is>
      </c>
      <c r="Q866" s="17" t="inlineStr">
        <is>
          <t>Delivered</t>
        </is>
      </c>
      <c r="R866" s="17" t="n">
        <v>3</v>
      </c>
      <c r="S866" s="17">
        <f>TEXT(B866,"yyyy-mm")</f>
        <v/>
      </c>
      <c r="T866" s="17">
        <f>VLOOKUP(D866,Customers!A:D,4,FALSE)</f>
        <v/>
      </c>
      <c r="U866" s="17">
        <f>CONCATENATE(A866,"-",G866)</f>
        <v/>
      </c>
      <c r="V866" s="17">
        <f>IF(N866="","",IF(N866&lt;=30,"Fast (&lt;30m)",IF(N866&lt;=45,"Moderate (30-45m)","Delayed (&gt;45m)")))</f>
        <v/>
      </c>
      <c r="W866" s="17">
        <f>IF(AND(I866&gt;600,P866="Delivered"),"High Value Delivered","Standard")</f>
        <v/>
      </c>
      <c r="X866" s="17">
        <f>IF(OR(N866&gt;50,Q866&lt;=2),"High Risk / Delayed","Normal")</f>
        <v/>
      </c>
      <c r="Y866" s="17">
        <f>IF(NOT(P866="Cancelled"),"Fulfilled","Cancelled")</f>
        <v/>
      </c>
      <c r="Z866" s="17">
        <f>IFERROR(Q866,0)</f>
        <v/>
      </c>
    </row>
    <row r="867">
      <c r="A867" s="25" t="inlineStr">
        <is>
          <t>ORD1866</t>
        </is>
      </c>
      <c r="B867" s="25" t="inlineStr">
        <is>
          <t>2025-08-05</t>
        </is>
      </c>
      <c r="C867" s="25" t="inlineStr">
        <is>
          <t>17:10:53</t>
        </is>
      </c>
      <c r="D867" s="25" t="n">
        <v>1095</v>
      </c>
      <c r="E867" s="25" t="n">
        <v>112</v>
      </c>
      <c r="F867" s="25" t="n">
        <v>211</v>
      </c>
      <c r="G867" s="25" t="inlineStr">
        <is>
          <t>Delhi NCR</t>
        </is>
      </c>
      <c r="H867" s="25" t="inlineStr">
        <is>
          <t>North Indian</t>
        </is>
      </c>
      <c r="I867" s="26" t="n">
        <v>657</v>
      </c>
      <c r="J867" s="26" t="n">
        <v>44.48</v>
      </c>
      <c r="K867" s="26" t="n">
        <v>32</v>
      </c>
      <c r="L867" s="27" t="n">
        <v>0.22</v>
      </c>
      <c r="M867" s="26" t="n">
        <v>152.54</v>
      </c>
      <c r="N867" s="28" t="n">
        <v>4.4</v>
      </c>
      <c r="O867" s="28" t="n">
        <v>36.7</v>
      </c>
      <c r="P867" s="25" t="inlineStr">
        <is>
          <t>Digital Wallet</t>
        </is>
      </c>
      <c r="Q867" s="25" t="inlineStr">
        <is>
          <t>Delivered</t>
        </is>
      </c>
      <c r="R867" s="25" t="n">
        <v>5</v>
      </c>
      <c r="S867" s="25">
        <f>TEXT(B867,"yyyy-mm")</f>
        <v/>
      </c>
      <c r="T867" s="25">
        <f>VLOOKUP(D867,Customers!A:D,4,FALSE)</f>
        <v/>
      </c>
      <c r="U867" s="25">
        <f>CONCATENATE(A867,"-",G867)</f>
        <v/>
      </c>
      <c r="V867" s="25">
        <f>IF(N867="","",IF(N867&lt;=30,"Fast (&lt;30m)",IF(N867&lt;=45,"Moderate (30-45m)","Delayed (&gt;45m)")))</f>
        <v/>
      </c>
      <c r="W867" s="25">
        <f>IF(AND(I867&gt;600,P867="Delivered"),"High Value Delivered","Standard")</f>
        <v/>
      </c>
      <c r="X867" s="25">
        <f>IF(OR(N867&gt;50,Q867&lt;=2),"High Risk / Delayed","Normal")</f>
        <v/>
      </c>
      <c r="Y867" s="25">
        <f>IF(NOT(P867="Cancelled"),"Fulfilled","Cancelled")</f>
        <v/>
      </c>
      <c r="Z867" s="25">
        <f>IFERROR(Q867,0)</f>
        <v/>
      </c>
    </row>
    <row r="868">
      <c r="A868" s="17" t="inlineStr">
        <is>
          <t>ORD1867</t>
        </is>
      </c>
      <c r="B868" s="17" t="inlineStr">
        <is>
          <t>2025-02-15</t>
        </is>
      </c>
      <c r="C868" s="17" t="inlineStr">
        <is>
          <t>13:06:40</t>
        </is>
      </c>
      <c r="D868" s="17" t="n">
        <v>1252</v>
      </c>
      <c r="E868" s="17" t="n">
        <v>103</v>
      </c>
      <c r="F868" s="17" t="n">
        <v>229</v>
      </c>
      <c r="G868" s="17" t="inlineStr">
        <is>
          <t>Mumbai</t>
        </is>
      </c>
      <c r="H868" s="17" t="inlineStr">
        <is>
          <t>Italian</t>
        </is>
      </c>
      <c r="I868" s="22" t="n">
        <v>806</v>
      </c>
      <c r="J868" s="22" t="n">
        <v>22.21</v>
      </c>
      <c r="K868" s="22" t="n">
        <v>47</v>
      </c>
      <c r="L868" s="23" t="n">
        <v>0.18</v>
      </c>
      <c r="M868" s="22" t="n">
        <v>156.83</v>
      </c>
      <c r="N868" s="24" t="n">
        <v>7.4</v>
      </c>
      <c r="O868" s="24" t="n">
        <v>48.6</v>
      </c>
      <c r="P868" s="17" t="inlineStr">
        <is>
          <t>Credit Card</t>
        </is>
      </c>
      <c r="Q868" s="17" t="inlineStr">
        <is>
          <t>Delivered</t>
        </is>
      </c>
      <c r="R868" s="17" t="n">
        <v>3</v>
      </c>
      <c r="S868" s="17">
        <f>TEXT(B868,"yyyy-mm")</f>
        <v/>
      </c>
      <c r="T868" s="17">
        <f>VLOOKUP(D868,Customers!A:D,4,FALSE)</f>
        <v/>
      </c>
      <c r="U868" s="17">
        <f>CONCATENATE(A868,"-",G868)</f>
        <v/>
      </c>
      <c r="V868" s="17">
        <f>IF(N868="","",IF(N868&lt;=30,"Fast (&lt;30m)",IF(N868&lt;=45,"Moderate (30-45m)","Delayed (&gt;45m)")))</f>
        <v/>
      </c>
      <c r="W868" s="17">
        <f>IF(AND(I868&gt;600,P868="Delivered"),"High Value Delivered","Standard")</f>
        <v/>
      </c>
      <c r="X868" s="17">
        <f>IF(OR(N868&gt;50,Q868&lt;=2),"High Risk / Delayed","Normal")</f>
        <v/>
      </c>
      <c r="Y868" s="17">
        <f>IF(NOT(P868="Cancelled"),"Fulfilled","Cancelled")</f>
        <v/>
      </c>
      <c r="Z868" s="17">
        <f>IFERROR(Q868,0)</f>
        <v/>
      </c>
    </row>
    <row r="869">
      <c r="A869" s="25" t="inlineStr">
        <is>
          <t>ORD1868</t>
        </is>
      </c>
      <c r="B869" s="25" t="inlineStr">
        <is>
          <t>2025-03-28</t>
        </is>
      </c>
      <c r="C869" s="25" t="inlineStr">
        <is>
          <t>14:52:31</t>
        </is>
      </c>
      <c r="D869" s="25" t="n">
        <v>1074</v>
      </c>
      <c r="E869" s="25" t="n">
        <v>106</v>
      </c>
      <c r="F869" s="25" t="n">
        <v>226</v>
      </c>
      <c r="G869" s="25" t="inlineStr">
        <is>
          <t>Pune</t>
        </is>
      </c>
      <c r="H869" s="25" t="inlineStr">
        <is>
          <t>South Indian</t>
        </is>
      </c>
      <c r="I869" s="26" t="n">
        <v>221</v>
      </c>
      <c r="J869" s="26" t="n">
        <v>12.55</v>
      </c>
      <c r="K869" s="26" t="n">
        <v>25</v>
      </c>
      <c r="L869" s="27" t="n">
        <v>0.15</v>
      </c>
      <c r="M869" s="26" t="n">
        <v>39.4</v>
      </c>
      <c r="N869" s="28" t="n">
        <v>2.1</v>
      </c>
      <c r="O869" s="28" t="n">
        <v>30.8</v>
      </c>
      <c r="P869" s="25" t="inlineStr">
        <is>
          <t>Cash on Delivery</t>
        </is>
      </c>
      <c r="Q869" s="25" t="inlineStr">
        <is>
          <t>Delivered</t>
        </is>
      </c>
      <c r="R869" s="25" t="n">
        <v>5</v>
      </c>
      <c r="S869" s="25">
        <f>TEXT(B869,"yyyy-mm")</f>
        <v/>
      </c>
      <c r="T869" s="25">
        <f>VLOOKUP(D869,Customers!A:D,4,FALSE)</f>
        <v/>
      </c>
      <c r="U869" s="25">
        <f>CONCATENATE(A869,"-",G869)</f>
        <v/>
      </c>
      <c r="V869" s="25">
        <f>IF(N869="","",IF(N869&lt;=30,"Fast (&lt;30m)",IF(N869&lt;=45,"Moderate (30-45m)","Delayed (&gt;45m)")))</f>
        <v/>
      </c>
      <c r="W869" s="25">
        <f>IF(AND(I869&gt;600,P869="Delivered"),"High Value Delivered","Standard")</f>
        <v/>
      </c>
      <c r="X869" s="25">
        <f>IF(OR(N869&gt;50,Q869&lt;=2),"High Risk / Delayed","Normal")</f>
        <v/>
      </c>
      <c r="Y869" s="25">
        <f>IF(NOT(P869="Cancelled"),"Fulfilled","Cancelled")</f>
        <v/>
      </c>
      <c r="Z869" s="25">
        <f>IFERROR(Q869,0)</f>
        <v/>
      </c>
    </row>
    <row r="870">
      <c r="A870" s="17" t="inlineStr">
        <is>
          <t>ORD1869</t>
        </is>
      </c>
      <c r="B870" s="17" t="inlineStr">
        <is>
          <t>2025-03-29</t>
        </is>
      </c>
      <c r="C870" s="17" t="inlineStr">
        <is>
          <t>12:11:23</t>
        </is>
      </c>
      <c r="D870" s="17" t="n">
        <v>1269</v>
      </c>
      <c r="E870" s="17" t="n">
        <v>113</v>
      </c>
      <c r="F870" s="17" t="n">
        <v>202</v>
      </c>
      <c r="G870" s="17" t="inlineStr">
        <is>
          <t>Mumbai</t>
        </is>
      </c>
      <c r="H870" s="17" t="inlineStr">
        <is>
          <t>Fast Food</t>
        </is>
      </c>
      <c r="I870" s="22" t="n">
        <v>410</v>
      </c>
      <c r="J870" s="22" t="n">
        <v>6.5</v>
      </c>
      <c r="K870" s="22" t="n">
        <v>28</v>
      </c>
      <c r="L870" s="23" t="n">
        <v>0.18</v>
      </c>
      <c r="M870" s="22" t="n">
        <v>80.8</v>
      </c>
      <c r="N870" s="24" t="n">
        <v>3.6</v>
      </c>
      <c r="O870" s="24" t="n">
        <v>28</v>
      </c>
      <c r="P870" s="17" t="inlineStr">
        <is>
          <t>UPI</t>
        </is>
      </c>
      <c r="Q870" s="17" t="inlineStr">
        <is>
          <t>Delivered</t>
        </is>
      </c>
      <c r="R870" s="17" t="n">
        <v>4</v>
      </c>
      <c r="S870" s="17">
        <f>TEXT(B870,"yyyy-mm")</f>
        <v/>
      </c>
      <c r="T870" s="17">
        <f>VLOOKUP(D870,Customers!A:D,4,FALSE)</f>
        <v/>
      </c>
      <c r="U870" s="17">
        <f>CONCATENATE(A870,"-",G870)</f>
        <v/>
      </c>
      <c r="V870" s="17">
        <f>IF(N870="","",IF(N870&lt;=30,"Fast (&lt;30m)",IF(N870&lt;=45,"Moderate (30-45m)","Delayed (&gt;45m)")))</f>
        <v/>
      </c>
      <c r="W870" s="17">
        <f>IF(AND(I870&gt;600,P870="Delivered"),"High Value Delivered","Standard")</f>
        <v/>
      </c>
      <c r="X870" s="17">
        <f>IF(OR(N870&gt;50,Q870&lt;=2),"High Risk / Delayed","Normal")</f>
        <v/>
      </c>
      <c r="Y870" s="17">
        <f>IF(NOT(P870="Cancelled"),"Fulfilled","Cancelled")</f>
        <v/>
      </c>
      <c r="Z870" s="17">
        <f>IFERROR(Q870,0)</f>
        <v/>
      </c>
    </row>
    <row r="871">
      <c r="A871" s="25" t="inlineStr">
        <is>
          <t>ORD1870</t>
        </is>
      </c>
      <c r="B871" s="25" t="inlineStr">
        <is>
          <t>2025-04-13</t>
        </is>
      </c>
      <c r="C871" s="25" t="inlineStr">
        <is>
          <t>21:03:47</t>
        </is>
      </c>
      <c r="D871" s="25" t="n">
        <v>1295</v>
      </c>
      <c r="E871" s="25" t="n">
        <v>118</v>
      </c>
      <c r="F871" s="25" t="n">
        <v>228</v>
      </c>
      <c r="G871" s="25" t="inlineStr">
        <is>
          <t>Delhi NCR</t>
        </is>
      </c>
      <c r="H871" s="25" t="inlineStr">
        <is>
          <t>North Indian</t>
        </is>
      </c>
      <c r="I871" s="26" t="n">
        <v>407</v>
      </c>
      <c r="J871" s="26" t="n">
        <v>6.25</v>
      </c>
      <c r="K871" s="26" t="n">
        <v>35.5</v>
      </c>
      <c r="L871" s="27" t="n">
        <v>0.2</v>
      </c>
      <c r="M871" s="26" t="n">
        <v>90.28</v>
      </c>
      <c r="N871" s="28" t="n">
        <v>5.1</v>
      </c>
      <c r="O871" s="28" t="n">
        <v>43.7</v>
      </c>
      <c r="P871" s="25" t="inlineStr">
        <is>
          <t>Cash on Delivery</t>
        </is>
      </c>
      <c r="Q871" s="25" t="inlineStr">
        <is>
          <t>Delivered</t>
        </is>
      </c>
      <c r="R871" s="25" t="n">
        <v>2</v>
      </c>
      <c r="S871" s="25">
        <f>TEXT(B871,"yyyy-mm")</f>
        <v/>
      </c>
      <c r="T871" s="25">
        <f>VLOOKUP(D871,Customers!A:D,4,FALSE)</f>
        <v/>
      </c>
      <c r="U871" s="25">
        <f>CONCATENATE(A871,"-",G871)</f>
        <v/>
      </c>
      <c r="V871" s="25">
        <f>IF(N871="","",IF(N871&lt;=30,"Fast (&lt;30m)",IF(N871&lt;=45,"Moderate (30-45m)","Delayed (&gt;45m)")))</f>
        <v/>
      </c>
      <c r="W871" s="25">
        <f>IF(AND(I871&gt;600,P871="Delivered"),"High Value Delivered","Standard")</f>
        <v/>
      </c>
      <c r="X871" s="25">
        <f>IF(OR(N871&gt;50,Q871&lt;=2),"High Risk / Delayed","Normal")</f>
        <v/>
      </c>
      <c r="Y871" s="25">
        <f>IF(NOT(P871="Cancelled"),"Fulfilled","Cancelled")</f>
        <v/>
      </c>
      <c r="Z871" s="25">
        <f>IFERROR(Q871,0)</f>
        <v/>
      </c>
    </row>
    <row r="872">
      <c r="A872" s="17" t="inlineStr">
        <is>
          <t>ORD1871</t>
        </is>
      </c>
      <c r="B872" s="17" t="inlineStr">
        <is>
          <t>2025-02-10</t>
        </is>
      </c>
      <c r="C872" s="17" t="inlineStr">
        <is>
          <t>14:18:05</t>
        </is>
      </c>
      <c r="D872" s="17" t="n">
        <v>1157</v>
      </c>
      <c r="E872" s="17" t="n">
        <v>114</v>
      </c>
      <c r="F872" s="17" t="n">
        <v>225</v>
      </c>
      <c r="G872" s="17" t="inlineStr">
        <is>
          <t>Hyderabad</t>
        </is>
      </c>
      <c r="H872" s="17" t="inlineStr">
        <is>
          <t>Biryani</t>
        </is>
      </c>
      <c r="I872" s="22" t="n">
        <v>606</v>
      </c>
      <c r="J872" s="22" t="n">
        <v>35.59</v>
      </c>
      <c r="K872" s="22" t="n">
        <v>32</v>
      </c>
      <c r="L872" s="23" t="n">
        <v>0.22</v>
      </c>
      <c r="M872" s="22" t="n">
        <v>141.32</v>
      </c>
      <c r="N872" s="24" t="n">
        <v>4.4</v>
      </c>
      <c r="O872" s="24" t="n">
        <v>29.3</v>
      </c>
      <c r="P872" s="17" t="inlineStr">
        <is>
          <t>UPI</t>
        </is>
      </c>
      <c r="Q872" s="17" t="inlineStr">
        <is>
          <t>Delivered</t>
        </is>
      </c>
      <c r="R872" s="17" t="n">
        <v>5</v>
      </c>
      <c r="S872" s="17">
        <f>TEXT(B872,"yyyy-mm")</f>
        <v/>
      </c>
      <c r="T872" s="17">
        <f>VLOOKUP(D872,Customers!A:D,4,FALSE)</f>
        <v/>
      </c>
      <c r="U872" s="17">
        <f>CONCATENATE(A872,"-",G872)</f>
        <v/>
      </c>
      <c r="V872" s="17">
        <f>IF(N872="","",IF(N872&lt;=30,"Fast (&lt;30m)",IF(N872&lt;=45,"Moderate (30-45m)","Delayed (&gt;45m)")))</f>
        <v/>
      </c>
      <c r="W872" s="17">
        <f>IF(AND(I872&gt;600,P872="Delivered"),"High Value Delivered","Standard")</f>
        <v/>
      </c>
      <c r="X872" s="17">
        <f>IF(OR(N872&gt;50,Q872&lt;=2),"High Risk / Delayed","Normal")</f>
        <v/>
      </c>
      <c r="Y872" s="17">
        <f>IF(NOT(P872="Cancelled"),"Fulfilled","Cancelled")</f>
        <v/>
      </c>
      <c r="Z872" s="17">
        <f>IFERROR(Q872,0)</f>
        <v/>
      </c>
    </row>
    <row r="873">
      <c r="A873" s="25" t="inlineStr">
        <is>
          <t>ORD1872</t>
        </is>
      </c>
      <c r="B873" s="25" t="inlineStr">
        <is>
          <t>2025-12-11</t>
        </is>
      </c>
      <c r="C873" s="25" t="inlineStr">
        <is>
          <t>19:48:06</t>
        </is>
      </c>
      <c r="D873" s="25" t="n">
        <v>1009</v>
      </c>
      <c r="E873" s="25" t="n">
        <v>102</v>
      </c>
      <c r="F873" s="25" t="n">
        <v>225</v>
      </c>
      <c r="G873" s="25" t="inlineStr">
        <is>
          <t>Hyderabad</t>
        </is>
      </c>
      <c r="H873" s="25" t="inlineStr">
        <is>
          <t>Biryani</t>
        </is>
      </c>
      <c r="I873" s="26" t="n">
        <v>229</v>
      </c>
      <c r="J873" s="26" t="n">
        <v>12.43</v>
      </c>
      <c r="K873" s="26" t="n">
        <v>44.5</v>
      </c>
      <c r="L873" s="27" t="n">
        <v>0.22</v>
      </c>
      <c r="M873" s="26" t="n">
        <v>61.5</v>
      </c>
      <c r="N873" s="28" t="n">
        <v>6.9</v>
      </c>
      <c r="O873" s="28" t="n">
        <v>54.3</v>
      </c>
      <c r="P873" s="25" t="inlineStr">
        <is>
          <t>UPI</t>
        </is>
      </c>
      <c r="Q873" s="25" t="inlineStr">
        <is>
          <t>Delivered</t>
        </is>
      </c>
      <c r="R873" s="25" t="n">
        <v>2</v>
      </c>
      <c r="S873" s="25">
        <f>TEXT(B873,"yyyy-mm")</f>
        <v/>
      </c>
      <c r="T873" s="25">
        <f>VLOOKUP(D873,Customers!A:D,4,FALSE)</f>
        <v/>
      </c>
      <c r="U873" s="25">
        <f>CONCATENATE(A873,"-",G873)</f>
        <v/>
      </c>
      <c r="V873" s="25">
        <f>IF(N873="","",IF(N873&lt;=30,"Fast (&lt;30m)",IF(N873&lt;=45,"Moderate (30-45m)","Delayed (&gt;45m)")))</f>
        <v/>
      </c>
      <c r="W873" s="25">
        <f>IF(AND(I873&gt;600,P873="Delivered"),"High Value Delivered","Standard")</f>
        <v/>
      </c>
      <c r="X873" s="25">
        <f>IF(OR(N873&gt;50,Q873&lt;=2),"High Risk / Delayed","Normal")</f>
        <v/>
      </c>
      <c r="Y873" s="25">
        <f>IF(NOT(P873="Cancelled"),"Fulfilled","Cancelled")</f>
        <v/>
      </c>
      <c r="Z873" s="25">
        <f>IFERROR(Q873,0)</f>
        <v/>
      </c>
    </row>
    <row r="874">
      <c r="A874" s="17" t="inlineStr">
        <is>
          <t>ORD1873</t>
        </is>
      </c>
      <c r="B874" s="17" t="inlineStr">
        <is>
          <t>2025-09-25</t>
        </is>
      </c>
      <c r="C874" s="17" t="inlineStr">
        <is>
          <t>19:50:00</t>
        </is>
      </c>
      <c r="D874" s="17" t="n">
        <v>1230</v>
      </c>
      <c r="E874" s="17" t="n">
        <v>109</v>
      </c>
      <c r="F874" s="17" t="n">
        <v>225</v>
      </c>
      <c r="G874" s="17" t="inlineStr">
        <is>
          <t>Hyderabad</t>
        </is>
      </c>
      <c r="H874" s="17" t="inlineStr">
        <is>
          <t>Biryani</t>
        </is>
      </c>
      <c r="I874" s="22" t="n">
        <v>604</v>
      </c>
      <c r="J874" s="22" t="n">
        <v>55.69</v>
      </c>
      <c r="K874" s="22" t="n">
        <v>30.5</v>
      </c>
      <c r="L874" s="23" t="n">
        <v>0.2</v>
      </c>
      <c r="M874" s="22" t="n">
        <v>128.43</v>
      </c>
      <c r="N874" s="24" t="n">
        <v>4.1</v>
      </c>
      <c r="O874" s="24" t="n">
        <v>37.6</v>
      </c>
      <c r="P874" s="17" t="inlineStr">
        <is>
          <t>Debit Card</t>
        </is>
      </c>
      <c r="Q874" s="17" t="inlineStr">
        <is>
          <t>Delivered</t>
        </is>
      </c>
      <c r="R874" s="17" t="n">
        <v>5</v>
      </c>
      <c r="S874" s="17">
        <f>TEXT(B874,"yyyy-mm")</f>
        <v/>
      </c>
      <c r="T874" s="17">
        <f>VLOOKUP(D874,Customers!A:D,4,FALSE)</f>
        <v/>
      </c>
      <c r="U874" s="17">
        <f>CONCATENATE(A874,"-",G874)</f>
        <v/>
      </c>
      <c r="V874" s="17">
        <f>IF(N874="","",IF(N874&lt;=30,"Fast (&lt;30m)",IF(N874&lt;=45,"Moderate (30-45m)","Delayed (&gt;45m)")))</f>
        <v/>
      </c>
      <c r="W874" s="17">
        <f>IF(AND(I874&gt;600,P874="Delivered"),"High Value Delivered","Standard")</f>
        <v/>
      </c>
      <c r="X874" s="17">
        <f>IF(OR(N874&gt;50,Q874&lt;=2),"High Risk / Delayed","Normal")</f>
        <v/>
      </c>
      <c r="Y874" s="17">
        <f>IF(NOT(P874="Cancelled"),"Fulfilled","Cancelled")</f>
        <v/>
      </c>
      <c r="Z874" s="17">
        <f>IFERROR(Q874,0)</f>
        <v/>
      </c>
    </row>
    <row r="875">
      <c r="A875" s="25" t="inlineStr">
        <is>
          <t>ORD1874</t>
        </is>
      </c>
      <c r="B875" s="25" t="inlineStr">
        <is>
          <t>2025-11-06</t>
        </is>
      </c>
      <c r="C875" s="25" t="inlineStr">
        <is>
          <t>17:27:21</t>
        </is>
      </c>
      <c r="D875" s="25" t="n">
        <v>1087</v>
      </c>
      <c r="E875" s="25" t="n">
        <v>116</v>
      </c>
      <c r="F875" s="25" t="n">
        <v>224</v>
      </c>
      <c r="G875" s="25" t="inlineStr">
        <is>
          <t>Pune</t>
        </is>
      </c>
      <c r="H875" s="25" t="inlineStr">
        <is>
          <t>Desserts</t>
        </is>
      </c>
      <c r="I875" s="26" t="n">
        <v>599</v>
      </c>
      <c r="J875" s="26" t="n">
        <v>58.54</v>
      </c>
      <c r="K875" s="26" t="n">
        <v>28</v>
      </c>
      <c r="L875" s="27" t="n">
        <v>0.25</v>
      </c>
      <c r="M875" s="26" t="n">
        <v>156.75</v>
      </c>
      <c r="N875" s="28" t="n">
        <v>3.6</v>
      </c>
      <c r="O875" s="28" t="n">
        <v>28</v>
      </c>
      <c r="P875" s="25" t="inlineStr">
        <is>
          <t>Debit Card</t>
        </is>
      </c>
      <c r="Q875" s="25" t="inlineStr">
        <is>
          <t>Delivered</t>
        </is>
      </c>
      <c r="R875" s="25" t="n">
        <v>4</v>
      </c>
      <c r="S875" s="25">
        <f>TEXT(B875,"yyyy-mm")</f>
        <v/>
      </c>
      <c r="T875" s="25">
        <f>VLOOKUP(D875,Customers!A:D,4,FALSE)</f>
        <v/>
      </c>
      <c r="U875" s="25">
        <f>CONCATENATE(A875,"-",G875)</f>
        <v/>
      </c>
      <c r="V875" s="25">
        <f>IF(N875="","",IF(N875&lt;=30,"Fast (&lt;30m)",IF(N875&lt;=45,"Moderate (30-45m)","Delayed (&gt;45m)")))</f>
        <v/>
      </c>
      <c r="W875" s="25">
        <f>IF(AND(I875&gt;600,P875="Delivered"),"High Value Delivered","Standard")</f>
        <v/>
      </c>
      <c r="X875" s="25">
        <f>IF(OR(N875&gt;50,Q875&lt;=2),"High Risk / Delayed","Normal")</f>
        <v/>
      </c>
      <c r="Y875" s="25">
        <f>IF(NOT(P875="Cancelled"),"Fulfilled","Cancelled")</f>
        <v/>
      </c>
      <c r="Z875" s="25">
        <f>IFERROR(Q875,0)</f>
        <v/>
      </c>
    </row>
    <row r="876">
      <c r="A876" s="17" t="inlineStr">
        <is>
          <t>ORD1875</t>
        </is>
      </c>
      <c r="B876" s="17" t="inlineStr">
        <is>
          <t>2025-12-07</t>
        </is>
      </c>
      <c r="C876" s="17" t="inlineStr">
        <is>
          <t>22:25:24</t>
        </is>
      </c>
      <c r="D876" s="17" t="n">
        <v>1085</v>
      </c>
      <c r="E876" s="17" t="n">
        <v>114</v>
      </c>
      <c r="F876" s="17" t="n">
        <v>216</v>
      </c>
      <c r="G876" s="17" t="inlineStr">
        <is>
          <t>Hyderabad</t>
        </is>
      </c>
      <c r="H876" s="17" t="inlineStr">
        <is>
          <t>Biryani</t>
        </is>
      </c>
      <c r="I876" s="22" t="n">
        <v>845</v>
      </c>
      <c r="J876" s="22" t="n">
        <v>0</v>
      </c>
      <c r="K876" s="22" t="n">
        <v>30.5</v>
      </c>
      <c r="L876" s="23" t="n">
        <v>0.22</v>
      </c>
      <c r="M876" s="22" t="n">
        <v>193.52</v>
      </c>
      <c r="N876" s="24" t="n">
        <v>4.1</v>
      </c>
      <c r="O876" s="24" t="n">
        <v>32.7</v>
      </c>
      <c r="P876" s="17" t="inlineStr">
        <is>
          <t>Debit Card</t>
        </is>
      </c>
      <c r="Q876" s="17" t="inlineStr">
        <is>
          <t>Delivered</t>
        </is>
      </c>
      <c r="R876" s="17" t="n">
        <v>4</v>
      </c>
      <c r="S876" s="17">
        <f>TEXT(B876,"yyyy-mm")</f>
        <v/>
      </c>
      <c r="T876" s="17">
        <f>VLOOKUP(D876,Customers!A:D,4,FALSE)</f>
        <v/>
      </c>
      <c r="U876" s="17">
        <f>CONCATENATE(A876,"-",G876)</f>
        <v/>
      </c>
      <c r="V876" s="17">
        <f>IF(N876="","",IF(N876&lt;=30,"Fast (&lt;30m)",IF(N876&lt;=45,"Moderate (30-45m)","Delayed (&gt;45m)")))</f>
        <v/>
      </c>
      <c r="W876" s="17">
        <f>IF(AND(I876&gt;600,P876="Delivered"),"High Value Delivered","Standard")</f>
        <v/>
      </c>
      <c r="X876" s="17">
        <f>IF(OR(N876&gt;50,Q876&lt;=2),"High Risk / Delayed","Normal")</f>
        <v/>
      </c>
      <c r="Y876" s="17">
        <f>IF(NOT(P876="Cancelled"),"Fulfilled","Cancelled")</f>
        <v/>
      </c>
      <c r="Z876" s="17">
        <f>IFERROR(Q876,0)</f>
        <v/>
      </c>
    </row>
    <row r="877">
      <c r="A877" s="25" t="inlineStr">
        <is>
          <t>ORD1876</t>
        </is>
      </c>
      <c r="B877" s="25" t="inlineStr">
        <is>
          <t>2025-08-22</t>
        </is>
      </c>
      <c r="C877" s="25" t="inlineStr">
        <is>
          <t>21:55:44</t>
        </is>
      </c>
      <c r="D877" s="25" t="n">
        <v>1159</v>
      </c>
      <c r="E877" s="25" t="n">
        <v>104</v>
      </c>
      <c r="F877" s="25" t="n">
        <v>212</v>
      </c>
      <c r="G877" s="25" t="inlineStr">
        <is>
          <t>Delhi NCR</t>
        </is>
      </c>
      <c r="H877" s="25" t="inlineStr">
        <is>
          <t>Fast Food</t>
        </is>
      </c>
      <c r="I877" s="26" t="n">
        <v>631</v>
      </c>
      <c r="J877" s="26" t="n">
        <v>44.82</v>
      </c>
      <c r="K877" s="26" t="n">
        <v>77</v>
      </c>
      <c r="L877" s="27" t="n">
        <v>0.18</v>
      </c>
      <c r="M877" s="26" t="n">
        <v>132.83</v>
      </c>
      <c r="N877" s="28" t="n">
        <v>13.4</v>
      </c>
      <c r="O877" s="28" t="n">
        <v/>
      </c>
      <c r="P877" s="25" t="inlineStr">
        <is>
          <t>Digital Wallet</t>
        </is>
      </c>
      <c r="Q877" s="25" t="inlineStr">
        <is>
          <t>Cancelled</t>
        </is>
      </c>
      <c r="R877" s="25" t="n">
        <v/>
      </c>
      <c r="S877" s="25">
        <f>TEXT(B877,"yyyy-mm")</f>
        <v/>
      </c>
      <c r="T877" s="25">
        <f>VLOOKUP(D877,Customers!A:D,4,FALSE)</f>
        <v/>
      </c>
      <c r="U877" s="25">
        <f>CONCATENATE(A877,"-",G877)</f>
        <v/>
      </c>
      <c r="V877" s="25">
        <f>IF(N877="","",IF(N877&lt;=30,"Fast (&lt;30m)",IF(N877&lt;=45,"Moderate (30-45m)","Delayed (&gt;45m)")))</f>
        <v/>
      </c>
      <c r="W877" s="25">
        <f>IF(AND(I877&gt;600,P877="Delivered"),"High Value Delivered","Standard")</f>
        <v/>
      </c>
      <c r="X877" s="25">
        <f>IF(OR(N877&gt;50,Q877&lt;=2),"High Risk / Delayed","Normal")</f>
        <v/>
      </c>
      <c r="Y877" s="25">
        <f>IF(NOT(P877="Cancelled"),"Fulfilled","Cancelled")</f>
        <v/>
      </c>
      <c r="Z877" s="25">
        <f>IFERROR(Q877,0)</f>
        <v/>
      </c>
    </row>
    <row r="878">
      <c r="A878" s="17" t="inlineStr">
        <is>
          <t>ORD1877</t>
        </is>
      </c>
      <c r="B878" s="17" t="inlineStr">
        <is>
          <t>2025-12-25</t>
        </is>
      </c>
      <c r="C878" s="17" t="inlineStr">
        <is>
          <t>20:48:52</t>
        </is>
      </c>
      <c r="D878" s="17" t="n">
        <v>1300</v>
      </c>
      <c r="E878" s="17" t="n">
        <v>118</v>
      </c>
      <c r="F878" s="17" t="n">
        <v>211</v>
      </c>
      <c r="G878" s="17" t="inlineStr">
        <is>
          <t>Delhi NCR</t>
        </is>
      </c>
      <c r="H878" s="17" t="inlineStr">
        <is>
          <t>North Indian</t>
        </is>
      </c>
      <c r="I878" s="22" t="n">
        <v>474</v>
      </c>
      <c r="J878" s="22" t="n">
        <v>0</v>
      </c>
      <c r="K878" s="22" t="n">
        <v>25</v>
      </c>
      <c r="L878" s="23" t="n">
        <v>0.2</v>
      </c>
      <c r="M878" s="22" t="n">
        <v>101.05</v>
      </c>
      <c r="N878" s="24" t="n">
        <v>2.1</v>
      </c>
      <c r="O878" s="24" t="n">
        <v>26.5</v>
      </c>
      <c r="P878" s="17" t="inlineStr">
        <is>
          <t>Cash on Delivery</t>
        </is>
      </c>
      <c r="Q878" s="17" t="inlineStr">
        <is>
          <t>Delivered</t>
        </is>
      </c>
      <c r="R878" s="17" t="n">
        <v>2</v>
      </c>
      <c r="S878" s="17">
        <f>TEXT(B878,"yyyy-mm")</f>
        <v/>
      </c>
      <c r="T878" s="17">
        <f>VLOOKUP(D878,Customers!A:D,4,FALSE)</f>
        <v/>
      </c>
      <c r="U878" s="17">
        <f>CONCATENATE(A878,"-",G878)</f>
        <v/>
      </c>
      <c r="V878" s="17">
        <f>IF(N878="","",IF(N878&lt;=30,"Fast (&lt;30m)",IF(N878&lt;=45,"Moderate (30-45m)","Delayed (&gt;45m)")))</f>
        <v/>
      </c>
      <c r="W878" s="17">
        <f>IF(AND(I878&gt;600,P878="Delivered"),"High Value Delivered","Standard")</f>
        <v/>
      </c>
      <c r="X878" s="17">
        <f>IF(OR(N878&gt;50,Q878&lt;=2),"High Risk / Delayed","Normal")</f>
        <v/>
      </c>
      <c r="Y878" s="17">
        <f>IF(NOT(P878="Cancelled"),"Fulfilled","Cancelled")</f>
        <v/>
      </c>
      <c r="Z878" s="17">
        <f>IFERROR(Q878,0)</f>
        <v/>
      </c>
    </row>
    <row r="879">
      <c r="A879" s="25" t="inlineStr">
        <is>
          <t>ORD1878</t>
        </is>
      </c>
      <c r="B879" s="25" t="inlineStr">
        <is>
          <t>2025-11-23</t>
        </is>
      </c>
      <c r="C879" s="25" t="inlineStr">
        <is>
          <t>08:52:20</t>
        </is>
      </c>
      <c r="D879" s="25" t="n">
        <v>1284</v>
      </c>
      <c r="E879" s="25" t="n">
        <v>119</v>
      </c>
      <c r="F879" s="25" t="n">
        <v>225</v>
      </c>
      <c r="G879" s="25" t="inlineStr">
        <is>
          <t>Hyderabad</t>
        </is>
      </c>
      <c r="H879" s="25" t="inlineStr">
        <is>
          <t>Biryani</t>
        </is>
      </c>
      <c r="I879" s="26" t="n">
        <v>237</v>
      </c>
      <c r="J879" s="26" t="n">
        <v>16.56</v>
      </c>
      <c r="K879" s="26" t="n">
        <v>25</v>
      </c>
      <c r="L879" s="27" t="n">
        <v>0.2</v>
      </c>
      <c r="M879" s="26" t="n">
        <v>53.65</v>
      </c>
      <c r="N879" s="28" t="n">
        <v>2.6</v>
      </c>
      <c r="O879" s="28" t="n">
        <v>34.7</v>
      </c>
      <c r="P879" s="25" t="inlineStr">
        <is>
          <t>Debit Card</t>
        </is>
      </c>
      <c r="Q879" s="25" t="inlineStr">
        <is>
          <t>Delivered</t>
        </is>
      </c>
      <c r="R879" s="25" t="n">
        <v>5</v>
      </c>
      <c r="S879" s="25">
        <f>TEXT(B879,"yyyy-mm")</f>
        <v/>
      </c>
      <c r="T879" s="25">
        <f>VLOOKUP(D879,Customers!A:D,4,FALSE)</f>
        <v/>
      </c>
      <c r="U879" s="25">
        <f>CONCATENATE(A879,"-",G879)</f>
        <v/>
      </c>
      <c r="V879" s="25">
        <f>IF(N879="","",IF(N879&lt;=30,"Fast (&lt;30m)",IF(N879&lt;=45,"Moderate (30-45m)","Delayed (&gt;45m)")))</f>
        <v/>
      </c>
      <c r="W879" s="25">
        <f>IF(AND(I879&gt;600,P879="Delivered"),"High Value Delivered","Standard")</f>
        <v/>
      </c>
      <c r="X879" s="25">
        <f>IF(OR(N879&gt;50,Q879&lt;=2),"High Risk / Delayed","Normal")</f>
        <v/>
      </c>
      <c r="Y879" s="25">
        <f>IF(NOT(P879="Cancelled"),"Fulfilled","Cancelled")</f>
        <v/>
      </c>
      <c r="Z879" s="25">
        <f>IFERROR(Q879,0)</f>
        <v/>
      </c>
    </row>
    <row r="880">
      <c r="A880" s="17" t="inlineStr">
        <is>
          <t>ORD1879</t>
        </is>
      </c>
      <c r="B880" s="17" t="inlineStr">
        <is>
          <t>2025-07-24</t>
        </is>
      </c>
      <c r="C880" s="17" t="inlineStr">
        <is>
          <t>21:47:39</t>
        </is>
      </c>
      <c r="D880" s="17" t="n">
        <v>1217</v>
      </c>
      <c r="E880" s="17" t="n">
        <v>114</v>
      </c>
      <c r="F880" s="17" t="n">
        <v>215</v>
      </c>
      <c r="G880" s="17" t="inlineStr">
        <is>
          <t>Hyderabad</t>
        </is>
      </c>
      <c r="H880" s="17" t="inlineStr">
        <is>
          <t>Biryani</t>
        </is>
      </c>
      <c r="I880" s="22" t="n">
        <v>303</v>
      </c>
      <c r="J880" s="22" t="n">
        <v>0</v>
      </c>
      <c r="K880" s="22" t="n">
        <v>34</v>
      </c>
      <c r="L880" s="23" t="n">
        <v>0.22</v>
      </c>
      <c r="M880" s="22" t="n">
        <v>75.16</v>
      </c>
      <c r="N880" s="24" t="n">
        <v>4.8</v>
      </c>
      <c r="O880" s="24" t="n">
        <v>44.7</v>
      </c>
      <c r="P880" s="17" t="inlineStr">
        <is>
          <t>Cash on Delivery</t>
        </is>
      </c>
      <c r="Q880" s="17" t="inlineStr">
        <is>
          <t>Delivered</t>
        </is>
      </c>
      <c r="R880" s="17" t="n">
        <v>5</v>
      </c>
      <c r="S880" s="17">
        <f>TEXT(B880,"yyyy-mm")</f>
        <v/>
      </c>
      <c r="T880" s="17">
        <f>VLOOKUP(D880,Customers!A:D,4,FALSE)</f>
        <v/>
      </c>
      <c r="U880" s="17">
        <f>CONCATENATE(A880,"-",G880)</f>
        <v/>
      </c>
      <c r="V880" s="17">
        <f>IF(N880="","",IF(N880&lt;=30,"Fast (&lt;30m)",IF(N880&lt;=45,"Moderate (30-45m)","Delayed (&gt;45m)")))</f>
        <v/>
      </c>
      <c r="W880" s="17">
        <f>IF(AND(I880&gt;600,P880="Delivered"),"High Value Delivered","Standard")</f>
        <v/>
      </c>
      <c r="X880" s="17">
        <f>IF(OR(N880&gt;50,Q880&lt;=2),"High Risk / Delayed","Normal")</f>
        <v/>
      </c>
      <c r="Y880" s="17">
        <f>IF(NOT(P880="Cancelled"),"Fulfilled","Cancelled")</f>
        <v/>
      </c>
      <c r="Z880" s="17">
        <f>IFERROR(Q880,0)</f>
        <v/>
      </c>
    </row>
    <row r="881">
      <c r="A881" s="25" t="inlineStr">
        <is>
          <t>ORD1880</t>
        </is>
      </c>
      <c r="B881" s="25" t="inlineStr">
        <is>
          <t>2025-11-07</t>
        </is>
      </c>
      <c r="C881" s="25" t="inlineStr">
        <is>
          <t>17:12:45</t>
        </is>
      </c>
      <c r="D881" s="25" t="n">
        <v>1030</v>
      </c>
      <c r="E881" s="25" t="n">
        <v>102</v>
      </c>
      <c r="F881" s="25" t="n">
        <v>215</v>
      </c>
      <c r="G881" s="25" t="inlineStr">
        <is>
          <t>Hyderabad</t>
        </is>
      </c>
      <c r="H881" s="25" t="inlineStr">
        <is>
          <t>Biryani</t>
        </is>
      </c>
      <c r="I881" s="26" t="n">
        <v>366</v>
      </c>
      <c r="J881" s="26" t="n">
        <v>25.66</v>
      </c>
      <c r="K881" s="26" t="n">
        <v>26.5</v>
      </c>
      <c r="L881" s="27" t="n">
        <v>0.22</v>
      </c>
      <c r="M881" s="26" t="n">
        <v>87.14</v>
      </c>
      <c r="N881" s="28" t="n">
        <v>3.3</v>
      </c>
      <c r="O881" s="28" t="n">
        <v>29.3</v>
      </c>
      <c r="P881" s="25" t="inlineStr">
        <is>
          <t>Digital Wallet</t>
        </is>
      </c>
      <c r="Q881" s="25" t="inlineStr">
        <is>
          <t>Delivered</t>
        </is>
      </c>
      <c r="R881" s="25" t="n">
        <v>3</v>
      </c>
      <c r="S881" s="25">
        <f>TEXT(B881,"yyyy-mm")</f>
        <v/>
      </c>
      <c r="T881" s="25">
        <f>VLOOKUP(D881,Customers!A:D,4,FALSE)</f>
        <v/>
      </c>
      <c r="U881" s="25">
        <f>CONCATENATE(A881,"-",G881)</f>
        <v/>
      </c>
      <c r="V881" s="25">
        <f>IF(N881="","",IF(N881&lt;=30,"Fast (&lt;30m)",IF(N881&lt;=45,"Moderate (30-45m)","Delayed (&gt;45m)")))</f>
        <v/>
      </c>
      <c r="W881" s="25">
        <f>IF(AND(I881&gt;600,P881="Delivered"),"High Value Delivered","Standard")</f>
        <v/>
      </c>
      <c r="X881" s="25">
        <f>IF(OR(N881&gt;50,Q881&lt;=2),"High Risk / Delayed","Normal")</f>
        <v/>
      </c>
      <c r="Y881" s="25">
        <f>IF(NOT(P881="Cancelled"),"Fulfilled","Cancelled")</f>
        <v/>
      </c>
      <c r="Z881" s="25">
        <f>IFERROR(Q881,0)</f>
        <v/>
      </c>
    </row>
    <row r="882">
      <c r="A882" s="17" t="inlineStr">
        <is>
          <t>ORD1881</t>
        </is>
      </c>
      <c r="B882" s="17" t="inlineStr">
        <is>
          <t>2025-09-12</t>
        </is>
      </c>
      <c r="C882" s="17" t="inlineStr">
        <is>
          <t>12:50:05</t>
        </is>
      </c>
      <c r="D882" s="17" t="n">
        <v>1094</v>
      </c>
      <c r="E882" s="17" t="n">
        <v>104</v>
      </c>
      <c r="F882" s="17" t="n">
        <v>228</v>
      </c>
      <c r="G882" s="17" t="inlineStr">
        <is>
          <t>Delhi NCR</t>
        </is>
      </c>
      <c r="H882" s="17" t="inlineStr">
        <is>
          <t>Fast Food</t>
        </is>
      </c>
      <c r="I882" s="22" t="n">
        <v>528</v>
      </c>
      <c r="J882" s="22" t="n">
        <v>42.08</v>
      </c>
      <c r="K882" s="22" t="n">
        <v>29</v>
      </c>
      <c r="L882" s="23" t="n">
        <v>0.18</v>
      </c>
      <c r="M882" s="22" t="n">
        <v>102.29</v>
      </c>
      <c r="N882" s="24" t="n">
        <v>3.8</v>
      </c>
      <c r="O882" s="24" t="n">
        <v>37.5</v>
      </c>
      <c r="P882" s="17" t="inlineStr">
        <is>
          <t>Cash on Delivery</t>
        </is>
      </c>
      <c r="Q882" s="17" t="inlineStr">
        <is>
          <t>Delivered</t>
        </is>
      </c>
      <c r="R882" s="17" t="n">
        <v>4</v>
      </c>
      <c r="S882" s="17">
        <f>TEXT(B882,"yyyy-mm")</f>
        <v/>
      </c>
      <c r="T882" s="17">
        <f>VLOOKUP(D882,Customers!A:D,4,FALSE)</f>
        <v/>
      </c>
      <c r="U882" s="17">
        <f>CONCATENATE(A882,"-",G882)</f>
        <v/>
      </c>
      <c r="V882" s="17">
        <f>IF(N882="","",IF(N882&lt;=30,"Fast (&lt;30m)",IF(N882&lt;=45,"Moderate (30-45m)","Delayed (&gt;45m)")))</f>
        <v/>
      </c>
      <c r="W882" s="17">
        <f>IF(AND(I882&gt;600,P882="Delivered"),"High Value Delivered","Standard")</f>
        <v/>
      </c>
      <c r="X882" s="17">
        <f>IF(OR(N882&gt;50,Q882&lt;=2),"High Risk / Delayed","Normal")</f>
        <v/>
      </c>
      <c r="Y882" s="17">
        <f>IF(NOT(P882="Cancelled"),"Fulfilled","Cancelled")</f>
        <v/>
      </c>
      <c r="Z882" s="17">
        <f>IFERROR(Q882,0)</f>
        <v/>
      </c>
    </row>
    <row r="883">
      <c r="A883" s="25" t="inlineStr">
        <is>
          <t>ORD1882</t>
        </is>
      </c>
      <c r="B883" s="25" t="inlineStr">
        <is>
          <t>2025-03-01</t>
        </is>
      </c>
      <c r="C883" s="25" t="inlineStr">
        <is>
          <t>21:30:42</t>
        </is>
      </c>
      <c r="D883" s="25" t="n">
        <v>1287</v>
      </c>
      <c r="E883" s="25" t="n">
        <v>101</v>
      </c>
      <c r="F883" s="25" t="n">
        <v>227</v>
      </c>
      <c r="G883" s="25" t="inlineStr">
        <is>
          <t>Bangalore</t>
        </is>
      </c>
      <c r="H883" s="25" t="inlineStr">
        <is>
          <t>North Indian</t>
        </is>
      </c>
      <c r="I883" s="26" t="n">
        <v>773</v>
      </c>
      <c r="J883" s="26" t="n">
        <v>0</v>
      </c>
      <c r="K883" s="26" t="n">
        <v>26.5</v>
      </c>
      <c r="L883" s="27" t="n">
        <v>0.2</v>
      </c>
      <c r="M883" s="26" t="n">
        <v>161.23</v>
      </c>
      <c r="N883" s="28" t="n">
        <v>3.3</v>
      </c>
      <c r="O883" s="28" t="n">
        <v>26.6</v>
      </c>
      <c r="P883" s="25" t="inlineStr">
        <is>
          <t>UPI</t>
        </is>
      </c>
      <c r="Q883" s="25" t="inlineStr">
        <is>
          <t>Delivered</t>
        </is>
      </c>
      <c r="R883" s="25" t="n">
        <v>4</v>
      </c>
      <c r="S883" s="25">
        <f>TEXT(B883,"yyyy-mm")</f>
        <v/>
      </c>
      <c r="T883" s="25">
        <f>VLOOKUP(D883,Customers!A:D,4,FALSE)</f>
        <v/>
      </c>
      <c r="U883" s="25">
        <f>CONCATENATE(A883,"-",G883)</f>
        <v/>
      </c>
      <c r="V883" s="25">
        <f>IF(N883="","",IF(N883&lt;=30,"Fast (&lt;30m)",IF(N883&lt;=45,"Moderate (30-45m)","Delayed (&gt;45m)")))</f>
        <v/>
      </c>
      <c r="W883" s="25">
        <f>IF(AND(I883&gt;600,P883="Delivered"),"High Value Delivered","Standard")</f>
        <v/>
      </c>
      <c r="X883" s="25">
        <f>IF(OR(N883&gt;50,Q883&lt;=2),"High Risk / Delayed","Normal")</f>
        <v/>
      </c>
      <c r="Y883" s="25">
        <f>IF(NOT(P883="Cancelled"),"Fulfilled","Cancelled")</f>
        <v/>
      </c>
      <c r="Z883" s="25">
        <f>IFERROR(Q883,0)</f>
        <v/>
      </c>
    </row>
    <row r="884">
      <c r="A884" s="17" t="inlineStr">
        <is>
          <t>ORD1883</t>
        </is>
      </c>
      <c r="B884" s="17" t="inlineStr">
        <is>
          <t>2025-01-15</t>
        </is>
      </c>
      <c r="C884" s="17" t="inlineStr">
        <is>
          <t>13:10:59</t>
        </is>
      </c>
      <c r="D884" s="17" t="n">
        <v>1062</v>
      </c>
      <c r="E884" s="17" t="n">
        <v>103</v>
      </c>
      <c r="F884" s="17" t="n">
        <v>202</v>
      </c>
      <c r="G884" s="17" t="inlineStr">
        <is>
          <t>Mumbai</t>
        </is>
      </c>
      <c r="H884" s="17" t="inlineStr">
        <is>
          <t>Italian</t>
        </is>
      </c>
      <c r="I884" s="22" t="n">
        <v>554</v>
      </c>
      <c r="J884" s="22" t="n">
        <v>33.96</v>
      </c>
      <c r="K884" s="22" t="n">
        <v>26.5</v>
      </c>
      <c r="L884" s="23" t="n">
        <v>0.18</v>
      </c>
      <c r="M884" s="22" t="n">
        <v>106.34</v>
      </c>
      <c r="N884" s="24" t="n">
        <v>3.3</v>
      </c>
      <c r="O884" s="24" t="n">
        <v>26.8</v>
      </c>
      <c r="P884" s="17" t="inlineStr">
        <is>
          <t>Debit Card</t>
        </is>
      </c>
      <c r="Q884" s="17" t="inlineStr">
        <is>
          <t>Delivered</t>
        </is>
      </c>
      <c r="R884" s="17" t="n">
        <v>5</v>
      </c>
      <c r="S884" s="17">
        <f>TEXT(B884,"yyyy-mm")</f>
        <v/>
      </c>
      <c r="T884" s="17">
        <f>VLOOKUP(D884,Customers!A:D,4,FALSE)</f>
        <v/>
      </c>
      <c r="U884" s="17">
        <f>CONCATENATE(A884,"-",G884)</f>
        <v/>
      </c>
      <c r="V884" s="17">
        <f>IF(N884="","",IF(N884&lt;=30,"Fast (&lt;30m)",IF(N884&lt;=45,"Moderate (30-45m)","Delayed (&gt;45m)")))</f>
        <v/>
      </c>
      <c r="W884" s="17">
        <f>IF(AND(I884&gt;600,P884="Delivered"),"High Value Delivered","Standard")</f>
        <v/>
      </c>
      <c r="X884" s="17">
        <f>IF(OR(N884&gt;50,Q884&lt;=2),"High Risk / Delayed","Normal")</f>
        <v/>
      </c>
      <c r="Y884" s="17">
        <f>IF(NOT(P884="Cancelled"),"Fulfilled","Cancelled")</f>
        <v/>
      </c>
      <c r="Z884" s="17">
        <f>IFERROR(Q884,0)</f>
        <v/>
      </c>
    </row>
    <row r="885">
      <c r="A885" s="25" t="inlineStr">
        <is>
          <t>ORD1884</t>
        </is>
      </c>
      <c r="B885" s="25" t="inlineStr">
        <is>
          <t>2025-10-01</t>
        </is>
      </c>
      <c r="C885" s="25" t="inlineStr">
        <is>
          <t>18:40:46</t>
        </is>
      </c>
      <c r="D885" s="25" t="n">
        <v>1174</v>
      </c>
      <c r="E885" s="25" t="n">
        <v>109</v>
      </c>
      <c r="F885" s="25" t="n">
        <v>225</v>
      </c>
      <c r="G885" s="25" t="inlineStr">
        <is>
          <t>Hyderabad</t>
        </is>
      </c>
      <c r="H885" s="25" t="inlineStr">
        <is>
          <t>Biryani</t>
        </is>
      </c>
      <c r="I885" s="26" t="n">
        <v>723</v>
      </c>
      <c r="J885" s="26" t="n">
        <v>0</v>
      </c>
      <c r="K885" s="26" t="n">
        <v>27.5</v>
      </c>
      <c r="L885" s="27" t="n">
        <v>0.2</v>
      </c>
      <c r="M885" s="26" t="n">
        <v>151.48</v>
      </c>
      <c r="N885" s="28" t="n">
        <v>3.5</v>
      </c>
      <c r="O885" s="28" t="n">
        <v>29.8</v>
      </c>
      <c r="P885" s="25" t="inlineStr">
        <is>
          <t>Credit Card</t>
        </is>
      </c>
      <c r="Q885" s="25" t="inlineStr">
        <is>
          <t>Delivered</t>
        </is>
      </c>
      <c r="R885" s="25" t="n">
        <v>4</v>
      </c>
      <c r="S885" s="25">
        <f>TEXT(B885,"yyyy-mm")</f>
        <v/>
      </c>
      <c r="T885" s="25">
        <f>VLOOKUP(D885,Customers!A:D,4,FALSE)</f>
        <v/>
      </c>
      <c r="U885" s="25">
        <f>CONCATENATE(A885,"-",G885)</f>
        <v/>
      </c>
      <c r="V885" s="25">
        <f>IF(N885="","",IF(N885&lt;=30,"Fast (&lt;30m)",IF(N885&lt;=45,"Moderate (30-45m)","Delayed (&gt;45m)")))</f>
        <v/>
      </c>
      <c r="W885" s="25">
        <f>IF(AND(I885&gt;600,P885="Delivered"),"High Value Delivered","Standard")</f>
        <v/>
      </c>
      <c r="X885" s="25">
        <f>IF(OR(N885&gt;50,Q885&lt;=2),"High Risk / Delayed","Normal")</f>
        <v/>
      </c>
      <c r="Y885" s="25">
        <f>IF(NOT(P885="Cancelled"),"Fulfilled","Cancelled")</f>
        <v/>
      </c>
      <c r="Z885" s="25">
        <f>IFERROR(Q885,0)</f>
        <v/>
      </c>
    </row>
    <row r="886">
      <c r="A886" s="17" t="inlineStr">
        <is>
          <t>ORD1885</t>
        </is>
      </c>
      <c r="B886" s="17" t="inlineStr">
        <is>
          <t>2025-07-15</t>
        </is>
      </c>
      <c r="C886" s="17" t="inlineStr">
        <is>
          <t>13:41:41</t>
        </is>
      </c>
      <c r="D886" s="17" t="n">
        <v>1207</v>
      </c>
      <c r="E886" s="17" t="n">
        <v>118</v>
      </c>
      <c r="F886" s="17" t="n">
        <v>221</v>
      </c>
      <c r="G886" s="17" t="inlineStr">
        <is>
          <t>Delhi NCR</t>
        </is>
      </c>
      <c r="H886" s="17" t="inlineStr">
        <is>
          <t>North Indian</t>
        </is>
      </c>
      <c r="I886" s="22" t="n">
        <v>795</v>
      </c>
      <c r="J886" s="22" t="n">
        <v>27.79</v>
      </c>
      <c r="K886" s="22" t="n">
        <v>26.5</v>
      </c>
      <c r="L886" s="23" t="n">
        <v>0.2</v>
      </c>
      <c r="M886" s="22" t="n">
        <v>165.62</v>
      </c>
      <c r="N886" s="24" t="n">
        <v>3.3</v>
      </c>
      <c r="O886" s="24" t="n">
        <v>34.3</v>
      </c>
      <c r="P886" s="17" t="inlineStr">
        <is>
          <t>Debit Card</t>
        </is>
      </c>
      <c r="Q886" s="17" t="inlineStr">
        <is>
          <t>Delivered</t>
        </is>
      </c>
      <c r="R886" s="17" t="n">
        <v>5</v>
      </c>
      <c r="S886" s="17">
        <f>TEXT(B886,"yyyy-mm")</f>
        <v/>
      </c>
      <c r="T886" s="17">
        <f>VLOOKUP(D886,Customers!A:D,4,FALSE)</f>
        <v/>
      </c>
      <c r="U886" s="17">
        <f>CONCATENATE(A886,"-",G886)</f>
        <v/>
      </c>
      <c r="V886" s="17">
        <f>IF(N886="","",IF(N886&lt;=30,"Fast (&lt;30m)",IF(N886&lt;=45,"Moderate (30-45m)","Delayed (&gt;45m)")))</f>
        <v/>
      </c>
      <c r="W886" s="17">
        <f>IF(AND(I886&gt;600,P886="Delivered"),"High Value Delivered","Standard")</f>
        <v/>
      </c>
      <c r="X886" s="17">
        <f>IF(OR(N886&gt;50,Q886&lt;=2),"High Risk / Delayed","Normal")</f>
        <v/>
      </c>
      <c r="Y886" s="17">
        <f>IF(NOT(P886="Cancelled"),"Fulfilled","Cancelled")</f>
        <v/>
      </c>
      <c r="Z886" s="17">
        <f>IFERROR(Q886,0)</f>
        <v/>
      </c>
    </row>
    <row r="887">
      <c r="A887" s="25" t="inlineStr">
        <is>
          <t>ORD1886</t>
        </is>
      </c>
      <c r="B887" s="25" t="inlineStr">
        <is>
          <t>2025-02-14</t>
        </is>
      </c>
      <c r="C887" s="25" t="inlineStr">
        <is>
          <t>15:07:05</t>
        </is>
      </c>
      <c r="D887" s="25" t="n">
        <v>1119</v>
      </c>
      <c r="E887" s="25" t="n">
        <v>104</v>
      </c>
      <c r="F887" s="25" t="n">
        <v>228</v>
      </c>
      <c r="G887" s="25" t="inlineStr">
        <is>
          <t>Delhi NCR</t>
        </is>
      </c>
      <c r="H887" s="25" t="inlineStr">
        <is>
          <t>Fast Food</t>
        </is>
      </c>
      <c r="I887" s="26" t="n">
        <v>857</v>
      </c>
      <c r="J887" s="26" t="n">
        <v>136.45</v>
      </c>
      <c r="K887" s="26" t="n">
        <v>0</v>
      </c>
      <c r="L887" s="27" t="n">
        <v>0.18</v>
      </c>
      <c r="M887" s="26" t="n">
        <v>154.26</v>
      </c>
      <c r="N887" s="28" t="n">
        <v>1.9</v>
      </c>
      <c r="O887" s="28" t="n">
        <v>20</v>
      </c>
      <c r="P887" s="25" t="inlineStr">
        <is>
          <t>UPI</t>
        </is>
      </c>
      <c r="Q887" s="25" t="inlineStr">
        <is>
          <t>Delivered</t>
        </is>
      </c>
      <c r="R887" s="25" t="n">
        <v>4</v>
      </c>
      <c r="S887" s="25">
        <f>TEXT(B887,"yyyy-mm")</f>
        <v/>
      </c>
      <c r="T887" s="25">
        <f>VLOOKUP(D887,Customers!A:D,4,FALSE)</f>
        <v/>
      </c>
      <c r="U887" s="25">
        <f>CONCATENATE(A887,"-",G887)</f>
        <v/>
      </c>
      <c r="V887" s="25">
        <f>IF(N887="","",IF(N887&lt;=30,"Fast (&lt;30m)",IF(N887&lt;=45,"Moderate (30-45m)","Delayed (&gt;45m)")))</f>
        <v/>
      </c>
      <c r="W887" s="25">
        <f>IF(AND(I887&gt;600,P887="Delivered"),"High Value Delivered","Standard")</f>
        <v/>
      </c>
      <c r="X887" s="25">
        <f>IF(OR(N887&gt;50,Q887&lt;=2),"High Risk / Delayed","Normal")</f>
        <v/>
      </c>
      <c r="Y887" s="25">
        <f>IF(NOT(P887="Cancelled"),"Fulfilled","Cancelled")</f>
        <v/>
      </c>
      <c r="Z887" s="25">
        <f>IFERROR(Q887,0)</f>
        <v/>
      </c>
    </row>
    <row r="888">
      <c r="A888" s="17" t="inlineStr">
        <is>
          <t>ORD1887</t>
        </is>
      </c>
      <c r="B888" s="17" t="inlineStr">
        <is>
          <t>2025-07-14</t>
        </is>
      </c>
      <c r="C888" s="17" t="inlineStr">
        <is>
          <t>21:36:47</t>
        </is>
      </c>
      <c r="D888" s="17" t="n">
        <v>1243</v>
      </c>
      <c r="E888" s="17" t="n">
        <v>108</v>
      </c>
      <c r="F888" s="17" t="n">
        <v>219</v>
      </c>
      <c r="G888" s="17" t="inlineStr">
        <is>
          <t>Delhi NCR</t>
        </is>
      </c>
      <c r="H888" s="17" t="inlineStr">
        <is>
          <t>Fast Food</t>
        </is>
      </c>
      <c r="I888" s="22" t="n">
        <v>400</v>
      </c>
      <c r="J888" s="22" t="n">
        <v>42.48</v>
      </c>
      <c r="K888" s="22" t="n">
        <v>26.5</v>
      </c>
      <c r="L888" s="23" t="n">
        <v>0.18</v>
      </c>
      <c r="M888" s="22" t="n">
        <v>78.62</v>
      </c>
      <c r="N888" s="24" t="n">
        <v>3.3</v>
      </c>
      <c r="O888" s="24" t="n">
        <v/>
      </c>
      <c r="P888" s="17" t="inlineStr">
        <is>
          <t>Cash on Delivery</t>
        </is>
      </c>
      <c r="Q888" s="17" t="inlineStr">
        <is>
          <t>Cancelled</t>
        </is>
      </c>
      <c r="R888" s="17" t="n">
        <v/>
      </c>
      <c r="S888" s="17">
        <f>TEXT(B888,"yyyy-mm")</f>
        <v/>
      </c>
      <c r="T888" s="17">
        <f>VLOOKUP(D888,Customers!A:D,4,FALSE)</f>
        <v/>
      </c>
      <c r="U888" s="17">
        <f>CONCATENATE(A888,"-",G888)</f>
        <v/>
      </c>
      <c r="V888" s="17">
        <f>IF(N888="","",IF(N888&lt;=30,"Fast (&lt;30m)",IF(N888&lt;=45,"Moderate (30-45m)","Delayed (&gt;45m)")))</f>
        <v/>
      </c>
      <c r="W888" s="17">
        <f>IF(AND(I888&gt;600,P888="Delivered"),"High Value Delivered","Standard")</f>
        <v/>
      </c>
      <c r="X888" s="17">
        <f>IF(OR(N888&gt;50,Q888&lt;=2),"High Risk / Delayed","Normal")</f>
        <v/>
      </c>
      <c r="Y888" s="17">
        <f>IF(NOT(P888="Cancelled"),"Fulfilled","Cancelled")</f>
        <v/>
      </c>
      <c r="Z888" s="17">
        <f>IFERROR(Q888,0)</f>
        <v/>
      </c>
    </row>
    <row r="889">
      <c r="A889" s="25" t="inlineStr">
        <is>
          <t>ORD1888</t>
        </is>
      </c>
      <c r="B889" s="25" t="inlineStr">
        <is>
          <t>2025-12-14</t>
        </is>
      </c>
      <c r="C889" s="25" t="inlineStr">
        <is>
          <t>09:59:50</t>
        </is>
      </c>
      <c r="D889" s="25" t="n">
        <v>1008</v>
      </c>
      <c r="E889" s="25" t="n">
        <v>107</v>
      </c>
      <c r="F889" s="25" t="n">
        <v>222</v>
      </c>
      <c r="G889" s="25" t="inlineStr">
        <is>
          <t>Mumbai</t>
        </is>
      </c>
      <c r="H889" s="25" t="inlineStr">
        <is>
          <t>Desserts</t>
        </is>
      </c>
      <c r="I889" s="26" t="n">
        <v>582</v>
      </c>
      <c r="J889" s="26" t="n">
        <v>96.83</v>
      </c>
      <c r="K889" s="26" t="n">
        <v>0</v>
      </c>
      <c r="L889" s="27" t="n">
        <v>0.25</v>
      </c>
      <c r="M889" s="26" t="n">
        <v>145.5</v>
      </c>
      <c r="N889" s="28" t="n">
        <v>2.7</v>
      </c>
      <c r="O889" s="28" t="n">
        <v>26.3</v>
      </c>
      <c r="P889" s="25" t="inlineStr">
        <is>
          <t>UPI</t>
        </is>
      </c>
      <c r="Q889" s="25" t="inlineStr">
        <is>
          <t>Delivered</t>
        </is>
      </c>
      <c r="R889" s="25" t="n">
        <v>5</v>
      </c>
      <c r="S889" s="25">
        <f>TEXT(B889,"yyyy-mm")</f>
        <v/>
      </c>
      <c r="T889" s="25">
        <f>VLOOKUP(D889,Customers!A:D,4,FALSE)</f>
        <v/>
      </c>
      <c r="U889" s="25">
        <f>CONCATENATE(A889,"-",G889)</f>
        <v/>
      </c>
      <c r="V889" s="25">
        <f>IF(N889="","",IF(N889&lt;=30,"Fast (&lt;30m)",IF(N889&lt;=45,"Moderate (30-45m)","Delayed (&gt;45m)")))</f>
        <v/>
      </c>
      <c r="W889" s="25">
        <f>IF(AND(I889&gt;600,P889="Delivered"),"High Value Delivered","Standard")</f>
        <v/>
      </c>
      <c r="X889" s="25">
        <f>IF(OR(N889&gt;50,Q889&lt;=2),"High Risk / Delayed","Normal")</f>
        <v/>
      </c>
      <c r="Y889" s="25">
        <f>IF(NOT(P889="Cancelled"),"Fulfilled","Cancelled")</f>
        <v/>
      </c>
      <c r="Z889" s="25">
        <f>IFERROR(Q889,0)</f>
        <v/>
      </c>
    </row>
    <row r="890">
      <c r="A890" s="17" t="inlineStr">
        <is>
          <t>ORD1889</t>
        </is>
      </c>
      <c r="B890" s="17" t="inlineStr">
        <is>
          <t>2025-06-11</t>
        </is>
      </c>
      <c r="C890" s="17" t="inlineStr">
        <is>
          <t>09:09:52</t>
        </is>
      </c>
      <c r="D890" s="17" t="n">
        <v>1186</v>
      </c>
      <c r="E890" s="17" t="n">
        <v>119</v>
      </c>
      <c r="F890" s="17" t="n">
        <v>216</v>
      </c>
      <c r="G890" s="17" t="inlineStr">
        <is>
          <t>Hyderabad</t>
        </is>
      </c>
      <c r="H890" s="17" t="inlineStr">
        <is>
          <t>Biryani</t>
        </is>
      </c>
      <c r="I890" s="22" t="n">
        <v>523</v>
      </c>
      <c r="J890" s="22" t="n">
        <v>56.8</v>
      </c>
      <c r="K890" s="22" t="n">
        <v>30</v>
      </c>
      <c r="L890" s="23" t="n">
        <v>0.2</v>
      </c>
      <c r="M890" s="22" t="n">
        <v>112.1</v>
      </c>
      <c r="N890" s="24" t="n">
        <v>4</v>
      </c>
      <c r="O890" s="24" t="n">
        <v>28.8</v>
      </c>
      <c r="P890" s="17" t="inlineStr">
        <is>
          <t>Cash on Delivery</t>
        </is>
      </c>
      <c r="Q890" s="17" t="inlineStr">
        <is>
          <t>Delivered</t>
        </is>
      </c>
      <c r="R890" s="17" t="n">
        <v>5</v>
      </c>
      <c r="S890" s="17">
        <f>TEXT(B890,"yyyy-mm")</f>
        <v/>
      </c>
      <c r="T890" s="17">
        <f>VLOOKUP(D890,Customers!A:D,4,FALSE)</f>
        <v/>
      </c>
      <c r="U890" s="17">
        <f>CONCATENATE(A890,"-",G890)</f>
        <v/>
      </c>
      <c r="V890" s="17">
        <f>IF(N890="","",IF(N890&lt;=30,"Fast (&lt;30m)",IF(N890&lt;=45,"Moderate (30-45m)","Delayed (&gt;45m)")))</f>
        <v/>
      </c>
      <c r="W890" s="17">
        <f>IF(AND(I890&gt;600,P890="Delivered"),"High Value Delivered","Standard")</f>
        <v/>
      </c>
      <c r="X890" s="17">
        <f>IF(OR(N890&gt;50,Q890&lt;=2),"High Risk / Delayed","Normal")</f>
        <v/>
      </c>
      <c r="Y890" s="17">
        <f>IF(NOT(P890="Cancelled"),"Fulfilled","Cancelled")</f>
        <v/>
      </c>
      <c r="Z890" s="17">
        <f>IFERROR(Q890,0)</f>
        <v/>
      </c>
    </row>
    <row r="891">
      <c r="A891" s="25" t="inlineStr">
        <is>
          <t>ORD1890</t>
        </is>
      </c>
      <c r="B891" s="25" t="inlineStr">
        <is>
          <t>2025-03-16</t>
        </is>
      </c>
      <c r="C891" s="25" t="inlineStr">
        <is>
          <t>10:47:42</t>
        </is>
      </c>
      <c r="D891" s="25" t="n">
        <v>1265</v>
      </c>
      <c r="E891" s="25" t="n">
        <v>111</v>
      </c>
      <c r="F891" s="25" t="n">
        <v>218</v>
      </c>
      <c r="G891" s="25" t="inlineStr">
        <is>
          <t>Bangalore</t>
        </is>
      </c>
      <c r="H891" s="25" t="inlineStr">
        <is>
          <t>South Indian</t>
        </is>
      </c>
      <c r="I891" s="26" t="n">
        <v>1047</v>
      </c>
      <c r="J891" s="26" t="n">
        <v>167.4</v>
      </c>
      <c r="K891" s="26" t="n">
        <v>0</v>
      </c>
      <c r="L891" s="27" t="n">
        <v>0.15</v>
      </c>
      <c r="M891" s="26" t="n">
        <v>157.05</v>
      </c>
      <c r="N891" s="28" t="n">
        <v>5.1</v>
      </c>
      <c r="O891" s="28" t="n">
        <v>31.5</v>
      </c>
      <c r="P891" s="25" t="inlineStr">
        <is>
          <t>UPI</t>
        </is>
      </c>
      <c r="Q891" s="25" t="inlineStr">
        <is>
          <t>Delivered</t>
        </is>
      </c>
      <c r="R891" s="25" t="n">
        <v>4</v>
      </c>
      <c r="S891" s="25">
        <f>TEXT(B891,"yyyy-mm")</f>
        <v/>
      </c>
      <c r="T891" s="25">
        <f>VLOOKUP(D891,Customers!A:D,4,FALSE)</f>
        <v/>
      </c>
      <c r="U891" s="25">
        <f>CONCATENATE(A891,"-",G891)</f>
        <v/>
      </c>
      <c r="V891" s="25">
        <f>IF(N891="","",IF(N891&lt;=30,"Fast (&lt;30m)",IF(N891&lt;=45,"Moderate (30-45m)","Delayed (&gt;45m)")))</f>
        <v/>
      </c>
      <c r="W891" s="25">
        <f>IF(AND(I891&gt;600,P891="Delivered"),"High Value Delivered","Standard")</f>
        <v/>
      </c>
      <c r="X891" s="25">
        <f>IF(OR(N891&gt;50,Q891&lt;=2),"High Risk / Delayed","Normal")</f>
        <v/>
      </c>
      <c r="Y891" s="25">
        <f>IF(NOT(P891="Cancelled"),"Fulfilled","Cancelled")</f>
        <v/>
      </c>
      <c r="Z891" s="25">
        <f>IFERROR(Q891,0)</f>
        <v/>
      </c>
    </row>
    <row r="892">
      <c r="A892" s="17" t="inlineStr">
        <is>
          <t>ORD1891</t>
        </is>
      </c>
      <c r="B892" s="17" t="inlineStr">
        <is>
          <t>2025-09-11</t>
        </is>
      </c>
      <c r="C892" s="17" t="inlineStr">
        <is>
          <t>12:18:45</t>
        </is>
      </c>
      <c r="D892" s="17" t="n">
        <v>1039</v>
      </c>
      <c r="E892" s="17" t="n">
        <v>115</v>
      </c>
      <c r="F892" s="17" t="n">
        <v>201</v>
      </c>
      <c r="G892" s="17" t="inlineStr">
        <is>
          <t>Bangalore</t>
        </is>
      </c>
      <c r="H892" s="17" t="inlineStr">
        <is>
          <t>Italian</t>
        </is>
      </c>
      <c r="I892" s="22" t="n">
        <v>605</v>
      </c>
      <c r="J892" s="22" t="n">
        <v>32.74</v>
      </c>
      <c r="K892" s="22" t="n">
        <v>39</v>
      </c>
      <c r="L892" s="23" t="n">
        <v>0.2</v>
      </c>
      <c r="M892" s="22" t="n">
        <v>130.75</v>
      </c>
      <c r="N892" s="24" t="n">
        <v>5.8</v>
      </c>
      <c r="O892" s="24" t="n">
        <v>45</v>
      </c>
      <c r="P892" s="17" t="inlineStr">
        <is>
          <t>Credit Card</t>
        </is>
      </c>
      <c r="Q892" s="17" t="inlineStr">
        <is>
          <t>Delivered</t>
        </is>
      </c>
      <c r="R892" s="17" t="n">
        <v>2</v>
      </c>
      <c r="S892" s="17">
        <f>TEXT(B892,"yyyy-mm")</f>
        <v/>
      </c>
      <c r="T892" s="17">
        <f>VLOOKUP(D892,Customers!A:D,4,FALSE)</f>
        <v/>
      </c>
      <c r="U892" s="17">
        <f>CONCATENATE(A892,"-",G892)</f>
        <v/>
      </c>
      <c r="V892" s="17">
        <f>IF(N892="","",IF(N892&lt;=30,"Fast (&lt;30m)",IF(N892&lt;=45,"Moderate (30-45m)","Delayed (&gt;45m)")))</f>
        <v/>
      </c>
      <c r="W892" s="17">
        <f>IF(AND(I892&gt;600,P892="Delivered"),"High Value Delivered","Standard")</f>
        <v/>
      </c>
      <c r="X892" s="17">
        <f>IF(OR(N892&gt;50,Q892&lt;=2),"High Risk / Delayed","Normal")</f>
        <v/>
      </c>
      <c r="Y892" s="17">
        <f>IF(NOT(P892="Cancelled"),"Fulfilled","Cancelled")</f>
        <v/>
      </c>
      <c r="Z892" s="17">
        <f>IFERROR(Q892,0)</f>
        <v/>
      </c>
    </row>
    <row r="893">
      <c r="A893" s="25" t="inlineStr">
        <is>
          <t>ORD1892</t>
        </is>
      </c>
      <c r="B893" s="25" t="inlineStr">
        <is>
          <t>2025-04-02</t>
        </is>
      </c>
      <c r="C893" s="25" t="inlineStr">
        <is>
          <t>07:54:31</t>
        </is>
      </c>
      <c r="D893" s="25" t="n">
        <v>1109</v>
      </c>
      <c r="E893" s="25" t="n">
        <v>117</v>
      </c>
      <c r="F893" s="25" t="n">
        <v>229</v>
      </c>
      <c r="G893" s="25" t="inlineStr">
        <is>
          <t>Mumbai</t>
        </is>
      </c>
      <c r="H893" s="25" t="inlineStr">
        <is>
          <t>Chinese</t>
        </is>
      </c>
      <c r="I893" s="26" t="n">
        <v>621</v>
      </c>
      <c r="J893" s="26" t="n">
        <v>0</v>
      </c>
      <c r="K893" s="26" t="n">
        <v>34</v>
      </c>
      <c r="L893" s="27" t="n">
        <v>0.2</v>
      </c>
      <c r="M893" s="26" t="n">
        <v>132.7</v>
      </c>
      <c r="N893" s="28" t="n">
        <v>4.8</v>
      </c>
      <c r="O893" s="28" t="n">
        <v>42.5</v>
      </c>
      <c r="P893" s="25" t="inlineStr">
        <is>
          <t>Credit Card</t>
        </is>
      </c>
      <c r="Q893" s="25" t="inlineStr">
        <is>
          <t>Delivered</t>
        </is>
      </c>
      <c r="R893" s="25" t="n">
        <v>5</v>
      </c>
      <c r="S893" s="25">
        <f>TEXT(B893,"yyyy-mm")</f>
        <v/>
      </c>
      <c r="T893" s="25">
        <f>VLOOKUP(D893,Customers!A:D,4,FALSE)</f>
        <v/>
      </c>
      <c r="U893" s="25">
        <f>CONCATENATE(A893,"-",G893)</f>
        <v/>
      </c>
      <c r="V893" s="25">
        <f>IF(N893="","",IF(N893&lt;=30,"Fast (&lt;30m)",IF(N893&lt;=45,"Moderate (30-45m)","Delayed (&gt;45m)")))</f>
        <v/>
      </c>
      <c r="W893" s="25">
        <f>IF(AND(I893&gt;600,P893="Delivered"),"High Value Delivered","Standard")</f>
        <v/>
      </c>
      <c r="X893" s="25">
        <f>IF(OR(N893&gt;50,Q893&lt;=2),"High Risk / Delayed","Normal")</f>
        <v/>
      </c>
      <c r="Y893" s="25">
        <f>IF(NOT(P893="Cancelled"),"Fulfilled","Cancelled")</f>
        <v/>
      </c>
      <c r="Z893" s="25">
        <f>IFERROR(Q893,0)</f>
        <v/>
      </c>
    </row>
    <row r="894">
      <c r="A894" s="17" t="inlineStr">
        <is>
          <t>ORD1893</t>
        </is>
      </c>
      <c r="B894" s="17" t="inlineStr">
        <is>
          <t>2025-06-22</t>
        </is>
      </c>
      <c r="C894" s="17" t="inlineStr">
        <is>
          <t>21:27:43</t>
        </is>
      </c>
      <c r="D894" s="17" t="n">
        <v>1247</v>
      </c>
      <c r="E894" s="17" t="n">
        <v>101</v>
      </c>
      <c r="F894" s="17" t="n">
        <v>201</v>
      </c>
      <c r="G894" s="17" t="inlineStr">
        <is>
          <t>Bangalore</t>
        </is>
      </c>
      <c r="H894" s="17" t="inlineStr">
        <is>
          <t>North Indian</t>
        </is>
      </c>
      <c r="I894" s="22" t="n">
        <v>704</v>
      </c>
      <c r="J894" s="22" t="n">
        <v>42.67</v>
      </c>
      <c r="K894" s="22" t="n">
        <v>37.5</v>
      </c>
      <c r="L894" s="23" t="n">
        <v>0.2</v>
      </c>
      <c r="M894" s="22" t="n">
        <v>150.18</v>
      </c>
      <c r="N894" s="24" t="n">
        <v>5.5</v>
      </c>
      <c r="O894" s="24" t="n">
        <v>36.9</v>
      </c>
      <c r="P894" s="17" t="inlineStr">
        <is>
          <t>Digital Wallet</t>
        </is>
      </c>
      <c r="Q894" s="17" t="inlineStr">
        <is>
          <t>Delivered</t>
        </is>
      </c>
      <c r="R894" s="17" t="n">
        <v>3</v>
      </c>
      <c r="S894" s="17">
        <f>TEXT(B894,"yyyy-mm")</f>
        <v/>
      </c>
      <c r="T894" s="17">
        <f>VLOOKUP(D894,Customers!A:D,4,FALSE)</f>
        <v/>
      </c>
      <c r="U894" s="17">
        <f>CONCATENATE(A894,"-",G894)</f>
        <v/>
      </c>
      <c r="V894" s="17">
        <f>IF(N894="","",IF(N894&lt;=30,"Fast (&lt;30m)",IF(N894&lt;=45,"Moderate (30-45m)","Delayed (&gt;45m)")))</f>
        <v/>
      </c>
      <c r="W894" s="17">
        <f>IF(AND(I894&gt;600,P894="Delivered"),"High Value Delivered","Standard")</f>
        <v/>
      </c>
      <c r="X894" s="17">
        <f>IF(OR(N894&gt;50,Q894&lt;=2),"High Risk / Delayed","Normal")</f>
        <v/>
      </c>
      <c r="Y894" s="17">
        <f>IF(NOT(P894="Cancelled"),"Fulfilled","Cancelled")</f>
        <v/>
      </c>
      <c r="Z894" s="17">
        <f>IFERROR(Q894,0)</f>
        <v/>
      </c>
    </row>
    <row r="895">
      <c r="A895" s="25" t="inlineStr">
        <is>
          <t>ORD1894</t>
        </is>
      </c>
      <c r="B895" s="25" t="inlineStr">
        <is>
          <t>2025-12-25</t>
        </is>
      </c>
      <c r="C895" s="25" t="inlineStr">
        <is>
          <t>09:54:35</t>
        </is>
      </c>
      <c r="D895" s="25" t="n">
        <v>1153</v>
      </c>
      <c r="E895" s="25" t="n">
        <v>115</v>
      </c>
      <c r="F895" s="25" t="n">
        <v>210</v>
      </c>
      <c r="G895" s="25" t="inlineStr">
        <is>
          <t>Bangalore</t>
        </is>
      </c>
      <c r="H895" s="25" t="inlineStr">
        <is>
          <t>Italian</t>
        </is>
      </c>
      <c r="I895" s="26" t="n">
        <v>623</v>
      </c>
      <c r="J895" s="26" t="n">
        <v>0</v>
      </c>
      <c r="K895" s="26" t="n">
        <v>27</v>
      </c>
      <c r="L895" s="27" t="n">
        <v>0.2</v>
      </c>
      <c r="M895" s="26" t="n">
        <v>131.35</v>
      </c>
      <c r="N895" s="28" t="n">
        <v>3.4</v>
      </c>
      <c r="O895" s="28" t="n">
        <v>30.8</v>
      </c>
      <c r="P895" s="25" t="inlineStr">
        <is>
          <t>Digital Wallet</t>
        </is>
      </c>
      <c r="Q895" s="25" t="inlineStr">
        <is>
          <t>Delivered</t>
        </is>
      </c>
      <c r="R895" s="25" t="n">
        <v>3</v>
      </c>
      <c r="S895" s="25">
        <f>TEXT(B895,"yyyy-mm")</f>
        <v/>
      </c>
      <c r="T895" s="25">
        <f>VLOOKUP(D895,Customers!A:D,4,FALSE)</f>
        <v/>
      </c>
      <c r="U895" s="25">
        <f>CONCATENATE(A895,"-",G895)</f>
        <v/>
      </c>
      <c r="V895" s="25">
        <f>IF(N895="","",IF(N895&lt;=30,"Fast (&lt;30m)",IF(N895&lt;=45,"Moderate (30-45m)","Delayed (&gt;45m)")))</f>
        <v/>
      </c>
      <c r="W895" s="25">
        <f>IF(AND(I895&gt;600,P895="Delivered"),"High Value Delivered","Standard")</f>
        <v/>
      </c>
      <c r="X895" s="25">
        <f>IF(OR(N895&gt;50,Q895&lt;=2),"High Risk / Delayed","Normal")</f>
        <v/>
      </c>
      <c r="Y895" s="25">
        <f>IF(NOT(P895="Cancelled"),"Fulfilled","Cancelled")</f>
        <v/>
      </c>
      <c r="Z895" s="25">
        <f>IFERROR(Q895,0)</f>
        <v/>
      </c>
    </row>
    <row r="896">
      <c r="A896" s="17" t="inlineStr">
        <is>
          <t>ORD1895</t>
        </is>
      </c>
      <c r="B896" s="17" t="inlineStr">
        <is>
          <t>2025-08-23</t>
        </is>
      </c>
      <c r="C896" s="17" t="inlineStr">
        <is>
          <t>19:41:10</t>
        </is>
      </c>
      <c r="D896" s="17" t="n">
        <v>1098</v>
      </c>
      <c r="E896" s="17" t="n">
        <v>118</v>
      </c>
      <c r="F896" s="17" t="n">
        <v>211</v>
      </c>
      <c r="G896" s="17" t="inlineStr">
        <is>
          <t>Delhi NCR</t>
        </is>
      </c>
      <c r="H896" s="17" t="inlineStr">
        <is>
          <t>North Indian</t>
        </is>
      </c>
      <c r="I896" s="22" t="n">
        <v>811</v>
      </c>
      <c r="J896" s="22" t="n">
        <v>0</v>
      </c>
      <c r="K896" s="22" t="n">
        <v>54</v>
      </c>
      <c r="L896" s="23" t="n">
        <v>0.2</v>
      </c>
      <c r="M896" s="22" t="n">
        <v>175.7</v>
      </c>
      <c r="N896" s="24" t="n">
        <v>8.800000000000001</v>
      </c>
      <c r="O896" s="24" t="n">
        <v/>
      </c>
      <c r="P896" s="17" t="inlineStr">
        <is>
          <t>Debit Card</t>
        </is>
      </c>
      <c r="Q896" s="17" t="inlineStr">
        <is>
          <t>Cancelled</t>
        </is>
      </c>
      <c r="R896" s="17" t="n">
        <v/>
      </c>
      <c r="S896" s="17">
        <f>TEXT(B896,"yyyy-mm")</f>
        <v/>
      </c>
      <c r="T896" s="17">
        <f>VLOOKUP(D896,Customers!A:D,4,FALSE)</f>
        <v/>
      </c>
      <c r="U896" s="17">
        <f>CONCATENATE(A896,"-",G896)</f>
        <v/>
      </c>
      <c r="V896" s="17">
        <f>IF(N896="","",IF(N896&lt;=30,"Fast (&lt;30m)",IF(N896&lt;=45,"Moderate (30-45m)","Delayed (&gt;45m)")))</f>
        <v/>
      </c>
      <c r="W896" s="17">
        <f>IF(AND(I896&gt;600,P896="Delivered"),"High Value Delivered","Standard")</f>
        <v/>
      </c>
      <c r="X896" s="17">
        <f>IF(OR(N896&gt;50,Q896&lt;=2),"High Risk / Delayed","Normal")</f>
        <v/>
      </c>
      <c r="Y896" s="17">
        <f>IF(NOT(P896="Cancelled"),"Fulfilled","Cancelled")</f>
        <v/>
      </c>
      <c r="Z896" s="17">
        <f>IFERROR(Q896,0)</f>
        <v/>
      </c>
    </row>
    <row r="897">
      <c r="A897" s="25" t="inlineStr">
        <is>
          <t>ORD1896</t>
        </is>
      </c>
      <c r="B897" s="25" t="inlineStr">
        <is>
          <t>2025-04-22</t>
        </is>
      </c>
      <c r="C897" s="25" t="inlineStr">
        <is>
          <t>07:51:47</t>
        </is>
      </c>
      <c r="D897" s="25" t="n">
        <v>1209</v>
      </c>
      <c r="E897" s="25" t="n">
        <v>120</v>
      </c>
      <c r="F897" s="25" t="n">
        <v>226</v>
      </c>
      <c r="G897" s="25" t="inlineStr">
        <is>
          <t>Pune</t>
        </is>
      </c>
      <c r="H897" s="25" t="inlineStr">
        <is>
          <t>Fast Food</t>
        </is>
      </c>
      <c r="I897" s="26" t="n">
        <v>420</v>
      </c>
      <c r="J897" s="26" t="n">
        <v>0.31</v>
      </c>
      <c r="K897" s="26" t="n">
        <v>25.5</v>
      </c>
      <c r="L897" s="27" t="n">
        <v>0.18</v>
      </c>
      <c r="M897" s="26" t="n">
        <v>81.98</v>
      </c>
      <c r="N897" s="28" t="n">
        <v>3.1</v>
      </c>
      <c r="O897" s="28" t="n">
        <v>29.1</v>
      </c>
      <c r="P897" s="25" t="inlineStr">
        <is>
          <t>Digital Wallet</t>
        </is>
      </c>
      <c r="Q897" s="25" t="inlineStr">
        <is>
          <t>Delivered</t>
        </is>
      </c>
      <c r="R897" s="25" t="n">
        <v>4</v>
      </c>
      <c r="S897" s="25">
        <f>TEXT(B897,"yyyy-mm")</f>
        <v/>
      </c>
      <c r="T897" s="25">
        <f>VLOOKUP(D897,Customers!A:D,4,FALSE)</f>
        <v/>
      </c>
      <c r="U897" s="25">
        <f>CONCATENATE(A897,"-",G897)</f>
        <v/>
      </c>
      <c r="V897" s="25">
        <f>IF(N897="","",IF(N897&lt;=30,"Fast (&lt;30m)",IF(N897&lt;=45,"Moderate (30-45m)","Delayed (&gt;45m)")))</f>
        <v/>
      </c>
      <c r="W897" s="25">
        <f>IF(AND(I897&gt;600,P897="Delivered"),"High Value Delivered","Standard")</f>
        <v/>
      </c>
      <c r="X897" s="25">
        <f>IF(OR(N897&gt;50,Q897&lt;=2),"High Risk / Delayed","Normal")</f>
        <v/>
      </c>
      <c r="Y897" s="25">
        <f>IF(NOT(P897="Cancelled"),"Fulfilled","Cancelled")</f>
        <v/>
      </c>
      <c r="Z897" s="25">
        <f>IFERROR(Q897,0)</f>
        <v/>
      </c>
    </row>
    <row r="898">
      <c r="A898" s="17" t="inlineStr">
        <is>
          <t>ORD1897</t>
        </is>
      </c>
      <c r="B898" s="17" t="inlineStr">
        <is>
          <t>2025-07-12</t>
        </is>
      </c>
      <c r="C898" s="17" t="inlineStr">
        <is>
          <t>12:27:43</t>
        </is>
      </c>
      <c r="D898" s="17" t="n">
        <v>1010</v>
      </c>
      <c r="E898" s="17" t="n">
        <v>109</v>
      </c>
      <c r="F898" s="17" t="n">
        <v>216</v>
      </c>
      <c r="G898" s="17" t="inlineStr">
        <is>
          <t>Hyderabad</t>
        </is>
      </c>
      <c r="H898" s="17" t="inlineStr">
        <is>
          <t>Biryani</t>
        </is>
      </c>
      <c r="I898" s="22" t="n">
        <v>392</v>
      </c>
      <c r="J898" s="22" t="n">
        <v>45.01</v>
      </c>
      <c r="K898" s="22" t="n">
        <v>63</v>
      </c>
      <c r="L898" s="23" t="n">
        <v>0.2</v>
      </c>
      <c r="M898" s="22" t="n">
        <v>94.15000000000001</v>
      </c>
      <c r="N898" s="24" t="n">
        <v>10.6</v>
      </c>
      <c r="O898" s="24" t="n">
        <v>54.9</v>
      </c>
      <c r="P898" s="17" t="inlineStr">
        <is>
          <t>Cash on Delivery</t>
        </is>
      </c>
      <c r="Q898" s="17" t="inlineStr">
        <is>
          <t>Delivered</t>
        </is>
      </c>
      <c r="R898" s="17" t="n">
        <v>3</v>
      </c>
      <c r="S898" s="17">
        <f>TEXT(B898,"yyyy-mm")</f>
        <v/>
      </c>
      <c r="T898" s="17">
        <f>VLOOKUP(D898,Customers!A:D,4,FALSE)</f>
        <v/>
      </c>
      <c r="U898" s="17">
        <f>CONCATENATE(A898,"-",G898)</f>
        <v/>
      </c>
      <c r="V898" s="17">
        <f>IF(N898="","",IF(N898&lt;=30,"Fast (&lt;30m)",IF(N898&lt;=45,"Moderate (30-45m)","Delayed (&gt;45m)")))</f>
        <v/>
      </c>
      <c r="W898" s="17">
        <f>IF(AND(I898&gt;600,P898="Delivered"),"High Value Delivered","Standard")</f>
        <v/>
      </c>
      <c r="X898" s="17">
        <f>IF(OR(N898&gt;50,Q898&lt;=2),"High Risk / Delayed","Normal")</f>
        <v/>
      </c>
      <c r="Y898" s="17">
        <f>IF(NOT(P898="Cancelled"),"Fulfilled","Cancelled")</f>
        <v/>
      </c>
      <c r="Z898" s="17">
        <f>IFERROR(Q898,0)</f>
        <v/>
      </c>
    </row>
    <row r="899">
      <c r="A899" s="25" t="inlineStr">
        <is>
          <t>ORD1898</t>
        </is>
      </c>
      <c r="B899" s="25" t="inlineStr">
        <is>
          <t>2025-03-02</t>
        </is>
      </c>
      <c r="C899" s="25" t="inlineStr">
        <is>
          <t>21:32:41</t>
        </is>
      </c>
      <c r="D899" s="25" t="n">
        <v>1079</v>
      </c>
      <c r="E899" s="25" t="n">
        <v>105</v>
      </c>
      <c r="F899" s="25" t="n">
        <v>210</v>
      </c>
      <c r="G899" s="25" t="inlineStr">
        <is>
          <t>Bangalore</t>
        </is>
      </c>
      <c r="H899" s="25" t="inlineStr">
        <is>
          <t>Chinese</t>
        </is>
      </c>
      <c r="I899" s="26" t="n">
        <v>566</v>
      </c>
      <c r="J899" s="26" t="n">
        <v>43.91</v>
      </c>
      <c r="K899" s="26" t="n">
        <v>32.5</v>
      </c>
      <c r="L899" s="27" t="n">
        <v>0.2</v>
      </c>
      <c r="M899" s="26" t="n">
        <v>121.32</v>
      </c>
      <c r="N899" s="28" t="n">
        <v>4.5</v>
      </c>
      <c r="O899" s="28" t="n">
        <v>40</v>
      </c>
      <c r="P899" s="25" t="inlineStr">
        <is>
          <t>Cash on Delivery</t>
        </is>
      </c>
      <c r="Q899" s="25" t="inlineStr">
        <is>
          <t>Delivered</t>
        </is>
      </c>
      <c r="R899" s="25" t="n">
        <v>2</v>
      </c>
      <c r="S899" s="25">
        <f>TEXT(B899,"yyyy-mm")</f>
        <v/>
      </c>
      <c r="T899" s="25">
        <f>VLOOKUP(D899,Customers!A:D,4,FALSE)</f>
        <v/>
      </c>
      <c r="U899" s="25">
        <f>CONCATENATE(A899,"-",G899)</f>
        <v/>
      </c>
      <c r="V899" s="25">
        <f>IF(N899="","",IF(N899&lt;=30,"Fast (&lt;30m)",IF(N899&lt;=45,"Moderate (30-45m)","Delayed (&gt;45m)")))</f>
        <v/>
      </c>
      <c r="W899" s="25">
        <f>IF(AND(I899&gt;600,P899="Delivered"),"High Value Delivered","Standard")</f>
        <v/>
      </c>
      <c r="X899" s="25">
        <f>IF(OR(N899&gt;50,Q899&lt;=2),"High Risk / Delayed","Normal")</f>
        <v/>
      </c>
      <c r="Y899" s="25">
        <f>IF(NOT(P899="Cancelled"),"Fulfilled","Cancelled")</f>
        <v/>
      </c>
      <c r="Z899" s="25">
        <f>IFERROR(Q899,0)</f>
        <v/>
      </c>
    </row>
    <row r="900">
      <c r="A900" s="17" t="inlineStr">
        <is>
          <t>ORD1899</t>
        </is>
      </c>
      <c r="B900" s="17" t="inlineStr">
        <is>
          <t>2025-03-02</t>
        </is>
      </c>
      <c r="C900" s="17" t="inlineStr">
        <is>
          <t>19:15:25</t>
        </is>
      </c>
      <c r="D900" s="17" t="n">
        <v>1014</v>
      </c>
      <c r="E900" s="17" t="n">
        <v>108</v>
      </c>
      <c r="F900" s="17" t="n">
        <v>221</v>
      </c>
      <c r="G900" s="17" t="inlineStr">
        <is>
          <t>Delhi NCR</t>
        </is>
      </c>
      <c r="H900" s="17" t="inlineStr">
        <is>
          <t>Fast Food</t>
        </is>
      </c>
      <c r="I900" s="22" t="n">
        <v>720</v>
      </c>
      <c r="J900" s="22" t="n">
        <v>0</v>
      </c>
      <c r="K900" s="22" t="n">
        <v>25</v>
      </c>
      <c r="L900" s="23" t="n">
        <v>0.18</v>
      </c>
      <c r="M900" s="22" t="n">
        <v>135.85</v>
      </c>
      <c r="N900" s="24" t="n">
        <v>2.4</v>
      </c>
      <c r="O900" s="24" t="n">
        <v>29.2</v>
      </c>
      <c r="P900" s="17" t="inlineStr">
        <is>
          <t>Credit Card</t>
        </is>
      </c>
      <c r="Q900" s="17" t="inlineStr">
        <is>
          <t>Delivered</t>
        </is>
      </c>
      <c r="R900" s="17" t="n">
        <v>3</v>
      </c>
      <c r="S900" s="17">
        <f>TEXT(B900,"yyyy-mm")</f>
        <v/>
      </c>
      <c r="T900" s="17">
        <f>VLOOKUP(D900,Customers!A:D,4,FALSE)</f>
        <v/>
      </c>
      <c r="U900" s="17">
        <f>CONCATENATE(A900,"-",G900)</f>
        <v/>
      </c>
      <c r="V900" s="17">
        <f>IF(N900="","",IF(N900&lt;=30,"Fast (&lt;30m)",IF(N900&lt;=45,"Moderate (30-45m)","Delayed (&gt;45m)")))</f>
        <v/>
      </c>
      <c r="W900" s="17">
        <f>IF(AND(I900&gt;600,P900="Delivered"),"High Value Delivered","Standard")</f>
        <v/>
      </c>
      <c r="X900" s="17">
        <f>IF(OR(N900&gt;50,Q900&lt;=2),"High Risk / Delayed","Normal")</f>
        <v/>
      </c>
      <c r="Y900" s="17">
        <f>IF(NOT(P900="Cancelled"),"Fulfilled","Cancelled")</f>
        <v/>
      </c>
      <c r="Z900" s="17">
        <f>IFERROR(Q900,0)</f>
        <v/>
      </c>
    </row>
    <row r="901">
      <c r="A901" s="25" t="inlineStr">
        <is>
          <t>ORD1900</t>
        </is>
      </c>
      <c r="B901" s="25" t="inlineStr">
        <is>
          <t>2025-11-29</t>
        </is>
      </c>
      <c r="C901" s="25" t="inlineStr">
        <is>
          <t>06:24:17</t>
        </is>
      </c>
      <c r="D901" s="25" t="n">
        <v>1153</v>
      </c>
      <c r="E901" s="25" t="n">
        <v>111</v>
      </c>
      <c r="F901" s="25" t="n">
        <v>223</v>
      </c>
      <c r="G901" s="25" t="inlineStr">
        <is>
          <t>Bangalore</t>
        </is>
      </c>
      <c r="H901" s="25" t="inlineStr">
        <is>
          <t>South Indian</t>
        </is>
      </c>
      <c r="I901" s="26" t="n">
        <v>867</v>
      </c>
      <c r="J901" s="26" t="n">
        <v>25.48</v>
      </c>
      <c r="K901" s="26" t="n">
        <v>25</v>
      </c>
      <c r="L901" s="27" t="n">
        <v>0.15</v>
      </c>
      <c r="M901" s="26" t="n">
        <v>136.3</v>
      </c>
      <c r="N901" s="28" t="n">
        <v>1.7</v>
      </c>
      <c r="O901" s="28" t="n">
        <v>33.4</v>
      </c>
      <c r="P901" s="25" t="inlineStr">
        <is>
          <t>UPI</t>
        </is>
      </c>
      <c r="Q901" s="25" t="inlineStr">
        <is>
          <t>Delivered</t>
        </is>
      </c>
      <c r="R901" s="25" t="n">
        <v>5</v>
      </c>
      <c r="S901" s="25">
        <f>TEXT(B901,"yyyy-mm")</f>
        <v/>
      </c>
      <c r="T901" s="25">
        <f>VLOOKUP(D901,Customers!A:D,4,FALSE)</f>
        <v/>
      </c>
      <c r="U901" s="25">
        <f>CONCATENATE(A901,"-",G901)</f>
        <v/>
      </c>
      <c r="V901" s="25">
        <f>IF(N901="","",IF(N901&lt;=30,"Fast (&lt;30m)",IF(N901&lt;=45,"Moderate (30-45m)","Delayed (&gt;45m)")))</f>
        <v/>
      </c>
      <c r="W901" s="25">
        <f>IF(AND(I901&gt;600,P901="Delivered"),"High Value Delivered","Standard")</f>
        <v/>
      </c>
      <c r="X901" s="25">
        <f>IF(OR(N901&gt;50,Q901&lt;=2),"High Risk / Delayed","Normal")</f>
        <v/>
      </c>
      <c r="Y901" s="25">
        <f>IF(NOT(P901="Cancelled"),"Fulfilled","Cancelled")</f>
        <v/>
      </c>
      <c r="Z901" s="25">
        <f>IFERROR(Q901,0)</f>
        <v/>
      </c>
    </row>
    <row r="902">
      <c r="A902" s="17" t="inlineStr">
        <is>
          <t>ORD1901</t>
        </is>
      </c>
      <c r="B902" s="17" t="inlineStr">
        <is>
          <t>2025-11-25</t>
        </is>
      </c>
      <c r="C902" s="17" t="inlineStr">
        <is>
          <t>16:42:58</t>
        </is>
      </c>
      <c r="D902" s="17" t="n">
        <v>1132</v>
      </c>
      <c r="E902" s="17" t="n">
        <v>101</v>
      </c>
      <c r="F902" s="17" t="n">
        <v>220</v>
      </c>
      <c r="G902" s="17" t="inlineStr">
        <is>
          <t>Bangalore</t>
        </is>
      </c>
      <c r="H902" s="17" t="inlineStr">
        <is>
          <t>North Indian</t>
        </is>
      </c>
      <c r="I902" s="22" t="n">
        <v>741</v>
      </c>
      <c r="J902" s="22" t="n">
        <v>0</v>
      </c>
      <c r="K902" s="22" t="n">
        <v>31</v>
      </c>
      <c r="L902" s="23" t="n">
        <v>0.2</v>
      </c>
      <c r="M902" s="22" t="n">
        <v>155.95</v>
      </c>
      <c r="N902" s="24" t="n">
        <v>4.2</v>
      </c>
      <c r="O902" s="24" t="n">
        <v>29.9</v>
      </c>
      <c r="P902" s="17" t="inlineStr">
        <is>
          <t>Digital Wallet</t>
        </is>
      </c>
      <c r="Q902" s="17" t="inlineStr">
        <is>
          <t>Delivered</t>
        </is>
      </c>
      <c r="R902" s="17" t="n">
        <v>4</v>
      </c>
      <c r="S902" s="17">
        <f>TEXT(B902,"yyyy-mm")</f>
        <v/>
      </c>
      <c r="T902" s="17">
        <f>VLOOKUP(D902,Customers!A:D,4,FALSE)</f>
        <v/>
      </c>
      <c r="U902" s="17">
        <f>CONCATENATE(A902,"-",G902)</f>
        <v/>
      </c>
      <c r="V902" s="17">
        <f>IF(N902="","",IF(N902&lt;=30,"Fast (&lt;30m)",IF(N902&lt;=45,"Moderate (30-45m)","Delayed (&gt;45m)")))</f>
        <v/>
      </c>
      <c r="W902" s="17">
        <f>IF(AND(I902&gt;600,P902="Delivered"),"High Value Delivered","Standard")</f>
        <v/>
      </c>
      <c r="X902" s="17">
        <f>IF(OR(N902&gt;50,Q902&lt;=2),"High Risk / Delayed","Normal")</f>
        <v/>
      </c>
      <c r="Y902" s="17">
        <f>IF(NOT(P902="Cancelled"),"Fulfilled","Cancelled")</f>
        <v/>
      </c>
      <c r="Z902" s="17">
        <f>IFERROR(Q902,0)</f>
        <v/>
      </c>
    </row>
    <row r="903">
      <c r="A903" s="25" t="inlineStr">
        <is>
          <t>ORD1902</t>
        </is>
      </c>
      <c r="B903" s="25" t="inlineStr">
        <is>
          <t>2025-10-31</t>
        </is>
      </c>
      <c r="C903" s="25" t="inlineStr">
        <is>
          <t>14:11:24</t>
        </is>
      </c>
      <c r="D903" s="25" t="n">
        <v>1034</v>
      </c>
      <c r="E903" s="25" t="n">
        <v>113</v>
      </c>
      <c r="F903" s="25" t="n">
        <v>206</v>
      </c>
      <c r="G903" s="25" t="inlineStr">
        <is>
          <t>Mumbai</t>
        </is>
      </c>
      <c r="H903" s="25" t="inlineStr">
        <is>
          <t>Fast Food</t>
        </is>
      </c>
      <c r="I903" s="26" t="n">
        <v>980</v>
      </c>
      <c r="J903" s="26" t="n">
        <v>166.87</v>
      </c>
      <c r="K903" s="26" t="n">
        <v>0</v>
      </c>
      <c r="L903" s="27" t="n">
        <v>0.18</v>
      </c>
      <c r="M903" s="26" t="n">
        <v>176.4</v>
      </c>
      <c r="N903" s="28" t="n">
        <v>4.3</v>
      </c>
      <c r="O903" s="28" t="n">
        <v>31.5</v>
      </c>
      <c r="P903" s="25" t="inlineStr">
        <is>
          <t>Credit Card</t>
        </is>
      </c>
      <c r="Q903" s="25" t="inlineStr">
        <is>
          <t>Delivered</t>
        </is>
      </c>
      <c r="R903" s="25" t="n">
        <v>4</v>
      </c>
      <c r="S903" s="25">
        <f>TEXT(B903,"yyyy-mm")</f>
        <v/>
      </c>
      <c r="T903" s="25">
        <f>VLOOKUP(D903,Customers!A:D,4,FALSE)</f>
        <v/>
      </c>
      <c r="U903" s="25">
        <f>CONCATENATE(A903,"-",G903)</f>
        <v/>
      </c>
      <c r="V903" s="25">
        <f>IF(N903="","",IF(N903&lt;=30,"Fast (&lt;30m)",IF(N903&lt;=45,"Moderate (30-45m)","Delayed (&gt;45m)")))</f>
        <v/>
      </c>
      <c r="W903" s="25">
        <f>IF(AND(I903&gt;600,P903="Delivered"),"High Value Delivered","Standard")</f>
        <v/>
      </c>
      <c r="X903" s="25">
        <f>IF(OR(N903&gt;50,Q903&lt;=2),"High Risk / Delayed","Normal")</f>
        <v/>
      </c>
      <c r="Y903" s="25">
        <f>IF(NOT(P903="Cancelled"),"Fulfilled","Cancelled")</f>
        <v/>
      </c>
      <c r="Z903" s="25">
        <f>IFERROR(Q903,0)</f>
        <v/>
      </c>
    </row>
    <row r="904">
      <c r="A904" s="17" t="inlineStr">
        <is>
          <t>ORD1903</t>
        </is>
      </c>
      <c r="B904" s="17" t="inlineStr">
        <is>
          <t>2025-02-02</t>
        </is>
      </c>
      <c r="C904" s="17" t="inlineStr">
        <is>
          <t>10:45:58</t>
        </is>
      </c>
      <c r="D904" s="17" t="n">
        <v>1281</v>
      </c>
      <c r="E904" s="17" t="n">
        <v>111</v>
      </c>
      <c r="F904" s="17" t="n">
        <v>201</v>
      </c>
      <c r="G904" s="17" t="inlineStr">
        <is>
          <t>Bangalore</t>
        </is>
      </c>
      <c r="H904" s="17" t="inlineStr">
        <is>
          <t>South Indian</t>
        </is>
      </c>
      <c r="I904" s="22" t="n">
        <v>917</v>
      </c>
      <c r="J904" s="22" t="n">
        <v>128.87</v>
      </c>
      <c r="K904" s="22" t="n">
        <v>0</v>
      </c>
      <c r="L904" s="23" t="n">
        <v>0.15</v>
      </c>
      <c r="M904" s="22" t="n">
        <v>137.55</v>
      </c>
      <c r="N904" s="24" t="n">
        <v>8</v>
      </c>
      <c r="O904" s="24" t="n">
        <v>47.5</v>
      </c>
      <c r="P904" s="17" t="inlineStr">
        <is>
          <t>Cash on Delivery</t>
        </is>
      </c>
      <c r="Q904" s="17" t="inlineStr">
        <is>
          <t>Delivered</t>
        </is>
      </c>
      <c r="R904" s="17" t="n">
        <v>1</v>
      </c>
      <c r="S904" s="17">
        <f>TEXT(B904,"yyyy-mm")</f>
        <v/>
      </c>
      <c r="T904" s="17">
        <f>VLOOKUP(D904,Customers!A:D,4,FALSE)</f>
        <v/>
      </c>
      <c r="U904" s="17">
        <f>CONCATENATE(A904,"-",G904)</f>
        <v/>
      </c>
      <c r="V904" s="17">
        <f>IF(N904="","",IF(N904&lt;=30,"Fast (&lt;30m)",IF(N904&lt;=45,"Moderate (30-45m)","Delayed (&gt;45m)")))</f>
        <v/>
      </c>
      <c r="W904" s="17">
        <f>IF(AND(I904&gt;600,P904="Delivered"),"High Value Delivered","Standard")</f>
        <v/>
      </c>
      <c r="X904" s="17">
        <f>IF(OR(N904&gt;50,Q904&lt;=2),"High Risk / Delayed","Normal")</f>
        <v/>
      </c>
      <c r="Y904" s="17">
        <f>IF(NOT(P904="Cancelled"),"Fulfilled","Cancelled")</f>
        <v/>
      </c>
      <c r="Z904" s="17">
        <f>IFERROR(Q904,0)</f>
        <v/>
      </c>
    </row>
    <row r="905">
      <c r="A905" s="25" t="inlineStr">
        <is>
          <t>ORD1904</t>
        </is>
      </c>
      <c r="B905" s="25" t="inlineStr">
        <is>
          <t>2025-04-17</t>
        </is>
      </c>
      <c r="C905" s="25" t="inlineStr">
        <is>
          <t>16:42:57</t>
        </is>
      </c>
      <c r="D905" s="25" t="n">
        <v>1169</v>
      </c>
      <c r="E905" s="25" t="n">
        <v>103</v>
      </c>
      <c r="F905" s="25" t="n">
        <v>229</v>
      </c>
      <c r="G905" s="25" t="inlineStr">
        <is>
          <t>Mumbai</t>
        </is>
      </c>
      <c r="H905" s="25" t="inlineStr">
        <is>
          <t>Italian</t>
        </is>
      </c>
      <c r="I905" s="26" t="n">
        <v>340</v>
      </c>
      <c r="J905" s="26" t="n">
        <v>0</v>
      </c>
      <c r="K905" s="26" t="n">
        <v>32</v>
      </c>
      <c r="L905" s="27" t="n">
        <v>0.18</v>
      </c>
      <c r="M905" s="26" t="n">
        <v>69.2</v>
      </c>
      <c r="N905" s="28" t="n">
        <v>4.4</v>
      </c>
      <c r="O905" s="28" t="n">
        <v>32</v>
      </c>
      <c r="P905" s="25" t="inlineStr">
        <is>
          <t>Credit Card</t>
        </is>
      </c>
      <c r="Q905" s="25" t="inlineStr">
        <is>
          <t>Delivered</t>
        </is>
      </c>
      <c r="R905" s="25" t="n">
        <v>4</v>
      </c>
      <c r="S905" s="25">
        <f>TEXT(B905,"yyyy-mm")</f>
        <v/>
      </c>
      <c r="T905" s="25">
        <f>VLOOKUP(D905,Customers!A:D,4,FALSE)</f>
        <v/>
      </c>
      <c r="U905" s="25">
        <f>CONCATENATE(A905,"-",G905)</f>
        <v/>
      </c>
      <c r="V905" s="25">
        <f>IF(N905="","",IF(N905&lt;=30,"Fast (&lt;30m)",IF(N905&lt;=45,"Moderate (30-45m)","Delayed (&gt;45m)")))</f>
        <v/>
      </c>
      <c r="W905" s="25">
        <f>IF(AND(I905&gt;600,P905="Delivered"),"High Value Delivered","Standard")</f>
        <v/>
      </c>
      <c r="X905" s="25">
        <f>IF(OR(N905&gt;50,Q905&lt;=2),"High Risk / Delayed","Normal")</f>
        <v/>
      </c>
      <c r="Y905" s="25">
        <f>IF(NOT(P905="Cancelled"),"Fulfilled","Cancelled")</f>
        <v/>
      </c>
      <c r="Z905" s="25">
        <f>IFERROR(Q905,0)</f>
        <v/>
      </c>
    </row>
    <row r="906">
      <c r="A906" s="17" t="inlineStr">
        <is>
          <t>ORD1905</t>
        </is>
      </c>
      <c r="B906" s="17" t="inlineStr">
        <is>
          <t>2025-06-10</t>
        </is>
      </c>
      <c r="C906" s="17" t="inlineStr">
        <is>
          <t>21:07:02</t>
        </is>
      </c>
      <c r="D906" s="17" t="n">
        <v>1215</v>
      </c>
      <c r="E906" s="17" t="n">
        <v>110</v>
      </c>
      <c r="F906" s="17" t="n">
        <v>217</v>
      </c>
      <c r="G906" s="17" t="inlineStr">
        <is>
          <t>Pune</t>
        </is>
      </c>
      <c r="H906" s="17" t="inlineStr">
        <is>
          <t>North Indian</t>
        </is>
      </c>
      <c r="I906" s="22" t="n">
        <v>351</v>
      </c>
      <c r="J906" s="22" t="n">
        <v>31.68</v>
      </c>
      <c r="K906" s="22" t="n">
        <v>34</v>
      </c>
      <c r="L906" s="23" t="n">
        <v>0.18</v>
      </c>
      <c r="M906" s="22" t="n">
        <v>71.68000000000001</v>
      </c>
      <c r="N906" s="24" t="n">
        <v>4.8</v>
      </c>
      <c r="O906" s="24" t="n">
        <v>39.6</v>
      </c>
      <c r="P906" s="17" t="inlineStr">
        <is>
          <t>UPI</t>
        </is>
      </c>
      <c r="Q906" s="17" t="inlineStr">
        <is>
          <t>Delivered</t>
        </is>
      </c>
      <c r="R906" s="17" t="n">
        <v>4</v>
      </c>
      <c r="S906" s="17">
        <f>TEXT(B906,"yyyy-mm")</f>
        <v/>
      </c>
      <c r="T906" s="17">
        <f>VLOOKUP(D906,Customers!A:D,4,FALSE)</f>
        <v/>
      </c>
      <c r="U906" s="17">
        <f>CONCATENATE(A906,"-",G906)</f>
        <v/>
      </c>
      <c r="V906" s="17">
        <f>IF(N906="","",IF(N906&lt;=30,"Fast (&lt;30m)",IF(N906&lt;=45,"Moderate (30-45m)","Delayed (&gt;45m)")))</f>
        <v/>
      </c>
      <c r="W906" s="17">
        <f>IF(AND(I906&gt;600,P906="Delivered"),"High Value Delivered","Standard")</f>
        <v/>
      </c>
      <c r="X906" s="17">
        <f>IF(OR(N906&gt;50,Q906&lt;=2),"High Risk / Delayed","Normal")</f>
        <v/>
      </c>
      <c r="Y906" s="17">
        <f>IF(NOT(P906="Cancelled"),"Fulfilled","Cancelled")</f>
        <v/>
      </c>
      <c r="Z906" s="17">
        <f>IFERROR(Q906,0)</f>
        <v/>
      </c>
    </row>
    <row r="907">
      <c r="A907" s="25" t="inlineStr">
        <is>
          <t>ORD1906</t>
        </is>
      </c>
      <c r="B907" s="25" t="inlineStr">
        <is>
          <t>2025-03-05</t>
        </is>
      </c>
      <c r="C907" s="25" t="inlineStr">
        <is>
          <t>14:32:19</t>
        </is>
      </c>
      <c r="D907" s="25" t="n">
        <v>1273</v>
      </c>
      <c r="E907" s="25" t="n">
        <v>102</v>
      </c>
      <c r="F907" s="25" t="n">
        <v>216</v>
      </c>
      <c r="G907" s="25" t="inlineStr">
        <is>
          <t>Hyderabad</t>
        </is>
      </c>
      <c r="H907" s="25" t="inlineStr">
        <is>
          <t>Biryani</t>
        </is>
      </c>
      <c r="I907" s="26" t="n">
        <v>939</v>
      </c>
      <c r="J907" s="26" t="n">
        <v>145.02</v>
      </c>
      <c r="K907" s="26" t="n">
        <v>0</v>
      </c>
      <c r="L907" s="27" t="n">
        <v>0.22</v>
      </c>
      <c r="M907" s="26" t="n">
        <v>206.58</v>
      </c>
      <c r="N907" s="28" t="n">
        <v>8.9</v>
      </c>
      <c r="O907" s="28" t="n">
        <v>50.1</v>
      </c>
      <c r="P907" s="25" t="inlineStr">
        <is>
          <t>UPI</t>
        </is>
      </c>
      <c r="Q907" s="25" t="inlineStr">
        <is>
          <t>Delivered</t>
        </is>
      </c>
      <c r="R907" s="25" t="n">
        <v>3</v>
      </c>
      <c r="S907" s="25">
        <f>TEXT(B907,"yyyy-mm")</f>
        <v/>
      </c>
      <c r="T907" s="25">
        <f>VLOOKUP(D907,Customers!A:D,4,FALSE)</f>
        <v/>
      </c>
      <c r="U907" s="25">
        <f>CONCATENATE(A907,"-",G907)</f>
        <v/>
      </c>
      <c r="V907" s="25">
        <f>IF(N907="","",IF(N907&lt;=30,"Fast (&lt;30m)",IF(N907&lt;=45,"Moderate (30-45m)","Delayed (&gt;45m)")))</f>
        <v/>
      </c>
      <c r="W907" s="25">
        <f>IF(AND(I907&gt;600,P907="Delivered"),"High Value Delivered","Standard")</f>
        <v/>
      </c>
      <c r="X907" s="25">
        <f>IF(OR(N907&gt;50,Q907&lt;=2),"High Risk / Delayed","Normal")</f>
        <v/>
      </c>
      <c r="Y907" s="25">
        <f>IF(NOT(P907="Cancelled"),"Fulfilled","Cancelled")</f>
        <v/>
      </c>
      <c r="Z907" s="25">
        <f>IFERROR(Q907,0)</f>
        <v/>
      </c>
    </row>
    <row r="908">
      <c r="A908" s="17" t="inlineStr">
        <is>
          <t>ORD1907</t>
        </is>
      </c>
      <c r="B908" s="17" t="inlineStr">
        <is>
          <t>2025-01-24</t>
        </is>
      </c>
      <c r="C908" s="17" t="inlineStr">
        <is>
          <t>18:33:57</t>
        </is>
      </c>
      <c r="D908" s="17" t="n">
        <v>1217</v>
      </c>
      <c r="E908" s="17" t="n">
        <v>114</v>
      </c>
      <c r="F908" s="17" t="n">
        <v>215</v>
      </c>
      <c r="G908" s="17" t="inlineStr">
        <is>
          <t>Hyderabad</t>
        </is>
      </c>
      <c r="H908" s="17" t="inlineStr">
        <is>
          <t>Biryani</t>
        </is>
      </c>
      <c r="I908" s="22" t="n">
        <v>520</v>
      </c>
      <c r="J908" s="22" t="n">
        <v>18.51</v>
      </c>
      <c r="K908" s="22" t="n">
        <v>25</v>
      </c>
      <c r="L908" s="23" t="n">
        <v>0.22</v>
      </c>
      <c r="M908" s="22" t="n">
        <v>120.65</v>
      </c>
      <c r="N908" s="24" t="n">
        <v>2.6</v>
      </c>
      <c r="O908" s="24" t="n">
        <v>26.7</v>
      </c>
      <c r="P908" s="17" t="inlineStr">
        <is>
          <t>Debit Card</t>
        </is>
      </c>
      <c r="Q908" s="17" t="inlineStr">
        <is>
          <t>Delivered</t>
        </is>
      </c>
      <c r="R908" s="17" t="n">
        <v>3</v>
      </c>
      <c r="S908" s="17">
        <f>TEXT(B908,"yyyy-mm")</f>
        <v/>
      </c>
      <c r="T908" s="17">
        <f>VLOOKUP(D908,Customers!A:D,4,FALSE)</f>
        <v/>
      </c>
      <c r="U908" s="17">
        <f>CONCATENATE(A908,"-",G908)</f>
        <v/>
      </c>
      <c r="V908" s="17">
        <f>IF(N908="","",IF(N908&lt;=30,"Fast (&lt;30m)",IF(N908&lt;=45,"Moderate (30-45m)","Delayed (&gt;45m)")))</f>
        <v/>
      </c>
      <c r="W908" s="17">
        <f>IF(AND(I908&gt;600,P908="Delivered"),"High Value Delivered","Standard")</f>
        <v/>
      </c>
      <c r="X908" s="17">
        <f>IF(OR(N908&gt;50,Q908&lt;=2),"High Risk / Delayed","Normal")</f>
        <v/>
      </c>
      <c r="Y908" s="17">
        <f>IF(NOT(P908="Cancelled"),"Fulfilled","Cancelled")</f>
        <v/>
      </c>
      <c r="Z908" s="17">
        <f>IFERROR(Q908,0)</f>
        <v/>
      </c>
    </row>
    <row r="909">
      <c r="A909" s="25" t="inlineStr">
        <is>
          <t>ORD1908</t>
        </is>
      </c>
      <c r="B909" s="25" t="inlineStr">
        <is>
          <t>2025-12-06</t>
        </is>
      </c>
      <c r="C909" s="25" t="inlineStr">
        <is>
          <t>06:52:02</t>
        </is>
      </c>
      <c r="D909" s="25" t="n">
        <v>1159</v>
      </c>
      <c r="E909" s="25" t="n">
        <v>118</v>
      </c>
      <c r="F909" s="25" t="n">
        <v>230</v>
      </c>
      <c r="G909" s="25" t="inlineStr">
        <is>
          <t>Delhi NCR</t>
        </is>
      </c>
      <c r="H909" s="25" t="inlineStr">
        <is>
          <t>North Indian</t>
        </is>
      </c>
      <c r="I909" s="26" t="n">
        <v>462</v>
      </c>
      <c r="J909" s="26" t="n">
        <v>0</v>
      </c>
      <c r="K909" s="26" t="n">
        <v>36</v>
      </c>
      <c r="L909" s="27" t="n">
        <v>0.2</v>
      </c>
      <c r="M909" s="26" t="n">
        <v>101.4</v>
      </c>
      <c r="N909" s="28" t="n">
        <v>5.2</v>
      </c>
      <c r="O909" s="28" t="n">
        <v>31.1</v>
      </c>
      <c r="P909" s="25" t="inlineStr">
        <is>
          <t>Credit Card</t>
        </is>
      </c>
      <c r="Q909" s="25" t="inlineStr">
        <is>
          <t>Delivered</t>
        </is>
      </c>
      <c r="R909" s="25" t="n">
        <v>3</v>
      </c>
      <c r="S909" s="25">
        <f>TEXT(B909,"yyyy-mm")</f>
        <v/>
      </c>
      <c r="T909" s="25">
        <f>VLOOKUP(D909,Customers!A:D,4,FALSE)</f>
        <v/>
      </c>
      <c r="U909" s="25">
        <f>CONCATENATE(A909,"-",G909)</f>
        <v/>
      </c>
      <c r="V909" s="25">
        <f>IF(N909="","",IF(N909&lt;=30,"Fast (&lt;30m)",IF(N909&lt;=45,"Moderate (30-45m)","Delayed (&gt;45m)")))</f>
        <v/>
      </c>
      <c r="W909" s="25">
        <f>IF(AND(I909&gt;600,P909="Delivered"),"High Value Delivered","Standard")</f>
        <v/>
      </c>
      <c r="X909" s="25">
        <f>IF(OR(N909&gt;50,Q909&lt;=2),"High Risk / Delayed","Normal")</f>
        <v/>
      </c>
      <c r="Y909" s="25">
        <f>IF(NOT(P909="Cancelled"),"Fulfilled","Cancelled")</f>
        <v/>
      </c>
      <c r="Z909" s="25">
        <f>IFERROR(Q909,0)</f>
        <v/>
      </c>
    </row>
    <row r="910">
      <c r="A910" s="17" t="inlineStr">
        <is>
          <t>ORD1909</t>
        </is>
      </c>
      <c r="B910" s="17" t="inlineStr">
        <is>
          <t>2025-10-30</t>
        </is>
      </c>
      <c r="C910" s="17" t="inlineStr">
        <is>
          <t>15:22:17</t>
        </is>
      </c>
      <c r="D910" s="17" t="n">
        <v>1114</v>
      </c>
      <c r="E910" s="17" t="n">
        <v>102</v>
      </c>
      <c r="F910" s="17" t="n">
        <v>216</v>
      </c>
      <c r="G910" s="17" t="inlineStr">
        <is>
          <t>Hyderabad</t>
        </is>
      </c>
      <c r="H910" s="17" t="inlineStr">
        <is>
          <t>Biryani</t>
        </is>
      </c>
      <c r="I910" s="22" t="n">
        <v>351</v>
      </c>
      <c r="J910" s="22" t="n">
        <v>35.46</v>
      </c>
      <c r="K910" s="22" t="n">
        <v>49</v>
      </c>
      <c r="L910" s="23" t="n">
        <v>0.22</v>
      </c>
      <c r="M910" s="22" t="n">
        <v>89.47</v>
      </c>
      <c r="N910" s="24" t="n">
        <v>7.8</v>
      </c>
      <c r="O910" s="24" t="n">
        <v>39.9</v>
      </c>
      <c r="P910" s="17" t="inlineStr">
        <is>
          <t>Digital Wallet</t>
        </is>
      </c>
      <c r="Q910" s="17" t="inlineStr">
        <is>
          <t>Delivered</t>
        </is>
      </c>
      <c r="R910" s="17" t="n">
        <v>3</v>
      </c>
      <c r="S910" s="17">
        <f>TEXT(B910,"yyyy-mm")</f>
        <v/>
      </c>
      <c r="T910" s="17">
        <f>VLOOKUP(D910,Customers!A:D,4,FALSE)</f>
        <v/>
      </c>
      <c r="U910" s="17">
        <f>CONCATENATE(A910,"-",G910)</f>
        <v/>
      </c>
      <c r="V910" s="17">
        <f>IF(N910="","",IF(N910&lt;=30,"Fast (&lt;30m)",IF(N910&lt;=45,"Moderate (30-45m)","Delayed (&gt;45m)")))</f>
        <v/>
      </c>
      <c r="W910" s="17">
        <f>IF(AND(I910&gt;600,P910="Delivered"),"High Value Delivered","Standard")</f>
        <v/>
      </c>
      <c r="X910" s="17">
        <f>IF(OR(N910&gt;50,Q910&lt;=2),"High Risk / Delayed","Normal")</f>
        <v/>
      </c>
      <c r="Y910" s="17">
        <f>IF(NOT(P910="Cancelled"),"Fulfilled","Cancelled")</f>
        <v/>
      </c>
      <c r="Z910" s="17">
        <f>IFERROR(Q910,0)</f>
        <v/>
      </c>
    </row>
    <row r="911">
      <c r="A911" s="25" t="inlineStr">
        <is>
          <t>ORD1910</t>
        </is>
      </c>
      <c r="B911" s="25" t="inlineStr">
        <is>
          <t>2025-11-29</t>
        </is>
      </c>
      <c r="C911" s="25" t="inlineStr">
        <is>
          <t>15:57:10</t>
        </is>
      </c>
      <c r="D911" s="25" t="n">
        <v>1294</v>
      </c>
      <c r="E911" s="25" t="n">
        <v>112</v>
      </c>
      <c r="F911" s="25" t="n">
        <v>228</v>
      </c>
      <c r="G911" s="25" t="inlineStr">
        <is>
          <t>Delhi NCR</t>
        </is>
      </c>
      <c r="H911" s="25" t="inlineStr">
        <is>
          <t>North Indian</t>
        </is>
      </c>
      <c r="I911" s="26" t="n">
        <v>629</v>
      </c>
      <c r="J911" s="26" t="n">
        <v>0</v>
      </c>
      <c r="K911" s="26" t="n">
        <v>27.5</v>
      </c>
      <c r="L911" s="27" t="n">
        <v>0.22</v>
      </c>
      <c r="M911" s="26" t="n">
        <v>145.26</v>
      </c>
      <c r="N911" s="28" t="n">
        <v>3.5</v>
      </c>
      <c r="O911" s="28" t="n">
        <v>34.5</v>
      </c>
      <c r="P911" s="25" t="inlineStr">
        <is>
          <t>Cash on Delivery</t>
        </is>
      </c>
      <c r="Q911" s="25" t="inlineStr">
        <is>
          <t>Delivered</t>
        </is>
      </c>
      <c r="R911" s="25" t="n">
        <v>4</v>
      </c>
      <c r="S911" s="25">
        <f>TEXT(B911,"yyyy-mm")</f>
        <v/>
      </c>
      <c r="T911" s="25">
        <f>VLOOKUP(D911,Customers!A:D,4,FALSE)</f>
        <v/>
      </c>
      <c r="U911" s="25">
        <f>CONCATENATE(A911,"-",G911)</f>
        <v/>
      </c>
      <c r="V911" s="25">
        <f>IF(N911="","",IF(N911&lt;=30,"Fast (&lt;30m)",IF(N911&lt;=45,"Moderate (30-45m)","Delayed (&gt;45m)")))</f>
        <v/>
      </c>
      <c r="W911" s="25">
        <f>IF(AND(I911&gt;600,P911="Delivered"),"High Value Delivered","Standard")</f>
        <v/>
      </c>
      <c r="X911" s="25">
        <f>IF(OR(N911&gt;50,Q911&lt;=2),"High Risk / Delayed","Normal")</f>
        <v/>
      </c>
      <c r="Y911" s="25">
        <f>IF(NOT(P911="Cancelled"),"Fulfilled","Cancelled")</f>
        <v/>
      </c>
      <c r="Z911" s="25">
        <f>IFERROR(Q911,0)</f>
        <v/>
      </c>
    </row>
    <row r="912">
      <c r="A912" s="17" t="inlineStr">
        <is>
          <t>ORD1911</t>
        </is>
      </c>
      <c r="B912" s="17" t="inlineStr">
        <is>
          <t>2025-11-19</t>
        </is>
      </c>
      <c r="C912" s="17" t="inlineStr">
        <is>
          <t>10:46:17</t>
        </is>
      </c>
      <c r="D912" s="17" t="n">
        <v>1202</v>
      </c>
      <c r="E912" s="17" t="n">
        <v>101</v>
      </c>
      <c r="F912" s="17" t="n">
        <v>205</v>
      </c>
      <c r="G912" s="17" t="inlineStr">
        <is>
          <t>Bangalore</t>
        </is>
      </c>
      <c r="H912" s="17" t="inlineStr">
        <is>
          <t>North Indian</t>
        </is>
      </c>
      <c r="I912" s="22" t="n">
        <v>868</v>
      </c>
      <c r="J912" s="22" t="n">
        <v>13.38</v>
      </c>
      <c r="K912" s="22" t="n">
        <v>28.5</v>
      </c>
      <c r="L912" s="23" t="n">
        <v>0.2</v>
      </c>
      <c r="M912" s="22" t="n">
        <v>180.73</v>
      </c>
      <c r="N912" s="24" t="n">
        <v>3.7</v>
      </c>
      <c r="O912" s="24" t="n">
        <v>31.8</v>
      </c>
      <c r="P912" s="17" t="inlineStr">
        <is>
          <t>Digital Wallet</t>
        </is>
      </c>
      <c r="Q912" s="17" t="inlineStr">
        <is>
          <t>Delivered</t>
        </is>
      </c>
      <c r="R912" s="17" t="n">
        <v>3</v>
      </c>
      <c r="S912" s="17">
        <f>TEXT(B912,"yyyy-mm")</f>
        <v/>
      </c>
      <c r="T912" s="17">
        <f>VLOOKUP(D912,Customers!A:D,4,FALSE)</f>
        <v/>
      </c>
      <c r="U912" s="17">
        <f>CONCATENATE(A912,"-",G912)</f>
        <v/>
      </c>
      <c r="V912" s="17">
        <f>IF(N912="","",IF(N912&lt;=30,"Fast (&lt;30m)",IF(N912&lt;=45,"Moderate (30-45m)","Delayed (&gt;45m)")))</f>
        <v/>
      </c>
      <c r="W912" s="17">
        <f>IF(AND(I912&gt;600,P912="Delivered"),"High Value Delivered","Standard")</f>
        <v/>
      </c>
      <c r="X912" s="17">
        <f>IF(OR(N912&gt;50,Q912&lt;=2),"High Risk / Delayed","Normal")</f>
        <v/>
      </c>
      <c r="Y912" s="17">
        <f>IF(NOT(P912="Cancelled"),"Fulfilled","Cancelled")</f>
        <v/>
      </c>
      <c r="Z912" s="17">
        <f>IFERROR(Q912,0)</f>
        <v/>
      </c>
    </row>
    <row r="913">
      <c r="A913" s="25" t="inlineStr">
        <is>
          <t>ORD1912</t>
        </is>
      </c>
      <c r="B913" s="25" t="inlineStr">
        <is>
          <t>2025-06-11</t>
        </is>
      </c>
      <c r="C913" s="25" t="inlineStr">
        <is>
          <t>10:50:27</t>
        </is>
      </c>
      <c r="D913" s="25" t="n">
        <v>1148</v>
      </c>
      <c r="E913" s="25" t="n">
        <v>115</v>
      </c>
      <c r="F913" s="25" t="n">
        <v>205</v>
      </c>
      <c r="G913" s="25" t="inlineStr">
        <is>
          <t>Bangalore</t>
        </is>
      </c>
      <c r="H913" s="25" t="inlineStr">
        <is>
          <t>Italian</t>
        </is>
      </c>
      <c r="I913" s="26" t="n">
        <v>608</v>
      </c>
      <c r="J913" s="26" t="n">
        <v>0</v>
      </c>
      <c r="K913" s="26" t="n">
        <v>41.5</v>
      </c>
      <c r="L913" s="27" t="n">
        <v>0.2</v>
      </c>
      <c r="M913" s="26" t="n">
        <v>131.98</v>
      </c>
      <c r="N913" s="28" t="n">
        <v>6.3</v>
      </c>
      <c r="O913" s="28" t="n">
        <v>36.5</v>
      </c>
      <c r="P913" s="25" t="inlineStr">
        <is>
          <t>UPI</t>
        </is>
      </c>
      <c r="Q913" s="25" t="inlineStr">
        <is>
          <t>Delivered</t>
        </is>
      </c>
      <c r="R913" s="25" t="n">
        <v>5</v>
      </c>
      <c r="S913" s="25">
        <f>TEXT(B913,"yyyy-mm")</f>
        <v/>
      </c>
      <c r="T913" s="25">
        <f>VLOOKUP(D913,Customers!A:D,4,FALSE)</f>
        <v/>
      </c>
      <c r="U913" s="25">
        <f>CONCATENATE(A913,"-",G913)</f>
        <v/>
      </c>
      <c r="V913" s="25">
        <f>IF(N913="","",IF(N913&lt;=30,"Fast (&lt;30m)",IF(N913&lt;=45,"Moderate (30-45m)","Delayed (&gt;45m)")))</f>
        <v/>
      </c>
      <c r="W913" s="25">
        <f>IF(AND(I913&gt;600,P913="Delivered"),"High Value Delivered","Standard")</f>
        <v/>
      </c>
      <c r="X913" s="25">
        <f>IF(OR(N913&gt;50,Q913&lt;=2),"High Risk / Delayed","Normal")</f>
        <v/>
      </c>
      <c r="Y913" s="25">
        <f>IF(NOT(P913="Cancelled"),"Fulfilled","Cancelled")</f>
        <v/>
      </c>
      <c r="Z913" s="25">
        <f>IFERROR(Q913,0)</f>
        <v/>
      </c>
    </row>
    <row r="914">
      <c r="A914" s="17" t="inlineStr">
        <is>
          <t>ORD1913</t>
        </is>
      </c>
      <c r="B914" s="17" t="inlineStr">
        <is>
          <t>2025-12-17</t>
        </is>
      </c>
      <c r="C914" s="17" t="inlineStr">
        <is>
          <t>15:35:26</t>
        </is>
      </c>
      <c r="D914" s="17" t="n">
        <v>1097</v>
      </c>
      <c r="E914" s="17" t="n">
        <v>115</v>
      </c>
      <c r="F914" s="17" t="n">
        <v>203</v>
      </c>
      <c r="G914" s="17" t="inlineStr">
        <is>
          <t>Bangalore</t>
        </is>
      </c>
      <c r="H914" s="17" t="inlineStr">
        <is>
          <t>Italian</t>
        </is>
      </c>
      <c r="I914" s="22" t="n">
        <v>287</v>
      </c>
      <c r="J914" s="22" t="n">
        <v>0</v>
      </c>
      <c r="K914" s="22" t="n">
        <v>25</v>
      </c>
      <c r="L914" s="23" t="n">
        <v>0.2</v>
      </c>
      <c r="M914" s="22" t="n">
        <v>63.65</v>
      </c>
      <c r="N914" s="24" t="n">
        <v>2.9</v>
      </c>
      <c r="O914" s="24" t="n">
        <v/>
      </c>
      <c r="P914" s="17" t="inlineStr">
        <is>
          <t>Debit Card</t>
        </is>
      </c>
      <c r="Q914" s="17" t="inlineStr">
        <is>
          <t>Cancelled</t>
        </is>
      </c>
      <c r="R914" s="17" t="n">
        <v/>
      </c>
      <c r="S914" s="17">
        <f>TEXT(B914,"yyyy-mm")</f>
        <v/>
      </c>
      <c r="T914" s="17">
        <f>VLOOKUP(D914,Customers!A:D,4,FALSE)</f>
        <v/>
      </c>
      <c r="U914" s="17">
        <f>CONCATENATE(A914,"-",G914)</f>
        <v/>
      </c>
      <c r="V914" s="17">
        <f>IF(N914="","",IF(N914&lt;=30,"Fast (&lt;30m)",IF(N914&lt;=45,"Moderate (30-45m)","Delayed (&gt;45m)")))</f>
        <v/>
      </c>
      <c r="W914" s="17">
        <f>IF(AND(I914&gt;600,P914="Delivered"),"High Value Delivered","Standard")</f>
        <v/>
      </c>
      <c r="X914" s="17">
        <f>IF(OR(N914&gt;50,Q914&lt;=2),"High Risk / Delayed","Normal")</f>
        <v/>
      </c>
      <c r="Y914" s="17">
        <f>IF(NOT(P914="Cancelled"),"Fulfilled","Cancelled")</f>
        <v/>
      </c>
      <c r="Z914" s="17">
        <f>IFERROR(Q914,0)</f>
        <v/>
      </c>
    </row>
    <row r="915">
      <c r="A915" s="25" t="inlineStr">
        <is>
          <t>ORD1914</t>
        </is>
      </c>
      <c r="B915" s="25" t="inlineStr">
        <is>
          <t>2025-05-21</t>
        </is>
      </c>
      <c r="C915" s="25" t="inlineStr">
        <is>
          <t>20:00:06</t>
        </is>
      </c>
      <c r="D915" s="25" t="n">
        <v>1164</v>
      </c>
      <c r="E915" s="25" t="n">
        <v>120</v>
      </c>
      <c r="F915" s="25" t="n">
        <v>217</v>
      </c>
      <c r="G915" s="25" t="inlineStr">
        <is>
          <t>Pune</t>
        </is>
      </c>
      <c r="H915" s="25" t="inlineStr">
        <is>
          <t>Fast Food</t>
        </is>
      </c>
      <c r="I915" s="26" t="n">
        <v>606</v>
      </c>
      <c r="J915" s="26" t="n">
        <v>10.77</v>
      </c>
      <c r="K915" s="26" t="n">
        <v>37.5</v>
      </c>
      <c r="L915" s="27" t="n">
        <v>0.18</v>
      </c>
      <c r="M915" s="26" t="n">
        <v>118.46</v>
      </c>
      <c r="N915" s="28" t="n">
        <v>5.5</v>
      </c>
      <c r="O915" s="28" t="n">
        <v>45.5</v>
      </c>
      <c r="P915" s="25" t="inlineStr">
        <is>
          <t>UPI</t>
        </is>
      </c>
      <c r="Q915" s="25" t="inlineStr">
        <is>
          <t>Delivered</t>
        </is>
      </c>
      <c r="R915" s="25" t="n">
        <v>3</v>
      </c>
      <c r="S915" s="25">
        <f>TEXT(B915,"yyyy-mm")</f>
        <v/>
      </c>
      <c r="T915" s="25">
        <f>VLOOKUP(D915,Customers!A:D,4,FALSE)</f>
        <v/>
      </c>
      <c r="U915" s="25">
        <f>CONCATENATE(A915,"-",G915)</f>
        <v/>
      </c>
      <c r="V915" s="25">
        <f>IF(N915="","",IF(N915&lt;=30,"Fast (&lt;30m)",IF(N915&lt;=45,"Moderate (30-45m)","Delayed (&gt;45m)")))</f>
        <v/>
      </c>
      <c r="W915" s="25">
        <f>IF(AND(I915&gt;600,P915="Delivered"),"High Value Delivered","Standard")</f>
        <v/>
      </c>
      <c r="X915" s="25">
        <f>IF(OR(N915&gt;50,Q915&lt;=2),"High Risk / Delayed","Normal")</f>
        <v/>
      </c>
      <c r="Y915" s="25">
        <f>IF(NOT(P915="Cancelled"),"Fulfilled","Cancelled")</f>
        <v/>
      </c>
      <c r="Z915" s="25">
        <f>IFERROR(Q915,0)</f>
        <v/>
      </c>
    </row>
    <row r="916">
      <c r="A916" s="17" t="inlineStr">
        <is>
          <t>ORD1915</t>
        </is>
      </c>
      <c r="B916" s="17" t="inlineStr">
        <is>
          <t>2025-10-29</t>
        </is>
      </c>
      <c r="C916" s="17" t="inlineStr">
        <is>
          <t>21:52:51</t>
        </is>
      </c>
      <c r="D916" s="17" t="n">
        <v>1042</v>
      </c>
      <c r="E916" s="17" t="n">
        <v>103</v>
      </c>
      <c r="F916" s="17" t="n">
        <v>222</v>
      </c>
      <c r="G916" s="17" t="inlineStr">
        <is>
          <t>Mumbai</t>
        </is>
      </c>
      <c r="H916" s="17" t="inlineStr">
        <is>
          <t>Italian</t>
        </is>
      </c>
      <c r="I916" s="22" t="n">
        <v>721</v>
      </c>
      <c r="J916" s="22" t="n">
        <v>0</v>
      </c>
      <c r="K916" s="22" t="n">
        <v>27.5</v>
      </c>
      <c r="L916" s="23" t="n">
        <v>0.18</v>
      </c>
      <c r="M916" s="22" t="n">
        <v>136.66</v>
      </c>
      <c r="N916" s="24" t="n">
        <v>3.5</v>
      </c>
      <c r="O916" s="24" t="n">
        <v>28.9</v>
      </c>
      <c r="P916" s="17" t="inlineStr">
        <is>
          <t>Digital Wallet</t>
        </is>
      </c>
      <c r="Q916" s="17" t="inlineStr">
        <is>
          <t>Delivered</t>
        </is>
      </c>
      <c r="R916" s="17" t="n">
        <v>4</v>
      </c>
      <c r="S916" s="17">
        <f>TEXT(B916,"yyyy-mm")</f>
        <v/>
      </c>
      <c r="T916" s="17">
        <f>VLOOKUP(D916,Customers!A:D,4,FALSE)</f>
        <v/>
      </c>
      <c r="U916" s="17">
        <f>CONCATENATE(A916,"-",G916)</f>
        <v/>
      </c>
      <c r="V916" s="17">
        <f>IF(N916="","",IF(N916&lt;=30,"Fast (&lt;30m)",IF(N916&lt;=45,"Moderate (30-45m)","Delayed (&gt;45m)")))</f>
        <v/>
      </c>
      <c r="W916" s="17">
        <f>IF(AND(I916&gt;600,P916="Delivered"),"High Value Delivered","Standard")</f>
        <v/>
      </c>
      <c r="X916" s="17">
        <f>IF(OR(N916&gt;50,Q916&lt;=2),"High Risk / Delayed","Normal")</f>
        <v/>
      </c>
      <c r="Y916" s="17">
        <f>IF(NOT(P916="Cancelled"),"Fulfilled","Cancelled")</f>
        <v/>
      </c>
      <c r="Z916" s="17">
        <f>IFERROR(Q916,0)</f>
        <v/>
      </c>
    </row>
    <row r="917">
      <c r="A917" s="25" t="inlineStr">
        <is>
          <t>ORD1916</t>
        </is>
      </c>
      <c r="B917" s="25" t="inlineStr">
        <is>
          <t>2025-01-25</t>
        </is>
      </c>
      <c r="C917" s="25" t="inlineStr">
        <is>
          <t>19:10:20</t>
        </is>
      </c>
      <c r="D917" s="25" t="n">
        <v>1074</v>
      </c>
      <c r="E917" s="25" t="n">
        <v>116</v>
      </c>
      <c r="F917" s="25" t="n">
        <v>209</v>
      </c>
      <c r="G917" s="25" t="inlineStr">
        <is>
          <t>Pune</t>
        </is>
      </c>
      <c r="H917" s="25" t="inlineStr">
        <is>
          <t>Desserts</t>
        </is>
      </c>
      <c r="I917" s="26" t="n">
        <v>618</v>
      </c>
      <c r="J917" s="26" t="n">
        <v>38.72</v>
      </c>
      <c r="K917" s="26" t="n">
        <v>25</v>
      </c>
      <c r="L917" s="27" t="n">
        <v>0.25</v>
      </c>
      <c r="M917" s="26" t="n">
        <v>160.75</v>
      </c>
      <c r="N917" s="28" t="n">
        <v>2.9</v>
      </c>
      <c r="O917" s="28" t="n">
        <v>34.4</v>
      </c>
      <c r="P917" s="25" t="inlineStr">
        <is>
          <t>Digital Wallet</t>
        </is>
      </c>
      <c r="Q917" s="25" t="inlineStr">
        <is>
          <t>Delivered</t>
        </is>
      </c>
      <c r="R917" s="25" t="n">
        <v>5</v>
      </c>
      <c r="S917" s="25">
        <f>TEXT(B917,"yyyy-mm")</f>
        <v/>
      </c>
      <c r="T917" s="25">
        <f>VLOOKUP(D917,Customers!A:D,4,FALSE)</f>
        <v/>
      </c>
      <c r="U917" s="25">
        <f>CONCATENATE(A917,"-",G917)</f>
        <v/>
      </c>
      <c r="V917" s="25">
        <f>IF(N917="","",IF(N917&lt;=30,"Fast (&lt;30m)",IF(N917&lt;=45,"Moderate (30-45m)","Delayed (&gt;45m)")))</f>
        <v/>
      </c>
      <c r="W917" s="25">
        <f>IF(AND(I917&gt;600,P917="Delivered"),"High Value Delivered","Standard")</f>
        <v/>
      </c>
      <c r="X917" s="25">
        <f>IF(OR(N917&gt;50,Q917&lt;=2),"High Risk / Delayed","Normal")</f>
        <v/>
      </c>
      <c r="Y917" s="25">
        <f>IF(NOT(P917="Cancelled"),"Fulfilled","Cancelled")</f>
        <v/>
      </c>
      <c r="Z917" s="25">
        <f>IFERROR(Q917,0)</f>
        <v/>
      </c>
    </row>
    <row r="918">
      <c r="A918" s="17" t="inlineStr">
        <is>
          <t>ORD1917</t>
        </is>
      </c>
      <c r="B918" s="17" t="inlineStr">
        <is>
          <t>2025-05-13</t>
        </is>
      </c>
      <c r="C918" s="17" t="inlineStr">
        <is>
          <t>14:00:43</t>
        </is>
      </c>
      <c r="D918" s="17" t="n">
        <v>1288</v>
      </c>
      <c r="E918" s="17" t="n">
        <v>116</v>
      </c>
      <c r="F918" s="17" t="n">
        <v>208</v>
      </c>
      <c r="G918" s="17" t="inlineStr">
        <is>
          <t>Pune</t>
        </is>
      </c>
      <c r="H918" s="17" t="inlineStr">
        <is>
          <t>Desserts</t>
        </is>
      </c>
      <c r="I918" s="22" t="n">
        <v>745</v>
      </c>
      <c r="J918" s="22" t="n">
        <v>39.19</v>
      </c>
      <c r="K918" s="22" t="n">
        <v>29.5</v>
      </c>
      <c r="L918" s="23" t="n">
        <v>0.25</v>
      </c>
      <c r="M918" s="22" t="n">
        <v>193.62</v>
      </c>
      <c r="N918" s="24" t="n">
        <v>3.9</v>
      </c>
      <c r="O918" s="24" t="n">
        <v>29</v>
      </c>
      <c r="P918" s="17" t="inlineStr">
        <is>
          <t>Digital Wallet</t>
        </is>
      </c>
      <c r="Q918" s="17" t="inlineStr">
        <is>
          <t>Delivered</t>
        </is>
      </c>
      <c r="R918" s="17" t="n">
        <v>4</v>
      </c>
      <c r="S918" s="17">
        <f>TEXT(B918,"yyyy-mm")</f>
        <v/>
      </c>
      <c r="T918" s="17">
        <f>VLOOKUP(D918,Customers!A:D,4,FALSE)</f>
        <v/>
      </c>
      <c r="U918" s="17">
        <f>CONCATENATE(A918,"-",G918)</f>
        <v/>
      </c>
      <c r="V918" s="17">
        <f>IF(N918="","",IF(N918&lt;=30,"Fast (&lt;30m)",IF(N918&lt;=45,"Moderate (30-45m)","Delayed (&gt;45m)")))</f>
        <v/>
      </c>
      <c r="W918" s="17">
        <f>IF(AND(I918&gt;600,P918="Delivered"),"High Value Delivered","Standard")</f>
        <v/>
      </c>
      <c r="X918" s="17">
        <f>IF(OR(N918&gt;50,Q918&lt;=2),"High Risk / Delayed","Normal")</f>
        <v/>
      </c>
      <c r="Y918" s="17">
        <f>IF(NOT(P918="Cancelled"),"Fulfilled","Cancelled")</f>
        <v/>
      </c>
      <c r="Z918" s="17">
        <f>IFERROR(Q918,0)</f>
        <v/>
      </c>
    </row>
    <row r="919">
      <c r="A919" s="25" t="inlineStr">
        <is>
          <t>ORD1918</t>
        </is>
      </c>
      <c r="B919" s="25" t="inlineStr">
        <is>
          <t>2025-12-29</t>
        </is>
      </c>
      <c r="C919" s="25" t="inlineStr">
        <is>
          <t>20:49:15</t>
        </is>
      </c>
      <c r="D919" s="25" t="n">
        <v>1281</v>
      </c>
      <c r="E919" s="25" t="n">
        <v>111</v>
      </c>
      <c r="F919" s="25" t="n">
        <v>201</v>
      </c>
      <c r="G919" s="25" t="inlineStr">
        <is>
          <t>Bangalore</t>
        </is>
      </c>
      <c r="H919" s="25" t="inlineStr">
        <is>
          <t>South Indian</t>
        </is>
      </c>
      <c r="I919" s="26" t="n">
        <v>1169</v>
      </c>
      <c r="J919" s="26" t="n">
        <v>165.79</v>
      </c>
      <c r="K919" s="26" t="n">
        <v>0</v>
      </c>
      <c r="L919" s="27" t="n">
        <v>0.15</v>
      </c>
      <c r="M919" s="26" t="n">
        <v>175.35</v>
      </c>
      <c r="N919" s="28" t="n">
        <v>4.1</v>
      </c>
      <c r="O919" s="28" t="n">
        <v>32.1</v>
      </c>
      <c r="P919" s="25" t="inlineStr">
        <is>
          <t>Cash on Delivery</t>
        </is>
      </c>
      <c r="Q919" s="25" t="inlineStr">
        <is>
          <t>Delivered</t>
        </is>
      </c>
      <c r="R919" s="25" t="n">
        <v>4</v>
      </c>
      <c r="S919" s="25">
        <f>TEXT(B919,"yyyy-mm")</f>
        <v/>
      </c>
      <c r="T919" s="25">
        <f>VLOOKUP(D919,Customers!A:D,4,FALSE)</f>
        <v/>
      </c>
      <c r="U919" s="25">
        <f>CONCATENATE(A919,"-",G919)</f>
        <v/>
      </c>
      <c r="V919" s="25">
        <f>IF(N919="","",IF(N919&lt;=30,"Fast (&lt;30m)",IF(N919&lt;=45,"Moderate (30-45m)","Delayed (&gt;45m)")))</f>
        <v/>
      </c>
      <c r="W919" s="25">
        <f>IF(AND(I919&gt;600,P919="Delivered"),"High Value Delivered","Standard")</f>
        <v/>
      </c>
      <c r="X919" s="25">
        <f>IF(OR(N919&gt;50,Q919&lt;=2),"High Risk / Delayed","Normal")</f>
        <v/>
      </c>
      <c r="Y919" s="25">
        <f>IF(NOT(P919="Cancelled"),"Fulfilled","Cancelled")</f>
        <v/>
      </c>
      <c r="Z919" s="25">
        <f>IFERROR(Q919,0)</f>
        <v/>
      </c>
    </row>
    <row r="920">
      <c r="A920" s="17" t="inlineStr">
        <is>
          <t>ORD1919</t>
        </is>
      </c>
      <c r="B920" s="17" t="inlineStr">
        <is>
          <t>2025-05-22</t>
        </is>
      </c>
      <c r="C920" s="17" t="inlineStr">
        <is>
          <t>10:27:33</t>
        </is>
      </c>
      <c r="D920" s="17" t="n">
        <v>1057</v>
      </c>
      <c r="E920" s="17" t="n">
        <v>103</v>
      </c>
      <c r="F920" s="17" t="n">
        <v>206</v>
      </c>
      <c r="G920" s="17" t="inlineStr">
        <is>
          <t>Mumbai</t>
        </is>
      </c>
      <c r="H920" s="17" t="inlineStr">
        <is>
          <t>Italian</t>
        </is>
      </c>
      <c r="I920" s="22" t="n">
        <v>454</v>
      </c>
      <c r="J920" s="22" t="n">
        <v>0</v>
      </c>
      <c r="K920" s="22" t="n">
        <v>33</v>
      </c>
      <c r="L920" s="23" t="n">
        <v>0.18</v>
      </c>
      <c r="M920" s="22" t="n">
        <v>89.97</v>
      </c>
      <c r="N920" s="24" t="n">
        <v>4.6</v>
      </c>
      <c r="O920" s="24" t="n">
        <v>40.6</v>
      </c>
      <c r="P920" s="17" t="inlineStr">
        <is>
          <t>Debit Card</t>
        </is>
      </c>
      <c r="Q920" s="17" t="inlineStr">
        <is>
          <t>Delivered</t>
        </is>
      </c>
      <c r="R920" s="17" t="n">
        <v>2</v>
      </c>
      <c r="S920" s="17">
        <f>TEXT(B920,"yyyy-mm")</f>
        <v/>
      </c>
      <c r="T920" s="17">
        <f>VLOOKUP(D920,Customers!A:D,4,FALSE)</f>
        <v/>
      </c>
      <c r="U920" s="17">
        <f>CONCATENATE(A920,"-",G920)</f>
        <v/>
      </c>
      <c r="V920" s="17">
        <f>IF(N920="","",IF(N920&lt;=30,"Fast (&lt;30m)",IF(N920&lt;=45,"Moderate (30-45m)","Delayed (&gt;45m)")))</f>
        <v/>
      </c>
      <c r="W920" s="17">
        <f>IF(AND(I920&gt;600,P920="Delivered"),"High Value Delivered","Standard")</f>
        <v/>
      </c>
      <c r="X920" s="17">
        <f>IF(OR(N920&gt;50,Q920&lt;=2),"High Risk / Delayed","Normal")</f>
        <v/>
      </c>
      <c r="Y920" s="17">
        <f>IF(NOT(P920="Cancelled"),"Fulfilled","Cancelled")</f>
        <v/>
      </c>
      <c r="Z920" s="17">
        <f>IFERROR(Q920,0)</f>
        <v/>
      </c>
    </row>
    <row r="921">
      <c r="A921" s="25" t="inlineStr">
        <is>
          <t>ORD1920</t>
        </is>
      </c>
      <c r="B921" s="25" t="inlineStr">
        <is>
          <t>2025-11-21</t>
        </is>
      </c>
      <c r="C921" s="25" t="inlineStr">
        <is>
          <t>10:05:04</t>
        </is>
      </c>
      <c r="D921" s="25" t="n">
        <v>1254</v>
      </c>
      <c r="E921" s="25" t="n">
        <v>109</v>
      </c>
      <c r="F921" s="25" t="n">
        <v>225</v>
      </c>
      <c r="G921" s="25" t="inlineStr">
        <is>
          <t>Hyderabad</t>
        </is>
      </c>
      <c r="H921" s="25" t="inlineStr">
        <is>
          <t>Biryani</t>
        </is>
      </c>
      <c r="I921" s="26" t="n">
        <v>465</v>
      </c>
      <c r="J921" s="26" t="n">
        <v>6.14</v>
      </c>
      <c r="K921" s="26" t="n">
        <v>25</v>
      </c>
      <c r="L921" s="27" t="n">
        <v>0.2</v>
      </c>
      <c r="M921" s="26" t="n">
        <v>99.25</v>
      </c>
      <c r="N921" s="28" t="n">
        <v>2.8</v>
      </c>
      <c r="O921" s="28" t="n">
        <v>21.4</v>
      </c>
      <c r="P921" s="25" t="inlineStr">
        <is>
          <t>Debit Card</t>
        </is>
      </c>
      <c r="Q921" s="25" t="inlineStr">
        <is>
          <t>Delivered</t>
        </is>
      </c>
      <c r="R921" s="25" t="n">
        <v>4</v>
      </c>
      <c r="S921" s="25">
        <f>TEXT(B921,"yyyy-mm")</f>
        <v/>
      </c>
      <c r="T921" s="25">
        <f>VLOOKUP(D921,Customers!A:D,4,FALSE)</f>
        <v/>
      </c>
      <c r="U921" s="25">
        <f>CONCATENATE(A921,"-",G921)</f>
        <v/>
      </c>
      <c r="V921" s="25">
        <f>IF(N921="","",IF(N921&lt;=30,"Fast (&lt;30m)",IF(N921&lt;=45,"Moderate (30-45m)","Delayed (&gt;45m)")))</f>
        <v/>
      </c>
      <c r="W921" s="25">
        <f>IF(AND(I921&gt;600,P921="Delivered"),"High Value Delivered","Standard")</f>
        <v/>
      </c>
      <c r="X921" s="25">
        <f>IF(OR(N921&gt;50,Q921&lt;=2),"High Risk / Delayed","Normal")</f>
        <v/>
      </c>
      <c r="Y921" s="25">
        <f>IF(NOT(P921="Cancelled"),"Fulfilled","Cancelled")</f>
        <v/>
      </c>
      <c r="Z921" s="25">
        <f>IFERROR(Q921,0)</f>
        <v/>
      </c>
    </row>
    <row r="922">
      <c r="A922" s="17" t="inlineStr">
        <is>
          <t>ORD1921</t>
        </is>
      </c>
      <c r="B922" s="17" t="inlineStr">
        <is>
          <t>2025-12-13</t>
        </is>
      </c>
      <c r="C922" s="17" t="inlineStr">
        <is>
          <t>13:32:59</t>
        </is>
      </c>
      <c r="D922" s="17" t="n">
        <v>1080</v>
      </c>
      <c r="E922" s="17" t="n">
        <v>106</v>
      </c>
      <c r="F922" s="17" t="n">
        <v>208</v>
      </c>
      <c r="G922" s="17" t="inlineStr">
        <is>
          <t>Pune</t>
        </is>
      </c>
      <c r="H922" s="17" t="inlineStr">
        <is>
          <t>South Indian</t>
        </is>
      </c>
      <c r="I922" s="22" t="n">
        <v>359</v>
      </c>
      <c r="J922" s="22" t="n">
        <v>0</v>
      </c>
      <c r="K922" s="22" t="n">
        <v>40.5</v>
      </c>
      <c r="L922" s="23" t="n">
        <v>0.15</v>
      </c>
      <c r="M922" s="22" t="n">
        <v>63.98</v>
      </c>
      <c r="N922" s="24" t="n">
        <v>6.1</v>
      </c>
      <c r="O922" s="24" t="n">
        <v>41.1</v>
      </c>
      <c r="P922" s="17" t="inlineStr">
        <is>
          <t>Digital Wallet</t>
        </is>
      </c>
      <c r="Q922" s="17" t="inlineStr">
        <is>
          <t>Delivered</t>
        </is>
      </c>
      <c r="R922" s="17" t="n">
        <v>4</v>
      </c>
      <c r="S922" s="17">
        <f>TEXT(B922,"yyyy-mm")</f>
        <v/>
      </c>
      <c r="T922" s="17">
        <f>VLOOKUP(D922,Customers!A:D,4,FALSE)</f>
        <v/>
      </c>
      <c r="U922" s="17">
        <f>CONCATENATE(A922,"-",G922)</f>
        <v/>
      </c>
      <c r="V922" s="17">
        <f>IF(N922="","",IF(N922&lt;=30,"Fast (&lt;30m)",IF(N922&lt;=45,"Moderate (30-45m)","Delayed (&gt;45m)")))</f>
        <v/>
      </c>
      <c r="W922" s="17">
        <f>IF(AND(I922&gt;600,P922="Delivered"),"High Value Delivered","Standard")</f>
        <v/>
      </c>
      <c r="X922" s="17">
        <f>IF(OR(N922&gt;50,Q922&lt;=2),"High Risk / Delayed","Normal")</f>
        <v/>
      </c>
      <c r="Y922" s="17">
        <f>IF(NOT(P922="Cancelled"),"Fulfilled","Cancelled")</f>
        <v/>
      </c>
      <c r="Z922" s="17">
        <f>IFERROR(Q922,0)</f>
        <v/>
      </c>
    </row>
    <row r="923">
      <c r="A923" s="25" t="inlineStr">
        <is>
          <t>ORD1922</t>
        </is>
      </c>
      <c r="B923" s="25" t="inlineStr">
        <is>
          <t>2025-11-12</t>
        </is>
      </c>
      <c r="C923" s="25" t="inlineStr">
        <is>
          <t>21:12:58</t>
        </is>
      </c>
      <c r="D923" s="25" t="n">
        <v>1068</v>
      </c>
      <c r="E923" s="25" t="n">
        <v>120</v>
      </c>
      <c r="F923" s="25" t="n">
        <v>224</v>
      </c>
      <c r="G923" s="25" t="inlineStr">
        <is>
          <t>Pune</t>
        </is>
      </c>
      <c r="H923" s="25" t="inlineStr">
        <is>
          <t>Fast Food</t>
        </is>
      </c>
      <c r="I923" s="26" t="n">
        <v>227</v>
      </c>
      <c r="J923" s="26" t="n">
        <v>22.7</v>
      </c>
      <c r="K923" s="26" t="n">
        <v>43</v>
      </c>
      <c r="L923" s="27" t="n">
        <v>0.18</v>
      </c>
      <c r="M923" s="26" t="n">
        <v>51.61</v>
      </c>
      <c r="N923" s="28" t="n">
        <v>6.6</v>
      </c>
      <c r="O923" s="28" t="n">
        <v>46.8</v>
      </c>
      <c r="P923" s="25" t="inlineStr">
        <is>
          <t>Debit Card</t>
        </is>
      </c>
      <c r="Q923" s="25" t="inlineStr">
        <is>
          <t>Delivered</t>
        </is>
      </c>
      <c r="R923" s="25" t="n">
        <v>3</v>
      </c>
      <c r="S923" s="25">
        <f>TEXT(B923,"yyyy-mm")</f>
        <v/>
      </c>
      <c r="T923" s="25">
        <f>VLOOKUP(D923,Customers!A:D,4,FALSE)</f>
        <v/>
      </c>
      <c r="U923" s="25">
        <f>CONCATENATE(A923,"-",G923)</f>
        <v/>
      </c>
      <c r="V923" s="25">
        <f>IF(N923="","",IF(N923&lt;=30,"Fast (&lt;30m)",IF(N923&lt;=45,"Moderate (30-45m)","Delayed (&gt;45m)")))</f>
        <v/>
      </c>
      <c r="W923" s="25">
        <f>IF(AND(I923&gt;600,P923="Delivered"),"High Value Delivered","Standard")</f>
        <v/>
      </c>
      <c r="X923" s="25">
        <f>IF(OR(N923&gt;50,Q923&lt;=2),"High Risk / Delayed","Normal")</f>
        <v/>
      </c>
      <c r="Y923" s="25">
        <f>IF(NOT(P923="Cancelled"),"Fulfilled","Cancelled")</f>
        <v/>
      </c>
      <c r="Z923" s="25">
        <f>IFERROR(Q923,0)</f>
        <v/>
      </c>
    </row>
    <row r="924">
      <c r="A924" s="17" t="inlineStr">
        <is>
          <t>ORD1923</t>
        </is>
      </c>
      <c r="B924" s="17" t="inlineStr">
        <is>
          <t>2025-11-07</t>
        </is>
      </c>
      <c r="C924" s="17" t="inlineStr">
        <is>
          <t>13:28:10</t>
        </is>
      </c>
      <c r="D924" s="17" t="n">
        <v>1063</v>
      </c>
      <c r="E924" s="17" t="n">
        <v>115</v>
      </c>
      <c r="F924" s="17" t="n">
        <v>201</v>
      </c>
      <c r="G924" s="17" t="inlineStr">
        <is>
          <t>Bangalore</t>
        </is>
      </c>
      <c r="H924" s="17" t="inlineStr">
        <is>
          <t>Italian</t>
        </is>
      </c>
      <c r="I924" s="22" t="n">
        <v>910</v>
      </c>
      <c r="J924" s="22" t="n">
        <v>104.75</v>
      </c>
      <c r="K924" s="22" t="n">
        <v>37.5</v>
      </c>
      <c r="L924" s="23" t="n">
        <v>0.2</v>
      </c>
      <c r="M924" s="22" t="n">
        <v>191.38</v>
      </c>
      <c r="N924" s="24" t="n">
        <v>5.5</v>
      </c>
      <c r="O924" s="24" t="n">
        <v>43.2</v>
      </c>
      <c r="P924" s="17" t="inlineStr">
        <is>
          <t>Credit Card</t>
        </is>
      </c>
      <c r="Q924" s="17" t="inlineStr">
        <is>
          <t>Delivered</t>
        </is>
      </c>
      <c r="R924" s="17" t="n">
        <v>3</v>
      </c>
      <c r="S924" s="17">
        <f>TEXT(B924,"yyyy-mm")</f>
        <v/>
      </c>
      <c r="T924" s="17">
        <f>VLOOKUP(D924,Customers!A:D,4,FALSE)</f>
        <v/>
      </c>
      <c r="U924" s="17">
        <f>CONCATENATE(A924,"-",G924)</f>
        <v/>
      </c>
      <c r="V924" s="17">
        <f>IF(N924="","",IF(N924&lt;=30,"Fast (&lt;30m)",IF(N924&lt;=45,"Moderate (30-45m)","Delayed (&gt;45m)")))</f>
        <v/>
      </c>
      <c r="W924" s="17">
        <f>IF(AND(I924&gt;600,P924="Delivered"),"High Value Delivered","Standard")</f>
        <v/>
      </c>
      <c r="X924" s="17">
        <f>IF(OR(N924&gt;50,Q924&lt;=2),"High Risk / Delayed","Normal")</f>
        <v/>
      </c>
      <c r="Y924" s="17">
        <f>IF(NOT(P924="Cancelled"),"Fulfilled","Cancelled")</f>
        <v/>
      </c>
      <c r="Z924" s="17">
        <f>IFERROR(Q924,0)</f>
        <v/>
      </c>
    </row>
    <row r="925">
      <c r="A925" s="25" t="inlineStr">
        <is>
          <t>ORD1924</t>
        </is>
      </c>
      <c r="B925" s="25" t="inlineStr">
        <is>
          <t>2025-07-07</t>
        </is>
      </c>
      <c r="C925" s="25" t="inlineStr">
        <is>
          <t>08:53:08</t>
        </is>
      </c>
      <c r="D925" s="25" t="n">
        <v>1091</v>
      </c>
      <c r="E925" s="25" t="n">
        <v>110</v>
      </c>
      <c r="F925" s="25" t="n">
        <v>207</v>
      </c>
      <c r="G925" s="25" t="inlineStr">
        <is>
          <t>Pune</t>
        </is>
      </c>
      <c r="H925" s="25" t="inlineStr">
        <is>
          <t>North Indian</t>
        </is>
      </c>
      <c r="I925" s="26" t="n">
        <v>746</v>
      </c>
      <c r="J925" s="26" t="n">
        <v>0</v>
      </c>
      <c r="K925" s="26" t="n">
        <v>25</v>
      </c>
      <c r="L925" s="27" t="n">
        <v>0.18</v>
      </c>
      <c r="M925" s="26" t="n">
        <v>140.53</v>
      </c>
      <c r="N925" s="28" t="n">
        <v>2.5</v>
      </c>
      <c r="O925" s="28" t="n">
        <v>37.6</v>
      </c>
      <c r="P925" s="25" t="inlineStr">
        <is>
          <t>Cash on Delivery</t>
        </is>
      </c>
      <c r="Q925" s="25" t="inlineStr">
        <is>
          <t>Delivered</t>
        </is>
      </c>
      <c r="R925" s="25" t="n">
        <v>5</v>
      </c>
      <c r="S925" s="25">
        <f>TEXT(B925,"yyyy-mm")</f>
        <v/>
      </c>
      <c r="T925" s="25">
        <f>VLOOKUP(D925,Customers!A:D,4,FALSE)</f>
        <v/>
      </c>
      <c r="U925" s="25">
        <f>CONCATENATE(A925,"-",G925)</f>
        <v/>
      </c>
      <c r="V925" s="25">
        <f>IF(N925="","",IF(N925&lt;=30,"Fast (&lt;30m)",IF(N925&lt;=45,"Moderate (30-45m)","Delayed (&gt;45m)")))</f>
        <v/>
      </c>
      <c r="W925" s="25">
        <f>IF(AND(I925&gt;600,P925="Delivered"),"High Value Delivered","Standard")</f>
        <v/>
      </c>
      <c r="X925" s="25">
        <f>IF(OR(N925&gt;50,Q925&lt;=2),"High Risk / Delayed","Normal")</f>
        <v/>
      </c>
      <c r="Y925" s="25">
        <f>IF(NOT(P925="Cancelled"),"Fulfilled","Cancelled")</f>
        <v/>
      </c>
      <c r="Z925" s="25">
        <f>IFERROR(Q925,0)</f>
        <v/>
      </c>
    </row>
    <row r="926">
      <c r="A926" s="17" t="inlineStr">
        <is>
          <t>ORD1925</t>
        </is>
      </c>
      <c r="B926" s="17" t="inlineStr">
        <is>
          <t>2025-02-27</t>
        </is>
      </c>
      <c r="C926" s="17" t="inlineStr">
        <is>
          <t>19:21:58</t>
        </is>
      </c>
      <c r="D926" s="17" t="n">
        <v>1051</v>
      </c>
      <c r="E926" s="17" t="n">
        <v>102</v>
      </c>
      <c r="F926" s="17" t="n">
        <v>225</v>
      </c>
      <c r="G926" s="17" t="inlineStr">
        <is>
          <t>Hyderabad</t>
        </is>
      </c>
      <c r="H926" s="17" t="inlineStr">
        <is>
          <t>Biryani</t>
        </is>
      </c>
      <c r="I926" s="22" t="n">
        <v>1078</v>
      </c>
      <c r="J926" s="22" t="n">
        <v>197.46</v>
      </c>
      <c r="K926" s="22" t="n">
        <v>0</v>
      </c>
      <c r="L926" s="23" t="n">
        <v>0.22</v>
      </c>
      <c r="M926" s="22" t="n">
        <v>237.16</v>
      </c>
      <c r="N926" s="24" t="n">
        <v>3.4</v>
      </c>
      <c r="O926" s="24" t="n">
        <v/>
      </c>
      <c r="P926" s="17" t="inlineStr">
        <is>
          <t>UPI</t>
        </is>
      </c>
      <c r="Q926" s="17" t="inlineStr">
        <is>
          <t>Cancelled</t>
        </is>
      </c>
      <c r="R926" s="17" t="n">
        <v/>
      </c>
      <c r="S926" s="17">
        <f>TEXT(B926,"yyyy-mm")</f>
        <v/>
      </c>
      <c r="T926" s="17">
        <f>VLOOKUP(D926,Customers!A:D,4,FALSE)</f>
        <v/>
      </c>
      <c r="U926" s="17">
        <f>CONCATENATE(A926,"-",G926)</f>
        <v/>
      </c>
      <c r="V926" s="17">
        <f>IF(N926="","",IF(N926&lt;=30,"Fast (&lt;30m)",IF(N926&lt;=45,"Moderate (30-45m)","Delayed (&gt;45m)")))</f>
        <v/>
      </c>
      <c r="W926" s="17">
        <f>IF(AND(I926&gt;600,P926="Delivered"),"High Value Delivered","Standard")</f>
        <v/>
      </c>
      <c r="X926" s="17">
        <f>IF(OR(N926&gt;50,Q926&lt;=2),"High Risk / Delayed","Normal")</f>
        <v/>
      </c>
      <c r="Y926" s="17">
        <f>IF(NOT(P926="Cancelled"),"Fulfilled","Cancelled")</f>
        <v/>
      </c>
      <c r="Z926" s="17">
        <f>IFERROR(Q926,0)</f>
        <v/>
      </c>
    </row>
    <row r="927">
      <c r="A927" s="25" t="inlineStr">
        <is>
          <t>ORD1926</t>
        </is>
      </c>
      <c r="B927" s="25" t="inlineStr">
        <is>
          <t>2025-05-31</t>
        </is>
      </c>
      <c r="C927" s="25" t="inlineStr">
        <is>
          <t>21:16:13</t>
        </is>
      </c>
      <c r="D927" s="25" t="n">
        <v>1046</v>
      </c>
      <c r="E927" s="25" t="n">
        <v>109</v>
      </c>
      <c r="F927" s="25" t="n">
        <v>215</v>
      </c>
      <c r="G927" s="25" t="inlineStr">
        <is>
          <t>Hyderabad</t>
        </is>
      </c>
      <c r="H927" s="25" t="inlineStr">
        <is>
          <t>Biryani</t>
        </is>
      </c>
      <c r="I927" s="26" t="n">
        <v>222</v>
      </c>
      <c r="J927" s="26" t="n">
        <v>22.57</v>
      </c>
      <c r="K927" s="26" t="n">
        <v>25</v>
      </c>
      <c r="L927" s="27" t="n">
        <v>0.2</v>
      </c>
      <c r="M927" s="26" t="n">
        <v>50.65</v>
      </c>
      <c r="N927" s="28" t="n">
        <v>2.2</v>
      </c>
      <c r="O927" s="28" t="n">
        <v>26.3</v>
      </c>
      <c r="P927" s="25" t="inlineStr">
        <is>
          <t>Credit Card</t>
        </is>
      </c>
      <c r="Q927" s="25" t="inlineStr">
        <is>
          <t>Delivered</t>
        </is>
      </c>
      <c r="R927" s="25" t="n">
        <v>5</v>
      </c>
      <c r="S927" s="25">
        <f>TEXT(B927,"yyyy-mm")</f>
        <v/>
      </c>
      <c r="T927" s="25">
        <f>VLOOKUP(D927,Customers!A:D,4,FALSE)</f>
        <v/>
      </c>
      <c r="U927" s="25">
        <f>CONCATENATE(A927,"-",G927)</f>
        <v/>
      </c>
      <c r="V927" s="25">
        <f>IF(N927="","",IF(N927&lt;=30,"Fast (&lt;30m)",IF(N927&lt;=45,"Moderate (30-45m)","Delayed (&gt;45m)")))</f>
        <v/>
      </c>
      <c r="W927" s="25">
        <f>IF(AND(I927&gt;600,P927="Delivered"),"High Value Delivered","Standard")</f>
        <v/>
      </c>
      <c r="X927" s="25">
        <f>IF(OR(N927&gt;50,Q927&lt;=2),"High Risk / Delayed","Normal")</f>
        <v/>
      </c>
      <c r="Y927" s="25">
        <f>IF(NOT(P927="Cancelled"),"Fulfilled","Cancelled")</f>
        <v/>
      </c>
      <c r="Z927" s="25">
        <f>IFERROR(Q927,0)</f>
        <v/>
      </c>
    </row>
    <row r="928">
      <c r="A928" s="17" t="inlineStr">
        <is>
          <t>ORD1927</t>
        </is>
      </c>
      <c r="B928" s="17" t="inlineStr">
        <is>
          <t>2025-11-13</t>
        </is>
      </c>
      <c r="C928" s="17" t="inlineStr">
        <is>
          <t>08:54:31</t>
        </is>
      </c>
      <c r="D928" s="17" t="n">
        <v>1292</v>
      </c>
      <c r="E928" s="17" t="n">
        <v>120</v>
      </c>
      <c r="F928" s="17" t="n">
        <v>207</v>
      </c>
      <c r="G928" s="17" t="inlineStr">
        <is>
          <t>Pune</t>
        </is>
      </c>
      <c r="H928" s="17" t="inlineStr">
        <is>
          <t>Fast Food</t>
        </is>
      </c>
      <c r="I928" s="22" t="n">
        <v>278</v>
      </c>
      <c r="J928" s="22" t="n">
        <v>0</v>
      </c>
      <c r="K928" s="22" t="n">
        <v>25</v>
      </c>
      <c r="L928" s="23" t="n">
        <v>0.18</v>
      </c>
      <c r="M928" s="22" t="n">
        <v>56.29</v>
      </c>
      <c r="N928" s="24" t="n">
        <v>3</v>
      </c>
      <c r="O928" s="24" t="n">
        <v>31.9</v>
      </c>
      <c r="P928" s="17" t="inlineStr">
        <is>
          <t>Debit Card</t>
        </is>
      </c>
      <c r="Q928" s="17" t="inlineStr">
        <is>
          <t>Delivered</t>
        </is>
      </c>
      <c r="R928" s="17" t="n">
        <v>4</v>
      </c>
      <c r="S928" s="17">
        <f>TEXT(B928,"yyyy-mm")</f>
        <v/>
      </c>
      <c r="T928" s="17">
        <f>VLOOKUP(D928,Customers!A:D,4,FALSE)</f>
        <v/>
      </c>
      <c r="U928" s="17">
        <f>CONCATENATE(A928,"-",G928)</f>
        <v/>
      </c>
      <c r="V928" s="17">
        <f>IF(N928="","",IF(N928&lt;=30,"Fast (&lt;30m)",IF(N928&lt;=45,"Moderate (30-45m)","Delayed (&gt;45m)")))</f>
        <v/>
      </c>
      <c r="W928" s="17">
        <f>IF(AND(I928&gt;600,P928="Delivered"),"High Value Delivered","Standard")</f>
        <v/>
      </c>
      <c r="X928" s="17">
        <f>IF(OR(N928&gt;50,Q928&lt;=2),"High Risk / Delayed","Normal")</f>
        <v/>
      </c>
      <c r="Y928" s="17">
        <f>IF(NOT(P928="Cancelled"),"Fulfilled","Cancelled")</f>
        <v/>
      </c>
      <c r="Z928" s="17">
        <f>IFERROR(Q928,0)</f>
        <v/>
      </c>
    </row>
    <row r="929">
      <c r="A929" s="25" t="inlineStr">
        <is>
          <t>ORD1928</t>
        </is>
      </c>
      <c r="B929" s="25" t="inlineStr">
        <is>
          <t>2025-01-03</t>
        </is>
      </c>
      <c r="C929" s="25" t="inlineStr">
        <is>
          <t>20:22:56</t>
        </is>
      </c>
      <c r="D929" s="25" t="n">
        <v>1072</v>
      </c>
      <c r="E929" s="25" t="n">
        <v>116</v>
      </c>
      <c r="F929" s="25" t="n">
        <v>207</v>
      </c>
      <c r="G929" s="25" t="inlineStr">
        <is>
          <t>Pune</t>
        </is>
      </c>
      <c r="H929" s="25" t="inlineStr">
        <is>
          <t>Desserts</t>
        </is>
      </c>
      <c r="I929" s="26" t="n">
        <v>410</v>
      </c>
      <c r="J929" s="26" t="n">
        <v>0</v>
      </c>
      <c r="K929" s="26" t="n">
        <v>46</v>
      </c>
      <c r="L929" s="27" t="n">
        <v>0.25</v>
      </c>
      <c r="M929" s="26" t="n">
        <v>114</v>
      </c>
      <c r="N929" s="28" t="n">
        <v>7.2</v>
      </c>
      <c r="O929" s="28" t="n">
        <v>48.5</v>
      </c>
      <c r="P929" s="25" t="inlineStr">
        <is>
          <t>Cash on Delivery</t>
        </is>
      </c>
      <c r="Q929" s="25" t="inlineStr">
        <is>
          <t>Delivered</t>
        </is>
      </c>
      <c r="R929" s="25" t="n">
        <v>2</v>
      </c>
      <c r="S929" s="25">
        <f>TEXT(B929,"yyyy-mm")</f>
        <v/>
      </c>
      <c r="T929" s="25">
        <f>VLOOKUP(D929,Customers!A:D,4,FALSE)</f>
        <v/>
      </c>
      <c r="U929" s="25">
        <f>CONCATENATE(A929,"-",G929)</f>
        <v/>
      </c>
      <c r="V929" s="25">
        <f>IF(N929="","",IF(N929&lt;=30,"Fast (&lt;30m)",IF(N929&lt;=45,"Moderate (30-45m)","Delayed (&gt;45m)")))</f>
        <v/>
      </c>
      <c r="W929" s="25">
        <f>IF(AND(I929&gt;600,P929="Delivered"),"High Value Delivered","Standard")</f>
        <v/>
      </c>
      <c r="X929" s="25">
        <f>IF(OR(N929&gt;50,Q929&lt;=2),"High Risk / Delayed","Normal")</f>
        <v/>
      </c>
      <c r="Y929" s="25">
        <f>IF(NOT(P929="Cancelled"),"Fulfilled","Cancelled")</f>
        <v/>
      </c>
      <c r="Z929" s="25">
        <f>IFERROR(Q929,0)</f>
        <v/>
      </c>
    </row>
    <row r="930">
      <c r="A930" s="17" t="inlineStr">
        <is>
          <t>ORD1929</t>
        </is>
      </c>
      <c r="B930" s="17" t="inlineStr">
        <is>
          <t>2025-09-28</t>
        </is>
      </c>
      <c r="C930" s="17" t="inlineStr">
        <is>
          <t>22:32:57</t>
        </is>
      </c>
      <c r="D930" s="17" t="n">
        <v>1230</v>
      </c>
      <c r="E930" s="17" t="n">
        <v>114</v>
      </c>
      <c r="F930" s="17" t="n">
        <v>215</v>
      </c>
      <c r="G930" s="17" t="inlineStr">
        <is>
          <t>Hyderabad</t>
        </is>
      </c>
      <c r="H930" s="17" t="inlineStr">
        <is>
          <t>Biryani</t>
        </is>
      </c>
      <c r="I930" s="22" t="n">
        <v>377</v>
      </c>
      <c r="J930" s="22" t="n">
        <v>29.69</v>
      </c>
      <c r="K930" s="22" t="n">
        <v>28</v>
      </c>
      <c r="L930" s="23" t="n">
        <v>0.22</v>
      </c>
      <c r="M930" s="22" t="n">
        <v>89.94</v>
      </c>
      <c r="N930" s="24" t="n">
        <v>3.6</v>
      </c>
      <c r="O930" s="24" t="n">
        <v>32</v>
      </c>
      <c r="P930" s="17" t="inlineStr">
        <is>
          <t>UPI</t>
        </is>
      </c>
      <c r="Q930" s="17" t="inlineStr">
        <is>
          <t>Delivered</t>
        </is>
      </c>
      <c r="R930" s="17" t="n">
        <v>4</v>
      </c>
      <c r="S930" s="17">
        <f>TEXT(B930,"yyyy-mm")</f>
        <v/>
      </c>
      <c r="T930" s="17">
        <f>VLOOKUP(D930,Customers!A:D,4,FALSE)</f>
        <v/>
      </c>
      <c r="U930" s="17">
        <f>CONCATENATE(A930,"-",G930)</f>
        <v/>
      </c>
      <c r="V930" s="17">
        <f>IF(N930="","",IF(N930&lt;=30,"Fast (&lt;30m)",IF(N930&lt;=45,"Moderate (30-45m)","Delayed (&gt;45m)")))</f>
        <v/>
      </c>
      <c r="W930" s="17">
        <f>IF(AND(I930&gt;600,P930="Delivered"),"High Value Delivered","Standard")</f>
        <v/>
      </c>
      <c r="X930" s="17">
        <f>IF(OR(N930&gt;50,Q930&lt;=2),"High Risk / Delayed","Normal")</f>
        <v/>
      </c>
      <c r="Y930" s="17">
        <f>IF(NOT(P930="Cancelled"),"Fulfilled","Cancelled")</f>
        <v/>
      </c>
      <c r="Z930" s="17">
        <f>IFERROR(Q930,0)</f>
        <v/>
      </c>
    </row>
    <row r="931">
      <c r="A931" s="25" t="inlineStr">
        <is>
          <t>ORD1930</t>
        </is>
      </c>
      <c r="B931" s="25" t="inlineStr">
        <is>
          <t>2025-04-26</t>
        </is>
      </c>
      <c r="C931" s="25" t="inlineStr">
        <is>
          <t>19:30:25</t>
        </is>
      </c>
      <c r="D931" s="25" t="n">
        <v>1271</v>
      </c>
      <c r="E931" s="25" t="n">
        <v>118</v>
      </c>
      <c r="F931" s="25" t="n">
        <v>211</v>
      </c>
      <c r="G931" s="25" t="inlineStr">
        <is>
          <t>Delhi NCR</t>
        </is>
      </c>
      <c r="H931" s="25" t="inlineStr">
        <is>
          <t>North Indian</t>
        </is>
      </c>
      <c r="I931" s="26" t="n">
        <v>603</v>
      </c>
      <c r="J931" s="26" t="n">
        <v>42.78</v>
      </c>
      <c r="K931" s="26" t="n">
        <v>28.5</v>
      </c>
      <c r="L931" s="27" t="n">
        <v>0.2</v>
      </c>
      <c r="M931" s="26" t="n">
        <v>127.72</v>
      </c>
      <c r="N931" s="28" t="n">
        <v>3.7</v>
      </c>
      <c r="O931" s="28" t="n">
        <v>31.3</v>
      </c>
      <c r="P931" s="25" t="inlineStr">
        <is>
          <t>Credit Card</t>
        </is>
      </c>
      <c r="Q931" s="25" t="inlineStr">
        <is>
          <t>Delivered</t>
        </is>
      </c>
      <c r="R931" s="25" t="n">
        <v>3</v>
      </c>
      <c r="S931" s="25">
        <f>TEXT(B931,"yyyy-mm")</f>
        <v/>
      </c>
      <c r="T931" s="25">
        <f>VLOOKUP(D931,Customers!A:D,4,FALSE)</f>
        <v/>
      </c>
      <c r="U931" s="25">
        <f>CONCATENATE(A931,"-",G931)</f>
        <v/>
      </c>
      <c r="V931" s="25">
        <f>IF(N931="","",IF(N931&lt;=30,"Fast (&lt;30m)",IF(N931&lt;=45,"Moderate (30-45m)","Delayed (&gt;45m)")))</f>
        <v/>
      </c>
      <c r="W931" s="25">
        <f>IF(AND(I931&gt;600,P931="Delivered"),"High Value Delivered","Standard")</f>
        <v/>
      </c>
      <c r="X931" s="25">
        <f>IF(OR(N931&gt;50,Q931&lt;=2),"High Risk / Delayed","Normal")</f>
        <v/>
      </c>
      <c r="Y931" s="25">
        <f>IF(NOT(P931="Cancelled"),"Fulfilled","Cancelled")</f>
        <v/>
      </c>
      <c r="Z931" s="25">
        <f>IFERROR(Q931,0)</f>
        <v/>
      </c>
    </row>
    <row r="932">
      <c r="A932" s="17" t="inlineStr">
        <is>
          <t>ORD1931</t>
        </is>
      </c>
      <c r="B932" s="17" t="inlineStr">
        <is>
          <t>2025-12-03</t>
        </is>
      </c>
      <c r="C932" s="17" t="inlineStr">
        <is>
          <t>21:53:28</t>
        </is>
      </c>
      <c r="D932" s="17" t="n">
        <v>1124</v>
      </c>
      <c r="E932" s="17" t="n">
        <v>118</v>
      </c>
      <c r="F932" s="17" t="n">
        <v>219</v>
      </c>
      <c r="G932" s="17" t="inlineStr">
        <is>
          <t>Delhi NCR</t>
        </is>
      </c>
      <c r="H932" s="17" t="inlineStr">
        <is>
          <t>North Indian</t>
        </is>
      </c>
      <c r="I932" s="22" t="n">
        <v>385</v>
      </c>
      <c r="J932" s="22" t="n">
        <v>0</v>
      </c>
      <c r="K932" s="22" t="n">
        <v>44.5</v>
      </c>
      <c r="L932" s="23" t="n">
        <v>0.2</v>
      </c>
      <c r="M932" s="22" t="n">
        <v>88.12</v>
      </c>
      <c r="N932" s="24" t="n">
        <v>6.9</v>
      </c>
      <c r="O932" s="24" t="n">
        <v>47.7</v>
      </c>
      <c r="P932" s="17" t="inlineStr">
        <is>
          <t>UPI</t>
        </is>
      </c>
      <c r="Q932" s="17" t="inlineStr">
        <is>
          <t>Delivered</t>
        </is>
      </c>
      <c r="R932" s="17" t="n">
        <v>1</v>
      </c>
      <c r="S932" s="17">
        <f>TEXT(B932,"yyyy-mm")</f>
        <v/>
      </c>
      <c r="T932" s="17">
        <f>VLOOKUP(D932,Customers!A:D,4,FALSE)</f>
        <v/>
      </c>
      <c r="U932" s="17">
        <f>CONCATENATE(A932,"-",G932)</f>
        <v/>
      </c>
      <c r="V932" s="17">
        <f>IF(N932="","",IF(N932&lt;=30,"Fast (&lt;30m)",IF(N932&lt;=45,"Moderate (30-45m)","Delayed (&gt;45m)")))</f>
        <v/>
      </c>
      <c r="W932" s="17">
        <f>IF(AND(I932&gt;600,P932="Delivered"),"High Value Delivered","Standard")</f>
        <v/>
      </c>
      <c r="X932" s="17">
        <f>IF(OR(N932&gt;50,Q932&lt;=2),"High Risk / Delayed","Normal")</f>
        <v/>
      </c>
      <c r="Y932" s="17">
        <f>IF(NOT(P932="Cancelled"),"Fulfilled","Cancelled")</f>
        <v/>
      </c>
      <c r="Z932" s="17">
        <f>IFERROR(Q932,0)</f>
        <v/>
      </c>
    </row>
    <row r="933">
      <c r="A933" s="25" t="inlineStr">
        <is>
          <t>ORD1932</t>
        </is>
      </c>
      <c r="B933" s="25" t="inlineStr">
        <is>
          <t>2025-04-08</t>
        </is>
      </c>
      <c r="C933" s="25" t="inlineStr">
        <is>
          <t>14:18:02</t>
        </is>
      </c>
      <c r="D933" s="25" t="n">
        <v>1209</v>
      </c>
      <c r="E933" s="25" t="n">
        <v>106</v>
      </c>
      <c r="F933" s="25" t="n">
        <v>224</v>
      </c>
      <c r="G933" s="25" t="inlineStr">
        <is>
          <t>Pune</t>
        </is>
      </c>
      <c r="H933" s="25" t="inlineStr">
        <is>
          <t>South Indian</t>
        </is>
      </c>
      <c r="I933" s="26" t="n">
        <v>356</v>
      </c>
      <c r="J933" s="26" t="n">
        <v>0</v>
      </c>
      <c r="K933" s="26" t="n">
        <v>29.5</v>
      </c>
      <c r="L933" s="27" t="n">
        <v>0.15</v>
      </c>
      <c r="M933" s="26" t="n">
        <v>60.78</v>
      </c>
      <c r="N933" s="28" t="n">
        <v>3.9</v>
      </c>
      <c r="O933" s="28" t="n">
        <v>35.8</v>
      </c>
      <c r="P933" s="25" t="inlineStr">
        <is>
          <t>UPI</t>
        </is>
      </c>
      <c r="Q933" s="25" t="inlineStr">
        <is>
          <t>Delivered</t>
        </is>
      </c>
      <c r="R933" s="25" t="n">
        <v>5</v>
      </c>
      <c r="S933" s="25">
        <f>TEXT(B933,"yyyy-mm")</f>
        <v/>
      </c>
      <c r="T933" s="25">
        <f>VLOOKUP(D933,Customers!A:D,4,FALSE)</f>
        <v/>
      </c>
      <c r="U933" s="25">
        <f>CONCATENATE(A933,"-",G933)</f>
        <v/>
      </c>
      <c r="V933" s="25">
        <f>IF(N933="","",IF(N933&lt;=30,"Fast (&lt;30m)",IF(N933&lt;=45,"Moderate (30-45m)","Delayed (&gt;45m)")))</f>
        <v/>
      </c>
      <c r="W933" s="25">
        <f>IF(AND(I933&gt;600,P933="Delivered"),"High Value Delivered","Standard")</f>
        <v/>
      </c>
      <c r="X933" s="25">
        <f>IF(OR(N933&gt;50,Q933&lt;=2),"High Risk / Delayed","Normal")</f>
        <v/>
      </c>
      <c r="Y933" s="25">
        <f>IF(NOT(P933="Cancelled"),"Fulfilled","Cancelled")</f>
        <v/>
      </c>
      <c r="Z933" s="25">
        <f>IFERROR(Q933,0)</f>
        <v/>
      </c>
    </row>
    <row r="934">
      <c r="A934" s="17" t="inlineStr">
        <is>
          <t>ORD1933</t>
        </is>
      </c>
      <c r="B934" s="17" t="inlineStr">
        <is>
          <t>2025-09-03</t>
        </is>
      </c>
      <c r="C934" s="17" t="inlineStr">
        <is>
          <t>13:42:17</t>
        </is>
      </c>
      <c r="D934" s="17" t="n">
        <v>1107</v>
      </c>
      <c r="E934" s="17" t="n">
        <v>107</v>
      </c>
      <c r="F934" s="17" t="n">
        <v>222</v>
      </c>
      <c r="G934" s="17" t="inlineStr">
        <is>
          <t>Mumbai</t>
        </is>
      </c>
      <c r="H934" s="17" t="inlineStr">
        <is>
          <t>Desserts</t>
        </is>
      </c>
      <c r="I934" s="22" t="n">
        <v>341</v>
      </c>
      <c r="J934" s="22" t="n">
        <v>0</v>
      </c>
      <c r="K934" s="22" t="n">
        <v>41</v>
      </c>
      <c r="L934" s="23" t="n">
        <v>0.25</v>
      </c>
      <c r="M934" s="22" t="n">
        <v>95.5</v>
      </c>
      <c r="N934" s="24" t="n">
        <v>6.2</v>
      </c>
      <c r="O934" s="24" t="n">
        <v>45.6</v>
      </c>
      <c r="P934" s="17" t="inlineStr">
        <is>
          <t>Credit Card</t>
        </is>
      </c>
      <c r="Q934" s="17" t="inlineStr">
        <is>
          <t>Delivered</t>
        </is>
      </c>
      <c r="R934" s="17" t="n">
        <v>1</v>
      </c>
      <c r="S934" s="17">
        <f>TEXT(B934,"yyyy-mm")</f>
        <v/>
      </c>
      <c r="T934" s="17">
        <f>VLOOKUP(D934,Customers!A:D,4,FALSE)</f>
        <v/>
      </c>
      <c r="U934" s="17">
        <f>CONCATENATE(A934,"-",G934)</f>
        <v/>
      </c>
      <c r="V934" s="17">
        <f>IF(N934="","",IF(N934&lt;=30,"Fast (&lt;30m)",IF(N934&lt;=45,"Moderate (30-45m)","Delayed (&gt;45m)")))</f>
        <v/>
      </c>
      <c r="W934" s="17">
        <f>IF(AND(I934&gt;600,P934="Delivered"),"High Value Delivered","Standard")</f>
        <v/>
      </c>
      <c r="X934" s="17">
        <f>IF(OR(N934&gt;50,Q934&lt;=2),"High Risk / Delayed","Normal")</f>
        <v/>
      </c>
      <c r="Y934" s="17">
        <f>IF(NOT(P934="Cancelled"),"Fulfilled","Cancelled")</f>
        <v/>
      </c>
      <c r="Z934" s="17">
        <f>IFERROR(Q934,0)</f>
        <v/>
      </c>
    </row>
    <row r="935">
      <c r="A935" s="25" t="inlineStr">
        <is>
          <t>ORD1934</t>
        </is>
      </c>
      <c r="B935" s="25" t="inlineStr">
        <is>
          <t>2025-03-09</t>
        </is>
      </c>
      <c r="C935" s="25" t="inlineStr">
        <is>
          <t>12:07:06</t>
        </is>
      </c>
      <c r="D935" s="25" t="n">
        <v>1128</v>
      </c>
      <c r="E935" s="25" t="n">
        <v>109</v>
      </c>
      <c r="F935" s="25" t="n">
        <v>225</v>
      </c>
      <c r="G935" s="25" t="inlineStr">
        <is>
          <t>Hyderabad</t>
        </is>
      </c>
      <c r="H935" s="25" t="inlineStr">
        <is>
          <t>Biryani</t>
        </is>
      </c>
      <c r="I935" s="26" t="n">
        <v>373</v>
      </c>
      <c r="J935" s="26" t="n">
        <v>43.1</v>
      </c>
      <c r="K935" s="26" t="n">
        <v>43.5</v>
      </c>
      <c r="L935" s="27" t="n">
        <v>0.2</v>
      </c>
      <c r="M935" s="26" t="n">
        <v>85.48</v>
      </c>
      <c r="N935" s="28" t="n">
        <v>6.7</v>
      </c>
      <c r="O935" s="28" t="n">
        <v>43.4</v>
      </c>
      <c r="P935" s="25" t="inlineStr">
        <is>
          <t>Credit Card</t>
        </is>
      </c>
      <c r="Q935" s="25" t="inlineStr">
        <is>
          <t>Delivered</t>
        </is>
      </c>
      <c r="R935" s="25" t="n">
        <v>2</v>
      </c>
      <c r="S935" s="25">
        <f>TEXT(B935,"yyyy-mm")</f>
        <v/>
      </c>
      <c r="T935" s="25">
        <f>VLOOKUP(D935,Customers!A:D,4,FALSE)</f>
        <v/>
      </c>
      <c r="U935" s="25">
        <f>CONCATENATE(A935,"-",G935)</f>
        <v/>
      </c>
      <c r="V935" s="25">
        <f>IF(N935="","",IF(N935&lt;=30,"Fast (&lt;30m)",IF(N935&lt;=45,"Moderate (30-45m)","Delayed (&gt;45m)")))</f>
        <v/>
      </c>
      <c r="W935" s="25">
        <f>IF(AND(I935&gt;600,P935="Delivered"),"High Value Delivered","Standard")</f>
        <v/>
      </c>
      <c r="X935" s="25">
        <f>IF(OR(N935&gt;50,Q935&lt;=2),"High Risk / Delayed","Normal")</f>
        <v/>
      </c>
      <c r="Y935" s="25">
        <f>IF(NOT(P935="Cancelled"),"Fulfilled","Cancelled")</f>
        <v/>
      </c>
      <c r="Z935" s="25">
        <f>IFERROR(Q935,0)</f>
        <v/>
      </c>
    </row>
    <row r="936">
      <c r="A936" s="17" t="inlineStr">
        <is>
          <t>ORD1935</t>
        </is>
      </c>
      <c r="B936" s="17" t="inlineStr">
        <is>
          <t>2025-08-08</t>
        </is>
      </c>
      <c r="C936" s="17" t="inlineStr">
        <is>
          <t>21:38:47</t>
        </is>
      </c>
      <c r="D936" s="17" t="n">
        <v>1035</v>
      </c>
      <c r="E936" s="17" t="n">
        <v>111</v>
      </c>
      <c r="F936" s="17" t="n">
        <v>201</v>
      </c>
      <c r="G936" s="17" t="inlineStr">
        <is>
          <t>Bangalore</t>
        </is>
      </c>
      <c r="H936" s="17" t="inlineStr">
        <is>
          <t>South Indian</t>
        </is>
      </c>
      <c r="I936" s="22" t="n">
        <v>439</v>
      </c>
      <c r="J936" s="22" t="n">
        <v>64.98</v>
      </c>
      <c r="K936" s="22" t="n">
        <v>31.5</v>
      </c>
      <c r="L936" s="23" t="n">
        <v>0.15</v>
      </c>
      <c r="M936" s="22" t="n">
        <v>73.72</v>
      </c>
      <c r="N936" s="24" t="n">
        <v>4.3</v>
      </c>
      <c r="O936" s="24" t="n">
        <v>44.1</v>
      </c>
      <c r="P936" s="17" t="inlineStr">
        <is>
          <t>UPI</t>
        </is>
      </c>
      <c r="Q936" s="17" t="inlineStr">
        <is>
          <t>Delivered</t>
        </is>
      </c>
      <c r="R936" s="17" t="n">
        <v>2</v>
      </c>
      <c r="S936" s="17">
        <f>TEXT(B936,"yyyy-mm")</f>
        <v/>
      </c>
      <c r="T936" s="17">
        <f>VLOOKUP(D936,Customers!A:D,4,FALSE)</f>
        <v/>
      </c>
      <c r="U936" s="17">
        <f>CONCATENATE(A936,"-",G936)</f>
        <v/>
      </c>
      <c r="V936" s="17">
        <f>IF(N936="","",IF(N936&lt;=30,"Fast (&lt;30m)",IF(N936&lt;=45,"Moderate (30-45m)","Delayed (&gt;45m)")))</f>
        <v/>
      </c>
      <c r="W936" s="17">
        <f>IF(AND(I936&gt;600,P936="Delivered"),"High Value Delivered","Standard")</f>
        <v/>
      </c>
      <c r="X936" s="17">
        <f>IF(OR(N936&gt;50,Q936&lt;=2),"High Risk / Delayed","Normal")</f>
        <v/>
      </c>
      <c r="Y936" s="17">
        <f>IF(NOT(P936="Cancelled"),"Fulfilled","Cancelled")</f>
        <v/>
      </c>
      <c r="Z936" s="17">
        <f>IFERROR(Q936,0)</f>
        <v/>
      </c>
    </row>
    <row r="937">
      <c r="A937" s="25" t="inlineStr">
        <is>
          <t>ORD1936</t>
        </is>
      </c>
      <c r="B937" s="25" t="inlineStr">
        <is>
          <t>2025-09-19</t>
        </is>
      </c>
      <c r="C937" s="25" t="inlineStr">
        <is>
          <t>14:11:15</t>
        </is>
      </c>
      <c r="D937" s="25" t="n">
        <v>1099</v>
      </c>
      <c r="E937" s="25" t="n">
        <v>109</v>
      </c>
      <c r="F937" s="25" t="n">
        <v>215</v>
      </c>
      <c r="G937" s="25" t="inlineStr">
        <is>
          <t>Hyderabad</t>
        </is>
      </c>
      <c r="H937" s="25" t="inlineStr">
        <is>
          <t>Biryani</t>
        </is>
      </c>
      <c r="I937" s="26" t="n">
        <v>507</v>
      </c>
      <c r="J937" s="26" t="n">
        <v>35.05</v>
      </c>
      <c r="K937" s="26" t="n">
        <v>34.5</v>
      </c>
      <c r="L937" s="27" t="n">
        <v>0.2</v>
      </c>
      <c r="M937" s="26" t="n">
        <v>110.02</v>
      </c>
      <c r="N937" s="28" t="n">
        <v>4.9</v>
      </c>
      <c r="O937" s="28" t="n">
        <v/>
      </c>
      <c r="P937" s="25" t="inlineStr">
        <is>
          <t>Credit Card</t>
        </is>
      </c>
      <c r="Q937" s="25" t="inlineStr">
        <is>
          <t>Cancelled</t>
        </is>
      </c>
      <c r="R937" s="25" t="n">
        <v/>
      </c>
      <c r="S937" s="25">
        <f>TEXT(B937,"yyyy-mm")</f>
        <v/>
      </c>
      <c r="T937" s="25">
        <f>VLOOKUP(D937,Customers!A:D,4,FALSE)</f>
        <v/>
      </c>
      <c r="U937" s="25">
        <f>CONCATENATE(A937,"-",G937)</f>
        <v/>
      </c>
      <c r="V937" s="25">
        <f>IF(N937="","",IF(N937&lt;=30,"Fast (&lt;30m)",IF(N937&lt;=45,"Moderate (30-45m)","Delayed (&gt;45m)")))</f>
        <v/>
      </c>
      <c r="W937" s="25">
        <f>IF(AND(I937&gt;600,P937="Delivered"),"High Value Delivered","Standard")</f>
        <v/>
      </c>
      <c r="X937" s="25">
        <f>IF(OR(N937&gt;50,Q937&lt;=2),"High Risk / Delayed","Normal")</f>
        <v/>
      </c>
      <c r="Y937" s="25">
        <f>IF(NOT(P937="Cancelled"),"Fulfilled","Cancelled")</f>
        <v/>
      </c>
      <c r="Z937" s="25">
        <f>IFERROR(Q937,0)</f>
        <v/>
      </c>
    </row>
    <row r="938">
      <c r="A938" s="17" t="inlineStr">
        <is>
          <t>ORD1937</t>
        </is>
      </c>
      <c r="B938" s="17" t="inlineStr">
        <is>
          <t>2025-12-28</t>
        </is>
      </c>
      <c r="C938" s="17" t="inlineStr">
        <is>
          <t>19:50:51</t>
        </is>
      </c>
      <c r="D938" s="17" t="n">
        <v>1138</v>
      </c>
      <c r="E938" s="17" t="n">
        <v>120</v>
      </c>
      <c r="F938" s="17" t="n">
        <v>208</v>
      </c>
      <c r="G938" s="17" t="inlineStr">
        <is>
          <t>Pune</t>
        </is>
      </c>
      <c r="H938" s="17" t="inlineStr">
        <is>
          <t>Fast Food</t>
        </is>
      </c>
      <c r="I938" s="22" t="n">
        <v>325</v>
      </c>
      <c r="J938" s="22" t="n">
        <v>32.2</v>
      </c>
      <c r="K938" s="22" t="n">
        <v>25</v>
      </c>
      <c r="L938" s="23" t="n">
        <v>0.18</v>
      </c>
      <c r="M938" s="22" t="n">
        <v>64.75</v>
      </c>
      <c r="N938" s="24" t="n">
        <v>2.2</v>
      </c>
      <c r="O938" s="24" t="n">
        <v>25.8</v>
      </c>
      <c r="P938" s="17" t="inlineStr">
        <is>
          <t>Credit Card</t>
        </is>
      </c>
      <c r="Q938" s="17" t="inlineStr">
        <is>
          <t>Delivered</t>
        </is>
      </c>
      <c r="R938" s="17" t="n">
        <v>3</v>
      </c>
      <c r="S938" s="17">
        <f>TEXT(B938,"yyyy-mm")</f>
        <v/>
      </c>
      <c r="T938" s="17">
        <f>VLOOKUP(D938,Customers!A:D,4,FALSE)</f>
        <v/>
      </c>
      <c r="U938" s="17">
        <f>CONCATENATE(A938,"-",G938)</f>
        <v/>
      </c>
      <c r="V938" s="17">
        <f>IF(N938="","",IF(N938&lt;=30,"Fast (&lt;30m)",IF(N938&lt;=45,"Moderate (30-45m)","Delayed (&gt;45m)")))</f>
        <v/>
      </c>
      <c r="W938" s="17">
        <f>IF(AND(I938&gt;600,P938="Delivered"),"High Value Delivered","Standard")</f>
        <v/>
      </c>
      <c r="X938" s="17">
        <f>IF(OR(N938&gt;50,Q938&lt;=2),"High Risk / Delayed","Normal")</f>
        <v/>
      </c>
      <c r="Y938" s="17">
        <f>IF(NOT(P938="Cancelled"),"Fulfilled","Cancelled")</f>
        <v/>
      </c>
      <c r="Z938" s="17">
        <f>IFERROR(Q938,0)</f>
        <v/>
      </c>
    </row>
    <row r="939">
      <c r="A939" s="25" t="inlineStr">
        <is>
          <t>ORD1938</t>
        </is>
      </c>
      <c r="B939" s="25" t="inlineStr">
        <is>
          <t>2025-04-28</t>
        </is>
      </c>
      <c r="C939" s="25" t="inlineStr">
        <is>
          <t>13:07:08</t>
        </is>
      </c>
      <c r="D939" s="25" t="n">
        <v>1203</v>
      </c>
      <c r="E939" s="25" t="n">
        <v>112</v>
      </c>
      <c r="F939" s="25" t="n">
        <v>211</v>
      </c>
      <c r="G939" s="25" t="inlineStr">
        <is>
          <t>Delhi NCR</t>
        </is>
      </c>
      <c r="H939" s="25" t="inlineStr">
        <is>
          <t>North Indian</t>
        </is>
      </c>
      <c r="I939" s="26" t="n">
        <v>630</v>
      </c>
      <c r="J939" s="26" t="n">
        <v>0</v>
      </c>
      <c r="K939" s="26" t="n">
        <v>27</v>
      </c>
      <c r="L939" s="27" t="n">
        <v>0.22</v>
      </c>
      <c r="M939" s="26" t="n">
        <v>145.35</v>
      </c>
      <c r="N939" s="28" t="n">
        <v>3.4</v>
      </c>
      <c r="O939" s="28" t="n">
        <v>35.3</v>
      </c>
      <c r="P939" s="25" t="inlineStr">
        <is>
          <t>Credit Card</t>
        </is>
      </c>
      <c r="Q939" s="25" t="inlineStr">
        <is>
          <t>Delivered</t>
        </is>
      </c>
      <c r="R939" s="25" t="n">
        <v>5</v>
      </c>
      <c r="S939" s="25">
        <f>TEXT(B939,"yyyy-mm")</f>
        <v/>
      </c>
      <c r="T939" s="25">
        <f>VLOOKUP(D939,Customers!A:D,4,FALSE)</f>
        <v/>
      </c>
      <c r="U939" s="25">
        <f>CONCATENATE(A939,"-",G939)</f>
        <v/>
      </c>
      <c r="V939" s="25">
        <f>IF(N939="","",IF(N939&lt;=30,"Fast (&lt;30m)",IF(N939&lt;=45,"Moderate (30-45m)","Delayed (&gt;45m)")))</f>
        <v/>
      </c>
      <c r="W939" s="25">
        <f>IF(AND(I939&gt;600,P939="Delivered"),"High Value Delivered","Standard")</f>
        <v/>
      </c>
      <c r="X939" s="25">
        <f>IF(OR(N939&gt;50,Q939&lt;=2),"High Risk / Delayed","Normal")</f>
        <v/>
      </c>
      <c r="Y939" s="25">
        <f>IF(NOT(P939="Cancelled"),"Fulfilled","Cancelled")</f>
        <v/>
      </c>
      <c r="Z939" s="25">
        <f>IFERROR(Q939,0)</f>
        <v/>
      </c>
    </row>
    <row r="940">
      <c r="A940" s="17" t="inlineStr">
        <is>
          <t>ORD1939</t>
        </is>
      </c>
      <c r="B940" s="17" t="inlineStr">
        <is>
          <t>2025-02-16</t>
        </is>
      </c>
      <c r="C940" s="17" t="inlineStr">
        <is>
          <t>14:55:03</t>
        </is>
      </c>
      <c r="D940" s="17" t="n">
        <v>1233</v>
      </c>
      <c r="E940" s="17" t="n">
        <v>106</v>
      </c>
      <c r="F940" s="17" t="n">
        <v>224</v>
      </c>
      <c r="G940" s="17" t="inlineStr">
        <is>
          <t>Pune</t>
        </is>
      </c>
      <c r="H940" s="17" t="inlineStr">
        <is>
          <t>South Indian</t>
        </is>
      </c>
      <c r="I940" s="22" t="n">
        <v>609</v>
      </c>
      <c r="J940" s="22" t="n">
        <v>0</v>
      </c>
      <c r="K940" s="22" t="n">
        <v>28.5</v>
      </c>
      <c r="L940" s="23" t="n">
        <v>0.15</v>
      </c>
      <c r="M940" s="22" t="n">
        <v>98.48</v>
      </c>
      <c r="N940" s="24" t="n">
        <v>3.7</v>
      </c>
      <c r="O940" s="24" t="n">
        <v>32.6</v>
      </c>
      <c r="P940" s="17" t="inlineStr">
        <is>
          <t>Credit Card</t>
        </is>
      </c>
      <c r="Q940" s="17" t="inlineStr">
        <is>
          <t>Delivered</t>
        </is>
      </c>
      <c r="R940" s="17" t="n">
        <v>5</v>
      </c>
      <c r="S940" s="17">
        <f>TEXT(B940,"yyyy-mm")</f>
        <v/>
      </c>
      <c r="T940" s="17">
        <f>VLOOKUP(D940,Customers!A:D,4,FALSE)</f>
        <v/>
      </c>
      <c r="U940" s="17">
        <f>CONCATENATE(A940,"-",G940)</f>
        <v/>
      </c>
      <c r="V940" s="17">
        <f>IF(N940="","",IF(N940&lt;=30,"Fast (&lt;30m)",IF(N940&lt;=45,"Moderate (30-45m)","Delayed (&gt;45m)")))</f>
        <v/>
      </c>
      <c r="W940" s="17">
        <f>IF(AND(I940&gt;600,P940="Delivered"),"High Value Delivered","Standard")</f>
        <v/>
      </c>
      <c r="X940" s="17">
        <f>IF(OR(N940&gt;50,Q940&lt;=2),"High Risk / Delayed","Normal")</f>
        <v/>
      </c>
      <c r="Y940" s="17">
        <f>IF(NOT(P940="Cancelled"),"Fulfilled","Cancelled")</f>
        <v/>
      </c>
      <c r="Z940" s="17">
        <f>IFERROR(Q940,0)</f>
        <v/>
      </c>
    </row>
    <row r="941">
      <c r="A941" s="25" t="inlineStr">
        <is>
          <t>ORD1940</t>
        </is>
      </c>
      <c r="B941" s="25" t="inlineStr">
        <is>
          <t>2025-08-07</t>
        </is>
      </c>
      <c r="C941" s="25" t="inlineStr">
        <is>
          <t>13:30:03</t>
        </is>
      </c>
      <c r="D941" s="25" t="n">
        <v>1179</v>
      </c>
      <c r="E941" s="25" t="n">
        <v>107</v>
      </c>
      <c r="F941" s="25" t="n">
        <v>229</v>
      </c>
      <c r="G941" s="25" t="inlineStr">
        <is>
          <t>Mumbai</t>
        </is>
      </c>
      <c r="H941" s="25" t="inlineStr">
        <is>
          <t>Desserts</t>
        </is>
      </c>
      <c r="I941" s="26" t="n">
        <v>951</v>
      </c>
      <c r="J941" s="26" t="n">
        <v>156.33</v>
      </c>
      <c r="K941" s="26" t="n">
        <v>0</v>
      </c>
      <c r="L941" s="27" t="n">
        <v>0.25</v>
      </c>
      <c r="M941" s="26" t="n">
        <v>237.75</v>
      </c>
      <c r="N941" s="28" t="n">
        <v>3.1</v>
      </c>
      <c r="O941" s="28" t="n">
        <v>30.4</v>
      </c>
      <c r="P941" s="25" t="inlineStr">
        <is>
          <t>Debit Card</t>
        </is>
      </c>
      <c r="Q941" s="25" t="inlineStr">
        <is>
          <t>Delivered</t>
        </is>
      </c>
      <c r="R941" s="25" t="n">
        <v>1</v>
      </c>
      <c r="S941" s="25">
        <f>TEXT(B941,"yyyy-mm")</f>
        <v/>
      </c>
      <c r="T941" s="25">
        <f>VLOOKUP(D941,Customers!A:D,4,FALSE)</f>
        <v/>
      </c>
      <c r="U941" s="25">
        <f>CONCATENATE(A941,"-",G941)</f>
        <v/>
      </c>
      <c r="V941" s="25">
        <f>IF(N941="","",IF(N941&lt;=30,"Fast (&lt;30m)",IF(N941&lt;=45,"Moderate (30-45m)","Delayed (&gt;45m)")))</f>
        <v/>
      </c>
      <c r="W941" s="25">
        <f>IF(AND(I941&gt;600,P941="Delivered"),"High Value Delivered","Standard")</f>
        <v/>
      </c>
      <c r="X941" s="25">
        <f>IF(OR(N941&gt;50,Q941&lt;=2),"High Risk / Delayed","Normal")</f>
        <v/>
      </c>
      <c r="Y941" s="25">
        <f>IF(NOT(P941="Cancelled"),"Fulfilled","Cancelled")</f>
        <v/>
      </c>
      <c r="Z941" s="25">
        <f>IFERROR(Q941,0)</f>
        <v/>
      </c>
    </row>
    <row r="942">
      <c r="A942" s="17" t="inlineStr">
        <is>
          <t>ORD1941</t>
        </is>
      </c>
      <c r="B942" s="17" t="inlineStr">
        <is>
          <t>2025-12-31</t>
        </is>
      </c>
      <c r="C942" s="17" t="inlineStr">
        <is>
          <t>14:26:15</t>
        </is>
      </c>
      <c r="D942" s="17" t="n">
        <v>1066</v>
      </c>
      <c r="E942" s="17" t="n">
        <v>120</v>
      </c>
      <c r="F942" s="17" t="n">
        <v>208</v>
      </c>
      <c r="G942" s="17" t="inlineStr">
        <is>
          <t>Pune</t>
        </is>
      </c>
      <c r="H942" s="17" t="inlineStr">
        <is>
          <t>Fast Food</t>
        </is>
      </c>
      <c r="I942" s="22" t="n">
        <v>547</v>
      </c>
      <c r="J942" s="22" t="n">
        <v>7.95</v>
      </c>
      <c r="K942" s="22" t="n">
        <v>25</v>
      </c>
      <c r="L942" s="23" t="n">
        <v>0.18</v>
      </c>
      <c r="M942" s="22" t="n">
        <v>104.71</v>
      </c>
      <c r="N942" s="24" t="n">
        <v>2</v>
      </c>
      <c r="O942" s="24" t="n">
        <v>20.1</v>
      </c>
      <c r="P942" s="17" t="inlineStr">
        <is>
          <t>Debit Card</t>
        </is>
      </c>
      <c r="Q942" s="17" t="inlineStr">
        <is>
          <t>Delivered</t>
        </is>
      </c>
      <c r="R942" s="17" t="n">
        <v>4</v>
      </c>
      <c r="S942" s="17">
        <f>TEXT(B942,"yyyy-mm")</f>
        <v/>
      </c>
      <c r="T942" s="17">
        <f>VLOOKUP(D942,Customers!A:D,4,FALSE)</f>
        <v/>
      </c>
      <c r="U942" s="17">
        <f>CONCATENATE(A942,"-",G942)</f>
        <v/>
      </c>
      <c r="V942" s="17">
        <f>IF(N942="","",IF(N942&lt;=30,"Fast (&lt;30m)",IF(N942&lt;=45,"Moderate (30-45m)","Delayed (&gt;45m)")))</f>
        <v/>
      </c>
      <c r="W942" s="17">
        <f>IF(AND(I942&gt;600,P942="Delivered"),"High Value Delivered","Standard")</f>
        <v/>
      </c>
      <c r="X942" s="17">
        <f>IF(OR(N942&gt;50,Q942&lt;=2),"High Risk / Delayed","Normal")</f>
        <v/>
      </c>
      <c r="Y942" s="17">
        <f>IF(NOT(P942="Cancelled"),"Fulfilled","Cancelled")</f>
        <v/>
      </c>
      <c r="Z942" s="17">
        <f>IFERROR(Q942,0)</f>
        <v/>
      </c>
    </row>
    <row r="943">
      <c r="A943" s="25" t="inlineStr">
        <is>
          <t>ORD1942</t>
        </is>
      </c>
      <c r="B943" s="25" t="inlineStr">
        <is>
          <t>2025-08-30</t>
        </is>
      </c>
      <c r="C943" s="25" t="inlineStr">
        <is>
          <t>13:17:58</t>
        </is>
      </c>
      <c r="D943" s="25" t="n">
        <v>1244</v>
      </c>
      <c r="E943" s="25" t="n">
        <v>104</v>
      </c>
      <c r="F943" s="25" t="n">
        <v>228</v>
      </c>
      <c r="G943" s="25" t="inlineStr">
        <is>
          <t>Delhi NCR</t>
        </is>
      </c>
      <c r="H943" s="25" t="inlineStr">
        <is>
          <t>Fast Food</t>
        </is>
      </c>
      <c r="I943" s="26" t="n">
        <v>841</v>
      </c>
      <c r="J943" s="26" t="n">
        <v>0</v>
      </c>
      <c r="K943" s="26" t="n">
        <v>25</v>
      </c>
      <c r="L943" s="27" t="n">
        <v>0.18</v>
      </c>
      <c r="M943" s="26" t="n">
        <v>157.63</v>
      </c>
      <c r="N943" s="28" t="n">
        <v>2.7</v>
      </c>
      <c r="O943" s="28" t="n">
        <v/>
      </c>
      <c r="P943" s="25" t="inlineStr">
        <is>
          <t>Cash on Delivery</t>
        </is>
      </c>
      <c r="Q943" s="25" t="inlineStr">
        <is>
          <t>Cancelled</t>
        </is>
      </c>
      <c r="R943" s="25" t="n">
        <v/>
      </c>
      <c r="S943" s="25">
        <f>TEXT(B943,"yyyy-mm")</f>
        <v/>
      </c>
      <c r="T943" s="25">
        <f>VLOOKUP(D943,Customers!A:D,4,FALSE)</f>
        <v/>
      </c>
      <c r="U943" s="25">
        <f>CONCATENATE(A943,"-",G943)</f>
        <v/>
      </c>
      <c r="V943" s="25">
        <f>IF(N943="","",IF(N943&lt;=30,"Fast (&lt;30m)",IF(N943&lt;=45,"Moderate (30-45m)","Delayed (&gt;45m)")))</f>
        <v/>
      </c>
      <c r="W943" s="25">
        <f>IF(AND(I943&gt;600,P943="Delivered"),"High Value Delivered","Standard")</f>
        <v/>
      </c>
      <c r="X943" s="25">
        <f>IF(OR(N943&gt;50,Q943&lt;=2),"High Risk / Delayed","Normal")</f>
        <v/>
      </c>
      <c r="Y943" s="25">
        <f>IF(NOT(P943="Cancelled"),"Fulfilled","Cancelled")</f>
        <v/>
      </c>
      <c r="Z943" s="25">
        <f>IFERROR(Q943,0)</f>
        <v/>
      </c>
    </row>
    <row r="944">
      <c r="A944" s="17" t="inlineStr">
        <is>
          <t>ORD1943</t>
        </is>
      </c>
      <c r="B944" s="17" t="inlineStr">
        <is>
          <t>2025-02-27</t>
        </is>
      </c>
      <c r="C944" s="17" t="inlineStr">
        <is>
          <t>20:06:42</t>
        </is>
      </c>
      <c r="D944" s="17" t="n">
        <v>1042</v>
      </c>
      <c r="E944" s="17" t="n">
        <v>107</v>
      </c>
      <c r="F944" s="17" t="n">
        <v>222</v>
      </c>
      <c r="G944" s="17" t="inlineStr">
        <is>
          <t>Mumbai</t>
        </is>
      </c>
      <c r="H944" s="17" t="inlineStr">
        <is>
          <t>Desserts</t>
        </is>
      </c>
      <c r="I944" s="22" t="n">
        <v>233</v>
      </c>
      <c r="J944" s="22" t="n">
        <v>14.36</v>
      </c>
      <c r="K944" s="22" t="n">
        <v>25.5</v>
      </c>
      <c r="L944" s="23" t="n">
        <v>0.25</v>
      </c>
      <c r="M944" s="22" t="n">
        <v>64.62</v>
      </c>
      <c r="N944" s="24" t="n">
        <v>3.1</v>
      </c>
      <c r="O944" s="24" t="n">
        <v>32.3</v>
      </c>
      <c r="P944" s="17" t="inlineStr">
        <is>
          <t>Debit Card</t>
        </is>
      </c>
      <c r="Q944" s="17" t="inlineStr">
        <is>
          <t>Delivered</t>
        </is>
      </c>
      <c r="R944" s="17" t="n">
        <v>4</v>
      </c>
      <c r="S944" s="17">
        <f>TEXT(B944,"yyyy-mm")</f>
        <v/>
      </c>
      <c r="T944" s="17">
        <f>VLOOKUP(D944,Customers!A:D,4,FALSE)</f>
        <v/>
      </c>
      <c r="U944" s="17">
        <f>CONCATENATE(A944,"-",G944)</f>
        <v/>
      </c>
      <c r="V944" s="17">
        <f>IF(N944="","",IF(N944&lt;=30,"Fast (&lt;30m)",IF(N944&lt;=45,"Moderate (30-45m)","Delayed (&gt;45m)")))</f>
        <v/>
      </c>
      <c r="W944" s="17">
        <f>IF(AND(I944&gt;600,P944="Delivered"),"High Value Delivered","Standard")</f>
        <v/>
      </c>
      <c r="X944" s="17">
        <f>IF(OR(N944&gt;50,Q944&lt;=2),"High Risk / Delayed","Normal")</f>
        <v/>
      </c>
      <c r="Y944" s="17">
        <f>IF(NOT(P944="Cancelled"),"Fulfilled","Cancelled")</f>
        <v/>
      </c>
      <c r="Z944" s="17">
        <f>IFERROR(Q944,0)</f>
        <v/>
      </c>
    </row>
    <row r="945">
      <c r="A945" s="25" t="inlineStr">
        <is>
          <t>ORD1944</t>
        </is>
      </c>
      <c r="B945" s="25" t="inlineStr">
        <is>
          <t>2025-11-29</t>
        </is>
      </c>
      <c r="C945" s="25" t="inlineStr">
        <is>
          <t>22:17:13</t>
        </is>
      </c>
      <c r="D945" s="25" t="n">
        <v>1113</v>
      </c>
      <c r="E945" s="25" t="n">
        <v>101</v>
      </c>
      <c r="F945" s="25" t="n">
        <v>203</v>
      </c>
      <c r="G945" s="25" t="inlineStr">
        <is>
          <t>Bangalore</t>
        </is>
      </c>
      <c r="H945" s="25" t="inlineStr">
        <is>
          <t>North Indian</t>
        </is>
      </c>
      <c r="I945" s="26" t="n">
        <v>1016</v>
      </c>
      <c r="J945" s="26" t="n">
        <v>110.46</v>
      </c>
      <c r="K945" s="26" t="n">
        <v>0</v>
      </c>
      <c r="L945" s="27" t="n">
        <v>0.2</v>
      </c>
      <c r="M945" s="26" t="n">
        <v>203.2</v>
      </c>
      <c r="N945" s="28" t="n">
        <v>3.1</v>
      </c>
      <c r="O945" s="28" t="n">
        <v>22.6</v>
      </c>
      <c r="P945" s="25" t="inlineStr">
        <is>
          <t>Digital Wallet</t>
        </is>
      </c>
      <c r="Q945" s="25" t="inlineStr">
        <is>
          <t>Delivered</t>
        </is>
      </c>
      <c r="R945" s="25" t="n">
        <v>5</v>
      </c>
      <c r="S945" s="25">
        <f>TEXT(B945,"yyyy-mm")</f>
        <v/>
      </c>
      <c r="T945" s="25">
        <f>VLOOKUP(D945,Customers!A:D,4,FALSE)</f>
        <v/>
      </c>
      <c r="U945" s="25">
        <f>CONCATENATE(A945,"-",G945)</f>
        <v/>
      </c>
      <c r="V945" s="25">
        <f>IF(N945="","",IF(N945&lt;=30,"Fast (&lt;30m)",IF(N945&lt;=45,"Moderate (30-45m)","Delayed (&gt;45m)")))</f>
        <v/>
      </c>
      <c r="W945" s="25">
        <f>IF(AND(I945&gt;600,P945="Delivered"),"High Value Delivered","Standard")</f>
        <v/>
      </c>
      <c r="X945" s="25">
        <f>IF(OR(N945&gt;50,Q945&lt;=2),"High Risk / Delayed","Normal")</f>
        <v/>
      </c>
      <c r="Y945" s="25">
        <f>IF(NOT(P945="Cancelled"),"Fulfilled","Cancelled")</f>
        <v/>
      </c>
      <c r="Z945" s="25">
        <f>IFERROR(Q945,0)</f>
        <v/>
      </c>
    </row>
    <row r="946">
      <c r="A946" s="17" t="inlineStr">
        <is>
          <t>ORD1945</t>
        </is>
      </c>
      <c r="B946" s="17" t="inlineStr">
        <is>
          <t>2025-10-28</t>
        </is>
      </c>
      <c r="C946" s="17" t="inlineStr">
        <is>
          <t>20:58:56</t>
        </is>
      </c>
      <c r="D946" s="17" t="n">
        <v>1040</v>
      </c>
      <c r="E946" s="17" t="n">
        <v>120</v>
      </c>
      <c r="F946" s="17" t="n">
        <v>214</v>
      </c>
      <c r="G946" s="17" t="inlineStr">
        <is>
          <t>Pune</t>
        </is>
      </c>
      <c r="H946" s="17" t="inlineStr">
        <is>
          <t>Fast Food</t>
        </is>
      </c>
      <c r="I946" s="22" t="n">
        <v>890</v>
      </c>
      <c r="J946" s="22" t="n">
        <v>13.74</v>
      </c>
      <c r="K946" s="22" t="n">
        <v>25</v>
      </c>
      <c r="L946" s="23" t="n">
        <v>0.18</v>
      </c>
      <c r="M946" s="22" t="n">
        <v>166.45</v>
      </c>
      <c r="N946" s="24" t="n">
        <v>1.8</v>
      </c>
      <c r="O946" s="24" t="n">
        <v>24</v>
      </c>
      <c r="P946" s="17" t="inlineStr">
        <is>
          <t>UPI</t>
        </is>
      </c>
      <c r="Q946" s="17" t="inlineStr">
        <is>
          <t>Delivered</t>
        </is>
      </c>
      <c r="R946" s="17" t="n">
        <v>5</v>
      </c>
      <c r="S946" s="17">
        <f>TEXT(B946,"yyyy-mm")</f>
        <v/>
      </c>
      <c r="T946" s="17">
        <f>VLOOKUP(D946,Customers!A:D,4,FALSE)</f>
        <v/>
      </c>
      <c r="U946" s="17">
        <f>CONCATENATE(A946,"-",G946)</f>
        <v/>
      </c>
      <c r="V946" s="17">
        <f>IF(N946="","",IF(N946&lt;=30,"Fast (&lt;30m)",IF(N946&lt;=45,"Moderate (30-45m)","Delayed (&gt;45m)")))</f>
        <v/>
      </c>
      <c r="W946" s="17">
        <f>IF(AND(I946&gt;600,P946="Delivered"),"High Value Delivered","Standard")</f>
        <v/>
      </c>
      <c r="X946" s="17">
        <f>IF(OR(N946&gt;50,Q946&lt;=2),"High Risk / Delayed","Normal")</f>
        <v/>
      </c>
      <c r="Y946" s="17">
        <f>IF(NOT(P946="Cancelled"),"Fulfilled","Cancelled")</f>
        <v/>
      </c>
      <c r="Z946" s="17">
        <f>IFERROR(Q946,0)</f>
        <v/>
      </c>
    </row>
    <row r="947">
      <c r="A947" s="25" t="inlineStr">
        <is>
          <t>ORD1946</t>
        </is>
      </c>
      <c r="B947" s="25" t="inlineStr">
        <is>
          <t>2025-06-04</t>
        </is>
      </c>
      <c r="C947" s="25" t="inlineStr">
        <is>
          <t>09:46:30</t>
        </is>
      </c>
      <c r="D947" s="25" t="n">
        <v>1138</v>
      </c>
      <c r="E947" s="25" t="n">
        <v>110</v>
      </c>
      <c r="F947" s="25" t="n">
        <v>208</v>
      </c>
      <c r="G947" s="25" t="inlineStr">
        <is>
          <t>Pune</t>
        </is>
      </c>
      <c r="H947" s="25" t="inlineStr">
        <is>
          <t>North Indian</t>
        </is>
      </c>
      <c r="I947" s="26" t="n">
        <v>426</v>
      </c>
      <c r="J947" s="26" t="n">
        <v>37.21</v>
      </c>
      <c r="K947" s="26" t="n">
        <v>25</v>
      </c>
      <c r="L947" s="27" t="n">
        <v>0.18</v>
      </c>
      <c r="M947" s="26" t="n">
        <v>82.93000000000001</v>
      </c>
      <c r="N947" s="28" t="n">
        <v>2.7</v>
      </c>
      <c r="O947" s="28" t="n">
        <v>22.6</v>
      </c>
      <c r="P947" s="25" t="inlineStr">
        <is>
          <t>Credit Card</t>
        </is>
      </c>
      <c r="Q947" s="25" t="inlineStr">
        <is>
          <t>Delivered</t>
        </is>
      </c>
      <c r="R947" s="25" t="n">
        <v>5</v>
      </c>
      <c r="S947" s="25">
        <f>TEXT(B947,"yyyy-mm")</f>
        <v/>
      </c>
      <c r="T947" s="25">
        <f>VLOOKUP(D947,Customers!A:D,4,FALSE)</f>
        <v/>
      </c>
      <c r="U947" s="25">
        <f>CONCATENATE(A947,"-",G947)</f>
        <v/>
      </c>
      <c r="V947" s="25">
        <f>IF(N947="","",IF(N947&lt;=30,"Fast (&lt;30m)",IF(N947&lt;=45,"Moderate (30-45m)","Delayed (&gt;45m)")))</f>
        <v/>
      </c>
      <c r="W947" s="25">
        <f>IF(AND(I947&gt;600,P947="Delivered"),"High Value Delivered","Standard")</f>
        <v/>
      </c>
      <c r="X947" s="25">
        <f>IF(OR(N947&gt;50,Q947&lt;=2),"High Risk / Delayed","Normal")</f>
        <v/>
      </c>
      <c r="Y947" s="25">
        <f>IF(NOT(P947="Cancelled"),"Fulfilled","Cancelled")</f>
        <v/>
      </c>
      <c r="Z947" s="25">
        <f>IFERROR(Q947,0)</f>
        <v/>
      </c>
    </row>
    <row r="948">
      <c r="A948" s="17" t="inlineStr">
        <is>
          <t>ORD1947</t>
        </is>
      </c>
      <c r="B948" s="17" t="inlineStr">
        <is>
          <t>2025-10-09</t>
        </is>
      </c>
      <c r="C948" s="17" t="inlineStr">
        <is>
          <t>21:45:16</t>
        </is>
      </c>
      <c r="D948" s="17" t="n">
        <v>1004</v>
      </c>
      <c r="E948" s="17" t="n">
        <v>120</v>
      </c>
      <c r="F948" s="17" t="n">
        <v>226</v>
      </c>
      <c r="G948" s="17" t="inlineStr">
        <is>
          <t>Pune</t>
        </is>
      </c>
      <c r="H948" s="17" t="inlineStr">
        <is>
          <t>Fast Food</t>
        </is>
      </c>
      <c r="I948" s="22" t="n">
        <v>793</v>
      </c>
      <c r="J948" s="22" t="n">
        <v>56.77</v>
      </c>
      <c r="K948" s="22" t="n">
        <v>68.5</v>
      </c>
      <c r="L948" s="23" t="n">
        <v>0.18</v>
      </c>
      <c r="M948" s="22" t="n">
        <v>159.86</v>
      </c>
      <c r="N948" s="24" t="n">
        <v>11.7</v>
      </c>
      <c r="O948" s="24" t="n">
        <v>62.6</v>
      </c>
      <c r="P948" s="17" t="inlineStr">
        <is>
          <t>UPI</t>
        </is>
      </c>
      <c r="Q948" s="17" t="inlineStr">
        <is>
          <t>Delivered</t>
        </is>
      </c>
      <c r="R948" s="17" t="n">
        <v>3</v>
      </c>
      <c r="S948" s="17">
        <f>TEXT(B948,"yyyy-mm")</f>
        <v/>
      </c>
      <c r="T948" s="17">
        <f>VLOOKUP(D948,Customers!A:D,4,FALSE)</f>
        <v/>
      </c>
      <c r="U948" s="17">
        <f>CONCATENATE(A948,"-",G948)</f>
        <v/>
      </c>
      <c r="V948" s="17">
        <f>IF(N948="","",IF(N948&lt;=30,"Fast (&lt;30m)",IF(N948&lt;=45,"Moderate (30-45m)","Delayed (&gt;45m)")))</f>
        <v/>
      </c>
      <c r="W948" s="17">
        <f>IF(AND(I948&gt;600,P948="Delivered"),"High Value Delivered","Standard")</f>
        <v/>
      </c>
      <c r="X948" s="17">
        <f>IF(OR(N948&gt;50,Q948&lt;=2),"High Risk / Delayed","Normal")</f>
        <v/>
      </c>
      <c r="Y948" s="17">
        <f>IF(NOT(P948="Cancelled"),"Fulfilled","Cancelled")</f>
        <v/>
      </c>
      <c r="Z948" s="17">
        <f>IFERROR(Q948,0)</f>
        <v/>
      </c>
    </row>
    <row r="949">
      <c r="A949" s="25" t="inlineStr">
        <is>
          <t>ORD1948</t>
        </is>
      </c>
      <c r="B949" s="25" t="inlineStr">
        <is>
          <t>2025-08-03</t>
        </is>
      </c>
      <c r="C949" s="25" t="inlineStr">
        <is>
          <t>20:33:59</t>
        </is>
      </c>
      <c r="D949" s="25" t="n">
        <v>1106</v>
      </c>
      <c r="E949" s="25" t="n">
        <v>111</v>
      </c>
      <c r="F949" s="25" t="n">
        <v>205</v>
      </c>
      <c r="G949" s="25" t="inlineStr">
        <is>
          <t>Bangalore</t>
        </is>
      </c>
      <c r="H949" s="25" t="inlineStr">
        <is>
          <t>South Indian</t>
        </is>
      </c>
      <c r="I949" s="26" t="n">
        <v>735</v>
      </c>
      <c r="J949" s="26" t="n">
        <v>9.82</v>
      </c>
      <c r="K949" s="26" t="n">
        <v>33.5</v>
      </c>
      <c r="L949" s="27" t="n">
        <v>0.15</v>
      </c>
      <c r="M949" s="26" t="n">
        <v>118.62</v>
      </c>
      <c r="N949" s="28" t="n">
        <v>4.7</v>
      </c>
      <c r="O949" s="28" t="n">
        <v>33</v>
      </c>
      <c r="P949" s="25" t="inlineStr">
        <is>
          <t>Credit Card</t>
        </is>
      </c>
      <c r="Q949" s="25" t="inlineStr">
        <is>
          <t>Delivered</t>
        </is>
      </c>
      <c r="R949" s="25" t="n">
        <v>4</v>
      </c>
      <c r="S949" s="25">
        <f>TEXT(B949,"yyyy-mm")</f>
        <v/>
      </c>
      <c r="T949" s="25">
        <f>VLOOKUP(D949,Customers!A:D,4,FALSE)</f>
        <v/>
      </c>
      <c r="U949" s="25">
        <f>CONCATENATE(A949,"-",G949)</f>
        <v/>
      </c>
      <c r="V949" s="25">
        <f>IF(N949="","",IF(N949&lt;=30,"Fast (&lt;30m)",IF(N949&lt;=45,"Moderate (30-45m)","Delayed (&gt;45m)")))</f>
        <v/>
      </c>
      <c r="W949" s="25">
        <f>IF(AND(I949&gt;600,P949="Delivered"),"High Value Delivered","Standard")</f>
        <v/>
      </c>
      <c r="X949" s="25">
        <f>IF(OR(N949&gt;50,Q949&lt;=2),"High Risk / Delayed","Normal")</f>
        <v/>
      </c>
      <c r="Y949" s="25">
        <f>IF(NOT(P949="Cancelled"),"Fulfilled","Cancelled")</f>
        <v/>
      </c>
      <c r="Z949" s="25">
        <f>IFERROR(Q949,0)</f>
        <v/>
      </c>
    </row>
    <row r="950">
      <c r="A950" s="17" t="inlineStr">
        <is>
          <t>ORD1949</t>
        </is>
      </c>
      <c r="B950" s="17" t="inlineStr">
        <is>
          <t>2025-12-22</t>
        </is>
      </c>
      <c r="C950" s="17" t="inlineStr">
        <is>
          <t>12:12:47</t>
        </is>
      </c>
      <c r="D950" s="17" t="n">
        <v>1268</v>
      </c>
      <c r="E950" s="17" t="n">
        <v>103</v>
      </c>
      <c r="F950" s="17" t="n">
        <v>206</v>
      </c>
      <c r="G950" s="17" t="inlineStr">
        <is>
          <t>Mumbai</t>
        </is>
      </c>
      <c r="H950" s="17" t="inlineStr">
        <is>
          <t>Italian</t>
        </is>
      </c>
      <c r="I950" s="22" t="n">
        <v>627</v>
      </c>
      <c r="J950" s="22" t="n">
        <v>53.08</v>
      </c>
      <c r="K950" s="22" t="n">
        <v>41</v>
      </c>
      <c r="L950" s="23" t="n">
        <v>0.18</v>
      </c>
      <c r="M950" s="22" t="n">
        <v>123.11</v>
      </c>
      <c r="N950" s="24" t="n">
        <v>6.2</v>
      </c>
      <c r="O950" s="24" t="n">
        <v>45.1</v>
      </c>
      <c r="P950" s="17" t="inlineStr">
        <is>
          <t>Digital Wallet</t>
        </is>
      </c>
      <c r="Q950" s="17" t="inlineStr">
        <is>
          <t>Delivered</t>
        </is>
      </c>
      <c r="R950" s="17" t="n">
        <v>3</v>
      </c>
      <c r="S950" s="17">
        <f>TEXT(B950,"yyyy-mm")</f>
        <v/>
      </c>
      <c r="T950" s="17">
        <f>VLOOKUP(D950,Customers!A:D,4,FALSE)</f>
        <v/>
      </c>
      <c r="U950" s="17">
        <f>CONCATENATE(A950,"-",G950)</f>
        <v/>
      </c>
      <c r="V950" s="17">
        <f>IF(N950="","",IF(N950&lt;=30,"Fast (&lt;30m)",IF(N950&lt;=45,"Moderate (30-45m)","Delayed (&gt;45m)")))</f>
        <v/>
      </c>
      <c r="W950" s="17">
        <f>IF(AND(I950&gt;600,P950="Delivered"),"High Value Delivered","Standard")</f>
        <v/>
      </c>
      <c r="X950" s="17">
        <f>IF(OR(N950&gt;50,Q950&lt;=2),"High Risk / Delayed","Normal")</f>
        <v/>
      </c>
      <c r="Y950" s="17">
        <f>IF(NOT(P950="Cancelled"),"Fulfilled","Cancelled")</f>
        <v/>
      </c>
      <c r="Z950" s="17">
        <f>IFERROR(Q950,0)</f>
        <v/>
      </c>
    </row>
    <row r="951">
      <c r="A951" s="25" t="inlineStr">
        <is>
          <t>ORD1950</t>
        </is>
      </c>
      <c r="B951" s="25" t="inlineStr">
        <is>
          <t>2025-08-13</t>
        </is>
      </c>
      <c r="C951" s="25" t="inlineStr">
        <is>
          <t>12:48:32</t>
        </is>
      </c>
      <c r="D951" s="25" t="n">
        <v>1053</v>
      </c>
      <c r="E951" s="25" t="n">
        <v>114</v>
      </c>
      <c r="F951" s="25" t="n">
        <v>225</v>
      </c>
      <c r="G951" s="25" t="inlineStr">
        <is>
          <t>Hyderabad</t>
        </is>
      </c>
      <c r="H951" s="25" t="inlineStr">
        <is>
          <t>Biryani</t>
        </is>
      </c>
      <c r="I951" s="26" t="n">
        <v>856</v>
      </c>
      <c r="J951" s="26" t="n">
        <v>152.31</v>
      </c>
      <c r="K951" s="26" t="n">
        <v>0</v>
      </c>
      <c r="L951" s="27" t="n">
        <v>0.22</v>
      </c>
      <c r="M951" s="26" t="n">
        <v>188.32</v>
      </c>
      <c r="N951" s="28" t="n">
        <v>4.3</v>
      </c>
      <c r="O951" s="28" t="n">
        <v>32.9</v>
      </c>
      <c r="P951" s="25" t="inlineStr">
        <is>
          <t>Debit Card</t>
        </is>
      </c>
      <c r="Q951" s="25" t="inlineStr">
        <is>
          <t>Delivered</t>
        </is>
      </c>
      <c r="R951" s="25" t="n">
        <v>3</v>
      </c>
      <c r="S951" s="25">
        <f>TEXT(B951,"yyyy-mm")</f>
        <v/>
      </c>
      <c r="T951" s="25">
        <f>VLOOKUP(D951,Customers!A:D,4,FALSE)</f>
        <v/>
      </c>
      <c r="U951" s="25">
        <f>CONCATENATE(A951,"-",G951)</f>
        <v/>
      </c>
      <c r="V951" s="25">
        <f>IF(N951="","",IF(N951&lt;=30,"Fast (&lt;30m)",IF(N951&lt;=45,"Moderate (30-45m)","Delayed (&gt;45m)")))</f>
        <v/>
      </c>
      <c r="W951" s="25">
        <f>IF(AND(I951&gt;600,P951="Delivered"),"High Value Delivered","Standard")</f>
        <v/>
      </c>
      <c r="X951" s="25">
        <f>IF(OR(N951&gt;50,Q951&lt;=2),"High Risk / Delayed","Normal")</f>
        <v/>
      </c>
      <c r="Y951" s="25">
        <f>IF(NOT(P951="Cancelled"),"Fulfilled","Cancelled")</f>
        <v/>
      </c>
      <c r="Z951" s="25">
        <f>IFERROR(Q951,0)</f>
        <v/>
      </c>
    </row>
    <row r="952">
      <c r="A952" s="17" t="inlineStr">
        <is>
          <t>ORD1951</t>
        </is>
      </c>
      <c r="B952" s="17" t="inlineStr">
        <is>
          <t>2025-01-02</t>
        </is>
      </c>
      <c r="C952" s="17" t="inlineStr">
        <is>
          <t>18:10:36</t>
        </is>
      </c>
      <c r="D952" s="17" t="n">
        <v>1019</v>
      </c>
      <c r="E952" s="17" t="n">
        <v>116</v>
      </c>
      <c r="F952" s="17" t="n">
        <v>208</v>
      </c>
      <c r="G952" s="17" t="inlineStr">
        <is>
          <t>Pune</t>
        </is>
      </c>
      <c r="H952" s="17" t="inlineStr">
        <is>
          <t>Desserts</t>
        </is>
      </c>
      <c r="I952" s="22" t="n">
        <v>443</v>
      </c>
      <c r="J952" s="22" t="n">
        <v>0.31</v>
      </c>
      <c r="K952" s="22" t="n">
        <v>34.5</v>
      </c>
      <c r="L952" s="23" t="n">
        <v>0.25</v>
      </c>
      <c r="M952" s="22" t="n">
        <v>119.38</v>
      </c>
      <c r="N952" s="24" t="n">
        <v>4.9</v>
      </c>
      <c r="O952" s="24" t="n">
        <v>35.5</v>
      </c>
      <c r="P952" s="17" t="inlineStr">
        <is>
          <t>Digital Wallet</t>
        </is>
      </c>
      <c r="Q952" s="17" t="inlineStr">
        <is>
          <t>Delivered</t>
        </is>
      </c>
      <c r="R952" s="17" t="n">
        <v>1</v>
      </c>
      <c r="S952" s="17">
        <f>TEXT(B952,"yyyy-mm")</f>
        <v/>
      </c>
      <c r="T952" s="17">
        <f>VLOOKUP(D952,Customers!A:D,4,FALSE)</f>
        <v/>
      </c>
      <c r="U952" s="17">
        <f>CONCATENATE(A952,"-",G952)</f>
        <v/>
      </c>
      <c r="V952" s="17">
        <f>IF(N952="","",IF(N952&lt;=30,"Fast (&lt;30m)",IF(N952&lt;=45,"Moderate (30-45m)","Delayed (&gt;45m)")))</f>
        <v/>
      </c>
      <c r="W952" s="17">
        <f>IF(AND(I952&gt;600,P952="Delivered"),"High Value Delivered","Standard")</f>
        <v/>
      </c>
      <c r="X952" s="17">
        <f>IF(OR(N952&gt;50,Q952&lt;=2),"High Risk / Delayed","Normal")</f>
        <v/>
      </c>
      <c r="Y952" s="17">
        <f>IF(NOT(P952="Cancelled"),"Fulfilled","Cancelled")</f>
        <v/>
      </c>
      <c r="Z952" s="17">
        <f>IFERROR(Q952,0)</f>
        <v/>
      </c>
    </row>
    <row r="953">
      <c r="A953" s="25" t="inlineStr">
        <is>
          <t>ORD1952</t>
        </is>
      </c>
      <c r="B953" s="25" t="inlineStr">
        <is>
          <t>2025-04-23</t>
        </is>
      </c>
      <c r="C953" s="25" t="inlineStr">
        <is>
          <t>11:18:45</t>
        </is>
      </c>
      <c r="D953" s="25" t="n">
        <v>1161</v>
      </c>
      <c r="E953" s="25" t="n">
        <v>102</v>
      </c>
      <c r="F953" s="25" t="n">
        <v>216</v>
      </c>
      <c r="G953" s="25" t="inlineStr">
        <is>
          <t>Hyderabad</t>
        </is>
      </c>
      <c r="H953" s="25" t="inlineStr">
        <is>
          <t>Biryani</t>
        </is>
      </c>
      <c r="I953" s="26" t="n">
        <v>494</v>
      </c>
      <c r="J953" s="26" t="n">
        <v>6.76</v>
      </c>
      <c r="K953" s="26" t="n">
        <v>28.5</v>
      </c>
      <c r="L953" s="27" t="n">
        <v>0.22</v>
      </c>
      <c r="M953" s="26" t="n">
        <v>115.8</v>
      </c>
      <c r="N953" s="28" t="n">
        <v>3.7</v>
      </c>
      <c r="O953" s="28" t="n">
        <v>24.8</v>
      </c>
      <c r="P953" s="25" t="inlineStr">
        <is>
          <t>Credit Card</t>
        </is>
      </c>
      <c r="Q953" s="25" t="inlineStr">
        <is>
          <t>Delivered</t>
        </is>
      </c>
      <c r="R953" s="25" t="n">
        <v>4</v>
      </c>
      <c r="S953" s="25">
        <f>TEXT(B953,"yyyy-mm")</f>
        <v/>
      </c>
      <c r="T953" s="25">
        <f>VLOOKUP(D953,Customers!A:D,4,FALSE)</f>
        <v/>
      </c>
      <c r="U953" s="25">
        <f>CONCATENATE(A953,"-",G953)</f>
        <v/>
      </c>
      <c r="V953" s="25">
        <f>IF(N953="","",IF(N953&lt;=30,"Fast (&lt;30m)",IF(N953&lt;=45,"Moderate (30-45m)","Delayed (&gt;45m)")))</f>
        <v/>
      </c>
      <c r="W953" s="25">
        <f>IF(AND(I953&gt;600,P953="Delivered"),"High Value Delivered","Standard")</f>
        <v/>
      </c>
      <c r="X953" s="25">
        <f>IF(OR(N953&gt;50,Q953&lt;=2),"High Risk / Delayed","Normal")</f>
        <v/>
      </c>
      <c r="Y953" s="25">
        <f>IF(NOT(P953="Cancelled"),"Fulfilled","Cancelled")</f>
        <v/>
      </c>
      <c r="Z953" s="25">
        <f>IFERROR(Q953,0)</f>
        <v/>
      </c>
    </row>
    <row r="954">
      <c r="A954" s="17" t="inlineStr">
        <is>
          <t>ORD1953</t>
        </is>
      </c>
      <c r="B954" s="17" t="inlineStr">
        <is>
          <t>2025-05-23</t>
        </is>
      </c>
      <c r="C954" s="17" t="inlineStr">
        <is>
          <t>12:59:08</t>
        </is>
      </c>
      <c r="D954" s="17" t="n">
        <v>1011</v>
      </c>
      <c r="E954" s="17" t="n">
        <v>114</v>
      </c>
      <c r="F954" s="17" t="n">
        <v>216</v>
      </c>
      <c r="G954" s="17" t="inlineStr">
        <is>
          <t>Hyderabad</t>
        </is>
      </c>
      <c r="H954" s="17" t="inlineStr">
        <is>
          <t>Biryani</t>
        </is>
      </c>
      <c r="I954" s="22" t="n">
        <v>496</v>
      </c>
      <c r="J954" s="22" t="n">
        <v>2.04</v>
      </c>
      <c r="K954" s="22" t="n">
        <v>46.5</v>
      </c>
      <c r="L954" s="23" t="n">
        <v>0.22</v>
      </c>
      <c r="M954" s="22" t="n">
        <v>120.74</v>
      </c>
      <c r="N954" s="24" t="n">
        <v>7.3</v>
      </c>
      <c r="O954" s="24" t="n">
        <v>49.7</v>
      </c>
      <c r="P954" s="17" t="inlineStr">
        <is>
          <t>Credit Card</t>
        </is>
      </c>
      <c r="Q954" s="17" t="inlineStr">
        <is>
          <t>Delivered</t>
        </is>
      </c>
      <c r="R954" s="17" t="n">
        <v>2</v>
      </c>
      <c r="S954" s="17">
        <f>TEXT(B954,"yyyy-mm")</f>
        <v/>
      </c>
      <c r="T954" s="17">
        <f>VLOOKUP(D954,Customers!A:D,4,FALSE)</f>
        <v/>
      </c>
      <c r="U954" s="17">
        <f>CONCATENATE(A954,"-",G954)</f>
        <v/>
      </c>
      <c r="V954" s="17">
        <f>IF(N954="","",IF(N954&lt;=30,"Fast (&lt;30m)",IF(N954&lt;=45,"Moderate (30-45m)","Delayed (&gt;45m)")))</f>
        <v/>
      </c>
      <c r="W954" s="17">
        <f>IF(AND(I954&gt;600,P954="Delivered"),"High Value Delivered","Standard")</f>
        <v/>
      </c>
      <c r="X954" s="17">
        <f>IF(OR(N954&gt;50,Q954&lt;=2),"High Risk / Delayed","Normal")</f>
        <v/>
      </c>
      <c r="Y954" s="17">
        <f>IF(NOT(P954="Cancelled"),"Fulfilled","Cancelled")</f>
        <v/>
      </c>
      <c r="Z954" s="17">
        <f>IFERROR(Q954,0)</f>
        <v/>
      </c>
    </row>
    <row r="955">
      <c r="A955" s="25" t="inlineStr">
        <is>
          <t>ORD1954</t>
        </is>
      </c>
      <c r="B955" s="25" t="inlineStr">
        <is>
          <t>2025-11-20</t>
        </is>
      </c>
      <c r="C955" s="25" t="inlineStr">
        <is>
          <t>22:38:23</t>
        </is>
      </c>
      <c r="D955" s="25" t="n">
        <v>1025</v>
      </c>
      <c r="E955" s="25" t="n">
        <v>120</v>
      </c>
      <c r="F955" s="25" t="n">
        <v>209</v>
      </c>
      <c r="G955" s="25" t="inlineStr">
        <is>
          <t>Pune</t>
        </is>
      </c>
      <c r="H955" s="25" t="inlineStr">
        <is>
          <t>Fast Food</t>
        </is>
      </c>
      <c r="I955" s="26" t="n">
        <v>552</v>
      </c>
      <c r="J955" s="26" t="n">
        <v>0</v>
      </c>
      <c r="K955" s="26" t="n">
        <v>27</v>
      </c>
      <c r="L955" s="27" t="n">
        <v>0.18</v>
      </c>
      <c r="M955" s="26" t="n">
        <v>106.11</v>
      </c>
      <c r="N955" s="28" t="n">
        <v>3.4</v>
      </c>
      <c r="O955" s="28" t="n">
        <v>30</v>
      </c>
      <c r="P955" s="25" t="inlineStr">
        <is>
          <t>Digital Wallet</t>
        </is>
      </c>
      <c r="Q955" s="25" t="inlineStr">
        <is>
          <t>Delivered</t>
        </is>
      </c>
      <c r="R955" s="25" t="n">
        <v>4</v>
      </c>
      <c r="S955" s="25">
        <f>TEXT(B955,"yyyy-mm")</f>
        <v/>
      </c>
      <c r="T955" s="25">
        <f>VLOOKUP(D955,Customers!A:D,4,FALSE)</f>
        <v/>
      </c>
      <c r="U955" s="25">
        <f>CONCATENATE(A955,"-",G955)</f>
        <v/>
      </c>
      <c r="V955" s="25">
        <f>IF(N955="","",IF(N955&lt;=30,"Fast (&lt;30m)",IF(N955&lt;=45,"Moderate (30-45m)","Delayed (&gt;45m)")))</f>
        <v/>
      </c>
      <c r="W955" s="25">
        <f>IF(AND(I955&gt;600,P955="Delivered"),"High Value Delivered","Standard")</f>
        <v/>
      </c>
      <c r="X955" s="25">
        <f>IF(OR(N955&gt;50,Q955&lt;=2),"High Risk / Delayed","Normal")</f>
        <v/>
      </c>
      <c r="Y955" s="25">
        <f>IF(NOT(P955="Cancelled"),"Fulfilled","Cancelled")</f>
        <v/>
      </c>
      <c r="Z955" s="25">
        <f>IFERROR(Q955,0)</f>
        <v/>
      </c>
    </row>
    <row r="956">
      <c r="A956" s="17" t="inlineStr">
        <is>
          <t>ORD1955</t>
        </is>
      </c>
      <c r="B956" s="17" t="inlineStr">
        <is>
          <t>2025-11-10</t>
        </is>
      </c>
      <c r="C956" s="17" t="inlineStr">
        <is>
          <t>15:18:20</t>
        </is>
      </c>
      <c r="D956" s="17" t="n">
        <v>1062</v>
      </c>
      <c r="E956" s="17" t="n">
        <v>107</v>
      </c>
      <c r="F956" s="17" t="n">
        <v>202</v>
      </c>
      <c r="G956" s="17" t="inlineStr">
        <is>
          <t>Mumbai</t>
        </is>
      </c>
      <c r="H956" s="17" t="inlineStr">
        <is>
          <t>Desserts</t>
        </is>
      </c>
      <c r="I956" s="22" t="n">
        <v>278</v>
      </c>
      <c r="J956" s="22" t="n">
        <v>0.23</v>
      </c>
      <c r="K956" s="22" t="n">
        <v>25</v>
      </c>
      <c r="L956" s="23" t="n">
        <v>0.25</v>
      </c>
      <c r="M956" s="22" t="n">
        <v>75.75</v>
      </c>
      <c r="N956" s="24" t="n">
        <v>2.5</v>
      </c>
      <c r="O956" s="24" t="n">
        <v>27.3</v>
      </c>
      <c r="P956" s="17" t="inlineStr">
        <is>
          <t>Debit Card</t>
        </is>
      </c>
      <c r="Q956" s="17" t="inlineStr">
        <is>
          <t>Delivered</t>
        </is>
      </c>
      <c r="R956" s="17" t="n">
        <v>4</v>
      </c>
      <c r="S956" s="17">
        <f>TEXT(B956,"yyyy-mm")</f>
        <v/>
      </c>
      <c r="T956" s="17">
        <f>VLOOKUP(D956,Customers!A:D,4,FALSE)</f>
        <v/>
      </c>
      <c r="U956" s="17">
        <f>CONCATENATE(A956,"-",G956)</f>
        <v/>
      </c>
      <c r="V956" s="17">
        <f>IF(N956="","",IF(N956&lt;=30,"Fast (&lt;30m)",IF(N956&lt;=45,"Moderate (30-45m)","Delayed (&gt;45m)")))</f>
        <v/>
      </c>
      <c r="W956" s="17">
        <f>IF(AND(I956&gt;600,P956="Delivered"),"High Value Delivered","Standard")</f>
        <v/>
      </c>
      <c r="X956" s="17">
        <f>IF(OR(N956&gt;50,Q956&lt;=2),"High Risk / Delayed","Normal")</f>
        <v/>
      </c>
      <c r="Y956" s="17">
        <f>IF(NOT(P956="Cancelled"),"Fulfilled","Cancelled")</f>
        <v/>
      </c>
      <c r="Z956" s="17">
        <f>IFERROR(Q956,0)</f>
        <v/>
      </c>
    </row>
    <row r="957">
      <c r="A957" s="25" t="inlineStr">
        <is>
          <t>ORD1956</t>
        </is>
      </c>
      <c r="B957" s="25" t="inlineStr">
        <is>
          <t>2025-01-09</t>
        </is>
      </c>
      <c r="C957" s="25" t="inlineStr">
        <is>
          <t>19:34:42</t>
        </is>
      </c>
      <c r="D957" s="25" t="n">
        <v>1050</v>
      </c>
      <c r="E957" s="25" t="n">
        <v>116</v>
      </c>
      <c r="F957" s="25" t="n">
        <v>224</v>
      </c>
      <c r="G957" s="25" t="inlineStr">
        <is>
          <t>Pune</t>
        </is>
      </c>
      <c r="H957" s="25" t="inlineStr">
        <is>
          <t>Desserts</t>
        </is>
      </c>
      <c r="I957" s="26" t="n">
        <v>817</v>
      </c>
      <c r="J957" s="26" t="n">
        <v>0</v>
      </c>
      <c r="K957" s="26" t="n">
        <v>36</v>
      </c>
      <c r="L957" s="27" t="n">
        <v>0.25</v>
      </c>
      <c r="M957" s="26" t="n">
        <v>213.25</v>
      </c>
      <c r="N957" s="28" t="n">
        <v>5.2</v>
      </c>
      <c r="O957" s="28" t="n">
        <v>39.4</v>
      </c>
      <c r="P957" s="25" t="inlineStr">
        <is>
          <t>Cash on Delivery</t>
        </is>
      </c>
      <c r="Q957" s="25" t="inlineStr">
        <is>
          <t>Delivered</t>
        </is>
      </c>
      <c r="R957" s="25" t="n">
        <v>4</v>
      </c>
      <c r="S957" s="25">
        <f>TEXT(B957,"yyyy-mm")</f>
        <v/>
      </c>
      <c r="T957" s="25">
        <f>VLOOKUP(D957,Customers!A:D,4,FALSE)</f>
        <v/>
      </c>
      <c r="U957" s="25">
        <f>CONCATENATE(A957,"-",G957)</f>
        <v/>
      </c>
      <c r="V957" s="25">
        <f>IF(N957="","",IF(N957&lt;=30,"Fast (&lt;30m)",IF(N957&lt;=45,"Moderate (30-45m)","Delayed (&gt;45m)")))</f>
        <v/>
      </c>
      <c r="W957" s="25">
        <f>IF(AND(I957&gt;600,P957="Delivered"),"High Value Delivered","Standard")</f>
        <v/>
      </c>
      <c r="X957" s="25">
        <f>IF(OR(N957&gt;50,Q957&lt;=2),"High Risk / Delayed","Normal")</f>
        <v/>
      </c>
      <c r="Y957" s="25">
        <f>IF(NOT(P957="Cancelled"),"Fulfilled","Cancelled")</f>
        <v/>
      </c>
      <c r="Z957" s="25">
        <f>IFERROR(Q957,0)</f>
        <v/>
      </c>
    </row>
    <row r="958">
      <c r="A958" s="17" t="inlineStr">
        <is>
          <t>ORD1957</t>
        </is>
      </c>
      <c r="B958" s="17" t="inlineStr">
        <is>
          <t>2025-04-23</t>
        </is>
      </c>
      <c r="C958" s="17" t="inlineStr">
        <is>
          <t>18:20:17</t>
        </is>
      </c>
      <c r="D958" s="17" t="n">
        <v>1228</v>
      </c>
      <c r="E958" s="17" t="n">
        <v>114</v>
      </c>
      <c r="F958" s="17" t="n">
        <v>216</v>
      </c>
      <c r="G958" s="17" t="inlineStr">
        <is>
          <t>Hyderabad</t>
        </is>
      </c>
      <c r="H958" s="17" t="inlineStr">
        <is>
          <t>Biryani</t>
        </is>
      </c>
      <c r="I958" s="22" t="n">
        <v>428</v>
      </c>
      <c r="J958" s="22" t="n">
        <v>27.66</v>
      </c>
      <c r="K958" s="22" t="n">
        <v>37.5</v>
      </c>
      <c r="L958" s="23" t="n">
        <v>0.22</v>
      </c>
      <c r="M958" s="22" t="n">
        <v>103.54</v>
      </c>
      <c r="N958" s="24" t="n">
        <v>5.5</v>
      </c>
      <c r="O958" s="24" t="n">
        <v>38.4</v>
      </c>
      <c r="P958" s="17" t="inlineStr">
        <is>
          <t>Credit Card</t>
        </is>
      </c>
      <c r="Q958" s="17" t="inlineStr">
        <is>
          <t>Delivered</t>
        </is>
      </c>
      <c r="R958" s="17" t="n">
        <v>4</v>
      </c>
      <c r="S958" s="17">
        <f>TEXT(B958,"yyyy-mm")</f>
        <v/>
      </c>
      <c r="T958" s="17">
        <f>VLOOKUP(D958,Customers!A:D,4,FALSE)</f>
        <v/>
      </c>
      <c r="U958" s="17">
        <f>CONCATENATE(A958,"-",G958)</f>
        <v/>
      </c>
      <c r="V958" s="17">
        <f>IF(N958="","",IF(N958&lt;=30,"Fast (&lt;30m)",IF(N958&lt;=45,"Moderate (30-45m)","Delayed (&gt;45m)")))</f>
        <v/>
      </c>
      <c r="W958" s="17">
        <f>IF(AND(I958&gt;600,P958="Delivered"),"High Value Delivered","Standard")</f>
        <v/>
      </c>
      <c r="X958" s="17">
        <f>IF(OR(N958&gt;50,Q958&lt;=2),"High Risk / Delayed","Normal")</f>
        <v/>
      </c>
      <c r="Y958" s="17">
        <f>IF(NOT(P958="Cancelled"),"Fulfilled","Cancelled")</f>
        <v/>
      </c>
      <c r="Z958" s="17">
        <f>IFERROR(Q958,0)</f>
        <v/>
      </c>
    </row>
    <row r="959">
      <c r="A959" s="25" t="inlineStr">
        <is>
          <t>ORD1958</t>
        </is>
      </c>
      <c r="B959" s="25" t="inlineStr">
        <is>
          <t>2025-07-08</t>
        </is>
      </c>
      <c r="C959" s="25" t="inlineStr">
        <is>
          <t>14:09:57</t>
        </is>
      </c>
      <c r="D959" s="25" t="n">
        <v>1143</v>
      </c>
      <c r="E959" s="25" t="n">
        <v>102</v>
      </c>
      <c r="F959" s="25" t="n">
        <v>225</v>
      </c>
      <c r="G959" s="25" t="inlineStr">
        <is>
          <t>Hyderabad</t>
        </is>
      </c>
      <c r="H959" s="25" t="inlineStr">
        <is>
          <t>Biryani</t>
        </is>
      </c>
      <c r="I959" s="26" t="n">
        <v>710</v>
      </c>
      <c r="J959" s="26" t="n">
        <v>0</v>
      </c>
      <c r="K959" s="26" t="n">
        <v>25</v>
      </c>
      <c r="L959" s="27" t="n">
        <v>0.22</v>
      </c>
      <c r="M959" s="26" t="n">
        <v>162.45</v>
      </c>
      <c r="N959" s="28" t="n">
        <v>1.9</v>
      </c>
      <c r="O959" s="28" t="n">
        <v>28.9</v>
      </c>
      <c r="P959" s="25" t="inlineStr">
        <is>
          <t>Credit Card</t>
        </is>
      </c>
      <c r="Q959" s="25" t="inlineStr">
        <is>
          <t>Delivered</t>
        </is>
      </c>
      <c r="R959" s="25" t="n">
        <v>4</v>
      </c>
      <c r="S959" s="25">
        <f>TEXT(B959,"yyyy-mm")</f>
        <v/>
      </c>
      <c r="T959" s="25">
        <f>VLOOKUP(D959,Customers!A:D,4,FALSE)</f>
        <v/>
      </c>
      <c r="U959" s="25">
        <f>CONCATENATE(A959,"-",G959)</f>
        <v/>
      </c>
      <c r="V959" s="25">
        <f>IF(N959="","",IF(N959&lt;=30,"Fast (&lt;30m)",IF(N959&lt;=45,"Moderate (30-45m)","Delayed (&gt;45m)")))</f>
        <v/>
      </c>
      <c r="W959" s="25">
        <f>IF(AND(I959&gt;600,P959="Delivered"),"High Value Delivered","Standard")</f>
        <v/>
      </c>
      <c r="X959" s="25">
        <f>IF(OR(N959&gt;50,Q959&lt;=2),"High Risk / Delayed","Normal")</f>
        <v/>
      </c>
      <c r="Y959" s="25">
        <f>IF(NOT(P959="Cancelled"),"Fulfilled","Cancelled")</f>
        <v/>
      </c>
      <c r="Z959" s="25">
        <f>IFERROR(Q959,0)</f>
        <v/>
      </c>
    </row>
    <row r="960">
      <c r="A960" s="17" t="inlineStr">
        <is>
          <t>ORD1959</t>
        </is>
      </c>
      <c r="B960" s="17" t="inlineStr">
        <is>
          <t>2025-10-19</t>
        </is>
      </c>
      <c r="C960" s="17" t="inlineStr">
        <is>
          <t>19:31:46</t>
        </is>
      </c>
      <c r="D960" s="17" t="n">
        <v>1112</v>
      </c>
      <c r="E960" s="17" t="n">
        <v>107</v>
      </c>
      <c r="F960" s="17" t="n">
        <v>206</v>
      </c>
      <c r="G960" s="17" t="inlineStr">
        <is>
          <t>Mumbai</t>
        </is>
      </c>
      <c r="H960" s="17" t="inlineStr">
        <is>
          <t>Desserts</t>
        </is>
      </c>
      <c r="I960" s="22" t="n">
        <v>404</v>
      </c>
      <c r="J960" s="22" t="n">
        <v>0.68</v>
      </c>
      <c r="K960" s="22" t="n">
        <v>34</v>
      </c>
      <c r="L960" s="23" t="n">
        <v>0.25</v>
      </c>
      <c r="M960" s="22" t="n">
        <v>109.5</v>
      </c>
      <c r="N960" s="24" t="n">
        <v>4.8</v>
      </c>
      <c r="O960" s="24" t="n">
        <v>42.6</v>
      </c>
      <c r="P960" s="17" t="inlineStr">
        <is>
          <t>Credit Card</t>
        </is>
      </c>
      <c r="Q960" s="17" t="inlineStr">
        <is>
          <t>Delivered</t>
        </is>
      </c>
      <c r="R960" s="17" t="n">
        <v>2</v>
      </c>
      <c r="S960" s="17">
        <f>TEXT(B960,"yyyy-mm")</f>
        <v/>
      </c>
      <c r="T960" s="17">
        <f>VLOOKUP(D960,Customers!A:D,4,FALSE)</f>
        <v/>
      </c>
      <c r="U960" s="17">
        <f>CONCATENATE(A960,"-",G960)</f>
        <v/>
      </c>
      <c r="V960" s="17">
        <f>IF(N960="","",IF(N960&lt;=30,"Fast (&lt;30m)",IF(N960&lt;=45,"Moderate (30-45m)","Delayed (&gt;45m)")))</f>
        <v/>
      </c>
      <c r="W960" s="17">
        <f>IF(AND(I960&gt;600,P960="Delivered"),"High Value Delivered","Standard")</f>
        <v/>
      </c>
      <c r="X960" s="17">
        <f>IF(OR(N960&gt;50,Q960&lt;=2),"High Risk / Delayed","Normal")</f>
        <v/>
      </c>
      <c r="Y960" s="17">
        <f>IF(NOT(P960="Cancelled"),"Fulfilled","Cancelled")</f>
        <v/>
      </c>
      <c r="Z960" s="17">
        <f>IFERROR(Q960,0)</f>
        <v/>
      </c>
    </row>
    <row r="961">
      <c r="A961" s="25" t="inlineStr">
        <is>
          <t>ORD1960</t>
        </is>
      </c>
      <c r="B961" s="25" t="inlineStr">
        <is>
          <t>2025-03-15</t>
        </is>
      </c>
      <c r="C961" s="25" t="inlineStr">
        <is>
          <t>20:04:27</t>
        </is>
      </c>
      <c r="D961" s="25" t="n">
        <v>1172</v>
      </c>
      <c r="E961" s="25" t="n">
        <v>110</v>
      </c>
      <c r="F961" s="25" t="n">
        <v>214</v>
      </c>
      <c r="G961" s="25" t="inlineStr">
        <is>
          <t>Pune</t>
        </is>
      </c>
      <c r="H961" s="25" t="inlineStr">
        <is>
          <t>North Indian</t>
        </is>
      </c>
      <c r="I961" s="26" t="n">
        <v>471</v>
      </c>
      <c r="J961" s="26" t="n">
        <v>0</v>
      </c>
      <c r="K961" s="26" t="n">
        <v>25</v>
      </c>
      <c r="L961" s="27" t="n">
        <v>0.18</v>
      </c>
      <c r="M961" s="26" t="n">
        <v>91.03</v>
      </c>
      <c r="N961" s="28" t="n">
        <v>2.2</v>
      </c>
      <c r="O961" s="28" t="n">
        <v>27.5</v>
      </c>
      <c r="P961" s="25" t="inlineStr">
        <is>
          <t>Cash on Delivery</t>
        </is>
      </c>
      <c r="Q961" s="25" t="inlineStr">
        <is>
          <t>Delivered</t>
        </is>
      </c>
      <c r="R961" s="25" t="n">
        <v>5</v>
      </c>
      <c r="S961" s="25">
        <f>TEXT(B961,"yyyy-mm")</f>
        <v/>
      </c>
      <c r="T961" s="25">
        <f>VLOOKUP(D961,Customers!A:D,4,FALSE)</f>
        <v/>
      </c>
      <c r="U961" s="25">
        <f>CONCATENATE(A961,"-",G961)</f>
        <v/>
      </c>
      <c r="V961" s="25">
        <f>IF(N961="","",IF(N961&lt;=30,"Fast (&lt;30m)",IF(N961&lt;=45,"Moderate (30-45m)","Delayed (&gt;45m)")))</f>
        <v/>
      </c>
      <c r="W961" s="25">
        <f>IF(AND(I961&gt;600,P961="Delivered"),"High Value Delivered","Standard")</f>
        <v/>
      </c>
      <c r="X961" s="25">
        <f>IF(OR(N961&gt;50,Q961&lt;=2),"High Risk / Delayed","Normal")</f>
        <v/>
      </c>
      <c r="Y961" s="25">
        <f>IF(NOT(P961="Cancelled"),"Fulfilled","Cancelled")</f>
        <v/>
      </c>
      <c r="Z961" s="25">
        <f>IFERROR(Q961,0)</f>
        <v/>
      </c>
    </row>
    <row r="962">
      <c r="A962" s="17" t="inlineStr">
        <is>
          <t>ORD1961</t>
        </is>
      </c>
      <c r="B962" s="17" t="inlineStr">
        <is>
          <t>2025-01-07</t>
        </is>
      </c>
      <c r="C962" s="17" t="inlineStr">
        <is>
          <t>15:38:06</t>
        </is>
      </c>
      <c r="D962" s="17" t="n">
        <v>1024</v>
      </c>
      <c r="E962" s="17" t="n">
        <v>107</v>
      </c>
      <c r="F962" s="17" t="n">
        <v>206</v>
      </c>
      <c r="G962" s="17" t="inlineStr">
        <is>
          <t>Mumbai</t>
        </is>
      </c>
      <c r="H962" s="17" t="inlineStr">
        <is>
          <t>Desserts</t>
        </is>
      </c>
      <c r="I962" s="22" t="n">
        <v>606</v>
      </c>
      <c r="J962" s="22" t="n">
        <v>0</v>
      </c>
      <c r="K962" s="22" t="n">
        <v>28</v>
      </c>
      <c r="L962" s="23" t="n">
        <v>0.25</v>
      </c>
      <c r="M962" s="22" t="n">
        <v>158.5</v>
      </c>
      <c r="N962" s="24" t="n">
        <v>3.6</v>
      </c>
      <c r="O962" s="24" t="n">
        <v>24.2</v>
      </c>
      <c r="P962" s="17" t="inlineStr">
        <is>
          <t>UPI</t>
        </is>
      </c>
      <c r="Q962" s="17" t="inlineStr">
        <is>
          <t>Delivered</t>
        </is>
      </c>
      <c r="R962" s="17" t="n">
        <v>5</v>
      </c>
      <c r="S962" s="17">
        <f>TEXT(B962,"yyyy-mm")</f>
        <v/>
      </c>
      <c r="T962" s="17">
        <f>VLOOKUP(D962,Customers!A:D,4,FALSE)</f>
        <v/>
      </c>
      <c r="U962" s="17">
        <f>CONCATENATE(A962,"-",G962)</f>
        <v/>
      </c>
      <c r="V962" s="17">
        <f>IF(N962="","",IF(N962&lt;=30,"Fast (&lt;30m)",IF(N962&lt;=45,"Moderate (30-45m)","Delayed (&gt;45m)")))</f>
        <v/>
      </c>
      <c r="W962" s="17">
        <f>IF(AND(I962&gt;600,P962="Delivered"),"High Value Delivered","Standard")</f>
        <v/>
      </c>
      <c r="X962" s="17">
        <f>IF(OR(N962&gt;50,Q962&lt;=2),"High Risk / Delayed","Normal")</f>
        <v/>
      </c>
      <c r="Y962" s="17">
        <f>IF(NOT(P962="Cancelled"),"Fulfilled","Cancelled")</f>
        <v/>
      </c>
      <c r="Z962" s="17">
        <f>IFERROR(Q962,0)</f>
        <v/>
      </c>
    </row>
    <row r="963">
      <c r="A963" s="25" t="inlineStr">
        <is>
          <t>ORD1962</t>
        </is>
      </c>
      <c r="B963" s="25" t="inlineStr">
        <is>
          <t>2025-02-12</t>
        </is>
      </c>
      <c r="C963" s="25" t="inlineStr">
        <is>
          <t>20:17:09</t>
        </is>
      </c>
      <c r="D963" s="25" t="n">
        <v>1076</v>
      </c>
      <c r="E963" s="25" t="n">
        <v>104</v>
      </c>
      <c r="F963" s="25" t="n">
        <v>219</v>
      </c>
      <c r="G963" s="25" t="inlineStr">
        <is>
          <t>Delhi NCR</t>
        </is>
      </c>
      <c r="H963" s="25" t="inlineStr">
        <is>
          <t>Fast Food</t>
        </is>
      </c>
      <c r="I963" s="26" t="n">
        <v>862</v>
      </c>
      <c r="J963" s="26" t="n">
        <v>79.28</v>
      </c>
      <c r="K963" s="26" t="n">
        <v>37</v>
      </c>
      <c r="L963" s="27" t="n">
        <v>0.18</v>
      </c>
      <c r="M963" s="26" t="n">
        <v>164.41</v>
      </c>
      <c r="N963" s="28" t="n">
        <v>5.4</v>
      </c>
      <c r="O963" s="28" t="n">
        <v>49.4</v>
      </c>
      <c r="P963" s="25" t="inlineStr">
        <is>
          <t>UPI</t>
        </is>
      </c>
      <c r="Q963" s="25" t="inlineStr">
        <is>
          <t>Delivered</t>
        </is>
      </c>
      <c r="R963" s="25" t="n">
        <v>5</v>
      </c>
      <c r="S963" s="25">
        <f>TEXT(B963,"yyyy-mm")</f>
        <v/>
      </c>
      <c r="T963" s="25">
        <f>VLOOKUP(D963,Customers!A:D,4,FALSE)</f>
        <v/>
      </c>
      <c r="U963" s="25">
        <f>CONCATENATE(A963,"-",G963)</f>
        <v/>
      </c>
      <c r="V963" s="25">
        <f>IF(N963="","",IF(N963&lt;=30,"Fast (&lt;30m)",IF(N963&lt;=45,"Moderate (30-45m)","Delayed (&gt;45m)")))</f>
        <v/>
      </c>
      <c r="W963" s="25">
        <f>IF(AND(I963&gt;600,P963="Delivered"),"High Value Delivered","Standard")</f>
        <v/>
      </c>
      <c r="X963" s="25">
        <f>IF(OR(N963&gt;50,Q963&lt;=2),"High Risk / Delayed","Normal")</f>
        <v/>
      </c>
      <c r="Y963" s="25">
        <f>IF(NOT(P963="Cancelled"),"Fulfilled","Cancelled")</f>
        <v/>
      </c>
      <c r="Z963" s="25">
        <f>IFERROR(Q963,0)</f>
        <v/>
      </c>
    </row>
    <row r="964">
      <c r="A964" s="17" t="inlineStr">
        <is>
          <t>ORD1963</t>
        </is>
      </c>
      <c r="B964" s="17" t="inlineStr">
        <is>
          <t>2025-12-29</t>
        </is>
      </c>
      <c r="C964" s="17" t="inlineStr">
        <is>
          <t>21:05:12</t>
        </is>
      </c>
      <c r="D964" s="17" t="n">
        <v>1197</v>
      </c>
      <c r="E964" s="17" t="n">
        <v>113</v>
      </c>
      <c r="F964" s="17" t="n">
        <v>202</v>
      </c>
      <c r="G964" s="17" t="inlineStr">
        <is>
          <t>Mumbai</t>
        </is>
      </c>
      <c r="H964" s="17" t="inlineStr">
        <is>
          <t>Fast Food</t>
        </is>
      </c>
      <c r="I964" s="22" t="n">
        <v>362</v>
      </c>
      <c r="J964" s="22" t="n">
        <v>30.27</v>
      </c>
      <c r="K964" s="22" t="n">
        <v>25</v>
      </c>
      <c r="L964" s="23" t="n">
        <v>0.18</v>
      </c>
      <c r="M964" s="22" t="n">
        <v>71.41</v>
      </c>
      <c r="N964" s="24" t="n">
        <v>2.5</v>
      </c>
      <c r="O964" s="24" t="n">
        <v>28.7</v>
      </c>
      <c r="P964" s="17" t="inlineStr">
        <is>
          <t>Cash on Delivery</t>
        </is>
      </c>
      <c r="Q964" s="17" t="inlineStr">
        <is>
          <t>Delivered</t>
        </is>
      </c>
      <c r="R964" s="17" t="n">
        <v>5</v>
      </c>
      <c r="S964" s="17">
        <f>TEXT(B964,"yyyy-mm")</f>
        <v/>
      </c>
      <c r="T964" s="17">
        <f>VLOOKUP(D964,Customers!A:D,4,FALSE)</f>
        <v/>
      </c>
      <c r="U964" s="17">
        <f>CONCATENATE(A964,"-",G964)</f>
        <v/>
      </c>
      <c r="V964" s="17">
        <f>IF(N964="","",IF(N964&lt;=30,"Fast (&lt;30m)",IF(N964&lt;=45,"Moderate (30-45m)","Delayed (&gt;45m)")))</f>
        <v/>
      </c>
      <c r="W964" s="17">
        <f>IF(AND(I964&gt;600,P964="Delivered"),"High Value Delivered","Standard")</f>
        <v/>
      </c>
      <c r="X964" s="17">
        <f>IF(OR(N964&gt;50,Q964&lt;=2),"High Risk / Delayed","Normal")</f>
        <v/>
      </c>
      <c r="Y964" s="17">
        <f>IF(NOT(P964="Cancelled"),"Fulfilled","Cancelled")</f>
        <v/>
      </c>
      <c r="Z964" s="17">
        <f>IFERROR(Q964,0)</f>
        <v/>
      </c>
    </row>
    <row r="965">
      <c r="A965" s="25" t="inlineStr">
        <is>
          <t>ORD1964</t>
        </is>
      </c>
      <c r="B965" s="25" t="inlineStr">
        <is>
          <t>2025-06-19</t>
        </is>
      </c>
      <c r="C965" s="25" t="inlineStr">
        <is>
          <t>06:30:09</t>
        </is>
      </c>
      <c r="D965" s="25" t="n">
        <v>1125</v>
      </c>
      <c r="E965" s="25" t="n">
        <v>116</v>
      </c>
      <c r="F965" s="25" t="n">
        <v>224</v>
      </c>
      <c r="G965" s="25" t="inlineStr">
        <is>
          <t>Pune</t>
        </is>
      </c>
      <c r="H965" s="25" t="inlineStr">
        <is>
          <t>Desserts</t>
        </is>
      </c>
      <c r="I965" s="26" t="n">
        <v>469</v>
      </c>
      <c r="J965" s="26" t="n">
        <v>0</v>
      </c>
      <c r="K965" s="26" t="n">
        <v>37.5</v>
      </c>
      <c r="L965" s="27" t="n">
        <v>0.25</v>
      </c>
      <c r="M965" s="26" t="n">
        <v>126.62</v>
      </c>
      <c r="N965" s="28" t="n">
        <v>5.5</v>
      </c>
      <c r="O965" s="28" t="n">
        <v>38.8</v>
      </c>
      <c r="P965" s="25" t="inlineStr">
        <is>
          <t>Digital Wallet</t>
        </is>
      </c>
      <c r="Q965" s="25" t="inlineStr">
        <is>
          <t>Delivered</t>
        </is>
      </c>
      <c r="R965" s="25" t="n">
        <v>5</v>
      </c>
      <c r="S965" s="25">
        <f>TEXT(B965,"yyyy-mm")</f>
        <v/>
      </c>
      <c r="T965" s="25">
        <f>VLOOKUP(D965,Customers!A:D,4,FALSE)</f>
        <v/>
      </c>
      <c r="U965" s="25">
        <f>CONCATENATE(A965,"-",G965)</f>
        <v/>
      </c>
      <c r="V965" s="25">
        <f>IF(N965="","",IF(N965&lt;=30,"Fast (&lt;30m)",IF(N965&lt;=45,"Moderate (30-45m)","Delayed (&gt;45m)")))</f>
        <v/>
      </c>
      <c r="W965" s="25">
        <f>IF(AND(I965&gt;600,P965="Delivered"),"High Value Delivered","Standard")</f>
        <v/>
      </c>
      <c r="X965" s="25">
        <f>IF(OR(N965&gt;50,Q965&lt;=2),"High Risk / Delayed","Normal")</f>
        <v/>
      </c>
      <c r="Y965" s="25">
        <f>IF(NOT(P965="Cancelled"),"Fulfilled","Cancelled")</f>
        <v/>
      </c>
      <c r="Z965" s="25">
        <f>IFERROR(Q965,0)</f>
        <v/>
      </c>
    </row>
    <row r="966">
      <c r="A966" s="17" t="inlineStr">
        <is>
          <t>ORD1965</t>
        </is>
      </c>
      <c r="B966" s="17" t="inlineStr">
        <is>
          <t>2025-01-23</t>
        </is>
      </c>
      <c r="C966" s="17" t="inlineStr">
        <is>
          <t>18:06:34</t>
        </is>
      </c>
      <c r="D966" s="17" t="n">
        <v>1017</v>
      </c>
      <c r="E966" s="17" t="n">
        <v>107</v>
      </c>
      <c r="F966" s="17" t="n">
        <v>202</v>
      </c>
      <c r="G966" s="17" t="inlineStr">
        <is>
          <t>Mumbai</t>
        </is>
      </c>
      <c r="H966" s="17" t="inlineStr">
        <is>
          <t>Desserts</t>
        </is>
      </c>
      <c r="I966" s="22" t="n">
        <v>523</v>
      </c>
      <c r="J966" s="22" t="n">
        <v>0</v>
      </c>
      <c r="K966" s="22" t="n">
        <v>49</v>
      </c>
      <c r="L966" s="23" t="n">
        <v>0.25</v>
      </c>
      <c r="M966" s="22" t="n">
        <v>143</v>
      </c>
      <c r="N966" s="24" t="n">
        <v>7.8</v>
      </c>
      <c r="O966" s="24" t="n">
        <v>45</v>
      </c>
      <c r="P966" s="17" t="inlineStr">
        <is>
          <t>Cash on Delivery</t>
        </is>
      </c>
      <c r="Q966" s="17" t="inlineStr">
        <is>
          <t>Delivered</t>
        </is>
      </c>
      <c r="R966" s="17" t="n">
        <v>5</v>
      </c>
      <c r="S966" s="17">
        <f>TEXT(B966,"yyyy-mm")</f>
        <v/>
      </c>
      <c r="T966" s="17">
        <f>VLOOKUP(D966,Customers!A:D,4,FALSE)</f>
        <v/>
      </c>
      <c r="U966" s="17">
        <f>CONCATENATE(A966,"-",G966)</f>
        <v/>
      </c>
      <c r="V966" s="17">
        <f>IF(N966="","",IF(N966&lt;=30,"Fast (&lt;30m)",IF(N966&lt;=45,"Moderate (30-45m)","Delayed (&gt;45m)")))</f>
        <v/>
      </c>
      <c r="W966" s="17">
        <f>IF(AND(I966&gt;600,P966="Delivered"),"High Value Delivered","Standard")</f>
        <v/>
      </c>
      <c r="X966" s="17">
        <f>IF(OR(N966&gt;50,Q966&lt;=2),"High Risk / Delayed","Normal")</f>
        <v/>
      </c>
      <c r="Y966" s="17">
        <f>IF(NOT(P966="Cancelled"),"Fulfilled","Cancelled")</f>
        <v/>
      </c>
      <c r="Z966" s="17">
        <f>IFERROR(Q966,0)</f>
        <v/>
      </c>
    </row>
    <row r="967">
      <c r="A967" s="25" t="inlineStr">
        <is>
          <t>ORD1966</t>
        </is>
      </c>
      <c r="B967" s="25" t="inlineStr">
        <is>
          <t>2025-04-25</t>
        </is>
      </c>
      <c r="C967" s="25" t="inlineStr">
        <is>
          <t>22:01:14</t>
        </is>
      </c>
      <c r="D967" s="25" t="n">
        <v>1067</v>
      </c>
      <c r="E967" s="25" t="n">
        <v>120</v>
      </c>
      <c r="F967" s="25" t="n">
        <v>209</v>
      </c>
      <c r="G967" s="25" t="inlineStr">
        <is>
          <t>Pune</t>
        </is>
      </c>
      <c r="H967" s="25" t="inlineStr">
        <is>
          <t>Fast Food</t>
        </is>
      </c>
      <c r="I967" s="26" t="n">
        <v>657</v>
      </c>
      <c r="J967" s="26" t="n">
        <v>0</v>
      </c>
      <c r="K967" s="26" t="n">
        <v>25</v>
      </c>
      <c r="L967" s="27" t="n">
        <v>0.18</v>
      </c>
      <c r="M967" s="26" t="n">
        <v>124.51</v>
      </c>
      <c r="N967" s="28" t="n">
        <v>3</v>
      </c>
      <c r="O967" s="28" t="n">
        <v>30.9</v>
      </c>
      <c r="P967" s="25" t="inlineStr">
        <is>
          <t>Debit Card</t>
        </is>
      </c>
      <c r="Q967" s="25" t="inlineStr">
        <is>
          <t>Delivered</t>
        </is>
      </c>
      <c r="R967" s="25" t="n">
        <v>5</v>
      </c>
      <c r="S967" s="25">
        <f>TEXT(B967,"yyyy-mm")</f>
        <v/>
      </c>
      <c r="T967" s="25">
        <f>VLOOKUP(D967,Customers!A:D,4,FALSE)</f>
        <v/>
      </c>
      <c r="U967" s="25">
        <f>CONCATENATE(A967,"-",G967)</f>
        <v/>
      </c>
      <c r="V967" s="25">
        <f>IF(N967="","",IF(N967&lt;=30,"Fast (&lt;30m)",IF(N967&lt;=45,"Moderate (30-45m)","Delayed (&gt;45m)")))</f>
        <v/>
      </c>
      <c r="W967" s="25">
        <f>IF(AND(I967&gt;600,P967="Delivered"),"High Value Delivered","Standard")</f>
        <v/>
      </c>
      <c r="X967" s="25">
        <f>IF(OR(N967&gt;50,Q967&lt;=2),"High Risk / Delayed","Normal")</f>
        <v/>
      </c>
      <c r="Y967" s="25">
        <f>IF(NOT(P967="Cancelled"),"Fulfilled","Cancelled")</f>
        <v/>
      </c>
      <c r="Z967" s="25">
        <f>IFERROR(Q967,0)</f>
        <v/>
      </c>
    </row>
    <row r="968">
      <c r="A968" s="17" t="inlineStr">
        <is>
          <t>ORD1967</t>
        </is>
      </c>
      <c r="B968" s="17" t="inlineStr">
        <is>
          <t>2025-12-18</t>
        </is>
      </c>
      <c r="C968" s="17" t="inlineStr">
        <is>
          <t>20:56:45</t>
        </is>
      </c>
      <c r="D968" s="17" t="n">
        <v>1286</v>
      </c>
      <c r="E968" s="17" t="n">
        <v>118</v>
      </c>
      <c r="F968" s="17" t="n">
        <v>221</v>
      </c>
      <c r="G968" s="17" t="inlineStr">
        <is>
          <t>Delhi NCR</t>
        </is>
      </c>
      <c r="H968" s="17" t="inlineStr">
        <is>
          <t>North Indian</t>
        </is>
      </c>
      <c r="I968" s="22" t="n">
        <v>335</v>
      </c>
      <c r="J968" s="22" t="n">
        <v>0</v>
      </c>
      <c r="K968" s="22" t="n">
        <v>32.5</v>
      </c>
      <c r="L968" s="23" t="n">
        <v>0.2</v>
      </c>
      <c r="M968" s="22" t="n">
        <v>75.12</v>
      </c>
      <c r="N968" s="24" t="n">
        <v>4.5</v>
      </c>
      <c r="O968" s="24" t="n">
        <v>39.4</v>
      </c>
      <c r="P968" s="17" t="inlineStr">
        <is>
          <t>Credit Card</t>
        </is>
      </c>
      <c r="Q968" s="17" t="inlineStr">
        <is>
          <t>Delivered</t>
        </is>
      </c>
      <c r="R968" s="17" t="n">
        <v>5</v>
      </c>
      <c r="S968" s="17">
        <f>TEXT(B968,"yyyy-mm")</f>
        <v/>
      </c>
      <c r="T968" s="17">
        <f>VLOOKUP(D968,Customers!A:D,4,FALSE)</f>
        <v/>
      </c>
      <c r="U968" s="17">
        <f>CONCATENATE(A968,"-",G968)</f>
        <v/>
      </c>
      <c r="V968" s="17">
        <f>IF(N968="","",IF(N968&lt;=30,"Fast (&lt;30m)",IF(N968&lt;=45,"Moderate (30-45m)","Delayed (&gt;45m)")))</f>
        <v/>
      </c>
      <c r="W968" s="17">
        <f>IF(AND(I968&gt;600,P968="Delivered"),"High Value Delivered","Standard")</f>
        <v/>
      </c>
      <c r="X968" s="17">
        <f>IF(OR(N968&gt;50,Q968&lt;=2),"High Risk / Delayed","Normal")</f>
        <v/>
      </c>
      <c r="Y968" s="17">
        <f>IF(NOT(P968="Cancelled"),"Fulfilled","Cancelled")</f>
        <v/>
      </c>
      <c r="Z968" s="17">
        <f>IFERROR(Q968,0)</f>
        <v/>
      </c>
    </row>
    <row r="969">
      <c r="A969" s="25" t="inlineStr">
        <is>
          <t>ORD1968</t>
        </is>
      </c>
      <c r="B969" s="25" t="inlineStr">
        <is>
          <t>2025-07-02</t>
        </is>
      </c>
      <c r="C969" s="25" t="inlineStr">
        <is>
          <t>21:04:39</t>
        </is>
      </c>
      <c r="D969" s="25" t="n">
        <v>1232</v>
      </c>
      <c r="E969" s="25" t="n">
        <v>119</v>
      </c>
      <c r="F969" s="25" t="n">
        <v>225</v>
      </c>
      <c r="G969" s="25" t="inlineStr">
        <is>
          <t>Hyderabad</t>
        </is>
      </c>
      <c r="H969" s="25" t="inlineStr">
        <is>
          <t>Biryani</t>
        </is>
      </c>
      <c r="I969" s="26" t="n">
        <v>561</v>
      </c>
      <c r="J969" s="26" t="n">
        <v>0</v>
      </c>
      <c r="K969" s="26" t="n">
        <v>62.5</v>
      </c>
      <c r="L969" s="27" t="n">
        <v>0.2</v>
      </c>
      <c r="M969" s="26" t="n">
        <v>127.82</v>
      </c>
      <c r="N969" s="28" t="n">
        <v>10.5</v>
      </c>
      <c r="O969" s="28" t="n">
        <v>61.9</v>
      </c>
      <c r="P969" s="25" t="inlineStr">
        <is>
          <t>UPI</t>
        </is>
      </c>
      <c r="Q969" s="25" t="inlineStr">
        <is>
          <t>Delivered</t>
        </is>
      </c>
      <c r="R969" s="25" t="n">
        <v>3</v>
      </c>
      <c r="S969" s="25">
        <f>TEXT(B969,"yyyy-mm")</f>
        <v/>
      </c>
      <c r="T969" s="25">
        <f>VLOOKUP(D969,Customers!A:D,4,FALSE)</f>
        <v/>
      </c>
      <c r="U969" s="25">
        <f>CONCATENATE(A969,"-",G969)</f>
        <v/>
      </c>
      <c r="V969" s="25">
        <f>IF(N969="","",IF(N969&lt;=30,"Fast (&lt;30m)",IF(N969&lt;=45,"Moderate (30-45m)","Delayed (&gt;45m)")))</f>
        <v/>
      </c>
      <c r="W969" s="25">
        <f>IF(AND(I969&gt;600,P969="Delivered"),"High Value Delivered","Standard")</f>
        <v/>
      </c>
      <c r="X969" s="25">
        <f>IF(OR(N969&gt;50,Q969&lt;=2),"High Risk / Delayed","Normal")</f>
        <v/>
      </c>
      <c r="Y969" s="25">
        <f>IF(NOT(P969="Cancelled"),"Fulfilled","Cancelled")</f>
        <v/>
      </c>
      <c r="Z969" s="25">
        <f>IFERROR(Q969,0)</f>
        <v/>
      </c>
    </row>
    <row r="970">
      <c r="A970" s="17" t="inlineStr">
        <is>
          <t>ORD1969</t>
        </is>
      </c>
      <c r="B970" s="17" t="inlineStr">
        <is>
          <t>2025-04-02</t>
        </is>
      </c>
      <c r="C970" s="17" t="inlineStr">
        <is>
          <t>22:27:33</t>
        </is>
      </c>
      <c r="D970" s="17" t="n">
        <v>1179</v>
      </c>
      <c r="E970" s="17" t="n">
        <v>103</v>
      </c>
      <c r="F970" s="17" t="n">
        <v>202</v>
      </c>
      <c r="G970" s="17" t="inlineStr">
        <is>
          <t>Mumbai</t>
        </is>
      </c>
      <c r="H970" s="17" t="inlineStr">
        <is>
          <t>Italian</t>
        </is>
      </c>
      <c r="I970" s="22" t="n">
        <v>815</v>
      </c>
      <c r="J970" s="22" t="n">
        <v>96.28</v>
      </c>
      <c r="K970" s="22" t="n">
        <v>0</v>
      </c>
      <c r="L970" s="23" t="n">
        <v>0.18</v>
      </c>
      <c r="M970" s="22" t="n">
        <v>146.7</v>
      </c>
      <c r="N970" s="24" t="n">
        <v>3.5</v>
      </c>
      <c r="O970" s="24" t="n">
        <v>30</v>
      </c>
      <c r="P970" s="17" t="inlineStr">
        <is>
          <t>Debit Card</t>
        </is>
      </c>
      <c r="Q970" s="17" t="inlineStr">
        <is>
          <t>Delivered</t>
        </is>
      </c>
      <c r="R970" s="17" t="n">
        <v>3</v>
      </c>
      <c r="S970" s="17">
        <f>TEXT(B970,"yyyy-mm")</f>
        <v/>
      </c>
      <c r="T970" s="17">
        <f>VLOOKUP(D970,Customers!A:D,4,FALSE)</f>
        <v/>
      </c>
      <c r="U970" s="17">
        <f>CONCATENATE(A970,"-",G970)</f>
        <v/>
      </c>
      <c r="V970" s="17">
        <f>IF(N970="","",IF(N970&lt;=30,"Fast (&lt;30m)",IF(N970&lt;=45,"Moderate (30-45m)","Delayed (&gt;45m)")))</f>
        <v/>
      </c>
      <c r="W970" s="17">
        <f>IF(AND(I970&gt;600,P970="Delivered"),"High Value Delivered","Standard")</f>
        <v/>
      </c>
      <c r="X970" s="17">
        <f>IF(OR(N970&gt;50,Q970&lt;=2),"High Risk / Delayed","Normal")</f>
        <v/>
      </c>
      <c r="Y970" s="17">
        <f>IF(NOT(P970="Cancelled"),"Fulfilled","Cancelled")</f>
        <v/>
      </c>
      <c r="Z970" s="17">
        <f>IFERROR(Q970,0)</f>
        <v/>
      </c>
    </row>
    <row r="971">
      <c r="A971" s="25" t="inlineStr">
        <is>
          <t>ORD1970</t>
        </is>
      </c>
      <c r="B971" s="25" t="inlineStr">
        <is>
          <t>2025-05-19</t>
        </is>
      </c>
      <c r="C971" s="25" t="inlineStr">
        <is>
          <t>20:58:31</t>
        </is>
      </c>
      <c r="D971" s="25" t="n">
        <v>1009</v>
      </c>
      <c r="E971" s="25" t="n">
        <v>109</v>
      </c>
      <c r="F971" s="25" t="n">
        <v>215</v>
      </c>
      <c r="G971" s="25" t="inlineStr">
        <is>
          <t>Hyderabad</t>
        </is>
      </c>
      <c r="H971" s="25" t="inlineStr">
        <is>
          <t>Biryani</t>
        </is>
      </c>
      <c r="I971" s="26" t="n">
        <v>897</v>
      </c>
      <c r="J971" s="26" t="n">
        <v>68.03</v>
      </c>
      <c r="K971" s="26" t="n">
        <v>37.5</v>
      </c>
      <c r="L971" s="27" t="n">
        <v>0.2</v>
      </c>
      <c r="M971" s="26" t="n">
        <v>188.78</v>
      </c>
      <c r="N971" s="28" t="n">
        <v>5.5</v>
      </c>
      <c r="O971" s="28" t="n">
        <v>39.6</v>
      </c>
      <c r="P971" s="25" t="inlineStr">
        <is>
          <t>UPI</t>
        </is>
      </c>
      <c r="Q971" s="25" t="inlineStr">
        <is>
          <t>Delivered</t>
        </is>
      </c>
      <c r="R971" s="25" t="n">
        <v>3</v>
      </c>
      <c r="S971" s="25">
        <f>TEXT(B971,"yyyy-mm")</f>
        <v/>
      </c>
      <c r="T971" s="25">
        <f>VLOOKUP(D971,Customers!A:D,4,FALSE)</f>
        <v/>
      </c>
      <c r="U971" s="25">
        <f>CONCATENATE(A971,"-",G971)</f>
        <v/>
      </c>
      <c r="V971" s="25">
        <f>IF(N971="","",IF(N971&lt;=30,"Fast (&lt;30m)",IF(N971&lt;=45,"Moderate (30-45m)","Delayed (&gt;45m)")))</f>
        <v/>
      </c>
      <c r="W971" s="25">
        <f>IF(AND(I971&gt;600,P971="Delivered"),"High Value Delivered","Standard")</f>
        <v/>
      </c>
      <c r="X971" s="25">
        <f>IF(OR(N971&gt;50,Q971&lt;=2),"High Risk / Delayed","Normal")</f>
        <v/>
      </c>
      <c r="Y971" s="25">
        <f>IF(NOT(P971="Cancelled"),"Fulfilled","Cancelled")</f>
        <v/>
      </c>
      <c r="Z971" s="25">
        <f>IFERROR(Q971,0)</f>
        <v/>
      </c>
    </row>
    <row r="972">
      <c r="A972" s="17" t="inlineStr">
        <is>
          <t>ORD1971</t>
        </is>
      </c>
      <c r="B972" s="17" t="inlineStr">
        <is>
          <t>2025-12-02</t>
        </is>
      </c>
      <c r="C972" s="17" t="inlineStr">
        <is>
          <t>13:09:20</t>
        </is>
      </c>
      <c r="D972" s="17" t="n">
        <v>1092</v>
      </c>
      <c r="E972" s="17" t="n">
        <v>104</v>
      </c>
      <c r="F972" s="17" t="n">
        <v>221</v>
      </c>
      <c r="G972" s="17" t="inlineStr">
        <is>
          <t>Delhi NCR</t>
        </is>
      </c>
      <c r="H972" s="17" t="inlineStr">
        <is>
          <t>Fast Food</t>
        </is>
      </c>
      <c r="I972" s="22" t="n">
        <v>371</v>
      </c>
      <c r="J972" s="22" t="n">
        <v>28.69</v>
      </c>
      <c r="K972" s="22" t="n">
        <v>35</v>
      </c>
      <c r="L972" s="23" t="n">
        <v>0.18</v>
      </c>
      <c r="M972" s="22" t="n">
        <v>75.53</v>
      </c>
      <c r="N972" s="24" t="n">
        <v>5</v>
      </c>
      <c r="O972" s="24" t="n">
        <v>39.2</v>
      </c>
      <c r="P972" s="17" t="inlineStr">
        <is>
          <t>Cash on Delivery</t>
        </is>
      </c>
      <c r="Q972" s="17" t="inlineStr">
        <is>
          <t>Delivered</t>
        </is>
      </c>
      <c r="R972" s="17" t="n">
        <v>2</v>
      </c>
      <c r="S972" s="17">
        <f>TEXT(B972,"yyyy-mm")</f>
        <v/>
      </c>
      <c r="T972" s="17">
        <f>VLOOKUP(D972,Customers!A:D,4,FALSE)</f>
        <v/>
      </c>
      <c r="U972" s="17">
        <f>CONCATENATE(A972,"-",G972)</f>
        <v/>
      </c>
      <c r="V972" s="17">
        <f>IF(N972="","",IF(N972&lt;=30,"Fast (&lt;30m)",IF(N972&lt;=45,"Moderate (30-45m)","Delayed (&gt;45m)")))</f>
        <v/>
      </c>
      <c r="W972" s="17">
        <f>IF(AND(I972&gt;600,P972="Delivered"),"High Value Delivered","Standard")</f>
        <v/>
      </c>
      <c r="X972" s="17">
        <f>IF(OR(N972&gt;50,Q972&lt;=2),"High Risk / Delayed","Normal")</f>
        <v/>
      </c>
      <c r="Y972" s="17">
        <f>IF(NOT(P972="Cancelled"),"Fulfilled","Cancelled")</f>
        <v/>
      </c>
      <c r="Z972" s="17">
        <f>IFERROR(Q972,0)</f>
        <v/>
      </c>
    </row>
    <row r="973">
      <c r="A973" s="25" t="inlineStr">
        <is>
          <t>ORD1972</t>
        </is>
      </c>
      <c r="B973" s="25" t="inlineStr">
        <is>
          <t>2025-10-23</t>
        </is>
      </c>
      <c r="C973" s="25" t="inlineStr">
        <is>
          <t>13:27:46</t>
        </is>
      </c>
      <c r="D973" s="25" t="n">
        <v>1040</v>
      </c>
      <c r="E973" s="25" t="n">
        <v>106</v>
      </c>
      <c r="F973" s="25" t="n">
        <v>207</v>
      </c>
      <c r="G973" s="25" t="inlineStr">
        <is>
          <t>Pune</t>
        </is>
      </c>
      <c r="H973" s="25" t="inlineStr">
        <is>
          <t>South Indian</t>
        </is>
      </c>
      <c r="I973" s="26" t="n">
        <v>505</v>
      </c>
      <c r="J973" s="26" t="n">
        <v>0</v>
      </c>
      <c r="K973" s="26" t="n">
        <v>25</v>
      </c>
      <c r="L973" s="27" t="n">
        <v>0.15</v>
      </c>
      <c r="M973" s="26" t="n">
        <v>82</v>
      </c>
      <c r="N973" s="28" t="n">
        <v>2.6</v>
      </c>
      <c r="O973" s="28" t="n">
        <v>26.4</v>
      </c>
      <c r="P973" s="25" t="inlineStr">
        <is>
          <t>Credit Card</t>
        </is>
      </c>
      <c r="Q973" s="25" t="inlineStr">
        <is>
          <t>Delivered</t>
        </is>
      </c>
      <c r="R973" s="25" t="n">
        <v>4</v>
      </c>
      <c r="S973" s="25">
        <f>TEXT(B973,"yyyy-mm")</f>
        <v/>
      </c>
      <c r="T973" s="25">
        <f>VLOOKUP(D973,Customers!A:D,4,FALSE)</f>
        <v/>
      </c>
      <c r="U973" s="25">
        <f>CONCATENATE(A973,"-",G973)</f>
        <v/>
      </c>
      <c r="V973" s="25">
        <f>IF(N973="","",IF(N973&lt;=30,"Fast (&lt;30m)",IF(N973&lt;=45,"Moderate (30-45m)","Delayed (&gt;45m)")))</f>
        <v/>
      </c>
      <c r="W973" s="25">
        <f>IF(AND(I973&gt;600,P973="Delivered"),"High Value Delivered","Standard")</f>
        <v/>
      </c>
      <c r="X973" s="25">
        <f>IF(OR(N973&gt;50,Q973&lt;=2),"High Risk / Delayed","Normal")</f>
        <v/>
      </c>
      <c r="Y973" s="25">
        <f>IF(NOT(P973="Cancelled"),"Fulfilled","Cancelled")</f>
        <v/>
      </c>
      <c r="Z973" s="25">
        <f>IFERROR(Q973,0)</f>
        <v/>
      </c>
    </row>
    <row r="974">
      <c r="A974" s="17" t="inlineStr">
        <is>
          <t>ORD1973</t>
        </is>
      </c>
      <c r="B974" s="17" t="inlineStr">
        <is>
          <t>2025-06-30</t>
        </is>
      </c>
      <c r="C974" s="17" t="inlineStr">
        <is>
          <t>21:20:31</t>
        </is>
      </c>
      <c r="D974" s="17" t="n">
        <v>1215</v>
      </c>
      <c r="E974" s="17" t="n">
        <v>110</v>
      </c>
      <c r="F974" s="17" t="n">
        <v>224</v>
      </c>
      <c r="G974" s="17" t="inlineStr">
        <is>
          <t>Pune</t>
        </is>
      </c>
      <c r="H974" s="17" t="inlineStr">
        <is>
          <t>North Indian</t>
        </is>
      </c>
      <c r="I974" s="22" t="n">
        <v>654</v>
      </c>
      <c r="J974" s="22" t="n">
        <v>54.73</v>
      </c>
      <c r="K974" s="22" t="n">
        <v>34.5</v>
      </c>
      <c r="L974" s="23" t="n">
        <v>0.18</v>
      </c>
      <c r="M974" s="22" t="n">
        <v>126.34</v>
      </c>
      <c r="N974" s="24" t="n">
        <v>4.9</v>
      </c>
      <c r="O974" s="24" t="n">
        <v>42</v>
      </c>
      <c r="P974" s="17" t="inlineStr">
        <is>
          <t>Digital Wallet</t>
        </is>
      </c>
      <c r="Q974" s="17" t="inlineStr">
        <is>
          <t>Delivered</t>
        </is>
      </c>
      <c r="R974" s="17" t="n">
        <v>4</v>
      </c>
      <c r="S974" s="17">
        <f>TEXT(B974,"yyyy-mm")</f>
        <v/>
      </c>
      <c r="T974" s="17">
        <f>VLOOKUP(D974,Customers!A:D,4,FALSE)</f>
        <v/>
      </c>
      <c r="U974" s="17">
        <f>CONCATENATE(A974,"-",G974)</f>
        <v/>
      </c>
      <c r="V974" s="17">
        <f>IF(N974="","",IF(N974&lt;=30,"Fast (&lt;30m)",IF(N974&lt;=45,"Moderate (30-45m)","Delayed (&gt;45m)")))</f>
        <v/>
      </c>
      <c r="W974" s="17">
        <f>IF(AND(I974&gt;600,P974="Delivered"),"High Value Delivered","Standard")</f>
        <v/>
      </c>
      <c r="X974" s="17">
        <f>IF(OR(N974&gt;50,Q974&lt;=2),"High Risk / Delayed","Normal")</f>
        <v/>
      </c>
      <c r="Y974" s="17">
        <f>IF(NOT(P974="Cancelled"),"Fulfilled","Cancelled")</f>
        <v/>
      </c>
      <c r="Z974" s="17">
        <f>IFERROR(Q974,0)</f>
        <v/>
      </c>
    </row>
    <row r="975">
      <c r="A975" s="25" t="inlineStr">
        <is>
          <t>ORD1974</t>
        </is>
      </c>
      <c r="B975" s="25" t="inlineStr">
        <is>
          <t>2025-07-16</t>
        </is>
      </c>
      <c r="C975" s="25" t="inlineStr">
        <is>
          <t>22:26:35</t>
        </is>
      </c>
      <c r="D975" s="25" t="n">
        <v>1008</v>
      </c>
      <c r="E975" s="25" t="n">
        <v>117</v>
      </c>
      <c r="F975" s="25" t="n">
        <v>229</v>
      </c>
      <c r="G975" s="25" t="inlineStr">
        <is>
          <t>Mumbai</t>
        </is>
      </c>
      <c r="H975" s="25" t="inlineStr">
        <is>
          <t>Chinese</t>
        </is>
      </c>
      <c r="I975" s="26" t="n">
        <v>966</v>
      </c>
      <c r="J975" s="26" t="n">
        <v>148.16</v>
      </c>
      <c r="K975" s="26" t="n">
        <v>0</v>
      </c>
      <c r="L975" s="27" t="n">
        <v>0.2</v>
      </c>
      <c r="M975" s="26" t="n">
        <v>193.2</v>
      </c>
      <c r="N975" s="28" t="n">
        <v>2.8</v>
      </c>
      <c r="O975" s="28" t="n">
        <v>26.4</v>
      </c>
      <c r="P975" s="25" t="inlineStr">
        <is>
          <t>Credit Card</t>
        </is>
      </c>
      <c r="Q975" s="25" t="inlineStr">
        <is>
          <t>Delivered</t>
        </is>
      </c>
      <c r="R975" s="25" t="n">
        <v>2</v>
      </c>
      <c r="S975" s="25">
        <f>TEXT(B975,"yyyy-mm")</f>
        <v/>
      </c>
      <c r="T975" s="25">
        <f>VLOOKUP(D975,Customers!A:D,4,FALSE)</f>
        <v/>
      </c>
      <c r="U975" s="25">
        <f>CONCATENATE(A975,"-",G975)</f>
        <v/>
      </c>
      <c r="V975" s="25">
        <f>IF(N975="","",IF(N975&lt;=30,"Fast (&lt;30m)",IF(N975&lt;=45,"Moderate (30-45m)","Delayed (&gt;45m)")))</f>
        <v/>
      </c>
      <c r="W975" s="25">
        <f>IF(AND(I975&gt;600,P975="Delivered"),"High Value Delivered","Standard")</f>
        <v/>
      </c>
      <c r="X975" s="25">
        <f>IF(OR(N975&gt;50,Q975&lt;=2),"High Risk / Delayed","Normal")</f>
        <v/>
      </c>
      <c r="Y975" s="25">
        <f>IF(NOT(P975="Cancelled"),"Fulfilled","Cancelled")</f>
        <v/>
      </c>
      <c r="Z975" s="25">
        <f>IFERROR(Q975,0)</f>
        <v/>
      </c>
    </row>
    <row r="976">
      <c r="A976" s="17" t="inlineStr">
        <is>
          <t>ORD1975</t>
        </is>
      </c>
      <c r="B976" s="17" t="inlineStr">
        <is>
          <t>2025-09-27</t>
        </is>
      </c>
      <c r="C976" s="17" t="inlineStr">
        <is>
          <t>17:36:49</t>
        </is>
      </c>
      <c r="D976" s="17" t="n">
        <v>1164</v>
      </c>
      <c r="E976" s="17" t="n">
        <v>120</v>
      </c>
      <c r="F976" s="17" t="n">
        <v>214</v>
      </c>
      <c r="G976" s="17" t="inlineStr">
        <is>
          <t>Pune</t>
        </is>
      </c>
      <c r="H976" s="17" t="inlineStr">
        <is>
          <t>Fast Food</t>
        </is>
      </c>
      <c r="I976" s="22" t="n">
        <v>930</v>
      </c>
      <c r="J976" s="22" t="n">
        <v>16.32</v>
      </c>
      <c r="K976" s="22" t="n">
        <v>25</v>
      </c>
      <c r="L976" s="23" t="n">
        <v>0.18</v>
      </c>
      <c r="M976" s="22" t="n">
        <v>173.65</v>
      </c>
      <c r="N976" s="24" t="n">
        <v>2.9</v>
      </c>
      <c r="O976" s="24" t="n">
        <v>29</v>
      </c>
      <c r="P976" s="17" t="inlineStr">
        <is>
          <t>Debit Card</t>
        </is>
      </c>
      <c r="Q976" s="17" t="inlineStr">
        <is>
          <t>Delivered</t>
        </is>
      </c>
      <c r="R976" s="17" t="n">
        <v>5</v>
      </c>
      <c r="S976" s="17">
        <f>TEXT(B976,"yyyy-mm")</f>
        <v/>
      </c>
      <c r="T976" s="17">
        <f>VLOOKUP(D976,Customers!A:D,4,FALSE)</f>
        <v/>
      </c>
      <c r="U976" s="17">
        <f>CONCATENATE(A976,"-",G976)</f>
        <v/>
      </c>
      <c r="V976" s="17">
        <f>IF(N976="","",IF(N976&lt;=30,"Fast (&lt;30m)",IF(N976&lt;=45,"Moderate (30-45m)","Delayed (&gt;45m)")))</f>
        <v/>
      </c>
      <c r="W976" s="17">
        <f>IF(AND(I976&gt;600,P976="Delivered"),"High Value Delivered","Standard")</f>
        <v/>
      </c>
      <c r="X976" s="17">
        <f>IF(OR(N976&gt;50,Q976&lt;=2),"High Risk / Delayed","Normal")</f>
        <v/>
      </c>
      <c r="Y976" s="17">
        <f>IF(NOT(P976="Cancelled"),"Fulfilled","Cancelled")</f>
        <v/>
      </c>
      <c r="Z976" s="17">
        <f>IFERROR(Q976,0)</f>
        <v/>
      </c>
    </row>
    <row r="977">
      <c r="A977" s="25" t="inlineStr">
        <is>
          <t>ORD1976</t>
        </is>
      </c>
      <c r="B977" s="25" t="inlineStr">
        <is>
          <t>2025-01-09</t>
        </is>
      </c>
      <c r="C977" s="25" t="inlineStr">
        <is>
          <t>23:23:35</t>
        </is>
      </c>
      <c r="D977" s="25" t="n">
        <v>1092</v>
      </c>
      <c r="E977" s="25" t="n">
        <v>104</v>
      </c>
      <c r="F977" s="25" t="n">
        <v>221</v>
      </c>
      <c r="G977" s="25" t="inlineStr">
        <is>
          <t>Delhi NCR</t>
        </is>
      </c>
      <c r="H977" s="25" t="inlineStr">
        <is>
          <t>Fast Food</t>
        </is>
      </c>
      <c r="I977" s="26" t="n">
        <v>705</v>
      </c>
      <c r="J977" s="26" t="n">
        <v>82.51000000000001</v>
      </c>
      <c r="K977" s="26" t="n">
        <v>25</v>
      </c>
      <c r="L977" s="27" t="n">
        <v>0.18</v>
      </c>
      <c r="M977" s="26" t="n">
        <v>133.15</v>
      </c>
      <c r="N977" s="28" t="n">
        <v>2.1</v>
      </c>
      <c r="O977" s="28" t="n">
        <v>42.6</v>
      </c>
      <c r="P977" s="25" t="inlineStr">
        <is>
          <t>UPI</t>
        </is>
      </c>
      <c r="Q977" s="25" t="inlineStr">
        <is>
          <t>Delivered</t>
        </is>
      </c>
      <c r="R977" s="25" t="n">
        <v>3</v>
      </c>
      <c r="S977" s="25">
        <f>TEXT(B977,"yyyy-mm")</f>
        <v/>
      </c>
      <c r="T977" s="25">
        <f>VLOOKUP(D977,Customers!A:D,4,FALSE)</f>
        <v/>
      </c>
      <c r="U977" s="25">
        <f>CONCATENATE(A977,"-",G977)</f>
        <v/>
      </c>
      <c r="V977" s="25">
        <f>IF(N977="","",IF(N977&lt;=30,"Fast (&lt;30m)",IF(N977&lt;=45,"Moderate (30-45m)","Delayed (&gt;45m)")))</f>
        <v/>
      </c>
      <c r="W977" s="25">
        <f>IF(AND(I977&gt;600,P977="Delivered"),"High Value Delivered","Standard")</f>
        <v/>
      </c>
      <c r="X977" s="25">
        <f>IF(OR(N977&gt;50,Q977&lt;=2),"High Risk / Delayed","Normal")</f>
        <v/>
      </c>
      <c r="Y977" s="25">
        <f>IF(NOT(P977="Cancelled"),"Fulfilled","Cancelled")</f>
        <v/>
      </c>
      <c r="Z977" s="25">
        <f>IFERROR(Q977,0)</f>
        <v/>
      </c>
    </row>
    <row r="978">
      <c r="A978" s="17" t="inlineStr">
        <is>
          <t>ORD1977</t>
        </is>
      </c>
      <c r="B978" s="17" t="inlineStr">
        <is>
          <t>2025-05-31</t>
        </is>
      </c>
      <c r="C978" s="17" t="inlineStr">
        <is>
          <t>13:29:09</t>
        </is>
      </c>
      <c r="D978" s="17" t="n">
        <v>1184</v>
      </c>
      <c r="E978" s="17" t="n">
        <v>105</v>
      </c>
      <c r="F978" s="17" t="n">
        <v>210</v>
      </c>
      <c r="G978" s="17" t="inlineStr">
        <is>
          <t>Bangalore</t>
        </is>
      </c>
      <c r="H978" s="17" t="inlineStr">
        <is>
          <t>Chinese</t>
        </is>
      </c>
      <c r="I978" s="22" t="n">
        <v>1132</v>
      </c>
      <c r="J978" s="22" t="n">
        <v>218.63</v>
      </c>
      <c r="K978" s="22" t="n">
        <v>0</v>
      </c>
      <c r="L978" s="23" t="n">
        <v>0.2</v>
      </c>
      <c r="M978" s="22" t="n">
        <v>226.4</v>
      </c>
      <c r="N978" s="24" t="n">
        <v>5.6</v>
      </c>
      <c r="O978" s="24" t="n">
        <v>37.4</v>
      </c>
      <c r="P978" s="17" t="inlineStr">
        <is>
          <t>Credit Card</t>
        </is>
      </c>
      <c r="Q978" s="17" t="inlineStr">
        <is>
          <t>Delivered</t>
        </is>
      </c>
      <c r="R978" s="17" t="n">
        <v>4</v>
      </c>
      <c r="S978" s="17">
        <f>TEXT(B978,"yyyy-mm")</f>
        <v/>
      </c>
      <c r="T978" s="17">
        <f>VLOOKUP(D978,Customers!A:D,4,FALSE)</f>
        <v/>
      </c>
      <c r="U978" s="17">
        <f>CONCATENATE(A978,"-",G978)</f>
        <v/>
      </c>
      <c r="V978" s="17">
        <f>IF(N978="","",IF(N978&lt;=30,"Fast (&lt;30m)",IF(N978&lt;=45,"Moderate (30-45m)","Delayed (&gt;45m)")))</f>
        <v/>
      </c>
      <c r="W978" s="17">
        <f>IF(AND(I978&gt;600,P978="Delivered"),"High Value Delivered","Standard")</f>
        <v/>
      </c>
      <c r="X978" s="17">
        <f>IF(OR(N978&gt;50,Q978&lt;=2),"High Risk / Delayed","Normal")</f>
        <v/>
      </c>
      <c r="Y978" s="17">
        <f>IF(NOT(P978="Cancelled"),"Fulfilled","Cancelled")</f>
        <v/>
      </c>
      <c r="Z978" s="17">
        <f>IFERROR(Q978,0)</f>
        <v/>
      </c>
    </row>
    <row r="979">
      <c r="A979" s="25" t="inlineStr">
        <is>
          <t>ORD1978</t>
        </is>
      </c>
      <c r="B979" s="25" t="inlineStr">
        <is>
          <t>2025-03-12</t>
        </is>
      </c>
      <c r="C979" s="25" t="inlineStr">
        <is>
          <t>20:07:44</t>
        </is>
      </c>
      <c r="D979" s="25" t="n">
        <v>1292</v>
      </c>
      <c r="E979" s="25" t="n">
        <v>116</v>
      </c>
      <c r="F979" s="25" t="n">
        <v>204</v>
      </c>
      <c r="G979" s="25" t="inlineStr">
        <is>
          <t>Pune</t>
        </is>
      </c>
      <c r="H979" s="25" t="inlineStr">
        <is>
          <t>Desserts</t>
        </is>
      </c>
      <c r="I979" s="26" t="n">
        <v>940</v>
      </c>
      <c r="J979" s="26" t="n">
        <v>0</v>
      </c>
      <c r="K979" s="26" t="n">
        <v>26.5</v>
      </c>
      <c r="L979" s="27" t="n">
        <v>0.25</v>
      </c>
      <c r="M979" s="26" t="n">
        <v>241.62</v>
      </c>
      <c r="N979" s="28" t="n">
        <v>3.3</v>
      </c>
      <c r="O979" s="28" t="n">
        <v>32.4</v>
      </c>
      <c r="P979" s="25" t="inlineStr">
        <is>
          <t>Cash on Delivery</t>
        </is>
      </c>
      <c r="Q979" s="25" t="inlineStr">
        <is>
          <t>Delivered</t>
        </is>
      </c>
      <c r="R979" s="25" t="n">
        <v>3</v>
      </c>
      <c r="S979" s="25">
        <f>TEXT(B979,"yyyy-mm")</f>
        <v/>
      </c>
      <c r="T979" s="25">
        <f>VLOOKUP(D979,Customers!A:D,4,FALSE)</f>
        <v/>
      </c>
      <c r="U979" s="25">
        <f>CONCATENATE(A979,"-",G979)</f>
        <v/>
      </c>
      <c r="V979" s="25">
        <f>IF(N979="","",IF(N979&lt;=30,"Fast (&lt;30m)",IF(N979&lt;=45,"Moderate (30-45m)","Delayed (&gt;45m)")))</f>
        <v/>
      </c>
      <c r="W979" s="25">
        <f>IF(AND(I979&gt;600,P979="Delivered"),"High Value Delivered","Standard")</f>
        <v/>
      </c>
      <c r="X979" s="25">
        <f>IF(OR(N979&gt;50,Q979&lt;=2),"High Risk / Delayed","Normal")</f>
        <v/>
      </c>
      <c r="Y979" s="25">
        <f>IF(NOT(P979="Cancelled"),"Fulfilled","Cancelled")</f>
        <v/>
      </c>
      <c r="Z979" s="25">
        <f>IFERROR(Q979,0)</f>
        <v/>
      </c>
    </row>
    <row r="980">
      <c r="A980" s="17" t="inlineStr">
        <is>
          <t>ORD1979</t>
        </is>
      </c>
      <c r="B980" s="17" t="inlineStr">
        <is>
          <t>2025-12-06</t>
        </is>
      </c>
      <c r="C980" s="17" t="inlineStr">
        <is>
          <t>21:37:04</t>
        </is>
      </c>
      <c r="D980" s="17" t="n">
        <v>1208</v>
      </c>
      <c r="E980" s="17" t="n">
        <v>106</v>
      </c>
      <c r="F980" s="17" t="n">
        <v>204</v>
      </c>
      <c r="G980" s="17" t="inlineStr">
        <is>
          <t>Pune</t>
        </is>
      </c>
      <c r="H980" s="17" t="inlineStr">
        <is>
          <t>South Indian</t>
        </is>
      </c>
      <c r="I980" s="22" t="n">
        <v>708</v>
      </c>
      <c r="J980" s="22" t="n">
        <v>76.90000000000001</v>
      </c>
      <c r="K980" s="22" t="n">
        <v>25</v>
      </c>
      <c r="L980" s="23" t="n">
        <v>0.15</v>
      </c>
      <c r="M980" s="22" t="n">
        <v>112.45</v>
      </c>
      <c r="N980" s="24" t="n">
        <v>2.6</v>
      </c>
      <c r="O980" s="24" t="n">
        <v>31.1</v>
      </c>
      <c r="P980" s="17" t="inlineStr">
        <is>
          <t>UPI</t>
        </is>
      </c>
      <c r="Q980" s="17" t="inlineStr">
        <is>
          <t>Delivered</t>
        </is>
      </c>
      <c r="R980" s="17" t="n">
        <v>4</v>
      </c>
      <c r="S980" s="17">
        <f>TEXT(B980,"yyyy-mm")</f>
        <v/>
      </c>
      <c r="T980" s="17">
        <f>VLOOKUP(D980,Customers!A:D,4,FALSE)</f>
        <v/>
      </c>
      <c r="U980" s="17">
        <f>CONCATENATE(A980,"-",G980)</f>
        <v/>
      </c>
      <c r="V980" s="17">
        <f>IF(N980="","",IF(N980&lt;=30,"Fast (&lt;30m)",IF(N980&lt;=45,"Moderate (30-45m)","Delayed (&gt;45m)")))</f>
        <v/>
      </c>
      <c r="W980" s="17">
        <f>IF(AND(I980&gt;600,P980="Delivered"),"High Value Delivered","Standard")</f>
        <v/>
      </c>
      <c r="X980" s="17">
        <f>IF(OR(N980&gt;50,Q980&lt;=2),"High Risk / Delayed","Normal")</f>
        <v/>
      </c>
      <c r="Y980" s="17">
        <f>IF(NOT(P980="Cancelled"),"Fulfilled","Cancelled")</f>
        <v/>
      </c>
      <c r="Z980" s="17">
        <f>IFERROR(Q980,0)</f>
        <v/>
      </c>
    </row>
    <row r="981">
      <c r="A981" s="25" t="inlineStr">
        <is>
          <t>ORD1980</t>
        </is>
      </c>
      <c r="B981" s="25" t="inlineStr">
        <is>
          <t>2025-03-14</t>
        </is>
      </c>
      <c r="C981" s="25" t="inlineStr">
        <is>
          <t>20:05:15</t>
        </is>
      </c>
      <c r="D981" s="25" t="n">
        <v>1286</v>
      </c>
      <c r="E981" s="25" t="n">
        <v>108</v>
      </c>
      <c r="F981" s="25" t="n">
        <v>219</v>
      </c>
      <c r="G981" s="25" t="inlineStr">
        <is>
          <t>Delhi NCR</t>
        </is>
      </c>
      <c r="H981" s="25" t="inlineStr">
        <is>
          <t>Fast Food</t>
        </is>
      </c>
      <c r="I981" s="26" t="n">
        <v>298</v>
      </c>
      <c r="J981" s="26" t="n">
        <v>0</v>
      </c>
      <c r="K981" s="26" t="n">
        <v>27</v>
      </c>
      <c r="L981" s="27" t="n">
        <v>0.18</v>
      </c>
      <c r="M981" s="26" t="n">
        <v>60.39</v>
      </c>
      <c r="N981" s="28" t="n">
        <v>3.4</v>
      </c>
      <c r="O981" s="28" t="n">
        <v>34.2</v>
      </c>
      <c r="P981" s="25" t="inlineStr">
        <is>
          <t>Cash on Delivery</t>
        </is>
      </c>
      <c r="Q981" s="25" t="inlineStr">
        <is>
          <t>Delivered</t>
        </is>
      </c>
      <c r="R981" s="25" t="n">
        <v>5</v>
      </c>
      <c r="S981" s="25">
        <f>TEXT(B981,"yyyy-mm")</f>
        <v/>
      </c>
      <c r="T981" s="25">
        <f>VLOOKUP(D981,Customers!A:D,4,FALSE)</f>
        <v/>
      </c>
      <c r="U981" s="25">
        <f>CONCATENATE(A981,"-",G981)</f>
        <v/>
      </c>
      <c r="V981" s="25">
        <f>IF(N981="","",IF(N981&lt;=30,"Fast (&lt;30m)",IF(N981&lt;=45,"Moderate (30-45m)","Delayed (&gt;45m)")))</f>
        <v/>
      </c>
      <c r="W981" s="25">
        <f>IF(AND(I981&gt;600,P981="Delivered"),"High Value Delivered","Standard")</f>
        <v/>
      </c>
      <c r="X981" s="25">
        <f>IF(OR(N981&gt;50,Q981&lt;=2),"High Risk / Delayed","Normal")</f>
        <v/>
      </c>
      <c r="Y981" s="25">
        <f>IF(NOT(P981="Cancelled"),"Fulfilled","Cancelled")</f>
        <v/>
      </c>
      <c r="Z981" s="25">
        <f>IFERROR(Q981,0)</f>
        <v/>
      </c>
    </row>
    <row r="982">
      <c r="A982" s="17" t="inlineStr">
        <is>
          <t>ORD1981</t>
        </is>
      </c>
      <c r="B982" s="17" t="inlineStr">
        <is>
          <t>2025-08-29</t>
        </is>
      </c>
      <c r="C982" s="17" t="inlineStr">
        <is>
          <t>19:47:08</t>
        </is>
      </c>
      <c r="D982" s="17" t="n">
        <v>1083</v>
      </c>
      <c r="E982" s="17" t="n">
        <v>104</v>
      </c>
      <c r="F982" s="17" t="n">
        <v>228</v>
      </c>
      <c r="G982" s="17" t="inlineStr">
        <is>
          <t>Delhi NCR</t>
        </is>
      </c>
      <c r="H982" s="17" t="inlineStr">
        <is>
          <t>Fast Food</t>
        </is>
      </c>
      <c r="I982" s="22" t="n">
        <v>760</v>
      </c>
      <c r="J982" s="22" t="n">
        <v>18.21</v>
      </c>
      <c r="K982" s="22" t="n">
        <v>40.5</v>
      </c>
      <c r="L982" s="23" t="n">
        <v>0.18</v>
      </c>
      <c r="M982" s="22" t="n">
        <v>146.92</v>
      </c>
      <c r="N982" s="24" t="n">
        <v>6.1</v>
      </c>
      <c r="O982" s="24" t="n">
        <v>43.3</v>
      </c>
      <c r="P982" s="17" t="inlineStr">
        <is>
          <t>Debit Card</t>
        </is>
      </c>
      <c r="Q982" s="17" t="inlineStr">
        <is>
          <t>Delivered</t>
        </is>
      </c>
      <c r="R982" s="17" t="n">
        <v>4</v>
      </c>
      <c r="S982" s="17">
        <f>TEXT(B982,"yyyy-mm")</f>
        <v/>
      </c>
      <c r="T982" s="17">
        <f>VLOOKUP(D982,Customers!A:D,4,FALSE)</f>
        <v/>
      </c>
      <c r="U982" s="17">
        <f>CONCATENATE(A982,"-",G982)</f>
        <v/>
      </c>
      <c r="V982" s="17">
        <f>IF(N982="","",IF(N982&lt;=30,"Fast (&lt;30m)",IF(N982&lt;=45,"Moderate (30-45m)","Delayed (&gt;45m)")))</f>
        <v/>
      </c>
      <c r="W982" s="17">
        <f>IF(AND(I982&gt;600,P982="Delivered"),"High Value Delivered","Standard")</f>
        <v/>
      </c>
      <c r="X982" s="17">
        <f>IF(OR(N982&gt;50,Q982&lt;=2),"High Risk / Delayed","Normal")</f>
        <v/>
      </c>
      <c r="Y982" s="17">
        <f>IF(NOT(P982="Cancelled"),"Fulfilled","Cancelled")</f>
        <v/>
      </c>
      <c r="Z982" s="17">
        <f>IFERROR(Q982,0)</f>
        <v/>
      </c>
    </row>
    <row r="983">
      <c r="A983" s="25" t="inlineStr">
        <is>
          <t>ORD1982</t>
        </is>
      </c>
      <c r="B983" s="25" t="inlineStr">
        <is>
          <t>2025-02-26</t>
        </is>
      </c>
      <c r="C983" s="25" t="inlineStr">
        <is>
          <t>13:09:03</t>
        </is>
      </c>
      <c r="D983" s="25" t="n">
        <v>1063</v>
      </c>
      <c r="E983" s="25" t="n">
        <v>105</v>
      </c>
      <c r="F983" s="25" t="n">
        <v>201</v>
      </c>
      <c r="G983" s="25" t="inlineStr">
        <is>
          <t>Bangalore</t>
        </is>
      </c>
      <c r="H983" s="25" t="inlineStr">
        <is>
          <t>Chinese</t>
        </is>
      </c>
      <c r="I983" s="26" t="n">
        <v>877</v>
      </c>
      <c r="J983" s="26" t="n">
        <v>45.82</v>
      </c>
      <c r="K983" s="26" t="n">
        <v>42.5</v>
      </c>
      <c r="L983" s="27" t="n">
        <v>0.2</v>
      </c>
      <c r="M983" s="26" t="n">
        <v>186.02</v>
      </c>
      <c r="N983" s="28" t="n">
        <v>6.5</v>
      </c>
      <c r="O983" s="28" t="n">
        <v>44.3</v>
      </c>
      <c r="P983" s="25" t="inlineStr">
        <is>
          <t>Digital Wallet</t>
        </is>
      </c>
      <c r="Q983" s="25" t="inlineStr">
        <is>
          <t>Delivered</t>
        </is>
      </c>
      <c r="R983" s="25" t="n">
        <v>2</v>
      </c>
      <c r="S983" s="25">
        <f>TEXT(B983,"yyyy-mm")</f>
        <v/>
      </c>
      <c r="T983" s="25">
        <f>VLOOKUP(D983,Customers!A:D,4,FALSE)</f>
        <v/>
      </c>
      <c r="U983" s="25">
        <f>CONCATENATE(A983,"-",G983)</f>
        <v/>
      </c>
      <c r="V983" s="25">
        <f>IF(N983="","",IF(N983&lt;=30,"Fast (&lt;30m)",IF(N983&lt;=45,"Moderate (30-45m)","Delayed (&gt;45m)")))</f>
        <v/>
      </c>
      <c r="W983" s="25">
        <f>IF(AND(I983&gt;600,P983="Delivered"),"High Value Delivered","Standard")</f>
        <v/>
      </c>
      <c r="X983" s="25">
        <f>IF(OR(N983&gt;50,Q983&lt;=2),"High Risk / Delayed","Normal")</f>
        <v/>
      </c>
      <c r="Y983" s="25">
        <f>IF(NOT(P983="Cancelled"),"Fulfilled","Cancelled")</f>
        <v/>
      </c>
      <c r="Z983" s="25">
        <f>IFERROR(Q983,0)</f>
        <v/>
      </c>
    </row>
    <row r="984">
      <c r="A984" s="17" t="inlineStr">
        <is>
          <t>ORD1983</t>
        </is>
      </c>
      <c r="B984" s="17" t="inlineStr">
        <is>
          <t>2025-07-22</t>
        </is>
      </c>
      <c r="C984" s="17" t="inlineStr">
        <is>
          <t>21:53:27</t>
        </is>
      </c>
      <c r="D984" s="17" t="n">
        <v>1087</v>
      </c>
      <c r="E984" s="17" t="n">
        <v>116</v>
      </c>
      <c r="F984" s="17" t="n">
        <v>226</v>
      </c>
      <c r="G984" s="17" t="inlineStr">
        <is>
          <t>Pune</t>
        </is>
      </c>
      <c r="H984" s="17" t="inlineStr">
        <is>
          <t>Desserts</t>
        </is>
      </c>
      <c r="I984" s="22" t="n">
        <v>916</v>
      </c>
      <c r="J984" s="22" t="n">
        <v>106.6</v>
      </c>
      <c r="K984" s="22" t="n">
        <v>44.5</v>
      </c>
      <c r="L984" s="23" t="n">
        <v>0.25</v>
      </c>
      <c r="M984" s="22" t="n">
        <v>240.12</v>
      </c>
      <c r="N984" s="24" t="n">
        <v>6.9</v>
      </c>
      <c r="O984" s="24" t="n">
        <v>42.8</v>
      </c>
      <c r="P984" s="17" t="inlineStr">
        <is>
          <t>Debit Card</t>
        </is>
      </c>
      <c r="Q984" s="17" t="inlineStr">
        <is>
          <t>Delivered</t>
        </is>
      </c>
      <c r="R984" s="17" t="n">
        <v>1</v>
      </c>
      <c r="S984" s="17">
        <f>TEXT(B984,"yyyy-mm")</f>
        <v/>
      </c>
      <c r="T984" s="17">
        <f>VLOOKUP(D984,Customers!A:D,4,FALSE)</f>
        <v/>
      </c>
      <c r="U984" s="17">
        <f>CONCATENATE(A984,"-",G984)</f>
        <v/>
      </c>
      <c r="V984" s="17">
        <f>IF(N984="","",IF(N984&lt;=30,"Fast (&lt;30m)",IF(N984&lt;=45,"Moderate (30-45m)","Delayed (&gt;45m)")))</f>
        <v/>
      </c>
      <c r="W984" s="17">
        <f>IF(AND(I984&gt;600,P984="Delivered"),"High Value Delivered","Standard")</f>
        <v/>
      </c>
      <c r="X984" s="17">
        <f>IF(OR(N984&gt;50,Q984&lt;=2),"High Risk / Delayed","Normal")</f>
        <v/>
      </c>
      <c r="Y984" s="17">
        <f>IF(NOT(P984="Cancelled"),"Fulfilled","Cancelled")</f>
        <v/>
      </c>
      <c r="Z984" s="17">
        <f>IFERROR(Q984,0)</f>
        <v/>
      </c>
    </row>
    <row r="985">
      <c r="A985" s="25" t="inlineStr">
        <is>
          <t>ORD1984</t>
        </is>
      </c>
      <c r="B985" s="25" t="inlineStr">
        <is>
          <t>2025-03-22</t>
        </is>
      </c>
      <c r="C985" s="25" t="inlineStr">
        <is>
          <t>13:17:05</t>
        </is>
      </c>
      <c r="D985" s="25" t="n">
        <v>1085</v>
      </c>
      <c r="E985" s="25" t="n">
        <v>109</v>
      </c>
      <c r="F985" s="25" t="n">
        <v>215</v>
      </c>
      <c r="G985" s="25" t="inlineStr">
        <is>
          <t>Hyderabad</t>
        </is>
      </c>
      <c r="H985" s="25" t="inlineStr">
        <is>
          <t>Biryani</t>
        </is>
      </c>
      <c r="I985" s="26" t="n">
        <v>754</v>
      </c>
      <c r="J985" s="26" t="n">
        <v>0</v>
      </c>
      <c r="K985" s="26" t="n">
        <v>28.5</v>
      </c>
      <c r="L985" s="27" t="n">
        <v>0.2</v>
      </c>
      <c r="M985" s="26" t="n">
        <v>157.93</v>
      </c>
      <c r="N985" s="28" t="n">
        <v>3.7</v>
      </c>
      <c r="O985" s="28" t="n">
        <v>35.8</v>
      </c>
      <c r="P985" s="25" t="inlineStr">
        <is>
          <t>Credit Card</t>
        </is>
      </c>
      <c r="Q985" s="25" t="inlineStr">
        <is>
          <t>Delivered</t>
        </is>
      </c>
      <c r="R985" s="25" t="n">
        <v>5</v>
      </c>
      <c r="S985" s="25">
        <f>TEXT(B985,"yyyy-mm")</f>
        <v/>
      </c>
      <c r="T985" s="25">
        <f>VLOOKUP(D985,Customers!A:D,4,FALSE)</f>
        <v/>
      </c>
      <c r="U985" s="25">
        <f>CONCATENATE(A985,"-",G985)</f>
        <v/>
      </c>
      <c r="V985" s="25">
        <f>IF(N985="","",IF(N985&lt;=30,"Fast (&lt;30m)",IF(N985&lt;=45,"Moderate (30-45m)","Delayed (&gt;45m)")))</f>
        <v/>
      </c>
      <c r="W985" s="25">
        <f>IF(AND(I985&gt;600,P985="Delivered"),"High Value Delivered","Standard")</f>
        <v/>
      </c>
      <c r="X985" s="25">
        <f>IF(OR(N985&gt;50,Q985&lt;=2),"High Risk / Delayed","Normal")</f>
        <v/>
      </c>
      <c r="Y985" s="25">
        <f>IF(NOT(P985="Cancelled"),"Fulfilled","Cancelled")</f>
        <v/>
      </c>
      <c r="Z985" s="25">
        <f>IFERROR(Q985,0)</f>
        <v/>
      </c>
    </row>
    <row r="986">
      <c r="A986" s="17" t="inlineStr">
        <is>
          <t>ORD1985</t>
        </is>
      </c>
      <c r="B986" s="17" t="inlineStr">
        <is>
          <t>2025-07-20</t>
        </is>
      </c>
      <c r="C986" s="17" t="inlineStr">
        <is>
          <t>09:11:52</t>
        </is>
      </c>
      <c r="D986" s="17" t="n">
        <v>1015</v>
      </c>
      <c r="E986" s="17" t="n">
        <v>109</v>
      </c>
      <c r="F986" s="17" t="n">
        <v>215</v>
      </c>
      <c r="G986" s="17" t="inlineStr">
        <is>
          <t>Hyderabad</t>
        </is>
      </c>
      <c r="H986" s="17" t="inlineStr">
        <is>
          <t>Biryani</t>
        </is>
      </c>
      <c r="I986" s="22" t="n">
        <v>792</v>
      </c>
      <c r="J986" s="22" t="n">
        <v>4.89</v>
      </c>
      <c r="K986" s="22" t="n">
        <v>29.5</v>
      </c>
      <c r="L986" s="23" t="n">
        <v>0.2</v>
      </c>
      <c r="M986" s="22" t="n">
        <v>165.78</v>
      </c>
      <c r="N986" s="24" t="n">
        <v>3.9</v>
      </c>
      <c r="O986" s="24" t="n">
        <v>30.8</v>
      </c>
      <c r="P986" s="17" t="inlineStr">
        <is>
          <t>Cash on Delivery</t>
        </is>
      </c>
      <c r="Q986" s="17" t="inlineStr">
        <is>
          <t>Delivered</t>
        </is>
      </c>
      <c r="R986" s="17" t="n">
        <v>5</v>
      </c>
      <c r="S986" s="17">
        <f>TEXT(B986,"yyyy-mm")</f>
        <v/>
      </c>
      <c r="T986" s="17">
        <f>VLOOKUP(D986,Customers!A:D,4,FALSE)</f>
        <v/>
      </c>
      <c r="U986" s="17">
        <f>CONCATENATE(A986,"-",G986)</f>
        <v/>
      </c>
      <c r="V986" s="17">
        <f>IF(N986="","",IF(N986&lt;=30,"Fast (&lt;30m)",IF(N986&lt;=45,"Moderate (30-45m)","Delayed (&gt;45m)")))</f>
        <v/>
      </c>
      <c r="W986" s="17">
        <f>IF(AND(I986&gt;600,P986="Delivered"),"High Value Delivered","Standard")</f>
        <v/>
      </c>
      <c r="X986" s="17">
        <f>IF(OR(N986&gt;50,Q986&lt;=2),"High Risk / Delayed","Normal")</f>
        <v/>
      </c>
      <c r="Y986" s="17">
        <f>IF(NOT(P986="Cancelled"),"Fulfilled","Cancelled")</f>
        <v/>
      </c>
      <c r="Z986" s="17">
        <f>IFERROR(Q986,0)</f>
        <v/>
      </c>
    </row>
    <row r="987">
      <c r="A987" s="25" t="inlineStr">
        <is>
          <t>ORD1986</t>
        </is>
      </c>
      <c r="B987" s="25" t="inlineStr">
        <is>
          <t>2025-03-26</t>
        </is>
      </c>
      <c r="C987" s="25" t="inlineStr">
        <is>
          <t>23:03:51</t>
        </is>
      </c>
      <c r="D987" s="25" t="n">
        <v>1184</v>
      </c>
      <c r="E987" s="25" t="n">
        <v>101</v>
      </c>
      <c r="F987" s="25" t="n">
        <v>210</v>
      </c>
      <c r="G987" s="25" t="inlineStr">
        <is>
          <t>Bangalore</t>
        </is>
      </c>
      <c r="H987" s="25" t="inlineStr">
        <is>
          <t>North Indian</t>
        </is>
      </c>
      <c r="I987" s="26" t="n">
        <v>865</v>
      </c>
      <c r="J987" s="26" t="n">
        <v>123.2</v>
      </c>
      <c r="K987" s="26" t="n">
        <v>0</v>
      </c>
      <c r="L987" s="27" t="n">
        <v>0.2</v>
      </c>
      <c r="M987" s="26" t="n">
        <v>173</v>
      </c>
      <c r="N987" s="28" t="n">
        <v>4.3</v>
      </c>
      <c r="O987" s="28" t="n">
        <v>27.8</v>
      </c>
      <c r="P987" s="25" t="inlineStr">
        <is>
          <t>UPI</t>
        </is>
      </c>
      <c r="Q987" s="25" t="inlineStr">
        <is>
          <t>Delivered</t>
        </is>
      </c>
      <c r="R987" s="25" t="n">
        <v>4</v>
      </c>
      <c r="S987" s="25">
        <f>TEXT(B987,"yyyy-mm")</f>
        <v/>
      </c>
      <c r="T987" s="25">
        <f>VLOOKUP(D987,Customers!A:D,4,FALSE)</f>
        <v/>
      </c>
      <c r="U987" s="25">
        <f>CONCATENATE(A987,"-",G987)</f>
        <v/>
      </c>
      <c r="V987" s="25">
        <f>IF(N987="","",IF(N987&lt;=30,"Fast (&lt;30m)",IF(N987&lt;=45,"Moderate (30-45m)","Delayed (&gt;45m)")))</f>
        <v/>
      </c>
      <c r="W987" s="25">
        <f>IF(AND(I987&gt;600,P987="Delivered"),"High Value Delivered","Standard")</f>
        <v/>
      </c>
      <c r="X987" s="25">
        <f>IF(OR(N987&gt;50,Q987&lt;=2),"High Risk / Delayed","Normal")</f>
        <v/>
      </c>
      <c r="Y987" s="25">
        <f>IF(NOT(P987="Cancelled"),"Fulfilled","Cancelled")</f>
        <v/>
      </c>
      <c r="Z987" s="25">
        <f>IFERROR(Q987,0)</f>
        <v/>
      </c>
    </row>
    <row r="988">
      <c r="A988" s="17" t="inlineStr">
        <is>
          <t>ORD1987</t>
        </is>
      </c>
      <c r="B988" s="17" t="inlineStr">
        <is>
          <t>2025-11-05</t>
        </is>
      </c>
      <c r="C988" s="17" t="inlineStr">
        <is>
          <t>13:49:54</t>
        </is>
      </c>
      <c r="D988" s="17" t="n">
        <v>1278</v>
      </c>
      <c r="E988" s="17" t="n">
        <v>115</v>
      </c>
      <c r="F988" s="17" t="n">
        <v>203</v>
      </c>
      <c r="G988" s="17" t="inlineStr">
        <is>
          <t>Bangalore</t>
        </is>
      </c>
      <c r="H988" s="17" t="inlineStr">
        <is>
          <t>Italian</t>
        </is>
      </c>
      <c r="I988" s="22" t="n">
        <v>563</v>
      </c>
      <c r="J988" s="22" t="n">
        <v>29.26</v>
      </c>
      <c r="K988" s="22" t="n">
        <v>25</v>
      </c>
      <c r="L988" s="23" t="n">
        <v>0.2</v>
      </c>
      <c r="M988" s="22" t="n">
        <v>118.85</v>
      </c>
      <c r="N988" s="24" t="n">
        <v>1</v>
      </c>
      <c r="O988" s="24" t="n">
        <v/>
      </c>
      <c r="P988" s="17" t="inlineStr">
        <is>
          <t>Digital Wallet</t>
        </is>
      </c>
      <c r="Q988" s="17" t="inlineStr">
        <is>
          <t>Cancelled</t>
        </is>
      </c>
      <c r="R988" s="17" t="n">
        <v/>
      </c>
      <c r="S988" s="17">
        <f>TEXT(B988,"yyyy-mm")</f>
        <v/>
      </c>
      <c r="T988" s="17">
        <f>VLOOKUP(D988,Customers!A:D,4,FALSE)</f>
        <v/>
      </c>
      <c r="U988" s="17">
        <f>CONCATENATE(A988,"-",G988)</f>
        <v/>
      </c>
      <c r="V988" s="17">
        <f>IF(N988="","",IF(N988&lt;=30,"Fast (&lt;30m)",IF(N988&lt;=45,"Moderate (30-45m)","Delayed (&gt;45m)")))</f>
        <v/>
      </c>
      <c r="W988" s="17">
        <f>IF(AND(I988&gt;600,P988="Delivered"),"High Value Delivered","Standard")</f>
        <v/>
      </c>
      <c r="X988" s="17">
        <f>IF(OR(N988&gt;50,Q988&lt;=2),"High Risk / Delayed","Normal")</f>
        <v/>
      </c>
      <c r="Y988" s="17">
        <f>IF(NOT(P988="Cancelled"),"Fulfilled","Cancelled")</f>
        <v/>
      </c>
      <c r="Z988" s="17">
        <f>IFERROR(Q988,0)</f>
        <v/>
      </c>
    </row>
    <row r="989">
      <c r="A989" s="25" t="inlineStr">
        <is>
          <t>ORD1988</t>
        </is>
      </c>
      <c r="B989" s="25" t="inlineStr">
        <is>
          <t>2025-04-19</t>
        </is>
      </c>
      <c r="C989" s="25" t="inlineStr">
        <is>
          <t>20:38:00</t>
        </is>
      </c>
      <c r="D989" s="25" t="n">
        <v>1267</v>
      </c>
      <c r="E989" s="25" t="n">
        <v>115</v>
      </c>
      <c r="F989" s="25" t="n">
        <v>201</v>
      </c>
      <c r="G989" s="25" t="inlineStr">
        <is>
          <t>Bangalore</t>
        </is>
      </c>
      <c r="H989" s="25" t="inlineStr">
        <is>
          <t>Italian</t>
        </is>
      </c>
      <c r="I989" s="26" t="n">
        <v>536</v>
      </c>
      <c r="J989" s="26" t="n">
        <v>33.84</v>
      </c>
      <c r="K989" s="26" t="n">
        <v>58</v>
      </c>
      <c r="L989" s="27" t="n">
        <v>0.2</v>
      </c>
      <c r="M989" s="26" t="n">
        <v>121.7</v>
      </c>
      <c r="N989" s="28" t="n">
        <v>9.6</v>
      </c>
      <c r="O989" s="28" t="n">
        <v>51.4</v>
      </c>
      <c r="P989" s="25" t="inlineStr">
        <is>
          <t>UPI</t>
        </is>
      </c>
      <c r="Q989" s="25" t="inlineStr">
        <is>
          <t>Delivered</t>
        </is>
      </c>
      <c r="R989" s="25" t="n">
        <v>2</v>
      </c>
      <c r="S989" s="25">
        <f>TEXT(B989,"yyyy-mm")</f>
        <v/>
      </c>
      <c r="T989" s="25">
        <f>VLOOKUP(D989,Customers!A:D,4,FALSE)</f>
        <v/>
      </c>
      <c r="U989" s="25">
        <f>CONCATENATE(A989,"-",G989)</f>
        <v/>
      </c>
      <c r="V989" s="25">
        <f>IF(N989="","",IF(N989&lt;=30,"Fast (&lt;30m)",IF(N989&lt;=45,"Moderate (30-45m)","Delayed (&gt;45m)")))</f>
        <v/>
      </c>
      <c r="W989" s="25">
        <f>IF(AND(I989&gt;600,P989="Delivered"),"High Value Delivered","Standard")</f>
        <v/>
      </c>
      <c r="X989" s="25">
        <f>IF(OR(N989&gt;50,Q989&lt;=2),"High Risk / Delayed","Normal")</f>
        <v/>
      </c>
      <c r="Y989" s="25">
        <f>IF(NOT(P989="Cancelled"),"Fulfilled","Cancelled")</f>
        <v/>
      </c>
      <c r="Z989" s="25">
        <f>IFERROR(Q989,0)</f>
        <v/>
      </c>
    </row>
    <row r="990">
      <c r="A990" s="17" t="inlineStr">
        <is>
          <t>ORD1989</t>
        </is>
      </c>
      <c r="B990" s="17" t="inlineStr">
        <is>
          <t>2025-02-13</t>
        </is>
      </c>
      <c r="C990" s="17" t="inlineStr">
        <is>
          <t>19:36:36</t>
        </is>
      </c>
      <c r="D990" s="17" t="n">
        <v>1177</v>
      </c>
      <c r="E990" s="17" t="n">
        <v>118</v>
      </c>
      <c r="F990" s="17" t="n">
        <v>221</v>
      </c>
      <c r="G990" s="17" t="inlineStr">
        <is>
          <t>Delhi NCR</t>
        </is>
      </c>
      <c r="H990" s="17" t="inlineStr">
        <is>
          <t>North Indian</t>
        </is>
      </c>
      <c r="I990" s="22" t="n">
        <v>265</v>
      </c>
      <c r="J990" s="22" t="n">
        <v>23.71</v>
      </c>
      <c r="K990" s="22" t="n">
        <v>40.5</v>
      </c>
      <c r="L990" s="23" t="n">
        <v>0.2</v>
      </c>
      <c r="M990" s="22" t="n">
        <v>63.12</v>
      </c>
      <c r="N990" s="24" t="n">
        <v>6.1</v>
      </c>
      <c r="O990" s="24" t="n">
        <v>43.3</v>
      </c>
      <c r="P990" s="17" t="inlineStr">
        <is>
          <t>UPI</t>
        </is>
      </c>
      <c r="Q990" s="17" t="inlineStr">
        <is>
          <t>Delivered</t>
        </is>
      </c>
      <c r="R990" s="17" t="n">
        <v>3</v>
      </c>
      <c r="S990" s="17">
        <f>TEXT(B990,"yyyy-mm")</f>
        <v/>
      </c>
      <c r="T990" s="17">
        <f>VLOOKUP(D990,Customers!A:D,4,FALSE)</f>
        <v/>
      </c>
      <c r="U990" s="17">
        <f>CONCATENATE(A990,"-",G990)</f>
        <v/>
      </c>
      <c r="V990" s="17">
        <f>IF(N990="","",IF(N990&lt;=30,"Fast (&lt;30m)",IF(N990&lt;=45,"Moderate (30-45m)","Delayed (&gt;45m)")))</f>
        <v/>
      </c>
      <c r="W990" s="17">
        <f>IF(AND(I990&gt;600,P990="Delivered"),"High Value Delivered","Standard")</f>
        <v/>
      </c>
      <c r="X990" s="17">
        <f>IF(OR(N990&gt;50,Q990&lt;=2),"High Risk / Delayed","Normal")</f>
        <v/>
      </c>
      <c r="Y990" s="17">
        <f>IF(NOT(P990="Cancelled"),"Fulfilled","Cancelled")</f>
        <v/>
      </c>
      <c r="Z990" s="17">
        <f>IFERROR(Q990,0)</f>
        <v/>
      </c>
    </row>
    <row r="991">
      <c r="A991" s="25" t="inlineStr">
        <is>
          <t>ORD1990</t>
        </is>
      </c>
      <c r="B991" s="25" t="inlineStr">
        <is>
          <t>2025-02-17</t>
        </is>
      </c>
      <c r="C991" s="25" t="inlineStr">
        <is>
          <t>12:19:00</t>
        </is>
      </c>
      <c r="D991" s="25" t="n">
        <v>1270</v>
      </c>
      <c r="E991" s="25" t="n">
        <v>114</v>
      </c>
      <c r="F991" s="25" t="n">
        <v>225</v>
      </c>
      <c r="G991" s="25" t="inlineStr">
        <is>
          <t>Hyderabad</t>
        </is>
      </c>
      <c r="H991" s="25" t="inlineStr">
        <is>
          <t>Biryani</t>
        </is>
      </c>
      <c r="I991" s="26" t="n">
        <v>585</v>
      </c>
      <c r="J991" s="26" t="n">
        <v>44.87</v>
      </c>
      <c r="K991" s="26" t="n">
        <v>37</v>
      </c>
      <c r="L991" s="27" t="n">
        <v>0.22</v>
      </c>
      <c r="M991" s="26" t="n">
        <v>137.95</v>
      </c>
      <c r="N991" s="28" t="n">
        <v>5.4</v>
      </c>
      <c r="O991" s="28" t="n">
        <v>43.3</v>
      </c>
      <c r="P991" s="25" t="inlineStr">
        <is>
          <t>Debit Card</t>
        </is>
      </c>
      <c r="Q991" s="25" t="inlineStr">
        <is>
          <t>Delivered</t>
        </is>
      </c>
      <c r="R991" s="25" t="n">
        <v>4</v>
      </c>
      <c r="S991" s="25">
        <f>TEXT(B991,"yyyy-mm")</f>
        <v/>
      </c>
      <c r="T991" s="25">
        <f>VLOOKUP(D991,Customers!A:D,4,FALSE)</f>
        <v/>
      </c>
      <c r="U991" s="25">
        <f>CONCATENATE(A991,"-",G991)</f>
        <v/>
      </c>
      <c r="V991" s="25">
        <f>IF(N991="","",IF(N991&lt;=30,"Fast (&lt;30m)",IF(N991&lt;=45,"Moderate (30-45m)","Delayed (&gt;45m)")))</f>
        <v/>
      </c>
      <c r="W991" s="25">
        <f>IF(AND(I991&gt;600,P991="Delivered"),"High Value Delivered","Standard")</f>
        <v/>
      </c>
      <c r="X991" s="25">
        <f>IF(OR(N991&gt;50,Q991&lt;=2),"High Risk / Delayed","Normal")</f>
        <v/>
      </c>
      <c r="Y991" s="25">
        <f>IF(NOT(P991="Cancelled"),"Fulfilled","Cancelled")</f>
        <v/>
      </c>
      <c r="Z991" s="25">
        <f>IFERROR(Q991,0)</f>
        <v/>
      </c>
    </row>
    <row r="992">
      <c r="A992" s="17" t="inlineStr">
        <is>
          <t>ORD1991</t>
        </is>
      </c>
      <c r="B992" s="17" t="inlineStr">
        <is>
          <t>2025-12-26</t>
        </is>
      </c>
      <c r="C992" s="17" t="inlineStr">
        <is>
          <t>12:43:06</t>
        </is>
      </c>
      <c r="D992" s="17" t="n">
        <v>1106</v>
      </c>
      <c r="E992" s="17" t="n">
        <v>101</v>
      </c>
      <c r="F992" s="17" t="n">
        <v>223</v>
      </c>
      <c r="G992" s="17" t="inlineStr">
        <is>
          <t>Bangalore</t>
        </is>
      </c>
      <c r="H992" s="17" t="inlineStr">
        <is>
          <t>North Indian</t>
        </is>
      </c>
      <c r="I992" s="22" t="n">
        <v>559</v>
      </c>
      <c r="J992" s="22" t="n">
        <v>0</v>
      </c>
      <c r="K992" s="22" t="n">
        <v>26</v>
      </c>
      <c r="L992" s="23" t="n">
        <v>0.2</v>
      </c>
      <c r="M992" s="22" t="n">
        <v>118.3</v>
      </c>
      <c r="N992" s="24" t="n">
        <v>3.2</v>
      </c>
      <c r="O992" s="24" t="n">
        <v>32.9</v>
      </c>
      <c r="P992" s="17" t="inlineStr">
        <is>
          <t>UPI</t>
        </is>
      </c>
      <c r="Q992" s="17" t="inlineStr">
        <is>
          <t>Delivered</t>
        </is>
      </c>
      <c r="R992" s="17" t="n">
        <v>3</v>
      </c>
      <c r="S992" s="17">
        <f>TEXT(B992,"yyyy-mm")</f>
        <v/>
      </c>
      <c r="T992" s="17">
        <f>VLOOKUP(D992,Customers!A:D,4,FALSE)</f>
        <v/>
      </c>
      <c r="U992" s="17">
        <f>CONCATENATE(A992,"-",G992)</f>
        <v/>
      </c>
      <c r="V992" s="17">
        <f>IF(N992="","",IF(N992&lt;=30,"Fast (&lt;30m)",IF(N992&lt;=45,"Moderate (30-45m)","Delayed (&gt;45m)")))</f>
        <v/>
      </c>
      <c r="W992" s="17">
        <f>IF(AND(I992&gt;600,P992="Delivered"),"High Value Delivered","Standard")</f>
        <v/>
      </c>
      <c r="X992" s="17">
        <f>IF(OR(N992&gt;50,Q992&lt;=2),"High Risk / Delayed","Normal")</f>
        <v/>
      </c>
      <c r="Y992" s="17">
        <f>IF(NOT(P992="Cancelled"),"Fulfilled","Cancelled")</f>
        <v/>
      </c>
      <c r="Z992" s="17">
        <f>IFERROR(Q992,0)</f>
        <v/>
      </c>
    </row>
    <row r="993">
      <c r="A993" s="25" t="inlineStr">
        <is>
          <t>ORD1992</t>
        </is>
      </c>
      <c r="B993" s="25" t="inlineStr">
        <is>
          <t>2025-09-02</t>
        </is>
      </c>
      <c r="C993" s="25" t="inlineStr">
        <is>
          <t>20:37:55</t>
        </is>
      </c>
      <c r="D993" s="25" t="n">
        <v>1159</v>
      </c>
      <c r="E993" s="25" t="n">
        <v>108</v>
      </c>
      <c r="F993" s="25" t="n">
        <v>219</v>
      </c>
      <c r="G993" s="25" t="inlineStr">
        <is>
          <t>Delhi NCR</t>
        </is>
      </c>
      <c r="H993" s="25" t="inlineStr">
        <is>
          <t>Fast Food</t>
        </is>
      </c>
      <c r="I993" s="26" t="n">
        <v>258</v>
      </c>
      <c r="J993" s="26" t="n">
        <v>0</v>
      </c>
      <c r="K993" s="26" t="n">
        <v>31.5</v>
      </c>
      <c r="L993" s="27" t="n">
        <v>0.18</v>
      </c>
      <c r="M993" s="26" t="n">
        <v>54.32</v>
      </c>
      <c r="N993" s="28" t="n">
        <v>4.3</v>
      </c>
      <c r="O993" s="28" t="n">
        <v>33.2</v>
      </c>
      <c r="P993" s="25" t="inlineStr">
        <is>
          <t>Cash on Delivery</t>
        </is>
      </c>
      <c r="Q993" s="25" t="inlineStr">
        <is>
          <t>Delivered</t>
        </is>
      </c>
      <c r="R993" s="25" t="n">
        <v>5</v>
      </c>
      <c r="S993" s="25">
        <f>TEXT(B993,"yyyy-mm")</f>
        <v/>
      </c>
      <c r="T993" s="25">
        <f>VLOOKUP(D993,Customers!A:D,4,FALSE)</f>
        <v/>
      </c>
      <c r="U993" s="25">
        <f>CONCATENATE(A993,"-",G993)</f>
        <v/>
      </c>
      <c r="V993" s="25">
        <f>IF(N993="","",IF(N993&lt;=30,"Fast (&lt;30m)",IF(N993&lt;=45,"Moderate (30-45m)","Delayed (&gt;45m)")))</f>
        <v/>
      </c>
      <c r="W993" s="25">
        <f>IF(AND(I993&gt;600,P993="Delivered"),"High Value Delivered","Standard")</f>
        <v/>
      </c>
      <c r="X993" s="25">
        <f>IF(OR(N993&gt;50,Q993&lt;=2),"High Risk / Delayed","Normal")</f>
        <v/>
      </c>
      <c r="Y993" s="25">
        <f>IF(NOT(P993="Cancelled"),"Fulfilled","Cancelled")</f>
        <v/>
      </c>
      <c r="Z993" s="25">
        <f>IFERROR(Q993,0)</f>
        <v/>
      </c>
    </row>
    <row r="994">
      <c r="A994" s="17" t="inlineStr">
        <is>
          <t>ORD1993</t>
        </is>
      </c>
      <c r="B994" s="17" t="inlineStr">
        <is>
          <t>2025-04-29</t>
        </is>
      </c>
      <c r="C994" s="17" t="inlineStr">
        <is>
          <t>21:56:13</t>
        </is>
      </c>
      <c r="D994" s="17" t="n">
        <v>1036</v>
      </c>
      <c r="E994" s="17" t="n">
        <v>103</v>
      </c>
      <c r="F994" s="17" t="n">
        <v>206</v>
      </c>
      <c r="G994" s="17" t="inlineStr">
        <is>
          <t>Mumbai</t>
        </is>
      </c>
      <c r="H994" s="17" t="inlineStr">
        <is>
          <t>Italian</t>
        </is>
      </c>
      <c r="I994" s="22" t="n">
        <v>917</v>
      </c>
      <c r="J994" s="22" t="n">
        <v>87.84</v>
      </c>
      <c r="K994" s="22" t="n">
        <v>43</v>
      </c>
      <c r="L994" s="23" t="n">
        <v>0.18</v>
      </c>
      <c r="M994" s="22" t="n">
        <v>175.81</v>
      </c>
      <c r="N994" s="24" t="n">
        <v>6.6</v>
      </c>
      <c r="O994" s="24" t="n">
        <v>45.1</v>
      </c>
      <c r="P994" s="17" t="inlineStr">
        <is>
          <t>Credit Card</t>
        </is>
      </c>
      <c r="Q994" s="17" t="inlineStr">
        <is>
          <t>Delivered</t>
        </is>
      </c>
      <c r="R994" s="17" t="n">
        <v>3</v>
      </c>
      <c r="S994" s="17">
        <f>TEXT(B994,"yyyy-mm")</f>
        <v/>
      </c>
      <c r="T994" s="17">
        <f>VLOOKUP(D994,Customers!A:D,4,FALSE)</f>
        <v/>
      </c>
      <c r="U994" s="17">
        <f>CONCATENATE(A994,"-",G994)</f>
        <v/>
      </c>
      <c r="V994" s="17">
        <f>IF(N994="","",IF(N994&lt;=30,"Fast (&lt;30m)",IF(N994&lt;=45,"Moderate (30-45m)","Delayed (&gt;45m)")))</f>
        <v/>
      </c>
      <c r="W994" s="17">
        <f>IF(AND(I994&gt;600,P994="Delivered"),"High Value Delivered","Standard")</f>
        <v/>
      </c>
      <c r="X994" s="17">
        <f>IF(OR(N994&gt;50,Q994&lt;=2),"High Risk / Delayed","Normal")</f>
        <v/>
      </c>
      <c r="Y994" s="17">
        <f>IF(NOT(P994="Cancelled"),"Fulfilled","Cancelled")</f>
        <v/>
      </c>
      <c r="Z994" s="17">
        <f>IFERROR(Q994,0)</f>
        <v/>
      </c>
    </row>
    <row r="995">
      <c r="A995" s="25" t="inlineStr">
        <is>
          <t>ORD1994</t>
        </is>
      </c>
      <c r="B995" s="25" t="inlineStr">
        <is>
          <t>2025-06-23</t>
        </is>
      </c>
      <c r="C995" s="25" t="inlineStr">
        <is>
          <t>12:18:23</t>
        </is>
      </c>
      <c r="D995" s="25" t="n">
        <v>1175</v>
      </c>
      <c r="E995" s="25" t="n">
        <v>111</v>
      </c>
      <c r="F995" s="25" t="n">
        <v>227</v>
      </c>
      <c r="G995" s="25" t="inlineStr">
        <is>
          <t>Bangalore</t>
        </is>
      </c>
      <c r="H995" s="25" t="inlineStr">
        <is>
          <t>South Indian</t>
        </is>
      </c>
      <c r="I995" s="26" t="n">
        <v>858</v>
      </c>
      <c r="J995" s="26" t="n">
        <v>94.31</v>
      </c>
      <c r="K995" s="26" t="n">
        <v>26.5</v>
      </c>
      <c r="L995" s="27" t="n">
        <v>0.15</v>
      </c>
      <c r="M995" s="26" t="n">
        <v>135.32</v>
      </c>
      <c r="N995" s="28" t="n">
        <v>3.3</v>
      </c>
      <c r="O995" s="28" t="n">
        <v>30.9</v>
      </c>
      <c r="P995" s="25" t="inlineStr">
        <is>
          <t>Cash on Delivery</t>
        </is>
      </c>
      <c r="Q995" s="25" t="inlineStr">
        <is>
          <t>Delivered</t>
        </is>
      </c>
      <c r="R995" s="25" t="n">
        <v>5</v>
      </c>
      <c r="S995" s="25">
        <f>TEXT(B995,"yyyy-mm")</f>
        <v/>
      </c>
      <c r="T995" s="25">
        <f>VLOOKUP(D995,Customers!A:D,4,FALSE)</f>
        <v/>
      </c>
      <c r="U995" s="25">
        <f>CONCATENATE(A995,"-",G995)</f>
        <v/>
      </c>
      <c r="V995" s="25">
        <f>IF(N995="","",IF(N995&lt;=30,"Fast (&lt;30m)",IF(N995&lt;=45,"Moderate (30-45m)","Delayed (&gt;45m)")))</f>
        <v/>
      </c>
      <c r="W995" s="25">
        <f>IF(AND(I995&gt;600,P995="Delivered"),"High Value Delivered","Standard")</f>
        <v/>
      </c>
      <c r="X995" s="25">
        <f>IF(OR(N995&gt;50,Q995&lt;=2),"High Risk / Delayed","Normal")</f>
        <v/>
      </c>
      <c r="Y995" s="25">
        <f>IF(NOT(P995="Cancelled"),"Fulfilled","Cancelled")</f>
        <v/>
      </c>
      <c r="Z995" s="25">
        <f>IFERROR(Q995,0)</f>
        <v/>
      </c>
    </row>
    <row r="996">
      <c r="A996" s="17" t="inlineStr">
        <is>
          <t>ORD1995</t>
        </is>
      </c>
      <c r="B996" s="17" t="inlineStr">
        <is>
          <t>2025-11-09</t>
        </is>
      </c>
      <c r="C996" s="17" t="inlineStr">
        <is>
          <t>00:38:04</t>
        </is>
      </c>
      <c r="D996" s="17" t="n">
        <v>1060</v>
      </c>
      <c r="E996" s="17" t="n">
        <v>108</v>
      </c>
      <c r="F996" s="17" t="n">
        <v>221</v>
      </c>
      <c r="G996" s="17" t="inlineStr">
        <is>
          <t>Delhi NCR</t>
        </is>
      </c>
      <c r="H996" s="17" t="inlineStr">
        <is>
          <t>Fast Food</t>
        </is>
      </c>
      <c r="I996" s="22" t="n">
        <v>376</v>
      </c>
      <c r="J996" s="22" t="n">
        <v>29.91</v>
      </c>
      <c r="K996" s="22" t="n">
        <v>48.5</v>
      </c>
      <c r="L996" s="23" t="n">
        <v>0.18</v>
      </c>
      <c r="M996" s="22" t="n">
        <v>79.8</v>
      </c>
      <c r="N996" s="24" t="n">
        <v>7.7</v>
      </c>
      <c r="O996" s="24" t="n">
        <v>35</v>
      </c>
      <c r="P996" s="17" t="inlineStr">
        <is>
          <t>UPI</t>
        </is>
      </c>
      <c r="Q996" s="17" t="inlineStr">
        <is>
          <t>Delivered</t>
        </is>
      </c>
      <c r="R996" s="17" t="n">
        <v>4</v>
      </c>
      <c r="S996" s="17">
        <f>TEXT(B996,"yyyy-mm")</f>
        <v/>
      </c>
      <c r="T996" s="17">
        <f>VLOOKUP(D996,Customers!A:D,4,FALSE)</f>
        <v/>
      </c>
      <c r="U996" s="17">
        <f>CONCATENATE(A996,"-",G996)</f>
        <v/>
      </c>
      <c r="V996" s="17">
        <f>IF(N996="","",IF(N996&lt;=30,"Fast (&lt;30m)",IF(N996&lt;=45,"Moderate (30-45m)","Delayed (&gt;45m)")))</f>
        <v/>
      </c>
      <c r="W996" s="17">
        <f>IF(AND(I996&gt;600,P996="Delivered"),"High Value Delivered","Standard")</f>
        <v/>
      </c>
      <c r="X996" s="17">
        <f>IF(OR(N996&gt;50,Q996&lt;=2),"High Risk / Delayed","Normal")</f>
        <v/>
      </c>
      <c r="Y996" s="17">
        <f>IF(NOT(P996="Cancelled"),"Fulfilled","Cancelled")</f>
        <v/>
      </c>
      <c r="Z996" s="17">
        <f>IFERROR(Q996,0)</f>
        <v/>
      </c>
    </row>
    <row r="997">
      <c r="A997" s="25" t="inlineStr">
        <is>
          <t>ORD1996</t>
        </is>
      </c>
      <c r="B997" s="25" t="inlineStr">
        <is>
          <t>2025-10-08</t>
        </is>
      </c>
      <c r="C997" s="25" t="inlineStr">
        <is>
          <t>14:55:51</t>
        </is>
      </c>
      <c r="D997" s="25" t="n">
        <v>1089</v>
      </c>
      <c r="E997" s="25" t="n">
        <v>115</v>
      </c>
      <c r="F997" s="25" t="n">
        <v>227</v>
      </c>
      <c r="G997" s="25" t="inlineStr">
        <is>
          <t>Bangalore</t>
        </is>
      </c>
      <c r="H997" s="25" t="inlineStr">
        <is>
          <t>Italian</t>
        </is>
      </c>
      <c r="I997" s="26" t="n">
        <v>536</v>
      </c>
      <c r="J997" s="26" t="n">
        <v>58.64</v>
      </c>
      <c r="K997" s="26" t="n">
        <v>0</v>
      </c>
      <c r="L997" s="27" t="n">
        <v>0.2</v>
      </c>
      <c r="M997" s="26" t="n">
        <v>107.2</v>
      </c>
      <c r="N997" s="28" t="n">
        <v>4.5</v>
      </c>
      <c r="O997" s="28" t="n">
        <v>33</v>
      </c>
      <c r="P997" s="25" t="inlineStr">
        <is>
          <t>Debit Card</t>
        </is>
      </c>
      <c r="Q997" s="25" t="inlineStr">
        <is>
          <t>Delivered</t>
        </is>
      </c>
      <c r="R997" s="25" t="n">
        <v>5</v>
      </c>
      <c r="S997" s="25">
        <f>TEXT(B997,"yyyy-mm")</f>
        <v/>
      </c>
      <c r="T997" s="25">
        <f>VLOOKUP(D997,Customers!A:D,4,FALSE)</f>
        <v/>
      </c>
      <c r="U997" s="25">
        <f>CONCATENATE(A997,"-",G997)</f>
        <v/>
      </c>
      <c r="V997" s="25">
        <f>IF(N997="","",IF(N997&lt;=30,"Fast (&lt;30m)",IF(N997&lt;=45,"Moderate (30-45m)","Delayed (&gt;45m)")))</f>
        <v/>
      </c>
      <c r="W997" s="25">
        <f>IF(AND(I997&gt;600,P997="Delivered"),"High Value Delivered","Standard")</f>
        <v/>
      </c>
      <c r="X997" s="25">
        <f>IF(OR(N997&gt;50,Q997&lt;=2),"High Risk / Delayed","Normal")</f>
        <v/>
      </c>
      <c r="Y997" s="25">
        <f>IF(NOT(P997="Cancelled"),"Fulfilled","Cancelled")</f>
        <v/>
      </c>
      <c r="Z997" s="25">
        <f>IFERROR(Q997,0)</f>
        <v/>
      </c>
    </row>
    <row r="998">
      <c r="A998" s="17" t="inlineStr">
        <is>
          <t>ORD1997</t>
        </is>
      </c>
      <c r="B998" s="17" t="inlineStr">
        <is>
          <t>2025-05-24</t>
        </is>
      </c>
      <c r="C998" s="17" t="inlineStr">
        <is>
          <t>18:36:23</t>
        </is>
      </c>
      <c r="D998" s="17" t="n">
        <v>1160</v>
      </c>
      <c r="E998" s="17" t="n">
        <v>110</v>
      </c>
      <c r="F998" s="17" t="n">
        <v>208</v>
      </c>
      <c r="G998" s="17" t="inlineStr">
        <is>
          <t>Pune</t>
        </is>
      </c>
      <c r="H998" s="17" t="inlineStr">
        <is>
          <t>North Indian</t>
        </is>
      </c>
      <c r="I998" s="22" t="n">
        <v>581</v>
      </c>
      <c r="J998" s="22" t="n">
        <v>32.68</v>
      </c>
      <c r="K998" s="22" t="n">
        <v>40.5</v>
      </c>
      <c r="L998" s="23" t="n">
        <v>0.18</v>
      </c>
      <c r="M998" s="22" t="n">
        <v>114.7</v>
      </c>
      <c r="N998" s="24" t="n">
        <v>6.1</v>
      </c>
      <c r="O998" s="24" t="n">
        <v>31.7</v>
      </c>
      <c r="P998" s="17" t="inlineStr">
        <is>
          <t>Cash on Delivery</t>
        </is>
      </c>
      <c r="Q998" s="17" t="inlineStr">
        <is>
          <t>Delivered</t>
        </is>
      </c>
      <c r="R998" s="17" t="n">
        <v>3</v>
      </c>
      <c r="S998" s="17">
        <f>TEXT(B998,"yyyy-mm")</f>
        <v/>
      </c>
      <c r="T998" s="17">
        <f>VLOOKUP(D998,Customers!A:D,4,FALSE)</f>
        <v/>
      </c>
      <c r="U998" s="17">
        <f>CONCATENATE(A998,"-",G998)</f>
        <v/>
      </c>
      <c r="V998" s="17">
        <f>IF(N998="","",IF(N998&lt;=30,"Fast (&lt;30m)",IF(N998&lt;=45,"Moderate (30-45m)","Delayed (&gt;45m)")))</f>
        <v/>
      </c>
      <c r="W998" s="17">
        <f>IF(AND(I998&gt;600,P998="Delivered"),"High Value Delivered","Standard")</f>
        <v/>
      </c>
      <c r="X998" s="17">
        <f>IF(OR(N998&gt;50,Q998&lt;=2),"High Risk / Delayed","Normal")</f>
        <v/>
      </c>
      <c r="Y998" s="17">
        <f>IF(NOT(P998="Cancelled"),"Fulfilled","Cancelled")</f>
        <v/>
      </c>
      <c r="Z998" s="17">
        <f>IFERROR(Q998,0)</f>
        <v/>
      </c>
    </row>
    <row r="999">
      <c r="A999" s="25" t="inlineStr">
        <is>
          <t>ORD1998</t>
        </is>
      </c>
      <c r="B999" s="25" t="inlineStr">
        <is>
          <t>2025-08-15</t>
        </is>
      </c>
      <c r="C999" s="25" t="inlineStr">
        <is>
          <t>18:41:59</t>
        </is>
      </c>
      <c r="D999" s="25" t="n">
        <v>1169</v>
      </c>
      <c r="E999" s="25" t="n">
        <v>107</v>
      </c>
      <c r="F999" s="25" t="n">
        <v>229</v>
      </c>
      <c r="G999" s="25" t="inlineStr">
        <is>
          <t>Mumbai</t>
        </is>
      </c>
      <c r="H999" s="25" t="inlineStr">
        <is>
          <t>Desserts</t>
        </is>
      </c>
      <c r="I999" s="26" t="n">
        <v>363</v>
      </c>
      <c r="J999" s="26" t="n">
        <v>28.22</v>
      </c>
      <c r="K999" s="26" t="n">
        <v>28.5</v>
      </c>
      <c r="L999" s="27" t="n">
        <v>0.25</v>
      </c>
      <c r="M999" s="26" t="n">
        <v>97.88</v>
      </c>
      <c r="N999" s="28" t="n">
        <v>3.7</v>
      </c>
      <c r="O999" s="28" t="n">
        <v/>
      </c>
      <c r="P999" s="25" t="inlineStr">
        <is>
          <t>Debit Card</t>
        </is>
      </c>
      <c r="Q999" s="25" t="inlineStr">
        <is>
          <t>Cancelled</t>
        </is>
      </c>
      <c r="R999" s="25" t="n">
        <v/>
      </c>
      <c r="S999" s="25">
        <f>TEXT(B999,"yyyy-mm")</f>
        <v/>
      </c>
      <c r="T999" s="25">
        <f>VLOOKUP(D999,Customers!A:D,4,FALSE)</f>
        <v/>
      </c>
      <c r="U999" s="25">
        <f>CONCATENATE(A999,"-",G999)</f>
        <v/>
      </c>
      <c r="V999" s="25">
        <f>IF(N999="","",IF(N999&lt;=30,"Fast (&lt;30m)",IF(N999&lt;=45,"Moderate (30-45m)","Delayed (&gt;45m)")))</f>
        <v/>
      </c>
      <c r="W999" s="25">
        <f>IF(AND(I999&gt;600,P999="Delivered"),"High Value Delivered","Standard")</f>
        <v/>
      </c>
      <c r="X999" s="25">
        <f>IF(OR(N999&gt;50,Q999&lt;=2),"High Risk / Delayed","Normal")</f>
        <v/>
      </c>
      <c r="Y999" s="25">
        <f>IF(NOT(P999="Cancelled"),"Fulfilled","Cancelled")</f>
        <v/>
      </c>
      <c r="Z999" s="25">
        <f>IFERROR(Q999,0)</f>
        <v/>
      </c>
    </row>
    <row r="1000">
      <c r="A1000" s="17" t="inlineStr">
        <is>
          <t>ORD1999</t>
        </is>
      </c>
      <c r="B1000" s="17" t="inlineStr">
        <is>
          <t>2025-11-14</t>
        </is>
      </c>
      <c r="C1000" s="17" t="inlineStr">
        <is>
          <t>20:58:43</t>
        </is>
      </c>
      <c r="D1000" s="17" t="n">
        <v>1229</v>
      </c>
      <c r="E1000" s="17" t="n">
        <v>107</v>
      </c>
      <c r="F1000" s="17" t="n">
        <v>206</v>
      </c>
      <c r="G1000" s="17" t="inlineStr">
        <is>
          <t>Mumbai</t>
        </is>
      </c>
      <c r="H1000" s="17" t="inlineStr">
        <is>
          <t>Desserts</t>
        </is>
      </c>
      <c r="I1000" s="22" t="n">
        <v>564</v>
      </c>
      <c r="J1000" s="22" t="n">
        <v>77.08</v>
      </c>
      <c r="K1000" s="22" t="n">
        <v>0</v>
      </c>
      <c r="L1000" s="23" t="n">
        <v>0.25</v>
      </c>
      <c r="M1000" s="22" t="n">
        <v>141</v>
      </c>
      <c r="N1000" s="24" t="n">
        <v>5.3</v>
      </c>
      <c r="O1000" s="24" t="n">
        <v>49.2</v>
      </c>
      <c r="P1000" s="17" t="inlineStr">
        <is>
          <t>Debit Card</t>
        </is>
      </c>
      <c r="Q1000" s="17" t="inlineStr">
        <is>
          <t>Delivered</t>
        </is>
      </c>
      <c r="R1000" s="17" t="n">
        <v>2</v>
      </c>
      <c r="S1000" s="17">
        <f>TEXT(B1000,"yyyy-mm")</f>
        <v/>
      </c>
      <c r="T1000" s="17">
        <f>VLOOKUP(D1000,Customers!A:D,4,FALSE)</f>
        <v/>
      </c>
      <c r="U1000" s="17">
        <f>CONCATENATE(A1000,"-",G1000)</f>
        <v/>
      </c>
      <c r="V1000" s="17">
        <f>IF(N1000="","",IF(N1000&lt;=30,"Fast (&lt;30m)",IF(N1000&lt;=45,"Moderate (30-45m)","Delayed (&gt;45m)")))</f>
        <v/>
      </c>
      <c r="W1000" s="17">
        <f>IF(AND(I1000&gt;600,P1000="Delivered"),"High Value Delivered","Standard")</f>
        <v/>
      </c>
      <c r="X1000" s="17">
        <f>IF(OR(N1000&gt;50,Q1000&lt;=2),"High Risk / Delayed","Normal")</f>
        <v/>
      </c>
      <c r="Y1000" s="17">
        <f>IF(NOT(P1000="Cancelled"),"Fulfilled","Cancelled")</f>
        <v/>
      </c>
      <c r="Z1000" s="17">
        <f>IFERROR(Q1000,0)</f>
        <v/>
      </c>
    </row>
    <row r="1001">
      <c r="A1001" s="25" t="inlineStr">
        <is>
          <t>ORD2000</t>
        </is>
      </c>
      <c r="B1001" s="25" t="inlineStr">
        <is>
          <t>2025-09-17</t>
        </is>
      </c>
      <c r="C1001" s="25" t="inlineStr">
        <is>
          <t>22:28:16</t>
        </is>
      </c>
      <c r="D1001" s="25" t="n">
        <v>1133</v>
      </c>
      <c r="E1001" s="25" t="n">
        <v>118</v>
      </c>
      <c r="F1001" s="25" t="n">
        <v>228</v>
      </c>
      <c r="G1001" s="25" t="inlineStr">
        <is>
          <t>Delhi NCR</t>
        </is>
      </c>
      <c r="H1001" s="25" t="inlineStr">
        <is>
          <t>North Indian</t>
        </is>
      </c>
      <c r="I1001" s="26" t="n">
        <v>918</v>
      </c>
      <c r="J1001" s="26" t="n">
        <v>0</v>
      </c>
      <c r="K1001" s="26" t="n">
        <v>25</v>
      </c>
      <c r="L1001" s="27" t="n">
        <v>0.2</v>
      </c>
      <c r="M1001" s="26" t="n">
        <v>189.85</v>
      </c>
      <c r="N1001" s="28" t="n">
        <v>2.8</v>
      </c>
      <c r="O1001" s="28" t="n">
        <v>37</v>
      </c>
      <c r="P1001" s="25" t="inlineStr">
        <is>
          <t>UPI</t>
        </is>
      </c>
      <c r="Q1001" s="25" t="inlineStr">
        <is>
          <t>Delivered</t>
        </is>
      </c>
      <c r="R1001" s="25" t="n">
        <v>4</v>
      </c>
      <c r="S1001" s="25">
        <f>TEXT(B1001,"yyyy-mm")</f>
        <v/>
      </c>
      <c r="T1001" s="25">
        <f>VLOOKUP(D1001,Customers!A:D,4,FALSE)</f>
        <v/>
      </c>
      <c r="U1001" s="25">
        <f>CONCATENATE(A1001,"-",G1001)</f>
        <v/>
      </c>
      <c r="V1001" s="25">
        <f>IF(N1001="","",IF(N1001&lt;=30,"Fast (&lt;30m)",IF(N1001&lt;=45,"Moderate (30-45m)","Delayed (&gt;45m)")))</f>
        <v/>
      </c>
      <c r="W1001" s="25">
        <f>IF(AND(I1001&gt;600,P1001="Delivered"),"High Value Delivered","Standard")</f>
        <v/>
      </c>
      <c r="X1001" s="25">
        <f>IF(OR(N1001&gt;50,Q1001&lt;=2),"High Risk / Delayed","Normal")</f>
        <v/>
      </c>
      <c r="Y1001" s="25">
        <f>IF(NOT(P1001="Cancelled"),"Fulfilled","Cancelled")</f>
        <v/>
      </c>
      <c r="Z1001" s="25">
        <f>IFERROR(Q1001,0)</f>
        <v/>
      </c>
    </row>
    <row r="1002">
      <c r="A1002" s="17" t="inlineStr">
        <is>
          <t>ORD2001</t>
        </is>
      </c>
      <c r="B1002" s="17" t="inlineStr">
        <is>
          <t>2025-02-23</t>
        </is>
      </c>
      <c r="C1002" s="17" t="inlineStr">
        <is>
          <t>10:18:24</t>
        </is>
      </c>
      <c r="D1002" s="17" t="n">
        <v>1183</v>
      </c>
      <c r="E1002" s="17" t="n">
        <v>107</v>
      </c>
      <c r="F1002" s="17" t="n">
        <v>222</v>
      </c>
      <c r="G1002" s="17" t="inlineStr">
        <is>
          <t>Mumbai</t>
        </is>
      </c>
      <c r="H1002" s="17" t="inlineStr">
        <is>
          <t>Desserts</t>
        </is>
      </c>
      <c r="I1002" s="22" t="n">
        <v>627</v>
      </c>
      <c r="J1002" s="22" t="n">
        <v>87.73</v>
      </c>
      <c r="K1002" s="22" t="n">
        <v>0</v>
      </c>
      <c r="L1002" s="23" t="n">
        <v>0.25</v>
      </c>
      <c r="M1002" s="22" t="n">
        <v>156.75</v>
      </c>
      <c r="N1002" s="24" t="n">
        <v>3.4</v>
      </c>
      <c r="O1002" s="24" t="n">
        <v>24.4</v>
      </c>
      <c r="P1002" s="17" t="inlineStr">
        <is>
          <t>Cash on Delivery</t>
        </is>
      </c>
      <c r="Q1002" s="17" t="inlineStr">
        <is>
          <t>Delivered</t>
        </is>
      </c>
      <c r="R1002" s="17" t="n">
        <v>4</v>
      </c>
      <c r="S1002" s="17">
        <f>TEXT(B1002,"yyyy-mm")</f>
        <v/>
      </c>
      <c r="T1002" s="17">
        <f>VLOOKUP(D1002,Customers!A:D,4,FALSE)</f>
        <v/>
      </c>
      <c r="U1002" s="17">
        <f>CONCATENATE(A1002,"-",G1002)</f>
        <v/>
      </c>
      <c r="V1002" s="17">
        <f>IF(N1002="","",IF(N1002&lt;=30,"Fast (&lt;30m)",IF(N1002&lt;=45,"Moderate (30-45m)","Delayed (&gt;45m)")))</f>
        <v/>
      </c>
      <c r="W1002" s="17">
        <f>IF(AND(I1002&gt;600,P1002="Delivered"),"High Value Delivered","Standard")</f>
        <v/>
      </c>
      <c r="X1002" s="17">
        <f>IF(OR(N1002&gt;50,Q1002&lt;=2),"High Risk / Delayed","Normal")</f>
        <v/>
      </c>
      <c r="Y1002" s="17">
        <f>IF(NOT(P1002="Cancelled"),"Fulfilled","Cancelled")</f>
        <v/>
      </c>
      <c r="Z1002" s="17">
        <f>IFERROR(Q1002,0)</f>
        <v/>
      </c>
    </row>
    <row r="1003">
      <c r="A1003" s="25" t="inlineStr">
        <is>
          <t>ORD2002</t>
        </is>
      </c>
      <c r="B1003" s="25" t="inlineStr">
        <is>
          <t>2025-08-27</t>
        </is>
      </c>
      <c r="C1003" s="25" t="inlineStr">
        <is>
          <t>17:29:41</t>
        </is>
      </c>
      <c r="D1003" s="25" t="n">
        <v>1020</v>
      </c>
      <c r="E1003" s="25" t="n">
        <v>112</v>
      </c>
      <c r="F1003" s="25" t="n">
        <v>230</v>
      </c>
      <c r="G1003" s="25" t="inlineStr">
        <is>
          <t>Delhi NCR</t>
        </is>
      </c>
      <c r="H1003" s="25" t="inlineStr">
        <is>
          <t>North Indian</t>
        </is>
      </c>
      <c r="I1003" s="26" t="n">
        <v>767</v>
      </c>
      <c r="J1003" s="26" t="n">
        <v>28.52</v>
      </c>
      <c r="K1003" s="26" t="n">
        <v>37</v>
      </c>
      <c r="L1003" s="27" t="n">
        <v>0.22</v>
      </c>
      <c r="M1003" s="26" t="n">
        <v>177.99</v>
      </c>
      <c r="N1003" s="28" t="n">
        <v>5.4</v>
      </c>
      <c r="O1003" s="28" t="n">
        <v>30.9</v>
      </c>
      <c r="P1003" s="25" t="inlineStr">
        <is>
          <t>UPI</t>
        </is>
      </c>
      <c r="Q1003" s="25" t="inlineStr">
        <is>
          <t>Delivered</t>
        </is>
      </c>
      <c r="R1003" s="25" t="n">
        <v>5</v>
      </c>
      <c r="S1003" s="25">
        <f>TEXT(B1003,"yyyy-mm")</f>
        <v/>
      </c>
      <c r="T1003" s="25">
        <f>VLOOKUP(D1003,Customers!A:D,4,FALSE)</f>
        <v/>
      </c>
      <c r="U1003" s="25">
        <f>CONCATENATE(A1003,"-",G1003)</f>
        <v/>
      </c>
      <c r="V1003" s="25">
        <f>IF(N1003="","",IF(N1003&lt;=30,"Fast (&lt;30m)",IF(N1003&lt;=45,"Moderate (30-45m)","Delayed (&gt;45m)")))</f>
        <v/>
      </c>
      <c r="W1003" s="25">
        <f>IF(AND(I1003&gt;600,P1003="Delivered"),"High Value Delivered","Standard")</f>
        <v/>
      </c>
      <c r="X1003" s="25">
        <f>IF(OR(N1003&gt;50,Q1003&lt;=2),"High Risk / Delayed","Normal")</f>
        <v/>
      </c>
      <c r="Y1003" s="25">
        <f>IF(NOT(P1003="Cancelled"),"Fulfilled","Cancelled")</f>
        <v/>
      </c>
      <c r="Z1003" s="25">
        <f>IFERROR(Q1003,0)</f>
        <v/>
      </c>
    </row>
    <row r="1004">
      <c r="A1004" s="17" t="inlineStr">
        <is>
          <t>ORD2003</t>
        </is>
      </c>
      <c r="B1004" s="17" t="inlineStr">
        <is>
          <t>2025-07-25</t>
        </is>
      </c>
      <c r="C1004" s="17" t="inlineStr">
        <is>
          <t>20:21:04</t>
        </is>
      </c>
      <c r="D1004" s="17" t="n">
        <v>1262</v>
      </c>
      <c r="E1004" s="17" t="n">
        <v>108</v>
      </c>
      <c r="F1004" s="17" t="n">
        <v>211</v>
      </c>
      <c r="G1004" s="17" t="inlineStr">
        <is>
          <t>Delhi NCR</t>
        </is>
      </c>
      <c r="H1004" s="17" t="inlineStr">
        <is>
          <t>Fast Food</t>
        </is>
      </c>
      <c r="I1004" s="22" t="n">
        <v>731</v>
      </c>
      <c r="J1004" s="22" t="n">
        <v>145.94</v>
      </c>
      <c r="K1004" s="22" t="n">
        <v>0</v>
      </c>
      <c r="L1004" s="23" t="n">
        <v>0.18</v>
      </c>
      <c r="M1004" s="22" t="n">
        <v>131.58</v>
      </c>
      <c r="N1004" s="24" t="n">
        <v>3.6</v>
      </c>
      <c r="O1004" s="24" t="n">
        <v>36.2</v>
      </c>
      <c r="P1004" s="17" t="inlineStr">
        <is>
          <t>Cash on Delivery</t>
        </is>
      </c>
      <c r="Q1004" s="17" t="inlineStr">
        <is>
          <t>Delivered</t>
        </is>
      </c>
      <c r="R1004" s="17" t="n">
        <v>4</v>
      </c>
      <c r="S1004" s="17">
        <f>TEXT(B1004,"yyyy-mm")</f>
        <v/>
      </c>
      <c r="T1004" s="17">
        <f>VLOOKUP(D1004,Customers!A:D,4,FALSE)</f>
        <v/>
      </c>
      <c r="U1004" s="17">
        <f>CONCATENATE(A1004,"-",G1004)</f>
        <v/>
      </c>
      <c r="V1004" s="17">
        <f>IF(N1004="","",IF(N1004&lt;=30,"Fast (&lt;30m)",IF(N1004&lt;=45,"Moderate (30-45m)","Delayed (&gt;45m)")))</f>
        <v/>
      </c>
      <c r="W1004" s="17">
        <f>IF(AND(I1004&gt;600,P1004="Delivered"),"High Value Delivered","Standard")</f>
        <v/>
      </c>
      <c r="X1004" s="17">
        <f>IF(OR(N1004&gt;50,Q1004&lt;=2),"High Risk / Delayed","Normal")</f>
        <v/>
      </c>
      <c r="Y1004" s="17">
        <f>IF(NOT(P1004="Cancelled"),"Fulfilled","Cancelled")</f>
        <v/>
      </c>
      <c r="Z1004" s="17">
        <f>IFERROR(Q1004,0)</f>
        <v/>
      </c>
    </row>
    <row r="1005">
      <c r="A1005" s="25" t="inlineStr">
        <is>
          <t>ORD2004</t>
        </is>
      </c>
      <c r="B1005" s="25" t="inlineStr">
        <is>
          <t>2025-08-21</t>
        </is>
      </c>
      <c r="C1005" s="25" t="inlineStr">
        <is>
          <t>19:02:34</t>
        </is>
      </c>
      <c r="D1005" s="25" t="n">
        <v>1106</v>
      </c>
      <c r="E1005" s="25" t="n">
        <v>115</v>
      </c>
      <c r="F1005" s="25" t="n">
        <v>210</v>
      </c>
      <c r="G1005" s="25" t="inlineStr">
        <is>
          <t>Bangalore</t>
        </is>
      </c>
      <c r="H1005" s="25" t="inlineStr">
        <is>
          <t>Italian</t>
        </is>
      </c>
      <c r="I1005" s="26" t="n">
        <v>379</v>
      </c>
      <c r="J1005" s="26" t="n">
        <v>4.41</v>
      </c>
      <c r="K1005" s="26" t="n">
        <v>30</v>
      </c>
      <c r="L1005" s="27" t="n">
        <v>0.2</v>
      </c>
      <c r="M1005" s="26" t="n">
        <v>83.3</v>
      </c>
      <c r="N1005" s="28" t="n">
        <v>4</v>
      </c>
      <c r="O1005" s="28" t="n">
        <v>29.9</v>
      </c>
      <c r="P1005" s="25" t="inlineStr">
        <is>
          <t>Digital Wallet</t>
        </is>
      </c>
      <c r="Q1005" s="25" t="inlineStr">
        <is>
          <t>Delivered</t>
        </is>
      </c>
      <c r="R1005" s="25" t="n">
        <v>3</v>
      </c>
      <c r="S1005" s="25">
        <f>TEXT(B1005,"yyyy-mm")</f>
        <v/>
      </c>
      <c r="T1005" s="25">
        <f>VLOOKUP(D1005,Customers!A:D,4,FALSE)</f>
        <v/>
      </c>
      <c r="U1005" s="25">
        <f>CONCATENATE(A1005,"-",G1005)</f>
        <v/>
      </c>
      <c r="V1005" s="25">
        <f>IF(N1005="","",IF(N1005&lt;=30,"Fast (&lt;30m)",IF(N1005&lt;=45,"Moderate (30-45m)","Delayed (&gt;45m)")))</f>
        <v/>
      </c>
      <c r="W1005" s="25">
        <f>IF(AND(I1005&gt;600,P1005="Delivered"),"High Value Delivered","Standard")</f>
        <v/>
      </c>
      <c r="X1005" s="25">
        <f>IF(OR(N1005&gt;50,Q1005&lt;=2),"High Risk / Delayed","Normal")</f>
        <v/>
      </c>
      <c r="Y1005" s="25">
        <f>IF(NOT(P1005="Cancelled"),"Fulfilled","Cancelled")</f>
        <v/>
      </c>
      <c r="Z1005" s="25">
        <f>IFERROR(Q1005,0)</f>
        <v/>
      </c>
    </row>
    <row r="1006">
      <c r="A1006" s="17" t="inlineStr">
        <is>
          <t>ORD2005</t>
        </is>
      </c>
      <c r="B1006" s="17" t="inlineStr">
        <is>
          <t>2025-02-01</t>
        </is>
      </c>
      <c r="C1006" s="17" t="inlineStr">
        <is>
          <t>20:59:51</t>
        </is>
      </c>
      <c r="D1006" s="17" t="n">
        <v>1041</v>
      </c>
      <c r="E1006" s="17" t="n">
        <v>114</v>
      </c>
      <c r="F1006" s="17" t="n">
        <v>216</v>
      </c>
      <c r="G1006" s="17" t="inlineStr">
        <is>
          <t>Hyderabad</t>
        </is>
      </c>
      <c r="H1006" s="17" t="inlineStr">
        <is>
          <t>Biryani</t>
        </is>
      </c>
      <c r="I1006" s="22" t="n">
        <v>590</v>
      </c>
      <c r="J1006" s="22" t="n">
        <v>46.19</v>
      </c>
      <c r="K1006" s="22" t="n">
        <v>31</v>
      </c>
      <c r="L1006" s="23" t="n">
        <v>0.22</v>
      </c>
      <c r="M1006" s="22" t="n">
        <v>137.55</v>
      </c>
      <c r="N1006" s="24" t="n">
        <v>4.2</v>
      </c>
      <c r="O1006" s="24" t="n">
        <v>34.3</v>
      </c>
      <c r="P1006" s="17" t="inlineStr">
        <is>
          <t>Credit Card</t>
        </is>
      </c>
      <c r="Q1006" s="17" t="inlineStr">
        <is>
          <t>Delivered</t>
        </is>
      </c>
      <c r="R1006" s="17" t="n">
        <v>5</v>
      </c>
      <c r="S1006" s="17">
        <f>TEXT(B1006,"yyyy-mm")</f>
        <v/>
      </c>
      <c r="T1006" s="17">
        <f>VLOOKUP(D1006,Customers!A:D,4,FALSE)</f>
        <v/>
      </c>
      <c r="U1006" s="17">
        <f>CONCATENATE(A1006,"-",G1006)</f>
        <v/>
      </c>
      <c r="V1006" s="17">
        <f>IF(N1006="","",IF(N1006&lt;=30,"Fast (&lt;30m)",IF(N1006&lt;=45,"Moderate (30-45m)","Delayed (&gt;45m)")))</f>
        <v/>
      </c>
      <c r="W1006" s="17">
        <f>IF(AND(I1006&gt;600,P1006="Delivered"),"High Value Delivered","Standard")</f>
        <v/>
      </c>
      <c r="X1006" s="17">
        <f>IF(OR(N1006&gt;50,Q1006&lt;=2),"High Risk / Delayed","Normal")</f>
        <v/>
      </c>
      <c r="Y1006" s="17">
        <f>IF(NOT(P1006="Cancelled"),"Fulfilled","Cancelled")</f>
        <v/>
      </c>
      <c r="Z1006" s="17">
        <f>IFERROR(Q1006,0)</f>
        <v/>
      </c>
    </row>
    <row r="1007">
      <c r="A1007" s="25" t="inlineStr">
        <is>
          <t>ORD2006</t>
        </is>
      </c>
      <c r="B1007" s="25" t="inlineStr">
        <is>
          <t>2025-05-19</t>
        </is>
      </c>
      <c r="C1007" s="25" t="inlineStr">
        <is>
          <t>21:16:40</t>
        </is>
      </c>
      <c r="D1007" s="25" t="n">
        <v>1232</v>
      </c>
      <c r="E1007" s="25" t="n">
        <v>102</v>
      </c>
      <c r="F1007" s="25" t="n">
        <v>225</v>
      </c>
      <c r="G1007" s="25" t="inlineStr">
        <is>
          <t>Hyderabad</t>
        </is>
      </c>
      <c r="H1007" s="25" t="inlineStr">
        <is>
          <t>Biryani</t>
        </is>
      </c>
      <c r="I1007" s="26" t="n">
        <v>400</v>
      </c>
      <c r="J1007" s="26" t="n">
        <v>0</v>
      </c>
      <c r="K1007" s="26" t="n">
        <v>26.5</v>
      </c>
      <c r="L1007" s="27" t="n">
        <v>0.22</v>
      </c>
      <c r="M1007" s="26" t="n">
        <v>94.62</v>
      </c>
      <c r="N1007" s="28" t="n">
        <v>3.3</v>
      </c>
      <c r="O1007" s="28" t="n">
        <v>27.8</v>
      </c>
      <c r="P1007" s="25" t="inlineStr">
        <is>
          <t>Cash on Delivery</t>
        </is>
      </c>
      <c r="Q1007" s="25" t="inlineStr">
        <is>
          <t>Delivered</t>
        </is>
      </c>
      <c r="R1007" s="25" t="n">
        <v>4</v>
      </c>
      <c r="S1007" s="25">
        <f>TEXT(B1007,"yyyy-mm")</f>
        <v/>
      </c>
      <c r="T1007" s="25">
        <f>VLOOKUP(D1007,Customers!A:D,4,FALSE)</f>
        <v/>
      </c>
      <c r="U1007" s="25">
        <f>CONCATENATE(A1007,"-",G1007)</f>
        <v/>
      </c>
      <c r="V1007" s="25">
        <f>IF(N1007="","",IF(N1007&lt;=30,"Fast (&lt;30m)",IF(N1007&lt;=45,"Moderate (30-45m)","Delayed (&gt;45m)")))</f>
        <v/>
      </c>
      <c r="W1007" s="25">
        <f>IF(AND(I1007&gt;600,P1007="Delivered"),"High Value Delivered","Standard")</f>
        <v/>
      </c>
      <c r="X1007" s="25">
        <f>IF(OR(N1007&gt;50,Q1007&lt;=2),"High Risk / Delayed","Normal")</f>
        <v/>
      </c>
      <c r="Y1007" s="25">
        <f>IF(NOT(P1007="Cancelled"),"Fulfilled","Cancelled")</f>
        <v/>
      </c>
      <c r="Z1007" s="25">
        <f>IFERROR(Q1007,0)</f>
        <v/>
      </c>
    </row>
    <row r="1008">
      <c r="A1008" s="17" t="inlineStr">
        <is>
          <t>ORD2007</t>
        </is>
      </c>
      <c r="B1008" s="17" t="inlineStr">
        <is>
          <t>2025-12-31</t>
        </is>
      </c>
      <c r="C1008" s="17" t="inlineStr">
        <is>
          <t>19:28:55</t>
        </is>
      </c>
      <c r="D1008" s="17" t="n">
        <v>1062</v>
      </c>
      <c r="E1008" s="17" t="n">
        <v>113</v>
      </c>
      <c r="F1008" s="17" t="n">
        <v>206</v>
      </c>
      <c r="G1008" s="17" t="inlineStr">
        <is>
          <t>Mumbai</t>
        </is>
      </c>
      <c r="H1008" s="17" t="inlineStr">
        <is>
          <t>Fast Food</t>
        </is>
      </c>
      <c r="I1008" s="22" t="n">
        <v>649</v>
      </c>
      <c r="J1008" s="22" t="n">
        <v>34.77</v>
      </c>
      <c r="K1008" s="22" t="n">
        <v>37.5</v>
      </c>
      <c r="L1008" s="23" t="n">
        <v>0.18</v>
      </c>
      <c r="M1008" s="22" t="n">
        <v>126.2</v>
      </c>
      <c r="N1008" s="24" t="n">
        <v>5.5</v>
      </c>
      <c r="O1008" s="24" t="n">
        <v>40.4</v>
      </c>
      <c r="P1008" s="17" t="inlineStr">
        <is>
          <t>UPI</t>
        </is>
      </c>
      <c r="Q1008" s="17" t="inlineStr">
        <is>
          <t>Delivered</t>
        </is>
      </c>
      <c r="R1008" s="17" t="n">
        <v>4</v>
      </c>
      <c r="S1008" s="17">
        <f>TEXT(B1008,"yyyy-mm")</f>
        <v/>
      </c>
      <c r="T1008" s="17">
        <f>VLOOKUP(D1008,Customers!A:D,4,FALSE)</f>
        <v/>
      </c>
      <c r="U1008" s="17">
        <f>CONCATENATE(A1008,"-",G1008)</f>
        <v/>
      </c>
      <c r="V1008" s="17">
        <f>IF(N1008="","",IF(N1008&lt;=30,"Fast (&lt;30m)",IF(N1008&lt;=45,"Moderate (30-45m)","Delayed (&gt;45m)")))</f>
        <v/>
      </c>
      <c r="W1008" s="17">
        <f>IF(AND(I1008&gt;600,P1008="Delivered"),"High Value Delivered","Standard")</f>
        <v/>
      </c>
      <c r="X1008" s="17">
        <f>IF(OR(N1008&gt;50,Q1008&lt;=2),"High Risk / Delayed","Normal")</f>
        <v/>
      </c>
      <c r="Y1008" s="17">
        <f>IF(NOT(P1008="Cancelled"),"Fulfilled","Cancelled")</f>
        <v/>
      </c>
      <c r="Z1008" s="17">
        <f>IFERROR(Q1008,0)</f>
        <v/>
      </c>
    </row>
    <row r="1009">
      <c r="A1009" s="25" t="inlineStr">
        <is>
          <t>ORD2008</t>
        </is>
      </c>
      <c r="B1009" s="25" t="inlineStr">
        <is>
          <t>2025-06-25</t>
        </is>
      </c>
      <c r="C1009" s="25" t="inlineStr">
        <is>
          <t>21:48:19</t>
        </is>
      </c>
      <c r="D1009" s="25" t="n">
        <v>1080</v>
      </c>
      <c r="E1009" s="25" t="n">
        <v>106</v>
      </c>
      <c r="F1009" s="25" t="n">
        <v>204</v>
      </c>
      <c r="G1009" s="25" t="inlineStr">
        <is>
          <t>Pune</t>
        </is>
      </c>
      <c r="H1009" s="25" t="inlineStr">
        <is>
          <t>South Indian</t>
        </is>
      </c>
      <c r="I1009" s="26" t="n">
        <v>388</v>
      </c>
      <c r="J1009" s="26" t="n">
        <v>0</v>
      </c>
      <c r="K1009" s="26" t="n">
        <v>32</v>
      </c>
      <c r="L1009" s="27" t="n">
        <v>0.15</v>
      </c>
      <c r="M1009" s="26" t="n">
        <v>66.2</v>
      </c>
      <c r="N1009" s="28" t="n">
        <v>4.4</v>
      </c>
      <c r="O1009" s="28" t="n">
        <v>39.4</v>
      </c>
      <c r="P1009" s="25" t="inlineStr">
        <is>
          <t>Cash on Delivery</t>
        </is>
      </c>
      <c r="Q1009" s="25" t="inlineStr">
        <is>
          <t>Delivered</t>
        </is>
      </c>
      <c r="R1009" s="25" t="n">
        <v>4</v>
      </c>
      <c r="S1009" s="25">
        <f>TEXT(B1009,"yyyy-mm")</f>
        <v/>
      </c>
      <c r="T1009" s="25">
        <f>VLOOKUP(D1009,Customers!A:D,4,FALSE)</f>
        <v/>
      </c>
      <c r="U1009" s="25">
        <f>CONCATENATE(A1009,"-",G1009)</f>
        <v/>
      </c>
      <c r="V1009" s="25">
        <f>IF(N1009="","",IF(N1009&lt;=30,"Fast (&lt;30m)",IF(N1009&lt;=45,"Moderate (30-45m)","Delayed (&gt;45m)")))</f>
        <v/>
      </c>
      <c r="W1009" s="25">
        <f>IF(AND(I1009&gt;600,P1009="Delivered"),"High Value Delivered","Standard")</f>
        <v/>
      </c>
      <c r="X1009" s="25">
        <f>IF(OR(N1009&gt;50,Q1009&lt;=2),"High Risk / Delayed","Normal")</f>
        <v/>
      </c>
      <c r="Y1009" s="25">
        <f>IF(NOT(P1009="Cancelled"),"Fulfilled","Cancelled")</f>
        <v/>
      </c>
      <c r="Z1009" s="25">
        <f>IFERROR(Q1009,0)</f>
        <v/>
      </c>
    </row>
    <row r="1010">
      <c r="A1010" s="17" t="inlineStr">
        <is>
          <t>ORD2009</t>
        </is>
      </c>
      <c r="B1010" s="17" t="inlineStr">
        <is>
          <t>2025-07-01</t>
        </is>
      </c>
      <c r="C1010" s="17" t="inlineStr">
        <is>
          <t>19:58:44</t>
        </is>
      </c>
      <c r="D1010" s="17" t="n">
        <v>1272</v>
      </c>
      <c r="E1010" s="17" t="n">
        <v>108</v>
      </c>
      <c r="F1010" s="17" t="n">
        <v>212</v>
      </c>
      <c r="G1010" s="17" t="inlineStr">
        <is>
          <t>Delhi NCR</t>
        </is>
      </c>
      <c r="H1010" s="17" t="inlineStr">
        <is>
          <t>Fast Food</t>
        </is>
      </c>
      <c r="I1010" s="22" t="n">
        <v>804</v>
      </c>
      <c r="J1010" s="22" t="n">
        <v>62.1</v>
      </c>
      <c r="K1010" s="22" t="n">
        <v>29</v>
      </c>
      <c r="L1010" s="23" t="n">
        <v>0.18</v>
      </c>
      <c r="M1010" s="22" t="n">
        <v>151.97</v>
      </c>
      <c r="N1010" s="24" t="n">
        <v>3.8</v>
      </c>
      <c r="O1010" s="24" t="n">
        <v>36.8</v>
      </c>
      <c r="P1010" s="17" t="inlineStr">
        <is>
          <t>Digital Wallet</t>
        </is>
      </c>
      <c r="Q1010" s="17" t="inlineStr">
        <is>
          <t>Delivered</t>
        </is>
      </c>
      <c r="R1010" s="17" t="n">
        <v>4</v>
      </c>
      <c r="S1010" s="17">
        <f>TEXT(B1010,"yyyy-mm")</f>
        <v/>
      </c>
      <c r="T1010" s="17">
        <f>VLOOKUP(D1010,Customers!A:D,4,FALSE)</f>
        <v/>
      </c>
      <c r="U1010" s="17">
        <f>CONCATENATE(A1010,"-",G1010)</f>
        <v/>
      </c>
      <c r="V1010" s="17">
        <f>IF(N1010="","",IF(N1010&lt;=30,"Fast (&lt;30m)",IF(N1010&lt;=45,"Moderate (30-45m)","Delayed (&gt;45m)")))</f>
        <v/>
      </c>
      <c r="W1010" s="17">
        <f>IF(AND(I1010&gt;600,P1010="Delivered"),"High Value Delivered","Standard")</f>
        <v/>
      </c>
      <c r="X1010" s="17">
        <f>IF(OR(N1010&gt;50,Q1010&lt;=2),"High Risk / Delayed","Normal")</f>
        <v/>
      </c>
      <c r="Y1010" s="17">
        <f>IF(NOT(P1010="Cancelled"),"Fulfilled","Cancelled")</f>
        <v/>
      </c>
      <c r="Z1010" s="17">
        <f>IFERROR(Q1010,0)</f>
        <v/>
      </c>
    </row>
    <row r="1011">
      <c r="A1011" s="25" t="inlineStr">
        <is>
          <t>ORD2010</t>
        </is>
      </c>
      <c r="B1011" s="25" t="inlineStr">
        <is>
          <t>2025-12-08</t>
        </is>
      </c>
      <c r="C1011" s="25" t="inlineStr">
        <is>
          <t>19:37:39</t>
        </is>
      </c>
      <c r="D1011" s="25" t="n">
        <v>1300</v>
      </c>
      <c r="E1011" s="25" t="n">
        <v>108</v>
      </c>
      <c r="F1011" s="25" t="n">
        <v>211</v>
      </c>
      <c r="G1011" s="25" t="inlineStr">
        <is>
          <t>Delhi NCR</t>
        </is>
      </c>
      <c r="H1011" s="25" t="inlineStr">
        <is>
          <t>Fast Food</t>
        </is>
      </c>
      <c r="I1011" s="26" t="n">
        <v>368</v>
      </c>
      <c r="J1011" s="26" t="n">
        <v>0</v>
      </c>
      <c r="K1011" s="26" t="n">
        <v>32.5</v>
      </c>
      <c r="L1011" s="27" t="n">
        <v>0.18</v>
      </c>
      <c r="M1011" s="26" t="n">
        <v>74.36</v>
      </c>
      <c r="N1011" s="28" t="n">
        <v>4.5</v>
      </c>
      <c r="O1011" s="28" t="n">
        <v>44.1</v>
      </c>
      <c r="P1011" s="25" t="inlineStr">
        <is>
          <t>Debit Card</t>
        </is>
      </c>
      <c r="Q1011" s="25" t="inlineStr">
        <is>
          <t>Delivered</t>
        </is>
      </c>
      <c r="R1011" s="25" t="n">
        <v>2</v>
      </c>
      <c r="S1011" s="25">
        <f>TEXT(B1011,"yyyy-mm")</f>
        <v/>
      </c>
      <c r="T1011" s="25">
        <f>VLOOKUP(D1011,Customers!A:D,4,FALSE)</f>
        <v/>
      </c>
      <c r="U1011" s="25">
        <f>CONCATENATE(A1011,"-",G1011)</f>
        <v/>
      </c>
      <c r="V1011" s="25">
        <f>IF(N1011="","",IF(N1011&lt;=30,"Fast (&lt;30m)",IF(N1011&lt;=45,"Moderate (30-45m)","Delayed (&gt;45m)")))</f>
        <v/>
      </c>
      <c r="W1011" s="25">
        <f>IF(AND(I1011&gt;600,P1011="Delivered"),"High Value Delivered","Standard")</f>
        <v/>
      </c>
      <c r="X1011" s="25">
        <f>IF(OR(N1011&gt;50,Q1011&lt;=2),"High Risk / Delayed","Normal")</f>
        <v/>
      </c>
      <c r="Y1011" s="25">
        <f>IF(NOT(P1011="Cancelled"),"Fulfilled","Cancelled")</f>
        <v/>
      </c>
      <c r="Z1011" s="25">
        <f>IFERROR(Q1011,0)</f>
        <v/>
      </c>
    </row>
    <row r="1012">
      <c r="A1012" s="17" t="inlineStr">
        <is>
          <t>ORD2011</t>
        </is>
      </c>
      <c r="B1012" s="17" t="inlineStr">
        <is>
          <t>2025-08-23</t>
        </is>
      </c>
      <c r="C1012" s="17" t="inlineStr">
        <is>
          <t>22:59:09</t>
        </is>
      </c>
      <c r="D1012" s="17" t="n">
        <v>1282</v>
      </c>
      <c r="E1012" s="17" t="n">
        <v>104</v>
      </c>
      <c r="F1012" s="17" t="n">
        <v>228</v>
      </c>
      <c r="G1012" s="17" t="inlineStr">
        <is>
          <t>Delhi NCR</t>
        </is>
      </c>
      <c r="H1012" s="17" t="inlineStr">
        <is>
          <t>Fast Food</t>
        </is>
      </c>
      <c r="I1012" s="22" t="n">
        <v>731</v>
      </c>
      <c r="J1012" s="22" t="n">
        <v>6.64</v>
      </c>
      <c r="K1012" s="22" t="n">
        <v>34.5</v>
      </c>
      <c r="L1012" s="23" t="n">
        <v>0.18</v>
      </c>
      <c r="M1012" s="22" t="n">
        <v>140.2</v>
      </c>
      <c r="N1012" s="24" t="n">
        <v>4.9</v>
      </c>
      <c r="O1012" s="24" t="n">
        <v>39.6</v>
      </c>
      <c r="P1012" s="17" t="inlineStr">
        <is>
          <t>Cash on Delivery</t>
        </is>
      </c>
      <c r="Q1012" s="17" t="inlineStr">
        <is>
          <t>Delivered</t>
        </is>
      </c>
      <c r="R1012" s="17" t="n">
        <v>4</v>
      </c>
      <c r="S1012" s="17">
        <f>TEXT(B1012,"yyyy-mm")</f>
        <v/>
      </c>
      <c r="T1012" s="17">
        <f>VLOOKUP(D1012,Customers!A:D,4,FALSE)</f>
        <v/>
      </c>
      <c r="U1012" s="17">
        <f>CONCATENATE(A1012,"-",G1012)</f>
        <v/>
      </c>
      <c r="V1012" s="17">
        <f>IF(N1012="","",IF(N1012&lt;=30,"Fast (&lt;30m)",IF(N1012&lt;=45,"Moderate (30-45m)","Delayed (&gt;45m)")))</f>
        <v/>
      </c>
      <c r="W1012" s="17">
        <f>IF(AND(I1012&gt;600,P1012="Delivered"),"High Value Delivered","Standard")</f>
        <v/>
      </c>
      <c r="X1012" s="17">
        <f>IF(OR(N1012&gt;50,Q1012&lt;=2),"High Risk / Delayed","Normal")</f>
        <v/>
      </c>
      <c r="Y1012" s="17">
        <f>IF(NOT(P1012="Cancelled"),"Fulfilled","Cancelled")</f>
        <v/>
      </c>
      <c r="Z1012" s="17">
        <f>IFERROR(Q1012,0)</f>
        <v/>
      </c>
    </row>
    <row r="1013">
      <c r="A1013" s="25" t="inlineStr">
        <is>
          <t>ORD2012</t>
        </is>
      </c>
      <c r="B1013" s="25" t="inlineStr">
        <is>
          <t>2025-03-06</t>
        </is>
      </c>
      <c r="C1013" s="25" t="inlineStr">
        <is>
          <t>07:40:28</t>
        </is>
      </c>
      <c r="D1013" s="25" t="n">
        <v>1207</v>
      </c>
      <c r="E1013" s="25" t="n">
        <v>112</v>
      </c>
      <c r="F1013" s="25" t="n">
        <v>219</v>
      </c>
      <c r="G1013" s="25" t="inlineStr">
        <is>
          <t>Delhi NCR</t>
        </is>
      </c>
      <c r="H1013" s="25" t="inlineStr">
        <is>
          <t>North Indian</t>
        </is>
      </c>
      <c r="I1013" s="26" t="n">
        <v>874</v>
      </c>
      <c r="J1013" s="26" t="n">
        <v>6.81</v>
      </c>
      <c r="K1013" s="26" t="n">
        <v>26</v>
      </c>
      <c r="L1013" s="27" t="n">
        <v>0.22</v>
      </c>
      <c r="M1013" s="26" t="n">
        <v>198.78</v>
      </c>
      <c r="N1013" s="28" t="n">
        <v>3.2</v>
      </c>
      <c r="O1013" s="28" t="n">
        <v>27</v>
      </c>
      <c r="P1013" s="25" t="inlineStr">
        <is>
          <t>Credit Card</t>
        </is>
      </c>
      <c r="Q1013" s="25" t="inlineStr">
        <is>
          <t>Delivered</t>
        </is>
      </c>
      <c r="R1013" s="25" t="n">
        <v>4</v>
      </c>
      <c r="S1013" s="25">
        <f>TEXT(B1013,"yyyy-mm")</f>
        <v/>
      </c>
      <c r="T1013" s="25">
        <f>VLOOKUP(D1013,Customers!A:D,4,FALSE)</f>
        <v/>
      </c>
      <c r="U1013" s="25">
        <f>CONCATENATE(A1013,"-",G1013)</f>
        <v/>
      </c>
      <c r="V1013" s="25">
        <f>IF(N1013="","",IF(N1013&lt;=30,"Fast (&lt;30m)",IF(N1013&lt;=45,"Moderate (30-45m)","Delayed (&gt;45m)")))</f>
        <v/>
      </c>
      <c r="W1013" s="25">
        <f>IF(AND(I1013&gt;600,P1013="Delivered"),"High Value Delivered","Standard")</f>
        <v/>
      </c>
      <c r="X1013" s="25">
        <f>IF(OR(N1013&gt;50,Q1013&lt;=2),"High Risk / Delayed","Normal")</f>
        <v/>
      </c>
      <c r="Y1013" s="25">
        <f>IF(NOT(P1013="Cancelled"),"Fulfilled","Cancelled")</f>
        <v/>
      </c>
      <c r="Z1013" s="25">
        <f>IFERROR(Q1013,0)</f>
        <v/>
      </c>
    </row>
    <row r="1014">
      <c r="A1014" s="17" t="inlineStr">
        <is>
          <t>ORD2013</t>
        </is>
      </c>
      <c r="B1014" s="17" t="inlineStr">
        <is>
          <t>2025-04-21</t>
        </is>
      </c>
      <c r="C1014" s="17" t="inlineStr">
        <is>
          <t>13:22:13</t>
        </is>
      </c>
      <c r="D1014" s="17" t="n">
        <v>1103</v>
      </c>
      <c r="E1014" s="17" t="n">
        <v>112</v>
      </c>
      <c r="F1014" s="17" t="n">
        <v>228</v>
      </c>
      <c r="G1014" s="17" t="inlineStr">
        <is>
          <t>Delhi NCR</t>
        </is>
      </c>
      <c r="H1014" s="17" t="inlineStr">
        <is>
          <t>North Indian</t>
        </is>
      </c>
      <c r="I1014" s="22" t="n">
        <v>415</v>
      </c>
      <c r="J1014" s="22" t="n">
        <v>19.15</v>
      </c>
      <c r="K1014" s="22" t="n">
        <v>25</v>
      </c>
      <c r="L1014" s="23" t="n">
        <v>0.22</v>
      </c>
      <c r="M1014" s="22" t="n">
        <v>97.55</v>
      </c>
      <c r="N1014" s="24" t="n">
        <v>2.5</v>
      </c>
      <c r="O1014" s="24" t="n">
        <v>31.7</v>
      </c>
      <c r="P1014" s="17" t="inlineStr">
        <is>
          <t>Debit Card</t>
        </is>
      </c>
      <c r="Q1014" s="17" t="inlineStr">
        <is>
          <t>Delivered</t>
        </is>
      </c>
      <c r="R1014" s="17" t="n">
        <v>2</v>
      </c>
      <c r="S1014" s="17">
        <f>TEXT(B1014,"yyyy-mm")</f>
        <v/>
      </c>
      <c r="T1014" s="17">
        <f>VLOOKUP(D1014,Customers!A:D,4,FALSE)</f>
        <v/>
      </c>
      <c r="U1014" s="17">
        <f>CONCATENATE(A1014,"-",G1014)</f>
        <v/>
      </c>
      <c r="V1014" s="17">
        <f>IF(N1014="","",IF(N1014&lt;=30,"Fast (&lt;30m)",IF(N1014&lt;=45,"Moderate (30-45m)","Delayed (&gt;45m)")))</f>
        <v/>
      </c>
      <c r="W1014" s="17">
        <f>IF(AND(I1014&gt;600,P1014="Delivered"),"High Value Delivered","Standard")</f>
        <v/>
      </c>
      <c r="X1014" s="17">
        <f>IF(OR(N1014&gt;50,Q1014&lt;=2),"High Risk / Delayed","Normal")</f>
        <v/>
      </c>
      <c r="Y1014" s="17">
        <f>IF(NOT(P1014="Cancelled"),"Fulfilled","Cancelled")</f>
        <v/>
      </c>
      <c r="Z1014" s="17">
        <f>IFERROR(Q1014,0)</f>
        <v/>
      </c>
    </row>
    <row r="1015">
      <c r="A1015" s="25" t="inlineStr">
        <is>
          <t>ORD2014</t>
        </is>
      </c>
      <c r="B1015" s="25" t="inlineStr">
        <is>
          <t>2025-06-07</t>
        </is>
      </c>
      <c r="C1015" s="25" t="inlineStr">
        <is>
          <t>11:32:52</t>
        </is>
      </c>
      <c r="D1015" s="25" t="n">
        <v>1140</v>
      </c>
      <c r="E1015" s="25" t="n">
        <v>110</v>
      </c>
      <c r="F1015" s="25" t="n">
        <v>209</v>
      </c>
      <c r="G1015" s="25" t="inlineStr">
        <is>
          <t>Pune</t>
        </is>
      </c>
      <c r="H1015" s="25" t="inlineStr">
        <is>
          <t>North Indian</t>
        </is>
      </c>
      <c r="I1015" s="26" t="n">
        <v>626</v>
      </c>
      <c r="J1015" s="26" t="n">
        <v>93.84999999999999</v>
      </c>
      <c r="K1015" s="26" t="n">
        <v>0</v>
      </c>
      <c r="L1015" s="27" t="n">
        <v>0.18</v>
      </c>
      <c r="M1015" s="26" t="n">
        <v>112.68</v>
      </c>
      <c r="N1015" s="28" t="n">
        <v>1.8</v>
      </c>
      <c r="O1015" s="28" t="n">
        <v>29.3</v>
      </c>
      <c r="P1015" s="25" t="inlineStr">
        <is>
          <t>Cash on Delivery</t>
        </is>
      </c>
      <c r="Q1015" s="25" t="inlineStr">
        <is>
          <t>Delivered</t>
        </is>
      </c>
      <c r="R1015" s="25" t="n">
        <v>5</v>
      </c>
      <c r="S1015" s="25">
        <f>TEXT(B1015,"yyyy-mm")</f>
        <v/>
      </c>
      <c r="T1015" s="25">
        <f>VLOOKUP(D1015,Customers!A:D,4,FALSE)</f>
        <v/>
      </c>
      <c r="U1015" s="25">
        <f>CONCATENATE(A1015,"-",G1015)</f>
        <v/>
      </c>
      <c r="V1015" s="25">
        <f>IF(N1015="","",IF(N1015&lt;=30,"Fast (&lt;30m)",IF(N1015&lt;=45,"Moderate (30-45m)","Delayed (&gt;45m)")))</f>
        <v/>
      </c>
      <c r="W1015" s="25">
        <f>IF(AND(I1015&gt;600,P1015="Delivered"),"High Value Delivered","Standard")</f>
        <v/>
      </c>
      <c r="X1015" s="25">
        <f>IF(OR(N1015&gt;50,Q1015&lt;=2),"High Risk / Delayed","Normal")</f>
        <v/>
      </c>
      <c r="Y1015" s="25">
        <f>IF(NOT(P1015="Cancelled"),"Fulfilled","Cancelled")</f>
        <v/>
      </c>
      <c r="Z1015" s="25">
        <f>IFERROR(Q1015,0)</f>
        <v/>
      </c>
    </row>
    <row r="1016">
      <c r="A1016" s="17" t="inlineStr">
        <is>
          <t>ORD2015</t>
        </is>
      </c>
      <c r="B1016" s="17" t="inlineStr">
        <is>
          <t>2025-10-05</t>
        </is>
      </c>
      <c r="C1016" s="17" t="inlineStr">
        <is>
          <t>13:27:33</t>
        </is>
      </c>
      <c r="D1016" s="17" t="n">
        <v>1153</v>
      </c>
      <c r="E1016" s="17" t="n">
        <v>101</v>
      </c>
      <c r="F1016" s="17" t="n">
        <v>227</v>
      </c>
      <c r="G1016" s="17" t="inlineStr">
        <is>
          <t>Bangalore</t>
        </is>
      </c>
      <c r="H1016" s="17" t="inlineStr">
        <is>
          <t>North Indian</t>
        </is>
      </c>
      <c r="I1016" s="22" t="n">
        <v>563</v>
      </c>
      <c r="J1016" s="22" t="n">
        <v>0</v>
      </c>
      <c r="K1016" s="22" t="n">
        <v>35.5</v>
      </c>
      <c r="L1016" s="23" t="n">
        <v>0.2</v>
      </c>
      <c r="M1016" s="22" t="n">
        <v>121.48</v>
      </c>
      <c r="N1016" s="24" t="n">
        <v>5.1</v>
      </c>
      <c r="O1016" s="24" t="n">
        <v>36</v>
      </c>
      <c r="P1016" s="17" t="inlineStr">
        <is>
          <t>Cash on Delivery</t>
        </is>
      </c>
      <c r="Q1016" s="17" t="inlineStr">
        <is>
          <t>Delivered</t>
        </is>
      </c>
      <c r="R1016" s="17" t="n">
        <v>3</v>
      </c>
      <c r="S1016" s="17">
        <f>TEXT(B1016,"yyyy-mm")</f>
        <v/>
      </c>
      <c r="T1016" s="17">
        <f>VLOOKUP(D1016,Customers!A:D,4,FALSE)</f>
        <v/>
      </c>
      <c r="U1016" s="17">
        <f>CONCATENATE(A1016,"-",G1016)</f>
        <v/>
      </c>
      <c r="V1016" s="17">
        <f>IF(N1016="","",IF(N1016&lt;=30,"Fast (&lt;30m)",IF(N1016&lt;=45,"Moderate (30-45m)","Delayed (&gt;45m)")))</f>
        <v/>
      </c>
      <c r="W1016" s="17">
        <f>IF(AND(I1016&gt;600,P1016="Delivered"),"High Value Delivered","Standard")</f>
        <v/>
      </c>
      <c r="X1016" s="17">
        <f>IF(OR(N1016&gt;50,Q1016&lt;=2),"High Risk / Delayed","Normal")</f>
        <v/>
      </c>
      <c r="Y1016" s="17">
        <f>IF(NOT(P1016="Cancelled"),"Fulfilled","Cancelled")</f>
        <v/>
      </c>
      <c r="Z1016" s="17">
        <f>IFERROR(Q1016,0)</f>
        <v/>
      </c>
    </row>
    <row r="1017">
      <c r="A1017" s="25" t="inlineStr">
        <is>
          <t>ORD2016</t>
        </is>
      </c>
      <c r="B1017" s="25" t="inlineStr">
        <is>
          <t>2025-10-05</t>
        </is>
      </c>
      <c r="C1017" s="25" t="inlineStr">
        <is>
          <t>12:27:24</t>
        </is>
      </c>
      <c r="D1017" s="25" t="n">
        <v>1155</v>
      </c>
      <c r="E1017" s="25" t="n">
        <v>106</v>
      </c>
      <c r="F1017" s="25" t="n">
        <v>209</v>
      </c>
      <c r="G1017" s="25" t="inlineStr">
        <is>
          <t>Pune</t>
        </is>
      </c>
      <c r="H1017" s="25" t="inlineStr">
        <is>
          <t>South Indian</t>
        </is>
      </c>
      <c r="I1017" s="26" t="n">
        <v>827</v>
      </c>
      <c r="J1017" s="26" t="n">
        <v>137.25</v>
      </c>
      <c r="K1017" s="26" t="n">
        <v>0</v>
      </c>
      <c r="L1017" s="27" t="n">
        <v>0.15</v>
      </c>
      <c r="M1017" s="26" t="n">
        <v>124.05</v>
      </c>
      <c r="N1017" s="28" t="n">
        <v>3.5</v>
      </c>
      <c r="O1017" s="28" t="n">
        <v>36.3</v>
      </c>
      <c r="P1017" s="25" t="inlineStr">
        <is>
          <t>Debit Card</t>
        </is>
      </c>
      <c r="Q1017" s="25" t="inlineStr">
        <is>
          <t>Delivered</t>
        </is>
      </c>
      <c r="R1017" s="25" t="n">
        <v>5</v>
      </c>
      <c r="S1017" s="25">
        <f>TEXT(B1017,"yyyy-mm")</f>
        <v/>
      </c>
      <c r="T1017" s="25">
        <f>VLOOKUP(D1017,Customers!A:D,4,FALSE)</f>
        <v/>
      </c>
      <c r="U1017" s="25">
        <f>CONCATENATE(A1017,"-",G1017)</f>
        <v/>
      </c>
      <c r="V1017" s="25">
        <f>IF(N1017="","",IF(N1017&lt;=30,"Fast (&lt;30m)",IF(N1017&lt;=45,"Moderate (30-45m)","Delayed (&gt;45m)")))</f>
        <v/>
      </c>
      <c r="W1017" s="25">
        <f>IF(AND(I1017&gt;600,P1017="Delivered"),"High Value Delivered","Standard")</f>
        <v/>
      </c>
      <c r="X1017" s="25">
        <f>IF(OR(N1017&gt;50,Q1017&lt;=2),"High Risk / Delayed","Normal")</f>
        <v/>
      </c>
      <c r="Y1017" s="25">
        <f>IF(NOT(P1017="Cancelled"),"Fulfilled","Cancelled")</f>
        <v/>
      </c>
      <c r="Z1017" s="25">
        <f>IFERROR(Q1017,0)</f>
        <v/>
      </c>
    </row>
    <row r="1018">
      <c r="A1018" s="17" t="inlineStr">
        <is>
          <t>ORD2017</t>
        </is>
      </c>
      <c r="B1018" s="17" t="inlineStr">
        <is>
          <t>2025-02-15</t>
        </is>
      </c>
      <c r="C1018" s="17" t="inlineStr">
        <is>
          <t>22:41:01</t>
        </is>
      </c>
      <c r="D1018" s="17" t="n">
        <v>1014</v>
      </c>
      <c r="E1018" s="17" t="n">
        <v>104</v>
      </c>
      <c r="F1018" s="17" t="n">
        <v>221</v>
      </c>
      <c r="G1018" s="17" t="inlineStr">
        <is>
          <t>Delhi NCR</t>
        </is>
      </c>
      <c r="H1018" s="17" t="inlineStr">
        <is>
          <t>Fast Food</t>
        </is>
      </c>
      <c r="I1018" s="22" t="n">
        <v>851</v>
      </c>
      <c r="J1018" s="22" t="n">
        <v>7.06</v>
      </c>
      <c r="K1018" s="22" t="n">
        <v>45</v>
      </c>
      <c r="L1018" s="23" t="n">
        <v>0.18</v>
      </c>
      <c r="M1018" s="22" t="n">
        <v>164.43</v>
      </c>
      <c r="N1018" s="24" t="n">
        <v>7</v>
      </c>
      <c r="O1018" s="24" t="n">
        <v>47.2</v>
      </c>
      <c r="P1018" s="17" t="inlineStr">
        <is>
          <t>Digital Wallet</t>
        </is>
      </c>
      <c r="Q1018" s="17" t="inlineStr">
        <is>
          <t>Delivered</t>
        </is>
      </c>
      <c r="R1018" s="17" t="n">
        <v>3</v>
      </c>
      <c r="S1018" s="17">
        <f>TEXT(B1018,"yyyy-mm")</f>
        <v/>
      </c>
      <c r="T1018" s="17">
        <f>VLOOKUP(D1018,Customers!A:D,4,FALSE)</f>
        <v/>
      </c>
      <c r="U1018" s="17">
        <f>CONCATENATE(A1018,"-",G1018)</f>
        <v/>
      </c>
      <c r="V1018" s="17">
        <f>IF(N1018="","",IF(N1018&lt;=30,"Fast (&lt;30m)",IF(N1018&lt;=45,"Moderate (30-45m)","Delayed (&gt;45m)")))</f>
        <v/>
      </c>
      <c r="W1018" s="17">
        <f>IF(AND(I1018&gt;600,P1018="Delivered"),"High Value Delivered","Standard")</f>
        <v/>
      </c>
      <c r="X1018" s="17">
        <f>IF(OR(N1018&gt;50,Q1018&lt;=2),"High Risk / Delayed","Normal")</f>
        <v/>
      </c>
      <c r="Y1018" s="17">
        <f>IF(NOT(P1018="Cancelled"),"Fulfilled","Cancelled")</f>
        <v/>
      </c>
      <c r="Z1018" s="17">
        <f>IFERROR(Q1018,0)</f>
        <v/>
      </c>
    </row>
    <row r="1019">
      <c r="A1019" s="25" t="inlineStr">
        <is>
          <t>ORD2018</t>
        </is>
      </c>
      <c r="B1019" s="25" t="inlineStr">
        <is>
          <t>2025-12-08</t>
        </is>
      </c>
      <c r="C1019" s="25" t="inlineStr">
        <is>
          <t>13:18:54</t>
        </is>
      </c>
      <c r="D1019" s="25" t="n">
        <v>1130</v>
      </c>
      <c r="E1019" s="25" t="n">
        <v>119</v>
      </c>
      <c r="F1019" s="25" t="n">
        <v>215</v>
      </c>
      <c r="G1019" s="25" t="inlineStr">
        <is>
          <t>Hyderabad</t>
        </is>
      </c>
      <c r="H1019" s="25" t="inlineStr">
        <is>
          <t>Biryani</t>
        </is>
      </c>
      <c r="I1019" s="26" t="n">
        <v>650</v>
      </c>
      <c r="J1019" s="26" t="n">
        <v>0</v>
      </c>
      <c r="K1019" s="26" t="n">
        <v>25</v>
      </c>
      <c r="L1019" s="27" t="n">
        <v>0.2</v>
      </c>
      <c r="M1019" s="26" t="n">
        <v>136.25</v>
      </c>
      <c r="N1019" s="28" t="n">
        <v>1.8</v>
      </c>
      <c r="O1019" s="28" t="n">
        <v>33.9</v>
      </c>
      <c r="P1019" s="25" t="inlineStr">
        <is>
          <t>Digital Wallet</t>
        </is>
      </c>
      <c r="Q1019" s="25" t="inlineStr">
        <is>
          <t>Delivered</t>
        </is>
      </c>
      <c r="R1019" s="25" t="n">
        <v>5</v>
      </c>
      <c r="S1019" s="25">
        <f>TEXT(B1019,"yyyy-mm")</f>
        <v/>
      </c>
      <c r="T1019" s="25">
        <f>VLOOKUP(D1019,Customers!A:D,4,FALSE)</f>
        <v/>
      </c>
      <c r="U1019" s="25">
        <f>CONCATENATE(A1019,"-",G1019)</f>
        <v/>
      </c>
      <c r="V1019" s="25">
        <f>IF(N1019="","",IF(N1019&lt;=30,"Fast (&lt;30m)",IF(N1019&lt;=45,"Moderate (30-45m)","Delayed (&gt;45m)")))</f>
        <v/>
      </c>
      <c r="W1019" s="25">
        <f>IF(AND(I1019&gt;600,P1019="Delivered"),"High Value Delivered","Standard")</f>
        <v/>
      </c>
      <c r="X1019" s="25">
        <f>IF(OR(N1019&gt;50,Q1019&lt;=2),"High Risk / Delayed","Normal")</f>
        <v/>
      </c>
      <c r="Y1019" s="25">
        <f>IF(NOT(P1019="Cancelled"),"Fulfilled","Cancelled")</f>
        <v/>
      </c>
      <c r="Z1019" s="25">
        <f>IFERROR(Q1019,0)</f>
        <v/>
      </c>
    </row>
    <row r="1020">
      <c r="A1020" s="17" t="inlineStr">
        <is>
          <t>ORD2019</t>
        </is>
      </c>
      <c r="B1020" s="17" t="inlineStr">
        <is>
          <t>2025-08-29</t>
        </is>
      </c>
      <c r="C1020" s="17" t="inlineStr">
        <is>
          <t>20:07:22</t>
        </is>
      </c>
      <c r="D1020" s="17" t="n">
        <v>1235</v>
      </c>
      <c r="E1020" s="17" t="n">
        <v>119</v>
      </c>
      <c r="F1020" s="17" t="n">
        <v>216</v>
      </c>
      <c r="G1020" s="17" t="inlineStr">
        <is>
          <t>Hyderabad</t>
        </is>
      </c>
      <c r="H1020" s="17" t="inlineStr">
        <is>
          <t>Biryani</t>
        </is>
      </c>
      <c r="I1020" s="22" t="n">
        <v>695</v>
      </c>
      <c r="J1020" s="22" t="n">
        <v>0</v>
      </c>
      <c r="K1020" s="22" t="n">
        <v>38.5</v>
      </c>
      <c r="L1020" s="23" t="n">
        <v>0.2</v>
      </c>
      <c r="M1020" s="22" t="n">
        <v>148.62</v>
      </c>
      <c r="N1020" s="24" t="n">
        <v>5.7</v>
      </c>
      <c r="O1020" s="24" t="n">
        <v>50.1</v>
      </c>
      <c r="P1020" s="17" t="inlineStr">
        <is>
          <t>Cash on Delivery</t>
        </is>
      </c>
      <c r="Q1020" s="17" t="inlineStr">
        <is>
          <t>Delivered</t>
        </is>
      </c>
      <c r="R1020" s="17" t="n">
        <v>1</v>
      </c>
      <c r="S1020" s="17">
        <f>TEXT(B1020,"yyyy-mm")</f>
        <v/>
      </c>
      <c r="T1020" s="17">
        <f>VLOOKUP(D1020,Customers!A:D,4,FALSE)</f>
        <v/>
      </c>
      <c r="U1020" s="17">
        <f>CONCATENATE(A1020,"-",G1020)</f>
        <v/>
      </c>
      <c r="V1020" s="17">
        <f>IF(N1020="","",IF(N1020&lt;=30,"Fast (&lt;30m)",IF(N1020&lt;=45,"Moderate (30-45m)","Delayed (&gt;45m)")))</f>
        <v/>
      </c>
      <c r="W1020" s="17">
        <f>IF(AND(I1020&gt;600,P1020="Delivered"),"High Value Delivered","Standard")</f>
        <v/>
      </c>
      <c r="X1020" s="17">
        <f>IF(OR(N1020&gt;50,Q1020&lt;=2),"High Risk / Delayed","Normal")</f>
        <v/>
      </c>
      <c r="Y1020" s="17">
        <f>IF(NOT(P1020="Cancelled"),"Fulfilled","Cancelled")</f>
        <v/>
      </c>
      <c r="Z1020" s="17">
        <f>IFERROR(Q1020,0)</f>
        <v/>
      </c>
    </row>
    <row r="1021">
      <c r="A1021" s="25" t="inlineStr">
        <is>
          <t>ORD2020</t>
        </is>
      </c>
      <c r="B1021" s="25" t="inlineStr">
        <is>
          <t>2025-04-25</t>
        </is>
      </c>
      <c r="C1021" s="25" t="inlineStr">
        <is>
          <t>13:32:18</t>
        </is>
      </c>
      <c r="D1021" s="25" t="n">
        <v>1200</v>
      </c>
      <c r="E1021" s="25" t="n">
        <v>113</v>
      </c>
      <c r="F1021" s="25" t="n">
        <v>206</v>
      </c>
      <c r="G1021" s="25" t="inlineStr">
        <is>
          <t>Mumbai</t>
        </is>
      </c>
      <c r="H1021" s="25" t="inlineStr">
        <is>
          <t>Fast Food</t>
        </is>
      </c>
      <c r="I1021" s="26" t="n">
        <v>494</v>
      </c>
      <c r="J1021" s="26" t="n">
        <v>55.12</v>
      </c>
      <c r="K1021" s="26" t="n">
        <v>30</v>
      </c>
      <c r="L1021" s="27" t="n">
        <v>0.18</v>
      </c>
      <c r="M1021" s="26" t="n">
        <v>96.42</v>
      </c>
      <c r="N1021" s="28" t="n">
        <v>4</v>
      </c>
      <c r="O1021" s="28" t="n">
        <v>31.5</v>
      </c>
      <c r="P1021" s="25" t="inlineStr">
        <is>
          <t>Cash on Delivery</t>
        </is>
      </c>
      <c r="Q1021" s="25" t="inlineStr">
        <is>
          <t>Delivered</t>
        </is>
      </c>
      <c r="R1021" s="25" t="n">
        <v>1</v>
      </c>
      <c r="S1021" s="25">
        <f>TEXT(B1021,"yyyy-mm")</f>
        <v/>
      </c>
      <c r="T1021" s="25">
        <f>VLOOKUP(D1021,Customers!A:D,4,FALSE)</f>
        <v/>
      </c>
      <c r="U1021" s="25">
        <f>CONCATENATE(A1021,"-",G1021)</f>
        <v/>
      </c>
      <c r="V1021" s="25">
        <f>IF(N1021="","",IF(N1021&lt;=30,"Fast (&lt;30m)",IF(N1021&lt;=45,"Moderate (30-45m)","Delayed (&gt;45m)")))</f>
        <v/>
      </c>
      <c r="W1021" s="25">
        <f>IF(AND(I1021&gt;600,P1021="Delivered"),"High Value Delivered","Standard")</f>
        <v/>
      </c>
      <c r="X1021" s="25">
        <f>IF(OR(N1021&gt;50,Q1021&lt;=2),"High Risk / Delayed","Normal")</f>
        <v/>
      </c>
      <c r="Y1021" s="25">
        <f>IF(NOT(P1021="Cancelled"),"Fulfilled","Cancelled")</f>
        <v/>
      </c>
      <c r="Z1021" s="25">
        <f>IFERROR(Q1021,0)</f>
        <v/>
      </c>
    </row>
    <row r="1022">
      <c r="A1022" s="17" t="inlineStr">
        <is>
          <t>ORD2021</t>
        </is>
      </c>
      <c r="B1022" s="17" t="inlineStr">
        <is>
          <t>2025-01-17</t>
        </is>
      </c>
      <c r="C1022" s="17" t="inlineStr">
        <is>
          <t>14:00:01</t>
        </is>
      </c>
      <c r="D1022" s="17" t="n">
        <v>1102</v>
      </c>
      <c r="E1022" s="17" t="n">
        <v>107</v>
      </c>
      <c r="F1022" s="17" t="n">
        <v>229</v>
      </c>
      <c r="G1022" s="17" t="inlineStr">
        <is>
          <t>Mumbai</t>
        </is>
      </c>
      <c r="H1022" s="17" t="inlineStr">
        <is>
          <t>Desserts</t>
        </is>
      </c>
      <c r="I1022" s="22" t="n">
        <v>377</v>
      </c>
      <c r="J1022" s="22" t="n">
        <v>39.71</v>
      </c>
      <c r="K1022" s="22" t="n">
        <v>25</v>
      </c>
      <c r="L1022" s="23" t="n">
        <v>0.25</v>
      </c>
      <c r="M1022" s="22" t="n">
        <v>100.5</v>
      </c>
      <c r="N1022" s="24" t="n">
        <v>2.1</v>
      </c>
      <c r="O1022" s="24" t="n">
        <v>28.7</v>
      </c>
      <c r="P1022" s="17" t="inlineStr">
        <is>
          <t>Digital Wallet</t>
        </is>
      </c>
      <c r="Q1022" s="17" t="inlineStr">
        <is>
          <t>Delivered</t>
        </is>
      </c>
      <c r="R1022" s="17" t="n">
        <v>4</v>
      </c>
      <c r="S1022" s="17">
        <f>TEXT(B1022,"yyyy-mm")</f>
        <v/>
      </c>
      <c r="T1022" s="17">
        <f>VLOOKUP(D1022,Customers!A:D,4,FALSE)</f>
        <v/>
      </c>
      <c r="U1022" s="17">
        <f>CONCATENATE(A1022,"-",G1022)</f>
        <v/>
      </c>
      <c r="V1022" s="17">
        <f>IF(N1022="","",IF(N1022&lt;=30,"Fast (&lt;30m)",IF(N1022&lt;=45,"Moderate (30-45m)","Delayed (&gt;45m)")))</f>
        <v/>
      </c>
      <c r="W1022" s="17">
        <f>IF(AND(I1022&gt;600,P1022="Delivered"),"High Value Delivered","Standard")</f>
        <v/>
      </c>
      <c r="X1022" s="17">
        <f>IF(OR(N1022&gt;50,Q1022&lt;=2),"High Risk / Delayed","Normal")</f>
        <v/>
      </c>
      <c r="Y1022" s="17">
        <f>IF(NOT(P1022="Cancelled"),"Fulfilled","Cancelled")</f>
        <v/>
      </c>
      <c r="Z1022" s="17">
        <f>IFERROR(Q1022,0)</f>
        <v/>
      </c>
    </row>
    <row r="1023">
      <c r="A1023" s="25" t="inlineStr">
        <is>
          <t>ORD2022</t>
        </is>
      </c>
      <c r="B1023" s="25" t="inlineStr">
        <is>
          <t>2025-10-20</t>
        </is>
      </c>
      <c r="C1023" s="25" t="inlineStr">
        <is>
          <t>20:27:15</t>
        </is>
      </c>
      <c r="D1023" s="25" t="n">
        <v>1179</v>
      </c>
      <c r="E1023" s="25" t="n">
        <v>103</v>
      </c>
      <c r="F1023" s="25" t="n">
        <v>202</v>
      </c>
      <c r="G1023" s="25" t="inlineStr">
        <is>
          <t>Mumbai</t>
        </is>
      </c>
      <c r="H1023" s="25" t="inlineStr">
        <is>
          <t>Italian</t>
        </is>
      </c>
      <c r="I1023" s="26" t="n">
        <v>1138</v>
      </c>
      <c r="J1023" s="26" t="n">
        <v>158.34</v>
      </c>
      <c r="K1023" s="26" t="n">
        <v>0</v>
      </c>
      <c r="L1023" s="27" t="n">
        <v>0.18</v>
      </c>
      <c r="M1023" s="26" t="n">
        <v>204.84</v>
      </c>
      <c r="N1023" s="28" t="n">
        <v>3.5</v>
      </c>
      <c r="O1023" s="28" t="n">
        <v>35</v>
      </c>
      <c r="P1023" s="25" t="inlineStr">
        <is>
          <t>Cash on Delivery</t>
        </is>
      </c>
      <c r="Q1023" s="25" t="inlineStr">
        <is>
          <t>Delivered</t>
        </is>
      </c>
      <c r="R1023" s="25" t="n">
        <v>4</v>
      </c>
      <c r="S1023" s="25">
        <f>TEXT(B1023,"yyyy-mm")</f>
        <v/>
      </c>
      <c r="T1023" s="25">
        <f>VLOOKUP(D1023,Customers!A:D,4,FALSE)</f>
        <v/>
      </c>
      <c r="U1023" s="25">
        <f>CONCATENATE(A1023,"-",G1023)</f>
        <v/>
      </c>
      <c r="V1023" s="25">
        <f>IF(N1023="","",IF(N1023&lt;=30,"Fast (&lt;30m)",IF(N1023&lt;=45,"Moderate (30-45m)","Delayed (&gt;45m)")))</f>
        <v/>
      </c>
      <c r="W1023" s="25">
        <f>IF(AND(I1023&gt;600,P1023="Delivered"),"High Value Delivered","Standard")</f>
        <v/>
      </c>
      <c r="X1023" s="25">
        <f>IF(OR(N1023&gt;50,Q1023&lt;=2),"High Risk / Delayed","Normal")</f>
        <v/>
      </c>
      <c r="Y1023" s="25">
        <f>IF(NOT(P1023="Cancelled"),"Fulfilled","Cancelled")</f>
        <v/>
      </c>
      <c r="Z1023" s="25">
        <f>IFERROR(Q1023,0)</f>
        <v/>
      </c>
    </row>
    <row r="1024">
      <c r="A1024" s="17" t="inlineStr">
        <is>
          <t>ORD2023</t>
        </is>
      </c>
      <c r="B1024" s="17" t="inlineStr">
        <is>
          <t>2025-03-07</t>
        </is>
      </c>
      <c r="C1024" s="17" t="inlineStr">
        <is>
          <t>21:40:24</t>
        </is>
      </c>
      <c r="D1024" s="17" t="n">
        <v>1099</v>
      </c>
      <c r="E1024" s="17" t="n">
        <v>109</v>
      </c>
      <c r="F1024" s="17" t="n">
        <v>216</v>
      </c>
      <c r="G1024" s="17" t="inlineStr">
        <is>
          <t>Hyderabad</t>
        </is>
      </c>
      <c r="H1024" s="17" t="inlineStr">
        <is>
          <t>Biryani</t>
        </is>
      </c>
      <c r="I1024" s="22" t="n">
        <v>397</v>
      </c>
      <c r="J1024" s="22" t="n">
        <v>0</v>
      </c>
      <c r="K1024" s="22" t="n">
        <v>32</v>
      </c>
      <c r="L1024" s="23" t="n">
        <v>0.2</v>
      </c>
      <c r="M1024" s="22" t="n">
        <v>87.40000000000001</v>
      </c>
      <c r="N1024" s="24" t="n">
        <v>4.4</v>
      </c>
      <c r="O1024" s="24" t="n">
        <v/>
      </c>
      <c r="P1024" s="17" t="inlineStr">
        <is>
          <t>Credit Card</t>
        </is>
      </c>
      <c r="Q1024" s="17" t="inlineStr">
        <is>
          <t>Cancelled</t>
        </is>
      </c>
      <c r="R1024" s="17" t="n">
        <v/>
      </c>
      <c r="S1024" s="17">
        <f>TEXT(B1024,"yyyy-mm")</f>
        <v/>
      </c>
      <c r="T1024" s="17">
        <f>VLOOKUP(D1024,Customers!A:D,4,FALSE)</f>
        <v/>
      </c>
      <c r="U1024" s="17">
        <f>CONCATENATE(A1024,"-",G1024)</f>
        <v/>
      </c>
      <c r="V1024" s="17">
        <f>IF(N1024="","",IF(N1024&lt;=30,"Fast (&lt;30m)",IF(N1024&lt;=45,"Moderate (30-45m)","Delayed (&gt;45m)")))</f>
        <v/>
      </c>
      <c r="W1024" s="17">
        <f>IF(AND(I1024&gt;600,P1024="Delivered"),"High Value Delivered","Standard")</f>
        <v/>
      </c>
      <c r="X1024" s="17">
        <f>IF(OR(N1024&gt;50,Q1024&lt;=2),"High Risk / Delayed","Normal")</f>
        <v/>
      </c>
      <c r="Y1024" s="17">
        <f>IF(NOT(P1024="Cancelled"),"Fulfilled","Cancelled")</f>
        <v/>
      </c>
      <c r="Z1024" s="17">
        <f>IFERROR(Q1024,0)</f>
        <v/>
      </c>
    </row>
    <row r="1025">
      <c r="A1025" s="25" t="inlineStr">
        <is>
          <t>ORD2024</t>
        </is>
      </c>
      <c r="B1025" s="25" t="inlineStr">
        <is>
          <t>2025-12-30</t>
        </is>
      </c>
      <c r="C1025" s="25" t="inlineStr">
        <is>
          <t>21:51:08</t>
        </is>
      </c>
      <c r="D1025" s="25" t="n">
        <v>1148</v>
      </c>
      <c r="E1025" s="25" t="n">
        <v>111</v>
      </c>
      <c r="F1025" s="25" t="n">
        <v>210</v>
      </c>
      <c r="G1025" s="25" t="inlineStr">
        <is>
          <t>Bangalore</t>
        </is>
      </c>
      <c r="H1025" s="25" t="inlineStr">
        <is>
          <t>South Indian</t>
        </is>
      </c>
      <c r="I1025" s="26" t="n">
        <v>736</v>
      </c>
      <c r="J1025" s="26" t="n">
        <v>0</v>
      </c>
      <c r="K1025" s="26" t="n">
        <v>25</v>
      </c>
      <c r="L1025" s="27" t="n">
        <v>0.15</v>
      </c>
      <c r="M1025" s="26" t="n">
        <v>116.65</v>
      </c>
      <c r="N1025" s="28" t="n">
        <v>2.5</v>
      </c>
      <c r="O1025" s="28" t="n">
        <v>29.4</v>
      </c>
      <c r="P1025" s="25" t="inlineStr">
        <is>
          <t>Cash on Delivery</t>
        </is>
      </c>
      <c r="Q1025" s="25" t="inlineStr">
        <is>
          <t>Delivered</t>
        </is>
      </c>
      <c r="R1025" s="25" t="n">
        <v>5</v>
      </c>
      <c r="S1025" s="25">
        <f>TEXT(B1025,"yyyy-mm")</f>
        <v/>
      </c>
      <c r="T1025" s="25">
        <f>VLOOKUP(D1025,Customers!A:D,4,FALSE)</f>
        <v/>
      </c>
      <c r="U1025" s="25">
        <f>CONCATENATE(A1025,"-",G1025)</f>
        <v/>
      </c>
      <c r="V1025" s="25">
        <f>IF(N1025="","",IF(N1025&lt;=30,"Fast (&lt;30m)",IF(N1025&lt;=45,"Moderate (30-45m)","Delayed (&gt;45m)")))</f>
        <v/>
      </c>
      <c r="W1025" s="25">
        <f>IF(AND(I1025&gt;600,P1025="Delivered"),"High Value Delivered","Standard")</f>
        <v/>
      </c>
      <c r="X1025" s="25">
        <f>IF(OR(N1025&gt;50,Q1025&lt;=2),"High Risk / Delayed","Normal")</f>
        <v/>
      </c>
      <c r="Y1025" s="25">
        <f>IF(NOT(P1025="Cancelled"),"Fulfilled","Cancelled")</f>
        <v/>
      </c>
      <c r="Z1025" s="25">
        <f>IFERROR(Q1025,0)</f>
        <v/>
      </c>
    </row>
    <row r="1026">
      <c r="A1026" s="17" t="inlineStr">
        <is>
          <t>ORD2025</t>
        </is>
      </c>
      <c r="B1026" s="17" t="inlineStr">
        <is>
          <t>2025-04-15</t>
        </is>
      </c>
      <c r="C1026" s="17" t="inlineStr">
        <is>
          <t>20:05:05</t>
        </is>
      </c>
      <c r="D1026" s="17" t="n">
        <v>1190</v>
      </c>
      <c r="E1026" s="17" t="n">
        <v>102</v>
      </c>
      <c r="F1026" s="17" t="n">
        <v>225</v>
      </c>
      <c r="G1026" s="17" t="inlineStr">
        <is>
          <t>Hyderabad</t>
        </is>
      </c>
      <c r="H1026" s="17" t="inlineStr">
        <is>
          <t>Biryani</t>
        </is>
      </c>
      <c r="I1026" s="22" t="n">
        <v>246</v>
      </c>
      <c r="J1026" s="22" t="n">
        <v>0</v>
      </c>
      <c r="K1026" s="22" t="n">
        <v>25</v>
      </c>
      <c r="L1026" s="23" t="n">
        <v>0.22</v>
      </c>
      <c r="M1026" s="22" t="n">
        <v>60.37</v>
      </c>
      <c r="N1026" s="24" t="n">
        <v>2</v>
      </c>
      <c r="O1026" s="24" t="n">
        <v>25.9</v>
      </c>
      <c r="P1026" s="17" t="inlineStr">
        <is>
          <t>Digital Wallet</t>
        </is>
      </c>
      <c r="Q1026" s="17" t="inlineStr">
        <is>
          <t>Delivered</t>
        </is>
      </c>
      <c r="R1026" s="17" t="n">
        <v>4</v>
      </c>
      <c r="S1026" s="17">
        <f>TEXT(B1026,"yyyy-mm")</f>
        <v/>
      </c>
      <c r="T1026" s="17">
        <f>VLOOKUP(D1026,Customers!A:D,4,FALSE)</f>
        <v/>
      </c>
      <c r="U1026" s="17">
        <f>CONCATENATE(A1026,"-",G1026)</f>
        <v/>
      </c>
      <c r="V1026" s="17">
        <f>IF(N1026="","",IF(N1026&lt;=30,"Fast (&lt;30m)",IF(N1026&lt;=45,"Moderate (30-45m)","Delayed (&gt;45m)")))</f>
        <v/>
      </c>
      <c r="W1026" s="17">
        <f>IF(AND(I1026&gt;600,P1026="Delivered"),"High Value Delivered","Standard")</f>
        <v/>
      </c>
      <c r="X1026" s="17">
        <f>IF(OR(N1026&gt;50,Q1026&lt;=2),"High Risk / Delayed","Normal")</f>
        <v/>
      </c>
      <c r="Y1026" s="17">
        <f>IF(NOT(P1026="Cancelled"),"Fulfilled","Cancelled")</f>
        <v/>
      </c>
      <c r="Z1026" s="17">
        <f>IFERROR(Q1026,0)</f>
        <v/>
      </c>
    </row>
    <row r="1027">
      <c r="A1027" s="25" t="inlineStr">
        <is>
          <t>ORD2026</t>
        </is>
      </c>
      <c r="B1027" s="25" t="inlineStr">
        <is>
          <t>2025-11-13</t>
        </is>
      </c>
      <c r="C1027" s="25" t="inlineStr">
        <is>
          <t>06:45:34</t>
        </is>
      </c>
      <c r="D1027" s="25" t="n">
        <v>1088</v>
      </c>
      <c r="E1027" s="25" t="n">
        <v>120</v>
      </c>
      <c r="F1027" s="25" t="n">
        <v>226</v>
      </c>
      <c r="G1027" s="25" t="inlineStr">
        <is>
          <t>Pune</t>
        </is>
      </c>
      <c r="H1027" s="25" t="inlineStr">
        <is>
          <t>Fast Food</t>
        </is>
      </c>
      <c r="I1027" s="26" t="n">
        <v>300</v>
      </c>
      <c r="J1027" s="26" t="n">
        <v>27.01</v>
      </c>
      <c r="K1027" s="26" t="n">
        <v>25</v>
      </c>
      <c r="L1027" s="27" t="n">
        <v>0.18</v>
      </c>
      <c r="M1027" s="26" t="n">
        <v>60.25</v>
      </c>
      <c r="N1027" s="28" t="n">
        <v>2.8</v>
      </c>
      <c r="O1027" s="28" t="n">
        <v>20.4</v>
      </c>
      <c r="P1027" s="25" t="inlineStr">
        <is>
          <t>Credit Card</t>
        </is>
      </c>
      <c r="Q1027" s="25" t="inlineStr">
        <is>
          <t>Delivered</t>
        </is>
      </c>
      <c r="R1027" s="25" t="n">
        <v>5</v>
      </c>
      <c r="S1027" s="25">
        <f>TEXT(B1027,"yyyy-mm")</f>
        <v/>
      </c>
      <c r="T1027" s="25">
        <f>VLOOKUP(D1027,Customers!A:D,4,FALSE)</f>
        <v/>
      </c>
      <c r="U1027" s="25">
        <f>CONCATENATE(A1027,"-",G1027)</f>
        <v/>
      </c>
      <c r="V1027" s="25">
        <f>IF(N1027="","",IF(N1027&lt;=30,"Fast (&lt;30m)",IF(N1027&lt;=45,"Moderate (30-45m)","Delayed (&gt;45m)")))</f>
        <v/>
      </c>
      <c r="W1027" s="25">
        <f>IF(AND(I1027&gt;600,P1027="Delivered"),"High Value Delivered","Standard")</f>
        <v/>
      </c>
      <c r="X1027" s="25">
        <f>IF(OR(N1027&gt;50,Q1027&lt;=2),"High Risk / Delayed","Normal")</f>
        <v/>
      </c>
      <c r="Y1027" s="25">
        <f>IF(NOT(P1027="Cancelled"),"Fulfilled","Cancelled")</f>
        <v/>
      </c>
      <c r="Z1027" s="25">
        <f>IFERROR(Q1027,0)</f>
        <v/>
      </c>
    </row>
    <row r="1028">
      <c r="A1028" s="17" t="inlineStr">
        <is>
          <t>ORD2027</t>
        </is>
      </c>
      <c r="B1028" s="17" t="inlineStr">
        <is>
          <t>2025-05-03</t>
        </is>
      </c>
      <c r="C1028" s="17" t="inlineStr">
        <is>
          <t>09:41:57</t>
        </is>
      </c>
      <c r="D1028" s="17" t="n">
        <v>1136</v>
      </c>
      <c r="E1028" s="17" t="n">
        <v>119</v>
      </c>
      <c r="F1028" s="17" t="n">
        <v>216</v>
      </c>
      <c r="G1028" s="17" t="inlineStr">
        <is>
          <t>Hyderabad</t>
        </is>
      </c>
      <c r="H1028" s="17" t="inlineStr">
        <is>
          <t>Biryani</t>
        </is>
      </c>
      <c r="I1028" s="22" t="n">
        <v>447</v>
      </c>
      <c r="J1028" s="22" t="n">
        <v>0</v>
      </c>
      <c r="K1028" s="22" t="n">
        <v>25</v>
      </c>
      <c r="L1028" s="23" t="n">
        <v>0.2</v>
      </c>
      <c r="M1028" s="22" t="n">
        <v>95.65000000000001</v>
      </c>
      <c r="N1028" s="24" t="n">
        <v>2.7</v>
      </c>
      <c r="O1028" s="24" t="n">
        <v>25.9</v>
      </c>
      <c r="P1028" s="17" t="inlineStr">
        <is>
          <t>Credit Card</t>
        </is>
      </c>
      <c r="Q1028" s="17" t="inlineStr">
        <is>
          <t>Delivered</t>
        </is>
      </c>
      <c r="R1028" s="17" t="n">
        <v>3</v>
      </c>
      <c r="S1028" s="17">
        <f>TEXT(B1028,"yyyy-mm")</f>
        <v/>
      </c>
      <c r="T1028" s="17">
        <f>VLOOKUP(D1028,Customers!A:D,4,FALSE)</f>
        <v/>
      </c>
      <c r="U1028" s="17">
        <f>CONCATENATE(A1028,"-",G1028)</f>
        <v/>
      </c>
      <c r="V1028" s="17">
        <f>IF(N1028="","",IF(N1028&lt;=30,"Fast (&lt;30m)",IF(N1028&lt;=45,"Moderate (30-45m)","Delayed (&gt;45m)")))</f>
        <v/>
      </c>
      <c r="W1028" s="17">
        <f>IF(AND(I1028&gt;600,P1028="Delivered"),"High Value Delivered","Standard")</f>
        <v/>
      </c>
      <c r="X1028" s="17">
        <f>IF(OR(N1028&gt;50,Q1028&lt;=2),"High Risk / Delayed","Normal")</f>
        <v/>
      </c>
      <c r="Y1028" s="17">
        <f>IF(NOT(P1028="Cancelled"),"Fulfilled","Cancelled")</f>
        <v/>
      </c>
      <c r="Z1028" s="17">
        <f>IFERROR(Q1028,0)</f>
        <v/>
      </c>
    </row>
    <row r="1029">
      <c r="A1029" s="25" t="inlineStr">
        <is>
          <t>ORD2028</t>
        </is>
      </c>
      <c r="B1029" s="25" t="inlineStr">
        <is>
          <t>2025-05-21</t>
        </is>
      </c>
      <c r="C1029" s="25" t="inlineStr">
        <is>
          <t>22:05:59</t>
        </is>
      </c>
      <c r="D1029" s="25" t="n">
        <v>1173</v>
      </c>
      <c r="E1029" s="25" t="n">
        <v>105</v>
      </c>
      <c r="F1029" s="25" t="n">
        <v>213</v>
      </c>
      <c r="G1029" s="25" t="inlineStr">
        <is>
          <t>Bangalore</t>
        </is>
      </c>
      <c r="H1029" s="25" t="inlineStr">
        <is>
          <t>Chinese</t>
        </is>
      </c>
      <c r="I1029" s="26" t="n">
        <v>367</v>
      </c>
      <c r="J1029" s="26" t="n">
        <v>18.74</v>
      </c>
      <c r="K1029" s="26" t="n">
        <v>29.5</v>
      </c>
      <c r="L1029" s="27" t="n">
        <v>0.2</v>
      </c>
      <c r="M1029" s="26" t="n">
        <v>80.78</v>
      </c>
      <c r="N1029" s="28" t="n">
        <v>3.9</v>
      </c>
      <c r="O1029" s="28" t="n">
        <v>31.1</v>
      </c>
      <c r="P1029" s="25" t="inlineStr">
        <is>
          <t>UPI</t>
        </is>
      </c>
      <c r="Q1029" s="25" t="inlineStr">
        <is>
          <t>Delivered</t>
        </is>
      </c>
      <c r="R1029" s="25" t="n">
        <v>4</v>
      </c>
      <c r="S1029" s="25">
        <f>TEXT(B1029,"yyyy-mm")</f>
        <v/>
      </c>
      <c r="T1029" s="25">
        <f>VLOOKUP(D1029,Customers!A:D,4,FALSE)</f>
        <v/>
      </c>
      <c r="U1029" s="25">
        <f>CONCATENATE(A1029,"-",G1029)</f>
        <v/>
      </c>
      <c r="V1029" s="25">
        <f>IF(N1029="","",IF(N1029&lt;=30,"Fast (&lt;30m)",IF(N1029&lt;=45,"Moderate (30-45m)","Delayed (&gt;45m)")))</f>
        <v/>
      </c>
      <c r="W1029" s="25">
        <f>IF(AND(I1029&gt;600,P1029="Delivered"),"High Value Delivered","Standard")</f>
        <v/>
      </c>
      <c r="X1029" s="25">
        <f>IF(OR(N1029&gt;50,Q1029&lt;=2),"High Risk / Delayed","Normal")</f>
        <v/>
      </c>
      <c r="Y1029" s="25">
        <f>IF(NOT(P1029="Cancelled"),"Fulfilled","Cancelled")</f>
        <v/>
      </c>
      <c r="Z1029" s="25">
        <f>IFERROR(Q1029,0)</f>
        <v/>
      </c>
    </row>
    <row r="1030">
      <c r="A1030" s="17" t="inlineStr">
        <is>
          <t>ORD2029</t>
        </is>
      </c>
      <c r="B1030" s="17" t="inlineStr">
        <is>
          <t>2025-11-02</t>
        </is>
      </c>
      <c r="C1030" s="17" t="inlineStr">
        <is>
          <t>14:07:06</t>
        </is>
      </c>
      <c r="D1030" s="17" t="n">
        <v>1270</v>
      </c>
      <c r="E1030" s="17" t="n">
        <v>119</v>
      </c>
      <c r="F1030" s="17" t="n">
        <v>215</v>
      </c>
      <c r="G1030" s="17" t="inlineStr">
        <is>
          <t>Hyderabad</t>
        </is>
      </c>
      <c r="H1030" s="17" t="inlineStr">
        <is>
          <t>Biryani</t>
        </is>
      </c>
      <c r="I1030" s="22" t="n">
        <v>365</v>
      </c>
      <c r="J1030" s="22" t="n">
        <v>0</v>
      </c>
      <c r="K1030" s="22" t="n">
        <v>35</v>
      </c>
      <c r="L1030" s="23" t="n">
        <v>0.2</v>
      </c>
      <c r="M1030" s="22" t="n">
        <v>81.75</v>
      </c>
      <c r="N1030" s="24" t="n">
        <v>5</v>
      </c>
      <c r="O1030" s="24" t="n">
        <v>40.2</v>
      </c>
      <c r="P1030" s="17" t="inlineStr">
        <is>
          <t>UPI</t>
        </is>
      </c>
      <c r="Q1030" s="17" t="inlineStr">
        <is>
          <t>Delivered</t>
        </is>
      </c>
      <c r="R1030" s="17" t="n">
        <v>2</v>
      </c>
      <c r="S1030" s="17">
        <f>TEXT(B1030,"yyyy-mm")</f>
        <v/>
      </c>
      <c r="T1030" s="17">
        <f>VLOOKUP(D1030,Customers!A:D,4,FALSE)</f>
        <v/>
      </c>
      <c r="U1030" s="17">
        <f>CONCATENATE(A1030,"-",G1030)</f>
        <v/>
      </c>
      <c r="V1030" s="17">
        <f>IF(N1030="","",IF(N1030&lt;=30,"Fast (&lt;30m)",IF(N1030&lt;=45,"Moderate (30-45m)","Delayed (&gt;45m)")))</f>
        <v/>
      </c>
      <c r="W1030" s="17">
        <f>IF(AND(I1030&gt;600,P1030="Delivered"),"High Value Delivered","Standard")</f>
        <v/>
      </c>
      <c r="X1030" s="17">
        <f>IF(OR(N1030&gt;50,Q1030&lt;=2),"High Risk / Delayed","Normal")</f>
        <v/>
      </c>
      <c r="Y1030" s="17">
        <f>IF(NOT(P1030="Cancelled"),"Fulfilled","Cancelled")</f>
        <v/>
      </c>
      <c r="Z1030" s="17">
        <f>IFERROR(Q1030,0)</f>
        <v/>
      </c>
    </row>
    <row r="1031">
      <c r="A1031" s="25" t="inlineStr">
        <is>
          <t>ORD2030</t>
        </is>
      </c>
      <c r="B1031" s="25" t="inlineStr">
        <is>
          <t>2025-07-05</t>
        </is>
      </c>
      <c r="C1031" s="25" t="inlineStr">
        <is>
          <t>13:58:53</t>
        </is>
      </c>
      <c r="D1031" s="25" t="n">
        <v>1165</v>
      </c>
      <c r="E1031" s="25" t="n">
        <v>107</v>
      </c>
      <c r="F1031" s="25" t="n">
        <v>202</v>
      </c>
      <c r="G1031" s="25" t="inlineStr">
        <is>
          <t>Mumbai</t>
        </is>
      </c>
      <c r="H1031" s="25" t="inlineStr">
        <is>
          <t>Desserts</t>
        </is>
      </c>
      <c r="I1031" s="26" t="n">
        <v>432</v>
      </c>
      <c r="J1031" s="26" t="n">
        <v>0</v>
      </c>
      <c r="K1031" s="26" t="n">
        <v>25</v>
      </c>
      <c r="L1031" s="27" t="n">
        <v>0.25</v>
      </c>
      <c r="M1031" s="26" t="n">
        <v>114.25</v>
      </c>
      <c r="N1031" s="28" t="n">
        <v>2.9</v>
      </c>
      <c r="O1031" s="28" t="n">
        <v>33.5</v>
      </c>
      <c r="P1031" s="25" t="inlineStr">
        <is>
          <t>UPI</t>
        </is>
      </c>
      <c r="Q1031" s="25" t="inlineStr">
        <is>
          <t>Delivered</t>
        </is>
      </c>
      <c r="R1031" s="25" t="n">
        <v>5</v>
      </c>
      <c r="S1031" s="25">
        <f>TEXT(B1031,"yyyy-mm")</f>
        <v/>
      </c>
      <c r="T1031" s="25">
        <f>VLOOKUP(D1031,Customers!A:D,4,FALSE)</f>
        <v/>
      </c>
      <c r="U1031" s="25">
        <f>CONCATENATE(A1031,"-",G1031)</f>
        <v/>
      </c>
      <c r="V1031" s="25">
        <f>IF(N1031="","",IF(N1031&lt;=30,"Fast (&lt;30m)",IF(N1031&lt;=45,"Moderate (30-45m)","Delayed (&gt;45m)")))</f>
        <v/>
      </c>
      <c r="W1031" s="25">
        <f>IF(AND(I1031&gt;600,P1031="Delivered"),"High Value Delivered","Standard")</f>
        <v/>
      </c>
      <c r="X1031" s="25">
        <f>IF(OR(N1031&gt;50,Q1031&lt;=2),"High Risk / Delayed","Normal")</f>
        <v/>
      </c>
      <c r="Y1031" s="25">
        <f>IF(NOT(P1031="Cancelled"),"Fulfilled","Cancelled")</f>
        <v/>
      </c>
      <c r="Z1031" s="25">
        <f>IFERROR(Q1031,0)</f>
        <v/>
      </c>
    </row>
    <row r="1032">
      <c r="A1032" s="17" t="inlineStr">
        <is>
          <t>ORD2031</t>
        </is>
      </c>
      <c r="B1032" s="17" t="inlineStr">
        <is>
          <t>2025-11-17</t>
        </is>
      </c>
      <c r="C1032" s="17" t="inlineStr">
        <is>
          <t>12:04:13</t>
        </is>
      </c>
      <c r="D1032" s="17" t="n">
        <v>1116</v>
      </c>
      <c r="E1032" s="17" t="n">
        <v>113</v>
      </c>
      <c r="F1032" s="17" t="n">
        <v>229</v>
      </c>
      <c r="G1032" s="17" t="inlineStr">
        <is>
          <t>Mumbai</t>
        </is>
      </c>
      <c r="H1032" s="17" t="inlineStr">
        <is>
          <t>Fast Food</t>
        </is>
      </c>
      <c r="I1032" s="22" t="n">
        <v>1130</v>
      </c>
      <c r="J1032" s="22" t="n">
        <v>155.4</v>
      </c>
      <c r="K1032" s="22" t="n">
        <v>0</v>
      </c>
      <c r="L1032" s="23" t="n">
        <v>0.18</v>
      </c>
      <c r="M1032" s="22" t="n">
        <v>203.4</v>
      </c>
      <c r="N1032" s="24" t="n">
        <v>6.1</v>
      </c>
      <c r="O1032" s="24" t="n">
        <v>45.3</v>
      </c>
      <c r="P1032" s="17" t="inlineStr">
        <is>
          <t>Cash on Delivery</t>
        </is>
      </c>
      <c r="Q1032" s="17" t="inlineStr">
        <is>
          <t>Delivered</t>
        </is>
      </c>
      <c r="R1032" s="17" t="n">
        <v>1</v>
      </c>
      <c r="S1032" s="17">
        <f>TEXT(B1032,"yyyy-mm")</f>
        <v/>
      </c>
      <c r="T1032" s="17">
        <f>VLOOKUP(D1032,Customers!A:D,4,FALSE)</f>
        <v/>
      </c>
      <c r="U1032" s="17">
        <f>CONCATENATE(A1032,"-",G1032)</f>
        <v/>
      </c>
      <c r="V1032" s="17">
        <f>IF(N1032="","",IF(N1032&lt;=30,"Fast (&lt;30m)",IF(N1032&lt;=45,"Moderate (30-45m)","Delayed (&gt;45m)")))</f>
        <v/>
      </c>
      <c r="W1032" s="17">
        <f>IF(AND(I1032&gt;600,P1032="Delivered"),"High Value Delivered","Standard")</f>
        <v/>
      </c>
      <c r="X1032" s="17">
        <f>IF(OR(N1032&gt;50,Q1032&lt;=2),"High Risk / Delayed","Normal")</f>
        <v/>
      </c>
      <c r="Y1032" s="17">
        <f>IF(NOT(P1032="Cancelled"),"Fulfilled","Cancelled")</f>
        <v/>
      </c>
      <c r="Z1032" s="17">
        <f>IFERROR(Q1032,0)</f>
        <v/>
      </c>
    </row>
    <row r="1033">
      <c r="A1033" s="25" t="inlineStr">
        <is>
          <t>ORD2032</t>
        </is>
      </c>
      <c r="B1033" s="25" t="inlineStr">
        <is>
          <t>2025-06-02</t>
        </is>
      </c>
      <c r="C1033" s="25" t="inlineStr">
        <is>
          <t>12:00:57</t>
        </is>
      </c>
      <c r="D1033" s="25" t="n">
        <v>1152</v>
      </c>
      <c r="E1033" s="25" t="n">
        <v>119</v>
      </c>
      <c r="F1033" s="25" t="n">
        <v>216</v>
      </c>
      <c r="G1033" s="25" t="inlineStr">
        <is>
          <t>Hyderabad</t>
        </is>
      </c>
      <c r="H1033" s="25" t="inlineStr">
        <is>
          <t>Biryani</t>
        </is>
      </c>
      <c r="I1033" s="26" t="n">
        <v>402</v>
      </c>
      <c r="J1033" s="26" t="n">
        <v>20.3</v>
      </c>
      <c r="K1033" s="26" t="n">
        <v>35.5</v>
      </c>
      <c r="L1033" s="27" t="n">
        <v>0.2</v>
      </c>
      <c r="M1033" s="26" t="n">
        <v>89.28</v>
      </c>
      <c r="N1033" s="28" t="n">
        <v>5.1</v>
      </c>
      <c r="O1033" s="28" t="n">
        <v>39.9</v>
      </c>
      <c r="P1033" s="25" t="inlineStr">
        <is>
          <t>UPI</t>
        </is>
      </c>
      <c r="Q1033" s="25" t="inlineStr">
        <is>
          <t>Delivered</t>
        </is>
      </c>
      <c r="R1033" s="25" t="n">
        <v>4</v>
      </c>
      <c r="S1033" s="25">
        <f>TEXT(B1033,"yyyy-mm")</f>
        <v/>
      </c>
      <c r="T1033" s="25">
        <f>VLOOKUP(D1033,Customers!A:D,4,FALSE)</f>
        <v/>
      </c>
      <c r="U1033" s="25">
        <f>CONCATENATE(A1033,"-",G1033)</f>
        <v/>
      </c>
      <c r="V1033" s="25">
        <f>IF(N1033="","",IF(N1033&lt;=30,"Fast (&lt;30m)",IF(N1033&lt;=45,"Moderate (30-45m)","Delayed (&gt;45m)")))</f>
        <v/>
      </c>
      <c r="W1033" s="25">
        <f>IF(AND(I1033&gt;600,P1033="Delivered"),"High Value Delivered","Standard")</f>
        <v/>
      </c>
      <c r="X1033" s="25">
        <f>IF(OR(N1033&gt;50,Q1033&lt;=2),"High Risk / Delayed","Normal")</f>
        <v/>
      </c>
      <c r="Y1033" s="25">
        <f>IF(NOT(P1033="Cancelled"),"Fulfilled","Cancelled")</f>
        <v/>
      </c>
      <c r="Z1033" s="25">
        <f>IFERROR(Q1033,0)</f>
        <v/>
      </c>
    </row>
    <row r="1034">
      <c r="A1034" s="17" t="inlineStr">
        <is>
          <t>ORD2033</t>
        </is>
      </c>
      <c r="B1034" s="17" t="inlineStr">
        <is>
          <t>2025-11-11</t>
        </is>
      </c>
      <c r="C1034" s="17" t="inlineStr">
        <is>
          <t>22:38:34</t>
        </is>
      </c>
      <c r="D1034" s="17" t="n">
        <v>1264</v>
      </c>
      <c r="E1034" s="17" t="n">
        <v>105</v>
      </c>
      <c r="F1034" s="17" t="n">
        <v>220</v>
      </c>
      <c r="G1034" s="17" t="inlineStr">
        <is>
          <t>Bangalore</t>
        </is>
      </c>
      <c r="H1034" s="17" t="inlineStr">
        <is>
          <t>Chinese</t>
        </is>
      </c>
      <c r="I1034" s="22" t="n">
        <v>225</v>
      </c>
      <c r="J1034" s="22" t="n">
        <v>0</v>
      </c>
      <c r="K1034" s="22" t="n">
        <v>39.5</v>
      </c>
      <c r="L1034" s="23" t="n">
        <v>0.2</v>
      </c>
      <c r="M1034" s="22" t="n">
        <v>54.88</v>
      </c>
      <c r="N1034" s="24" t="n">
        <v>5.9</v>
      </c>
      <c r="O1034" s="24" t="n">
        <v>43.8</v>
      </c>
      <c r="P1034" s="17" t="inlineStr">
        <is>
          <t>UPI</t>
        </is>
      </c>
      <c r="Q1034" s="17" t="inlineStr">
        <is>
          <t>Returned</t>
        </is>
      </c>
      <c r="R1034" s="17" t="n">
        <v>4</v>
      </c>
      <c r="S1034" s="17">
        <f>TEXT(B1034,"yyyy-mm")</f>
        <v/>
      </c>
      <c r="T1034" s="17">
        <f>VLOOKUP(D1034,Customers!A:D,4,FALSE)</f>
        <v/>
      </c>
      <c r="U1034" s="17">
        <f>CONCATENATE(A1034,"-",G1034)</f>
        <v/>
      </c>
      <c r="V1034" s="17">
        <f>IF(N1034="","",IF(N1034&lt;=30,"Fast (&lt;30m)",IF(N1034&lt;=45,"Moderate (30-45m)","Delayed (&gt;45m)")))</f>
        <v/>
      </c>
      <c r="W1034" s="17">
        <f>IF(AND(I1034&gt;600,P1034="Delivered"),"High Value Delivered","Standard")</f>
        <v/>
      </c>
      <c r="X1034" s="17">
        <f>IF(OR(N1034&gt;50,Q1034&lt;=2),"High Risk / Delayed","Normal")</f>
        <v/>
      </c>
      <c r="Y1034" s="17">
        <f>IF(NOT(P1034="Cancelled"),"Fulfilled","Cancelled")</f>
        <v/>
      </c>
      <c r="Z1034" s="17">
        <f>IFERROR(Q1034,0)</f>
        <v/>
      </c>
    </row>
    <row r="1035">
      <c r="A1035" s="25" t="inlineStr">
        <is>
          <t>ORD2034</t>
        </is>
      </c>
      <c r="B1035" s="25" t="inlineStr">
        <is>
          <t>2025-10-02</t>
        </is>
      </c>
      <c r="C1035" s="25" t="inlineStr">
        <is>
          <t>21:01:33</t>
        </is>
      </c>
      <c r="D1035" s="25" t="n">
        <v>1276</v>
      </c>
      <c r="E1035" s="25" t="n">
        <v>111</v>
      </c>
      <c r="F1035" s="25" t="n">
        <v>210</v>
      </c>
      <c r="G1035" s="25" t="inlineStr">
        <is>
          <t>Bangalore</t>
        </is>
      </c>
      <c r="H1035" s="25" t="inlineStr">
        <is>
          <t>South Indian</t>
        </is>
      </c>
      <c r="I1035" s="26" t="n">
        <v>744</v>
      </c>
      <c r="J1035" s="26" t="n">
        <v>12.87</v>
      </c>
      <c r="K1035" s="26" t="n">
        <v>25</v>
      </c>
      <c r="L1035" s="27" t="n">
        <v>0.15</v>
      </c>
      <c r="M1035" s="26" t="n">
        <v>117.85</v>
      </c>
      <c r="N1035" s="28" t="n">
        <v>1.6</v>
      </c>
      <c r="O1035" s="28" t="n">
        <v>23.2</v>
      </c>
      <c r="P1035" s="25" t="inlineStr">
        <is>
          <t>Credit Card</t>
        </is>
      </c>
      <c r="Q1035" s="25" t="inlineStr">
        <is>
          <t>Delivered</t>
        </is>
      </c>
      <c r="R1035" s="25" t="n">
        <v>2</v>
      </c>
      <c r="S1035" s="25">
        <f>TEXT(B1035,"yyyy-mm")</f>
        <v/>
      </c>
      <c r="T1035" s="25">
        <f>VLOOKUP(D1035,Customers!A:D,4,FALSE)</f>
        <v/>
      </c>
      <c r="U1035" s="25">
        <f>CONCATENATE(A1035,"-",G1035)</f>
        <v/>
      </c>
      <c r="V1035" s="25">
        <f>IF(N1035="","",IF(N1035&lt;=30,"Fast (&lt;30m)",IF(N1035&lt;=45,"Moderate (30-45m)","Delayed (&gt;45m)")))</f>
        <v/>
      </c>
      <c r="W1035" s="25">
        <f>IF(AND(I1035&gt;600,P1035="Delivered"),"High Value Delivered","Standard")</f>
        <v/>
      </c>
      <c r="X1035" s="25">
        <f>IF(OR(N1035&gt;50,Q1035&lt;=2),"High Risk / Delayed","Normal")</f>
        <v/>
      </c>
      <c r="Y1035" s="25">
        <f>IF(NOT(P1035="Cancelled"),"Fulfilled","Cancelled")</f>
        <v/>
      </c>
      <c r="Z1035" s="25">
        <f>IFERROR(Q1035,0)</f>
        <v/>
      </c>
    </row>
    <row r="1036">
      <c r="A1036" s="17" t="inlineStr">
        <is>
          <t>ORD2035</t>
        </is>
      </c>
      <c r="B1036" s="17" t="inlineStr">
        <is>
          <t>2025-03-12</t>
        </is>
      </c>
      <c r="C1036" s="17" t="inlineStr">
        <is>
          <t>23:14:05</t>
        </is>
      </c>
      <c r="D1036" s="17" t="n">
        <v>1032</v>
      </c>
      <c r="E1036" s="17" t="n">
        <v>118</v>
      </c>
      <c r="F1036" s="17" t="n">
        <v>228</v>
      </c>
      <c r="G1036" s="17" t="inlineStr">
        <is>
          <t>Delhi NCR</t>
        </is>
      </c>
      <c r="H1036" s="17" t="inlineStr">
        <is>
          <t>North Indian</t>
        </is>
      </c>
      <c r="I1036" s="22" t="n">
        <v>928</v>
      </c>
      <c r="J1036" s="22" t="n">
        <v>19.87</v>
      </c>
      <c r="K1036" s="22" t="n">
        <v>25</v>
      </c>
      <c r="L1036" s="23" t="n">
        <v>0.2</v>
      </c>
      <c r="M1036" s="22" t="n">
        <v>191.85</v>
      </c>
      <c r="N1036" s="24" t="n">
        <v>3</v>
      </c>
      <c r="O1036" s="24" t="n">
        <v>25.3</v>
      </c>
      <c r="P1036" s="17" t="inlineStr">
        <is>
          <t>UPI</t>
        </is>
      </c>
      <c r="Q1036" s="17" t="inlineStr">
        <is>
          <t>Delivered</t>
        </is>
      </c>
      <c r="R1036" s="17" t="n">
        <v>4</v>
      </c>
      <c r="S1036" s="17">
        <f>TEXT(B1036,"yyyy-mm")</f>
        <v/>
      </c>
      <c r="T1036" s="17">
        <f>VLOOKUP(D1036,Customers!A:D,4,FALSE)</f>
        <v/>
      </c>
      <c r="U1036" s="17">
        <f>CONCATENATE(A1036,"-",G1036)</f>
        <v/>
      </c>
      <c r="V1036" s="17">
        <f>IF(N1036="","",IF(N1036&lt;=30,"Fast (&lt;30m)",IF(N1036&lt;=45,"Moderate (30-45m)","Delayed (&gt;45m)")))</f>
        <v/>
      </c>
      <c r="W1036" s="17">
        <f>IF(AND(I1036&gt;600,P1036="Delivered"),"High Value Delivered","Standard")</f>
        <v/>
      </c>
      <c r="X1036" s="17">
        <f>IF(OR(N1036&gt;50,Q1036&lt;=2),"High Risk / Delayed","Normal")</f>
        <v/>
      </c>
      <c r="Y1036" s="17">
        <f>IF(NOT(P1036="Cancelled"),"Fulfilled","Cancelled")</f>
        <v/>
      </c>
      <c r="Z1036" s="17">
        <f>IFERROR(Q1036,0)</f>
        <v/>
      </c>
    </row>
    <row r="1037">
      <c r="A1037" s="25" t="inlineStr">
        <is>
          <t>ORD2036</t>
        </is>
      </c>
      <c r="B1037" s="25" t="inlineStr">
        <is>
          <t>2025-09-11</t>
        </is>
      </c>
      <c r="C1037" s="25" t="inlineStr">
        <is>
          <t>12:27:32</t>
        </is>
      </c>
      <c r="D1037" s="25" t="n">
        <v>1020</v>
      </c>
      <c r="E1037" s="25" t="n">
        <v>118</v>
      </c>
      <c r="F1037" s="25" t="n">
        <v>230</v>
      </c>
      <c r="G1037" s="25" t="inlineStr">
        <is>
          <t>Delhi NCR</t>
        </is>
      </c>
      <c r="H1037" s="25" t="inlineStr">
        <is>
          <t>North Indian</t>
        </is>
      </c>
      <c r="I1037" s="26" t="n">
        <v>629</v>
      </c>
      <c r="J1037" s="26" t="n">
        <v>12.58</v>
      </c>
      <c r="K1037" s="26" t="n">
        <v>43</v>
      </c>
      <c r="L1037" s="27" t="n">
        <v>0.2</v>
      </c>
      <c r="M1037" s="26" t="n">
        <v>136.55</v>
      </c>
      <c r="N1037" s="28" t="n">
        <v>6.6</v>
      </c>
      <c r="O1037" s="28" t="n">
        <v>57.8</v>
      </c>
      <c r="P1037" s="25" t="inlineStr">
        <is>
          <t>Debit Card</t>
        </is>
      </c>
      <c r="Q1037" s="25" t="inlineStr">
        <is>
          <t>Delivered</t>
        </is>
      </c>
      <c r="R1037" s="25" t="n">
        <v>1</v>
      </c>
      <c r="S1037" s="25">
        <f>TEXT(B1037,"yyyy-mm")</f>
        <v/>
      </c>
      <c r="T1037" s="25">
        <f>VLOOKUP(D1037,Customers!A:D,4,FALSE)</f>
        <v/>
      </c>
      <c r="U1037" s="25">
        <f>CONCATENATE(A1037,"-",G1037)</f>
        <v/>
      </c>
      <c r="V1037" s="25">
        <f>IF(N1037="","",IF(N1037&lt;=30,"Fast (&lt;30m)",IF(N1037&lt;=45,"Moderate (30-45m)","Delayed (&gt;45m)")))</f>
        <v/>
      </c>
      <c r="W1037" s="25">
        <f>IF(AND(I1037&gt;600,P1037="Delivered"),"High Value Delivered","Standard")</f>
        <v/>
      </c>
      <c r="X1037" s="25">
        <f>IF(OR(N1037&gt;50,Q1037&lt;=2),"High Risk / Delayed","Normal")</f>
        <v/>
      </c>
      <c r="Y1037" s="25">
        <f>IF(NOT(P1037="Cancelled"),"Fulfilled","Cancelled")</f>
        <v/>
      </c>
      <c r="Z1037" s="25">
        <f>IFERROR(Q1037,0)</f>
        <v/>
      </c>
    </row>
    <row r="1038">
      <c r="A1038" s="17" t="inlineStr">
        <is>
          <t>ORD2037</t>
        </is>
      </c>
      <c r="B1038" s="17" t="inlineStr">
        <is>
          <t>2025-03-26</t>
        </is>
      </c>
      <c r="C1038" s="17" t="inlineStr">
        <is>
          <t>13:50:13</t>
        </is>
      </c>
      <c r="D1038" s="17" t="n">
        <v>1273</v>
      </c>
      <c r="E1038" s="17" t="n">
        <v>119</v>
      </c>
      <c r="F1038" s="17" t="n">
        <v>225</v>
      </c>
      <c r="G1038" s="17" t="inlineStr">
        <is>
          <t>Hyderabad</t>
        </is>
      </c>
      <c r="H1038" s="17" t="inlineStr">
        <is>
          <t>Biryani</t>
        </is>
      </c>
      <c r="I1038" s="22" t="n">
        <v>929</v>
      </c>
      <c r="J1038" s="22" t="n">
        <v>174.92</v>
      </c>
      <c r="K1038" s="22" t="n">
        <v>0</v>
      </c>
      <c r="L1038" s="23" t="n">
        <v>0.2</v>
      </c>
      <c r="M1038" s="22" t="n">
        <v>185.8</v>
      </c>
      <c r="N1038" s="24" t="n">
        <v>4.8</v>
      </c>
      <c r="O1038" s="24" t="n">
        <v>35.5</v>
      </c>
      <c r="P1038" s="17" t="inlineStr">
        <is>
          <t>Debit Card</t>
        </is>
      </c>
      <c r="Q1038" s="17" t="inlineStr">
        <is>
          <t>Delivered</t>
        </is>
      </c>
      <c r="R1038" s="17" t="n">
        <v>5</v>
      </c>
      <c r="S1038" s="17">
        <f>TEXT(B1038,"yyyy-mm")</f>
        <v/>
      </c>
      <c r="T1038" s="17">
        <f>VLOOKUP(D1038,Customers!A:D,4,FALSE)</f>
        <v/>
      </c>
      <c r="U1038" s="17">
        <f>CONCATENATE(A1038,"-",G1038)</f>
        <v/>
      </c>
      <c r="V1038" s="17">
        <f>IF(N1038="","",IF(N1038&lt;=30,"Fast (&lt;30m)",IF(N1038&lt;=45,"Moderate (30-45m)","Delayed (&gt;45m)")))</f>
        <v/>
      </c>
      <c r="W1038" s="17">
        <f>IF(AND(I1038&gt;600,P1038="Delivered"),"High Value Delivered","Standard")</f>
        <v/>
      </c>
      <c r="X1038" s="17">
        <f>IF(OR(N1038&gt;50,Q1038&lt;=2),"High Risk / Delayed","Normal")</f>
        <v/>
      </c>
      <c r="Y1038" s="17">
        <f>IF(NOT(P1038="Cancelled"),"Fulfilled","Cancelled")</f>
        <v/>
      </c>
      <c r="Z1038" s="17">
        <f>IFERROR(Q1038,0)</f>
        <v/>
      </c>
    </row>
    <row r="1039">
      <c r="A1039" s="25" t="inlineStr">
        <is>
          <t>ORD2038</t>
        </is>
      </c>
      <c r="B1039" s="25" t="inlineStr">
        <is>
          <t>2025-08-08</t>
        </is>
      </c>
      <c r="C1039" s="25" t="inlineStr">
        <is>
          <t>20:12:36</t>
        </is>
      </c>
      <c r="D1039" s="25" t="n">
        <v>1172</v>
      </c>
      <c r="E1039" s="25" t="n">
        <v>120</v>
      </c>
      <c r="F1039" s="25" t="n">
        <v>204</v>
      </c>
      <c r="G1039" s="25" t="inlineStr">
        <is>
          <t>Pune</t>
        </is>
      </c>
      <c r="H1039" s="25" t="inlineStr">
        <is>
          <t>Fast Food</t>
        </is>
      </c>
      <c r="I1039" s="26" t="n">
        <v>581</v>
      </c>
      <c r="J1039" s="26" t="n">
        <v>0</v>
      </c>
      <c r="K1039" s="26" t="n">
        <v>25</v>
      </c>
      <c r="L1039" s="27" t="n">
        <v>0.18</v>
      </c>
      <c r="M1039" s="26" t="n">
        <v>110.83</v>
      </c>
      <c r="N1039" s="28" t="n">
        <v>1.9</v>
      </c>
      <c r="O1039" s="28" t="n">
        <v>32.1</v>
      </c>
      <c r="P1039" s="25" t="inlineStr">
        <is>
          <t>UPI</t>
        </is>
      </c>
      <c r="Q1039" s="25" t="inlineStr">
        <is>
          <t>Delivered</t>
        </is>
      </c>
      <c r="R1039" s="25" t="n">
        <v>4</v>
      </c>
      <c r="S1039" s="25">
        <f>TEXT(B1039,"yyyy-mm")</f>
        <v/>
      </c>
      <c r="T1039" s="25">
        <f>VLOOKUP(D1039,Customers!A:D,4,FALSE)</f>
        <v/>
      </c>
      <c r="U1039" s="25">
        <f>CONCATENATE(A1039,"-",G1039)</f>
        <v/>
      </c>
      <c r="V1039" s="25">
        <f>IF(N1039="","",IF(N1039&lt;=30,"Fast (&lt;30m)",IF(N1039&lt;=45,"Moderate (30-45m)","Delayed (&gt;45m)")))</f>
        <v/>
      </c>
      <c r="W1039" s="25">
        <f>IF(AND(I1039&gt;600,P1039="Delivered"),"High Value Delivered","Standard")</f>
        <v/>
      </c>
      <c r="X1039" s="25">
        <f>IF(OR(N1039&gt;50,Q1039&lt;=2),"High Risk / Delayed","Normal")</f>
        <v/>
      </c>
      <c r="Y1039" s="25">
        <f>IF(NOT(P1039="Cancelled"),"Fulfilled","Cancelled")</f>
        <v/>
      </c>
      <c r="Z1039" s="25">
        <f>IFERROR(Q1039,0)</f>
        <v/>
      </c>
    </row>
    <row r="1040">
      <c r="A1040" s="17" t="inlineStr">
        <is>
          <t>ORD2039</t>
        </is>
      </c>
      <c r="B1040" s="17" t="inlineStr">
        <is>
          <t>2025-09-19</t>
        </is>
      </c>
      <c r="C1040" s="17" t="inlineStr">
        <is>
          <t>11:16:37</t>
        </is>
      </c>
      <c r="D1040" s="17" t="n">
        <v>1116</v>
      </c>
      <c r="E1040" s="17" t="n">
        <v>117</v>
      </c>
      <c r="F1040" s="17" t="n">
        <v>222</v>
      </c>
      <c r="G1040" s="17" t="inlineStr">
        <is>
          <t>Mumbai</t>
        </is>
      </c>
      <c r="H1040" s="17" t="inlineStr">
        <is>
          <t>Chinese</t>
        </is>
      </c>
      <c r="I1040" s="22" t="n">
        <v>814</v>
      </c>
      <c r="J1040" s="22" t="n">
        <v>130.56</v>
      </c>
      <c r="K1040" s="22" t="n">
        <v>0</v>
      </c>
      <c r="L1040" s="23" t="n">
        <v>0.2</v>
      </c>
      <c r="M1040" s="22" t="n">
        <v>162.8</v>
      </c>
      <c r="N1040" s="24" t="n">
        <v>2.7</v>
      </c>
      <c r="O1040" s="24" t="n">
        <v>28.4</v>
      </c>
      <c r="P1040" s="17" t="inlineStr">
        <is>
          <t>Digital Wallet</t>
        </is>
      </c>
      <c r="Q1040" s="17" t="inlineStr">
        <is>
          <t>Delivered</t>
        </is>
      </c>
      <c r="R1040" s="17" t="n">
        <v>4</v>
      </c>
      <c r="S1040" s="17">
        <f>TEXT(B1040,"yyyy-mm")</f>
        <v/>
      </c>
      <c r="T1040" s="17">
        <f>VLOOKUP(D1040,Customers!A:D,4,FALSE)</f>
        <v/>
      </c>
      <c r="U1040" s="17">
        <f>CONCATENATE(A1040,"-",G1040)</f>
        <v/>
      </c>
      <c r="V1040" s="17">
        <f>IF(N1040="","",IF(N1040&lt;=30,"Fast (&lt;30m)",IF(N1040&lt;=45,"Moderate (30-45m)","Delayed (&gt;45m)")))</f>
        <v/>
      </c>
      <c r="W1040" s="17">
        <f>IF(AND(I1040&gt;600,P1040="Delivered"),"High Value Delivered","Standard")</f>
        <v/>
      </c>
      <c r="X1040" s="17">
        <f>IF(OR(N1040&gt;50,Q1040&lt;=2),"High Risk / Delayed","Normal")</f>
        <v/>
      </c>
      <c r="Y1040" s="17">
        <f>IF(NOT(P1040="Cancelled"),"Fulfilled","Cancelled")</f>
        <v/>
      </c>
      <c r="Z1040" s="17">
        <f>IFERROR(Q1040,0)</f>
        <v/>
      </c>
    </row>
    <row r="1041">
      <c r="A1041" s="25" t="inlineStr">
        <is>
          <t>ORD2040</t>
        </is>
      </c>
      <c r="B1041" s="25" t="inlineStr">
        <is>
          <t>2025-02-28</t>
        </is>
      </c>
      <c r="C1041" s="25" t="inlineStr">
        <is>
          <t>18:11:51</t>
        </is>
      </c>
      <c r="D1041" s="25" t="n">
        <v>1255</v>
      </c>
      <c r="E1041" s="25" t="n">
        <v>106</v>
      </c>
      <c r="F1041" s="25" t="n">
        <v>214</v>
      </c>
      <c r="G1041" s="25" t="inlineStr">
        <is>
          <t>Pune</t>
        </is>
      </c>
      <c r="H1041" s="25" t="inlineStr">
        <is>
          <t>South Indian</t>
        </is>
      </c>
      <c r="I1041" s="26" t="n">
        <v>550</v>
      </c>
      <c r="J1041" s="26" t="n">
        <v>0</v>
      </c>
      <c r="K1041" s="26" t="n">
        <v>25</v>
      </c>
      <c r="L1041" s="27" t="n">
        <v>0.15</v>
      </c>
      <c r="M1041" s="26" t="n">
        <v>88.75</v>
      </c>
      <c r="N1041" s="28" t="n">
        <v>1.8</v>
      </c>
      <c r="O1041" s="28" t="n">
        <v>19</v>
      </c>
      <c r="P1041" s="25" t="inlineStr">
        <is>
          <t>Credit Card</t>
        </is>
      </c>
      <c r="Q1041" s="25" t="inlineStr">
        <is>
          <t>Delivered</t>
        </is>
      </c>
      <c r="R1041" s="25" t="n">
        <v>3</v>
      </c>
      <c r="S1041" s="25">
        <f>TEXT(B1041,"yyyy-mm")</f>
        <v/>
      </c>
      <c r="T1041" s="25">
        <f>VLOOKUP(D1041,Customers!A:D,4,FALSE)</f>
        <v/>
      </c>
      <c r="U1041" s="25">
        <f>CONCATENATE(A1041,"-",G1041)</f>
        <v/>
      </c>
      <c r="V1041" s="25">
        <f>IF(N1041="","",IF(N1041&lt;=30,"Fast (&lt;30m)",IF(N1041&lt;=45,"Moderate (30-45m)","Delayed (&gt;45m)")))</f>
        <v/>
      </c>
      <c r="W1041" s="25">
        <f>IF(AND(I1041&gt;600,P1041="Delivered"),"High Value Delivered","Standard")</f>
        <v/>
      </c>
      <c r="X1041" s="25">
        <f>IF(OR(N1041&gt;50,Q1041&lt;=2),"High Risk / Delayed","Normal")</f>
        <v/>
      </c>
      <c r="Y1041" s="25">
        <f>IF(NOT(P1041="Cancelled"),"Fulfilled","Cancelled")</f>
        <v/>
      </c>
      <c r="Z1041" s="25">
        <f>IFERROR(Q1041,0)</f>
        <v/>
      </c>
    </row>
    <row r="1042">
      <c r="A1042" s="17" t="inlineStr">
        <is>
          <t>ORD2041</t>
        </is>
      </c>
      <c r="B1042" s="17" t="inlineStr">
        <is>
          <t>2025-12-03</t>
        </is>
      </c>
      <c r="C1042" s="17" t="inlineStr">
        <is>
          <t>21:23:23</t>
        </is>
      </c>
      <c r="D1042" s="17" t="n">
        <v>1224</v>
      </c>
      <c r="E1042" s="17" t="n">
        <v>108</v>
      </c>
      <c r="F1042" s="17" t="n">
        <v>228</v>
      </c>
      <c r="G1042" s="17" t="inlineStr">
        <is>
          <t>Delhi NCR</t>
        </is>
      </c>
      <c r="H1042" s="17" t="inlineStr">
        <is>
          <t>Fast Food</t>
        </is>
      </c>
      <c r="I1042" s="22" t="n">
        <v>368</v>
      </c>
      <c r="J1042" s="22" t="n">
        <v>3.6</v>
      </c>
      <c r="K1042" s="22" t="n">
        <v>25</v>
      </c>
      <c r="L1042" s="23" t="n">
        <v>0.18</v>
      </c>
      <c r="M1042" s="22" t="n">
        <v>72.48999999999999</v>
      </c>
      <c r="N1042" s="24" t="n">
        <v>3</v>
      </c>
      <c r="O1042" s="24" t="n">
        <v>27.3</v>
      </c>
      <c r="P1042" s="17" t="inlineStr">
        <is>
          <t>UPI</t>
        </is>
      </c>
      <c r="Q1042" s="17" t="inlineStr">
        <is>
          <t>Delivered</t>
        </is>
      </c>
      <c r="R1042" s="17" t="n">
        <v>5</v>
      </c>
      <c r="S1042" s="17">
        <f>TEXT(B1042,"yyyy-mm")</f>
        <v/>
      </c>
      <c r="T1042" s="17">
        <f>VLOOKUP(D1042,Customers!A:D,4,FALSE)</f>
        <v/>
      </c>
      <c r="U1042" s="17">
        <f>CONCATENATE(A1042,"-",G1042)</f>
        <v/>
      </c>
      <c r="V1042" s="17">
        <f>IF(N1042="","",IF(N1042&lt;=30,"Fast (&lt;30m)",IF(N1042&lt;=45,"Moderate (30-45m)","Delayed (&gt;45m)")))</f>
        <v/>
      </c>
      <c r="W1042" s="17">
        <f>IF(AND(I1042&gt;600,P1042="Delivered"),"High Value Delivered","Standard")</f>
        <v/>
      </c>
      <c r="X1042" s="17">
        <f>IF(OR(N1042&gt;50,Q1042&lt;=2),"High Risk / Delayed","Normal")</f>
        <v/>
      </c>
      <c r="Y1042" s="17">
        <f>IF(NOT(P1042="Cancelled"),"Fulfilled","Cancelled")</f>
        <v/>
      </c>
      <c r="Z1042" s="17">
        <f>IFERROR(Q1042,0)</f>
        <v/>
      </c>
    </row>
    <row r="1043">
      <c r="A1043" s="25" t="inlineStr">
        <is>
          <t>ORD2042</t>
        </is>
      </c>
      <c r="B1043" s="25" t="inlineStr">
        <is>
          <t>2025-10-18</t>
        </is>
      </c>
      <c r="C1043" s="25" t="inlineStr">
        <is>
          <t>12:50:20</t>
        </is>
      </c>
      <c r="D1043" s="25" t="n">
        <v>1007</v>
      </c>
      <c r="E1043" s="25" t="n">
        <v>101</v>
      </c>
      <c r="F1043" s="25" t="n">
        <v>205</v>
      </c>
      <c r="G1043" s="25" t="inlineStr">
        <is>
          <t>Bangalore</t>
        </is>
      </c>
      <c r="H1043" s="25" t="inlineStr">
        <is>
          <t>North Indian</t>
        </is>
      </c>
      <c r="I1043" s="26" t="n">
        <v>458</v>
      </c>
      <c r="J1043" s="26" t="n">
        <v>14.13</v>
      </c>
      <c r="K1043" s="26" t="n">
        <v>34</v>
      </c>
      <c r="L1043" s="27" t="n">
        <v>0.2</v>
      </c>
      <c r="M1043" s="26" t="n">
        <v>100.1</v>
      </c>
      <c r="N1043" s="28" t="n">
        <v>4.8</v>
      </c>
      <c r="O1043" s="28" t="n">
        <v>36.3</v>
      </c>
      <c r="P1043" s="25" t="inlineStr">
        <is>
          <t>Digital Wallet</t>
        </is>
      </c>
      <c r="Q1043" s="25" t="inlineStr">
        <is>
          <t>Delivered</t>
        </is>
      </c>
      <c r="R1043" s="25" t="n">
        <v>4</v>
      </c>
      <c r="S1043" s="25">
        <f>TEXT(B1043,"yyyy-mm")</f>
        <v/>
      </c>
      <c r="T1043" s="25">
        <f>VLOOKUP(D1043,Customers!A:D,4,FALSE)</f>
        <v/>
      </c>
      <c r="U1043" s="25">
        <f>CONCATENATE(A1043,"-",G1043)</f>
        <v/>
      </c>
      <c r="V1043" s="25">
        <f>IF(N1043="","",IF(N1043&lt;=30,"Fast (&lt;30m)",IF(N1043&lt;=45,"Moderate (30-45m)","Delayed (&gt;45m)")))</f>
        <v/>
      </c>
      <c r="W1043" s="25">
        <f>IF(AND(I1043&gt;600,P1043="Delivered"),"High Value Delivered","Standard")</f>
        <v/>
      </c>
      <c r="X1043" s="25">
        <f>IF(OR(N1043&gt;50,Q1043&lt;=2),"High Risk / Delayed","Normal")</f>
        <v/>
      </c>
      <c r="Y1043" s="25">
        <f>IF(NOT(P1043="Cancelled"),"Fulfilled","Cancelled")</f>
        <v/>
      </c>
      <c r="Z1043" s="25">
        <f>IFERROR(Q1043,0)</f>
        <v/>
      </c>
    </row>
    <row r="1044">
      <c r="A1044" s="17" t="inlineStr">
        <is>
          <t>ORD2043</t>
        </is>
      </c>
      <c r="B1044" s="17" t="inlineStr">
        <is>
          <t>2025-10-15</t>
        </is>
      </c>
      <c r="C1044" s="17" t="inlineStr">
        <is>
          <t>19:17:45</t>
        </is>
      </c>
      <c r="D1044" s="17" t="n">
        <v>1005</v>
      </c>
      <c r="E1044" s="17" t="n">
        <v>119</v>
      </c>
      <c r="F1044" s="17" t="n">
        <v>216</v>
      </c>
      <c r="G1044" s="17" t="inlineStr">
        <is>
          <t>Hyderabad</t>
        </is>
      </c>
      <c r="H1044" s="17" t="inlineStr">
        <is>
          <t>Biryani</t>
        </is>
      </c>
      <c r="I1044" s="22" t="n">
        <v>842</v>
      </c>
      <c r="J1044" s="22" t="n">
        <v>54.39</v>
      </c>
      <c r="K1044" s="22" t="n">
        <v>40.5</v>
      </c>
      <c r="L1044" s="23" t="n">
        <v>0.2</v>
      </c>
      <c r="M1044" s="22" t="n">
        <v>178.52</v>
      </c>
      <c r="N1044" s="24" t="n">
        <v>6.1</v>
      </c>
      <c r="O1044" s="24" t="n">
        <v>47.9</v>
      </c>
      <c r="P1044" s="17" t="inlineStr">
        <is>
          <t>Digital Wallet</t>
        </is>
      </c>
      <c r="Q1044" s="17" t="inlineStr">
        <is>
          <t>Delivered</t>
        </is>
      </c>
      <c r="R1044" s="17" t="n">
        <v>3</v>
      </c>
      <c r="S1044" s="17">
        <f>TEXT(B1044,"yyyy-mm")</f>
        <v/>
      </c>
      <c r="T1044" s="17">
        <f>VLOOKUP(D1044,Customers!A:D,4,FALSE)</f>
        <v/>
      </c>
      <c r="U1044" s="17">
        <f>CONCATENATE(A1044,"-",G1044)</f>
        <v/>
      </c>
      <c r="V1044" s="17">
        <f>IF(N1044="","",IF(N1044&lt;=30,"Fast (&lt;30m)",IF(N1044&lt;=45,"Moderate (30-45m)","Delayed (&gt;45m)")))</f>
        <v/>
      </c>
      <c r="W1044" s="17">
        <f>IF(AND(I1044&gt;600,P1044="Delivered"),"High Value Delivered","Standard")</f>
        <v/>
      </c>
      <c r="X1044" s="17">
        <f>IF(OR(N1044&gt;50,Q1044&lt;=2),"High Risk / Delayed","Normal")</f>
        <v/>
      </c>
      <c r="Y1044" s="17">
        <f>IF(NOT(P1044="Cancelled"),"Fulfilled","Cancelled")</f>
        <v/>
      </c>
      <c r="Z1044" s="17">
        <f>IFERROR(Q1044,0)</f>
        <v/>
      </c>
    </row>
    <row r="1045">
      <c r="A1045" s="25" t="inlineStr">
        <is>
          <t>ORD2044</t>
        </is>
      </c>
      <c r="B1045" s="25" t="inlineStr">
        <is>
          <t>2025-06-13</t>
        </is>
      </c>
      <c r="C1045" s="25" t="inlineStr">
        <is>
          <t>22:12:12</t>
        </is>
      </c>
      <c r="D1045" s="25" t="n">
        <v>1044</v>
      </c>
      <c r="E1045" s="25" t="n">
        <v>109</v>
      </c>
      <c r="F1045" s="25" t="n">
        <v>216</v>
      </c>
      <c r="G1045" s="25" t="inlineStr">
        <is>
          <t>Hyderabad</t>
        </is>
      </c>
      <c r="H1045" s="25" t="inlineStr">
        <is>
          <t>Biryani</t>
        </is>
      </c>
      <c r="I1045" s="26" t="n">
        <v>575</v>
      </c>
      <c r="J1045" s="26" t="n">
        <v>85.90000000000001</v>
      </c>
      <c r="K1045" s="26" t="n">
        <v>0</v>
      </c>
      <c r="L1045" s="27" t="n">
        <v>0.2</v>
      </c>
      <c r="M1045" s="26" t="n">
        <v>115</v>
      </c>
      <c r="N1045" s="28" t="n">
        <v>11</v>
      </c>
      <c r="O1045" s="28" t="n">
        <v>45.4</v>
      </c>
      <c r="P1045" s="25" t="inlineStr">
        <is>
          <t>Debit Card</t>
        </is>
      </c>
      <c r="Q1045" s="25" t="inlineStr">
        <is>
          <t>Delivered</t>
        </is>
      </c>
      <c r="R1045" s="25" t="n">
        <v>4</v>
      </c>
      <c r="S1045" s="25">
        <f>TEXT(B1045,"yyyy-mm")</f>
        <v/>
      </c>
      <c r="T1045" s="25">
        <f>VLOOKUP(D1045,Customers!A:D,4,FALSE)</f>
        <v/>
      </c>
      <c r="U1045" s="25">
        <f>CONCATENATE(A1045,"-",G1045)</f>
        <v/>
      </c>
      <c r="V1045" s="25">
        <f>IF(N1045="","",IF(N1045&lt;=30,"Fast (&lt;30m)",IF(N1045&lt;=45,"Moderate (30-45m)","Delayed (&gt;45m)")))</f>
        <v/>
      </c>
      <c r="W1045" s="25">
        <f>IF(AND(I1045&gt;600,P1045="Delivered"),"High Value Delivered","Standard")</f>
        <v/>
      </c>
      <c r="X1045" s="25">
        <f>IF(OR(N1045&gt;50,Q1045&lt;=2),"High Risk / Delayed","Normal")</f>
        <v/>
      </c>
      <c r="Y1045" s="25">
        <f>IF(NOT(P1045="Cancelled"),"Fulfilled","Cancelled")</f>
        <v/>
      </c>
      <c r="Z1045" s="25">
        <f>IFERROR(Q1045,0)</f>
        <v/>
      </c>
    </row>
    <row r="1046">
      <c r="A1046" s="17" t="inlineStr">
        <is>
          <t>ORD2045</t>
        </is>
      </c>
      <c r="B1046" s="17" t="inlineStr">
        <is>
          <t>2025-08-20</t>
        </is>
      </c>
      <c r="C1046" s="17" t="inlineStr">
        <is>
          <t>13:10:38</t>
        </is>
      </c>
      <c r="D1046" s="17" t="n">
        <v>1007</v>
      </c>
      <c r="E1046" s="17" t="n">
        <v>115</v>
      </c>
      <c r="F1046" s="17" t="n">
        <v>223</v>
      </c>
      <c r="G1046" s="17" t="inlineStr">
        <is>
          <t>Bangalore</t>
        </is>
      </c>
      <c r="H1046" s="17" t="inlineStr">
        <is>
          <t>Italian</t>
        </is>
      </c>
      <c r="I1046" s="22" t="n">
        <v>554</v>
      </c>
      <c r="J1046" s="22" t="n">
        <v>10.48</v>
      </c>
      <c r="K1046" s="22" t="n">
        <v>25</v>
      </c>
      <c r="L1046" s="23" t="n">
        <v>0.2</v>
      </c>
      <c r="M1046" s="22" t="n">
        <v>117.05</v>
      </c>
      <c r="N1046" s="24" t="n">
        <v>2.4</v>
      </c>
      <c r="O1046" s="24" t="n">
        <v>21.3</v>
      </c>
      <c r="P1046" s="17" t="inlineStr">
        <is>
          <t>UPI</t>
        </is>
      </c>
      <c r="Q1046" s="17" t="inlineStr">
        <is>
          <t>Delivered</t>
        </is>
      </c>
      <c r="R1046" s="17" t="n">
        <v>3</v>
      </c>
      <c r="S1046" s="17">
        <f>TEXT(B1046,"yyyy-mm")</f>
        <v/>
      </c>
      <c r="T1046" s="17">
        <f>VLOOKUP(D1046,Customers!A:D,4,FALSE)</f>
        <v/>
      </c>
      <c r="U1046" s="17">
        <f>CONCATENATE(A1046,"-",G1046)</f>
        <v/>
      </c>
      <c r="V1046" s="17">
        <f>IF(N1046="","",IF(N1046&lt;=30,"Fast (&lt;30m)",IF(N1046&lt;=45,"Moderate (30-45m)","Delayed (&gt;45m)")))</f>
        <v/>
      </c>
      <c r="W1046" s="17">
        <f>IF(AND(I1046&gt;600,P1046="Delivered"),"High Value Delivered","Standard")</f>
        <v/>
      </c>
      <c r="X1046" s="17">
        <f>IF(OR(N1046&gt;50,Q1046&lt;=2),"High Risk / Delayed","Normal")</f>
        <v/>
      </c>
      <c r="Y1046" s="17">
        <f>IF(NOT(P1046="Cancelled"),"Fulfilled","Cancelled")</f>
        <v/>
      </c>
      <c r="Z1046" s="17">
        <f>IFERROR(Q1046,0)</f>
        <v/>
      </c>
    </row>
    <row r="1047">
      <c r="A1047" s="25" t="inlineStr">
        <is>
          <t>ORD2046</t>
        </is>
      </c>
      <c r="B1047" s="25" t="inlineStr">
        <is>
          <t>2025-03-09</t>
        </is>
      </c>
      <c r="C1047" s="25" t="inlineStr">
        <is>
          <t>12:53:25</t>
        </is>
      </c>
      <c r="D1047" s="25" t="n">
        <v>1207</v>
      </c>
      <c r="E1047" s="25" t="n">
        <v>112</v>
      </c>
      <c r="F1047" s="25" t="n">
        <v>230</v>
      </c>
      <c r="G1047" s="25" t="inlineStr">
        <is>
          <t>Delhi NCR</t>
        </is>
      </c>
      <c r="H1047" s="25" t="inlineStr">
        <is>
          <t>North Indian</t>
        </is>
      </c>
      <c r="I1047" s="26" t="n">
        <v>257</v>
      </c>
      <c r="J1047" s="26" t="n">
        <v>18.87</v>
      </c>
      <c r="K1047" s="26" t="n">
        <v>25</v>
      </c>
      <c r="L1047" s="27" t="n">
        <v>0.22</v>
      </c>
      <c r="M1047" s="26" t="n">
        <v>62.79</v>
      </c>
      <c r="N1047" s="28" t="n">
        <v>3</v>
      </c>
      <c r="O1047" s="28" t="n">
        <v>27.4</v>
      </c>
      <c r="P1047" s="25" t="inlineStr">
        <is>
          <t>UPI</t>
        </is>
      </c>
      <c r="Q1047" s="25" t="inlineStr">
        <is>
          <t>Delivered</t>
        </is>
      </c>
      <c r="R1047" s="25" t="n">
        <v>5</v>
      </c>
      <c r="S1047" s="25">
        <f>TEXT(B1047,"yyyy-mm")</f>
        <v/>
      </c>
      <c r="T1047" s="25">
        <f>VLOOKUP(D1047,Customers!A:D,4,FALSE)</f>
        <v/>
      </c>
      <c r="U1047" s="25">
        <f>CONCATENATE(A1047,"-",G1047)</f>
        <v/>
      </c>
      <c r="V1047" s="25">
        <f>IF(N1047="","",IF(N1047&lt;=30,"Fast (&lt;30m)",IF(N1047&lt;=45,"Moderate (30-45m)","Delayed (&gt;45m)")))</f>
        <v/>
      </c>
      <c r="W1047" s="25">
        <f>IF(AND(I1047&gt;600,P1047="Delivered"),"High Value Delivered","Standard")</f>
        <v/>
      </c>
      <c r="X1047" s="25">
        <f>IF(OR(N1047&gt;50,Q1047&lt;=2),"High Risk / Delayed","Normal")</f>
        <v/>
      </c>
      <c r="Y1047" s="25">
        <f>IF(NOT(P1047="Cancelled"),"Fulfilled","Cancelled")</f>
        <v/>
      </c>
      <c r="Z1047" s="25">
        <f>IFERROR(Q1047,0)</f>
        <v/>
      </c>
    </row>
    <row r="1048">
      <c r="A1048" s="17" t="inlineStr">
        <is>
          <t>ORD2047</t>
        </is>
      </c>
      <c r="B1048" s="17" t="inlineStr">
        <is>
          <t>2025-02-18</t>
        </is>
      </c>
      <c r="C1048" s="17" t="inlineStr">
        <is>
          <t>18:53:51</t>
        </is>
      </c>
      <c r="D1048" s="17" t="n">
        <v>1228</v>
      </c>
      <c r="E1048" s="17" t="n">
        <v>119</v>
      </c>
      <c r="F1048" s="17" t="n">
        <v>215</v>
      </c>
      <c r="G1048" s="17" t="inlineStr">
        <is>
          <t>Hyderabad</t>
        </is>
      </c>
      <c r="H1048" s="17" t="inlineStr">
        <is>
          <t>Biryani</t>
        </is>
      </c>
      <c r="I1048" s="22" t="n">
        <v>645</v>
      </c>
      <c r="J1048" s="22" t="n">
        <v>14.17</v>
      </c>
      <c r="K1048" s="22" t="n">
        <v>29</v>
      </c>
      <c r="L1048" s="23" t="n">
        <v>0.2</v>
      </c>
      <c r="M1048" s="22" t="n">
        <v>136.25</v>
      </c>
      <c r="N1048" s="24" t="n">
        <v>3.8</v>
      </c>
      <c r="O1048" s="24" t="n">
        <v>33.1</v>
      </c>
      <c r="P1048" s="17" t="inlineStr">
        <is>
          <t>Cash on Delivery</t>
        </is>
      </c>
      <c r="Q1048" s="17" t="inlineStr">
        <is>
          <t>Delivered</t>
        </is>
      </c>
      <c r="R1048" s="17" t="n">
        <v>2</v>
      </c>
      <c r="S1048" s="17">
        <f>TEXT(B1048,"yyyy-mm")</f>
        <v/>
      </c>
      <c r="T1048" s="17">
        <f>VLOOKUP(D1048,Customers!A:D,4,FALSE)</f>
        <v/>
      </c>
      <c r="U1048" s="17">
        <f>CONCATENATE(A1048,"-",G1048)</f>
        <v/>
      </c>
      <c r="V1048" s="17">
        <f>IF(N1048="","",IF(N1048&lt;=30,"Fast (&lt;30m)",IF(N1048&lt;=45,"Moderate (30-45m)","Delayed (&gt;45m)")))</f>
        <v/>
      </c>
      <c r="W1048" s="17">
        <f>IF(AND(I1048&gt;600,P1048="Delivered"),"High Value Delivered","Standard")</f>
        <v/>
      </c>
      <c r="X1048" s="17">
        <f>IF(OR(N1048&gt;50,Q1048&lt;=2),"High Risk / Delayed","Normal")</f>
        <v/>
      </c>
      <c r="Y1048" s="17">
        <f>IF(NOT(P1048="Cancelled"),"Fulfilled","Cancelled")</f>
        <v/>
      </c>
      <c r="Z1048" s="17">
        <f>IFERROR(Q1048,0)</f>
        <v/>
      </c>
    </row>
    <row r="1049">
      <c r="A1049" s="25" t="inlineStr">
        <is>
          <t>ORD2048</t>
        </is>
      </c>
      <c r="B1049" s="25" t="inlineStr">
        <is>
          <t>2025-09-10</t>
        </is>
      </c>
      <c r="C1049" s="25" t="inlineStr">
        <is>
          <t>14:39:03</t>
        </is>
      </c>
      <c r="D1049" s="25" t="n">
        <v>1202</v>
      </c>
      <c r="E1049" s="25" t="n">
        <v>111</v>
      </c>
      <c r="F1049" s="25" t="n">
        <v>227</v>
      </c>
      <c r="G1049" s="25" t="inlineStr">
        <is>
          <t>Bangalore</t>
        </is>
      </c>
      <c r="H1049" s="25" t="inlineStr">
        <is>
          <t>South Indian</t>
        </is>
      </c>
      <c r="I1049" s="26" t="n">
        <v>622</v>
      </c>
      <c r="J1049" s="26" t="n">
        <v>0</v>
      </c>
      <c r="K1049" s="26" t="n">
        <v>25</v>
      </c>
      <c r="L1049" s="27" t="n">
        <v>0.15</v>
      </c>
      <c r="M1049" s="26" t="n">
        <v>99.55</v>
      </c>
      <c r="N1049" s="28" t="n">
        <v>1.9</v>
      </c>
      <c r="O1049" s="28" t="n">
        <v>55.1</v>
      </c>
      <c r="P1049" s="25" t="inlineStr">
        <is>
          <t>Cash on Delivery</t>
        </is>
      </c>
      <c r="Q1049" s="25" t="inlineStr">
        <is>
          <t>Delivered</t>
        </is>
      </c>
      <c r="R1049" s="25" t="n">
        <v>2</v>
      </c>
      <c r="S1049" s="25">
        <f>TEXT(B1049,"yyyy-mm")</f>
        <v/>
      </c>
      <c r="T1049" s="25">
        <f>VLOOKUP(D1049,Customers!A:D,4,FALSE)</f>
        <v/>
      </c>
      <c r="U1049" s="25">
        <f>CONCATENATE(A1049,"-",G1049)</f>
        <v/>
      </c>
      <c r="V1049" s="25">
        <f>IF(N1049="","",IF(N1049&lt;=30,"Fast (&lt;30m)",IF(N1049&lt;=45,"Moderate (30-45m)","Delayed (&gt;45m)")))</f>
        <v/>
      </c>
      <c r="W1049" s="25">
        <f>IF(AND(I1049&gt;600,P1049="Delivered"),"High Value Delivered","Standard")</f>
        <v/>
      </c>
      <c r="X1049" s="25">
        <f>IF(OR(N1049&gt;50,Q1049&lt;=2),"High Risk / Delayed","Normal")</f>
        <v/>
      </c>
      <c r="Y1049" s="25">
        <f>IF(NOT(P1049="Cancelled"),"Fulfilled","Cancelled")</f>
        <v/>
      </c>
      <c r="Z1049" s="25">
        <f>IFERROR(Q1049,0)</f>
        <v/>
      </c>
    </row>
    <row r="1050">
      <c r="A1050" s="17" t="inlineStr">
        <is>
          <t>ORD2049</t>
        </is>
      </c>
      <c r="B1050" s="17" t="inlineStr">
        <is>
          <t>2025-01-15</t>
        </is>
      </c>
      <c r="C1050" s="17" t="inlineStr">
        <is>
          <t>09:14:03</t>
        </is>
      </c>
      <c r="D1050" s="17" t="n">
        <v>1188</v>
      </c>
      <c r="E1050" s="17" t="n">
        <v>102</v>
      </c>
      <c r="F1050" s="17" t="n">
        <v>216</v>
      </c>
      <c r="G1050" s="17" t="inlineStr">
        <is>
          <t>Hyderabad</t>
        </is>
      </c>
      <c r="H1050" s="17" t="inlineStr">
        <is>
          <t>Biryani</t>
        </is>
      </c>
      <c r="I1050" s="22" t="n">
        <v>230</v>
      </c>
      <c r="J1050" s="22" t="n">
        <v>0</v>
      </c>
      <c r="K1050" s="22" t="n">
        <v>31.5</v>
      </c>
      <c r="L1050" s="23" t="n">
        <v>0.22</v>
      </c>
      <c r="M1050" s="22" t="n">
        <v>58.48</v>
      </c>
      <c r="N1050" s="24" t="n">
        <v>4.3</v>
      </c>
      <c r="O1050" s="24" t="n">
        <v>36</v>
      </c>
      <c r="P1050" s="17" t="inlineStr">
        <is>
          <t>Cash on Delivery</t>
        </is>
      </c>
      <c r="Q1050" s="17" t="inlineStr">
        <is>
          <t>Delivered</t>
        </is>
      </c>
      <c r="R1050" s="17" t="n">
        <v>3</v>
      </c>
      <c r="S1050" s="17">
        <f>TEXT(B1050,"yyyy-mm")</f>
        <v/>
      </c>
      <c r="T1050" s="17">
        <f>VLOOKUP(D1050,Customers!A:D,4,FALSE)</f>
        <v/>
      </c>
      <c r="U1050" s="17">
        <f>CONCATENATE(A1050,"-",G1050)</f>
        <v/>
      </c>
      <c r="V1050" s="17">
        <f>IF(N1050="","",IF(N1050&lt;=30,"Fast (&lt;30m)",IF(N1050&lt;=45,"Moderate (30-45m)","Delayed (&gt;45m)")))</f>
        <v/>
      </c>
      <c r="W1050" s="17">
        <f>IF(AND(I1050&gt;600,P1050="Delivered"),"High Value Delivered","Standard")</f>
        <v/>
      </c>
      <c r="X1050" s="17">
        <f>IF(OR(N1050&gt;50,Q1050&lt;=2),"High Risk / Delayed","Normal")</f>
        <v/>
      </c>
      <c r="Y1050" s="17">
        <f>IF(NOT(P1050="Cancelled"),"Fulfilled","Cancelled")</f>
        <v/>
      </c>
      <c r="Z1050" s="17">
        <f>IFERROR(Q1050,0)</f>
        <v/>
      </c>
    </row>
    <row r="1051">
      <c r="A1051" s="25" t="inlineStr">
        <is>
          <t>ORD2050</t>
        </is>
      </c>
      <c r="B1051" s="25" t="inlineStr">
        <is>
          <t>2025-02-15</t>
        </is>
      </c>
      <c r="C1051" s="25" t="inlineStr">
        <is>
          <t>11:12:46</t>
        </is>
      </c>
      <c r="D1051" s="25" t="n">
        <v>1278</v>
      </c>
      <c r="E1051" s="25" t="n">
        <v>111</v>
      </c>
      <c r="F1051" s="25" t="n">
        <v>227</v>
      </c>
      <c r="G1051" s="25" t="inlineStr">
        <is>
          <t>Bangalore</t>
        </is>
      </c>
      <c r="H1051" s="25" t="inlineStr">
        <is>
          <t>South Indian</t>
        </is>
      </c>
      <c r="I1051" s="26" t="n">
        <v>597</v>
      </c>
      <c r="J1051" s="26" t="n">
        <v>63.96</v>
      </c>
      <c r="K1051" s="26" t="n">
        <v>28.5</v>
      </c>
      <c r="L1051" s="27" t="n">
        <v>0.15</v>
      </c>
      <c r="M1051" s="26" t="n">
        <v>96.68000000000001</v>
      </c>
      <c r="N1051" s="28" t="n">
        <v>3.7</v>
      </c>
      <c r="O1051" s="28" t="n">
        <v/>
      </c>
      <c r="P1051" s="25" t="inlineStr">
        <is>
          <t>UPI</t>
        </is>
      </c>
      <c r="Q1051" s="25" t="inlineStr">
        <is>
          <t>Cancelled</t>
        </is>
      </c>
      <c r="R1051" s="25" t="n">
        <v/>
      </c>
      <c r="S1051" s="25">
        <f>TEXT(B1051,"yyyy-mm")</f>
        <v/>
      </c>
      <c r="T1051" s="25">
        <f>VLOOKUP(D1051,Customers!A:D,4,FALSE)</f>
        <v/>
      </c>
      <c r="U1051" s="25">
        <f>CONCATENATE(A1051,"-",G1051)</f>
        <v/>
      </c>
      <c r="V1051" s="25">
        <f>IF(N1051="","",IF(N1051&lt;=30,"Fast (&lt;30m)",IF(N1051&lt;=45,"Moderate (30-45m)","Delayed (&gt;45m)")))</f>
        <v/>
      </c>
      <c r="W1051" s="25">
        <f>IF(AND(I1051&gt;600,P1051="Delivered"),"High Value Delivered","Standard")</f>
        <v/>
      </c>
      <c r="X1051" s="25">
        <f>IF(OR(N1051&gt;50,Q1051&lt;=2),"High Risk / Delayed","Normal")</f>
        <v/>
      </c>
      <c r="Y1051" s="25">
        <f>IF(NOT(P1051="Cancelled"),"Fulfilled","Cancelled")</f>
        <v/>
      </c>
      <c r="Z1051" s="25">
        <f>IFERROR(Q1051,0)</f>
        <v/>
      </c>
    </row>
    <row r="1052">
      <c r="A1052" s="17" t="inlineStr">
        <is>
          <t>ORD2051</t>
        </is>
      </c>
      <c r="B1052" s="17" t="inlineStr">
        <is>
          <t>2025-02-26</t>
        </is>
      </c>
      <c r="C1052" s="17" t="inlineStr">
        <is>
          <t>21:03:19</t>
        </is>
      </c>
      <c r="D1052" s="17" t="n">
        <v>1010</v>
      </c>
      <c r="E1052" s="17" t="n">
        <v>102</v>
      </c>
      <c r="F1052" s="17" t="n">
        <v>216</v>
      </c>
      <c r="G1052" s="17" t="inlineStr">
        <is>
          <t>Hyderabad</t>
        </is>
      </c>
      <c r="H1052" s="17" t="inlineStr">
        <is>
          <t>Biryani</t>
        </is>
      </c>
      <c r="I1052" s="22" t="n">
        <v>296</v>
      </c>
      <c r="J1052" s="22" t="n">
        <v>20.26</v>
      </c>
      <c r="K1052" s="22" t="n">
        <v>40.5</v>
      </c>
      <c r="L1052" s="23" t="n">
        <v>0.22</v>
      </c>
      <c r="M1052" s="22" t="n">
        <v>75.23999999999999</v>
      </c>
      <c r="N1052" s="24" t="n">
        <v>6.1</v>
      </c>
      <c r="O1052" s="24" t="n">
        <v>42.1</v>
      </c>
      <c r="P1052" s="17" t="inlineStr">
        <is>
          <t>Cash on Delivery</t>
        </is>
      </c>
      <c r="Q1052" s="17" t="inlineStr">
        <is>
          <t>Delivered</t>
        </is>
      </c>
      <c r="R1052" s="17" t="n">
        <v>3</v>
      </c>
      <c r="S1052" s="17">
        <f>TEXT(B1052,"yyyy-mm")</f>
        <v/>
      </c>
      <c r="T1052" s="17">
        <f>VLOOKUP(D1052,Customers!A:D,4,FALSE)</f>
        <v/>
      </c>
      <c r="U1052" s="17">
        <f>CONCATENATE(A1052,"-",G1052)</f>
        <v/>
      </c>
      <c r="V1052" s="17">
        <f>IF(N1052="","",IF(N1052&lt;=30,"Fast (&lt;30m)",IF(N1052&lt;=45,"Moderate (30-45m)","Delayed (&gt;45m)")))</f>
        <v/>
      </c>
      <c r="W1052" s="17">
        <f>IF(AND(I1052&gt;600,P1052="Delivered"),"High Value Delivered","Standard")</f>
        <v/>
      </c>
      <c r="X1052" s="17">
        <f>IF(OR(N1052&gt;50,Q1052&lt;=2),"High Risk / Delayed","Normal")</f>
        <v/>
      </c>
      <c r="Y1052" s="17">
        <f>IF(NOT(P1052="Cancelled"),"Fulfilled","Cancelled")</f>
        <v/>
      </c>
      <c r="Z1052" s="17">
        <f>IFERROR(Q1052,0)</f>
        <v/>
      </c>
    </row>
    <row r="1053">
      <c r="A1053" s="25" t="inlineStr">
        <is>
          <t>ORD2052</t>
        </is>
      </c>
      <c r="B1053" s="25" t="inlineStr">
        <is>
          <t>2025-10-26</t>
        </is>
      </c>
      <c r="C1053" s="25" t="inlineStr">
        <is>
          <t>21:29:07</t>
        </is>
      </c>
      <c r="D1053" s="25" t="n">
        <v>1010</v>
      </c>
      <c r="E1053" s="25" t="n">
        <v>119</v>
      </c>
      <c r="F1053" s="25" t="n">
        <v>215</v>
      </c>
      <c r="G1053" s="25" t="inlineStr">
        <is>
          <t>Hyderabad</t>
        </is>
      </c>
      <c r="H1053" s="25" t="inlineStr">
        <is>
          <t>Biryani</t>
        </is>
      </c>
      <c r="I1053" s="26" t="n">
        <v>349</v>
      </c>
      <c r="J1053" s="26" t="n">
        <v>25.25</v>
      </c>
      <c r="K1053" s="26" t="n">
        <v>29</v>
      </c>
      <c r="L1053" s="27" t="n">
        <v>0.2</v>
      </c>
      <c r="M1053" s="26" t="n">
        <v>77.05</v>
      </c>
      <c r="N1053" s="28" t="n">
        <v>3.8</v>
      </c>
      <c r="O1053" s="28" t="n">
        <v>36</v>
      </c>
      <c r="P1053" s="25" t="inlineStr">
        <is>
          <t>Digital Wallet</t>
        </is>
      </c>
      <c r="Q1053" s="25" t="inlineStr">
        <is>
          <t>Delivered</t>
        </is>
      </c>
      <c r="R1053" s="25" t="n">
        <v>5</v>
      </c>
      <c r="S1053" s="25">
        <f>TEXT(B1053,"yyyy-mm")</f>
        <v/>
      </c>
      <c r="T1053" s="25">
        <f>VLOOKUP(D1053,Customers!A:D,4,FALSE)</f>
        <v/>
      </c>
      <c r="U1053" s="25">
        <f>CONCATENATE(A1053,"-",G1053)</f>
        <v/>
      </c>
      <c r="V1053" s="25">
        <f>IF(N1053="","",IF(N1053&lt;=30,"Fast (&lt;30m)",IF(N1053&lt;=45,"Moderate (30-45m)","Delayed (&gt;45m)")))</f>
        <v/>
      </c>
      <c r="W1053" s="25">
        <f>IF(AND(I1053&gt;600,P1053="Delivered"),"High Value Delivered","Standard")</f>
        <v/>
      </c>
      <c r="X1053" s="25">
        <f>IF(OR(N1053&gt;50,Q1053&lt;=2),"High Risk / Delayed","Normal")</f>
        <v/>
      </c>
      <c r="Y1053" s="25">
        <f>IF(NOT(P1053="Cancelled"),"Fulfilled","Cancelled")</f>
        <v/>
      </c>
      <c r="Z1053" s="25">
        <f>IFERROR(Q1053,0)</f>
        <v/>
      </c>
    </row>
    <row r="1054">
      <c r="A1054" s="17" t="inlineStr">
        <is>
          <t>ORD2053</t>
        </is>
      </c>
      <c r="B1054" s="17" t="inlineStr">
        <is>
          <t>2025-09-25</t>
        </is>
      </c>
      <c r="C1054" s="17" t="inlineStr">
        <is>
          <t>10:33:15</t>
        </is>
      </c>
      <c r="D1054" s="17" t="n">
        <v>1084</v>
      </c>
      <c r="E1054" s="17" t="n">
        <v>108</v>
      </c>
      <c r="F1054" s="17" t="n">
        <v>212</v>
      </c>
      <c r="G1054" s="17" t="inlineStr">
        <is>
          <t>Delhi NCR</t>
        </is>
      </c>
      <c r="H1054" s="17" t="inlineStr">
        <is>
          <t>Fast Food</t>
        </is>
      </c>
      <c r="I1054" s="22" t="n">
        <v>811</v>
      </c>
      <c r="J1054" s="22" t="n">
        <v>0</v>
      </c>
      <c r="K1054" s="22" t="n">
        <v>42</v>
      </c>
      <c r="L1054" s="23" t="n">
        <v>0.18</v>
      </c>
      <c r="M1054" s="22" t="n">
        <v>156.48</v>
      </c>
      <c r="N1054" s="24" t="n">
        <v>6.4</v>
      </c>
      <c r="O1054" s="24" t="n">
        <v>36.3</v>
      </c>
      <c r="P1054" s="17" t="inlineStr">
        <is>
          <t>Debit Card</t>
        </is>
      </c>
      <c r="Q1054" s="17" t="inlineStr">
        <is>
          <t>Delivered</t>
        </is>
      </c>
      <c r="R1054" s="17" t="n">
        <v>5</v>
      </c>
      <c r="S1054" s="17">
        <f>TEXT(B1054,"yyyy-mm")</f>
        <v/>
      </c>
      <c r="T1054" s="17">
        <f>VLOOKUP(D1054,Customers!A:D,4,FALSE)</f>
        <v/>
      </c>
      <c r="U1054" s="17">
        <f>CONCATENATE(A1054,"-",G1054)</f>
        <v/>
      </c>
      <c r="V1054" s="17">
        <f>IF(N1054="","",IF(N1054&lt;=30,"Fast (&lt;30m)",IF(N1054&lt;=45,"Moderate (30-45m)","Delayed (&gt;45m)")))</f>
        <v/>
      </c>
      <c r="W1054" s="17">
        <f>IF(AND(I1054&gt;600,P1054="Delivered"),"High Value Delivered","Standard")</f>
        <v/>
      </c>
      <c r="X1054" s="17">
        <f>IF(OR(N1054&gt;50,Q1054&lt;=2),"High Risk / Delayed","Normal")</f>
        <v/>
      </c>
      <c r="Y1054" s="17">
        <f>IF(NOT(P1054="Cancelled"),"Fulfilled","Cancelled")</f>
        <v/>
      </c>
      <c r="Z1054" s="17">
        <f>IFERROR(Q1054,0)</f>
        <v/>
      </c>
    </row>
    <row r="1055">
      <c r="A1055" s="25" t="inlineStr">
        <is>
          <t>ORD2054</t>
        </is>
      </c>
      <c r="B1055" s="25" t="inlineStr">
        <is>
          <t>2025-02-17</t>
        </is>
      </c>
      <c r="C1055" s="25" t="inlineStr">
        <is>
          <t>12:16:49</t>
        </is>
      </c>
      <c r="D1055" s="25" t="n">
        <v>1173</v>
      </c>
      <c r="E1055" s="25" t="n">
        <v>115</v>
      </c>
      <c r="F1055" s="25" t="n">
        <v>205</v>
      </c>
      <c r="G1055" s="25" t="inlineStr">
        <is>
          <t>Bangalore</t>
        </is>
      </c>
      <c r="H1055" s="25" t="inlineStr">
        <is>
          <t>Italian</t>
        </is>
      </c>
      <c r="I1055" s="26" t="n">
        <v>523</v>
      </c>
      <c r="J1055" s="26" t="n">
        <v>14.77</v>
      </c>
      <c r="K1055" s="26" t="n">
        <v>34</v>
      </c>
      <c r="L1055" s="27" t="n">
        <v>0.2</v>
      </c>
      <c r="M1055" s="26" t="n">
        <v>113.1</v>
      </c>
      <c r="N1055" s="28" t="n">
        <v>4.8</v>
      </c>
      <c r="O1055" s="28" t="n">
        <v>40.1</v>
      </c>
      <c r="P1055" s="25" t="inlineStr">
        <is>
          <t>Credit Card</t>
        </is>
      </c>
      <c r="Q1055" s="25" t="inlineStr">
        <is>
          <t>Delivered</t>
        </is>
      </c>
      <c r="R1055" s="25" t="n">
        <v>2</v>
      </c>
      <c r="S1055" s="25">
        <f>TEXT(B1055,"yyyy-mm")</f>
        <v/>
      </c>
      <c r="T1055" s="25">
        <f>VLOOKUP(D1055,Customers!A:D,4,FALSE)</f>
        <v/>
      </c>
      <c r="U1055" s="25">
        <f>CONCATENATE(A1055,"-",G1055)</f>
        <v/>
      </c>
      <c r="V1055" s="25">
        <f>IF(N1055="","",IF(N1055&lt;=30,"Fast (&lt;30m)",IF(N1055&lt;=45,"Moderate (30-45m)","Delayed (&gt;45m)")))</f>
        <v/>
      </c>
      <c r="W1055" s="25">
        <f>IF(AND(I1055&gt;600,P1055="Delivered"),"High Value Delivered","Standard")</f>
        <v/>
      </c>
      <c r="X1055" s="25">
        <f>IF(OR(N1055&gt;50,Q1055&lt;=2),"High Risk / Delayed","Normal")</f>
        <v/>
      </c>
      <c r="Y1055" s="25">
        <f>IF(NOT(P1055="Cancelled"),"Fulfilled","Cancelled")</f>
        <v/>
      </c>
      <c r="Z1055" s="25">
        <f>IFERROR(Q1055,0)</f>
        <v/>
      </c>
    </row>
    <row r="1056">
      <c r="A1056" s="17" t="inlineStr">
        <is>
          <t>ORD2055</t>
        </is>
      </c>
      <c r="B1056" s="17" t="inlineStr">
        <is>
          <t>2025-09-11</t>
        </is>
      </c>
      <c r="C1056" s="17" t="inlineStr">
        <is>
          <t>12:03:13</t>
        </is>
      </c>
      <c r="D1056" s="17" t="n">
        <v>1273</v>
      </c>
      <c r="E1056" s="17" t="n">
        <v>109</v>
      </c>
      <c r="F1056" s="17" t="n">
        <v>216</v>
      </c>
      <c r="G1056" s="17" t="inlineStr">
        <is>
          <t>Hyderabad</t>
        </is>
      </c>
      <c r="H1056" s="17" t="inlineStr">
        <is>
          <t>Biryani</t>
        </is>
      </c>
      <c r="I1056" s="22" t="n">
        <v>504</v>
      </c>
      <c r="J1056" s="22" t="n">
        <v>61.29</v>
      </c>
      <c r="K1056" s="22" t="n">
        <v>0</v>
      </c>
      <c r="L1056" s="23" t="n">
        <v>0.2</v>
      </c>
      <c r="M1056" s="22" t="n">
        <v>100.8</v>
      </c>
      <c r="N1056" s="24" t="n">
        <v>7</v>
      </c>
      <c r="O1056" s="24" t="n">
        <v>47.8</v>
      </c>
      <c r="P1056" s="17" t="inlineStr">
        <is>
          <t>Credit Card</t>
        </is>
      </c>
      <c r="Q1056" s="17" t="inlineStr">
        <is>
          <t>Delivered</t>
        </is>
      </c>
      <c r="R1056" s="17" t="n">
        <v>5</v>
      </c>
      <c r="S1056" s="17">
        <f>TEXT(B1056,"yyyy-mm")</f>
        <v/>
      </c>
      <c r="T1056" s="17">
        <f>VLOOKUP(D1056,Customers!A:D,4,FALSE)</f>
        <v/>
      </c>
      <c r="U1056" s="17">
        <f>CONCATENATE(A1056,"-",G1056)</f>
        <v/>
      </c>
      <c r="V1056" s="17">
        <f>IF(N1056="","",IF(N1056&lt;=30,"Fast (&lt;30m)",IF(N1056&lt;=45,"Moderate (30-45m)","Delayed (&gt;45m)")))</f>
        <v/>
      </c>
      <c r="W1056" s="17">
        <f>IF(AND(I1056&gt;600,P1056="Delivered"),"High Value Delivered","Standard")</f>
        <v/>
      </c>
      <c r="X1056" s="17">
        <f>IF(OR(N1056&gt;50,Q1056&lt;=2),"High Risk / Delayed","Normal")</f>
        <v/>
      </c>
      <c r="Y1056" s="17">
        <f>IF(NOT(P1056="Cancelled"),"Fulfilled","Cancelled")</f>
        <v/>
      </c>
      <c r="Z1056" s="17">
        <f>IFERROR(Q1056,0)</f>
        <v/>
      </c>
    </row>
    <row r="1057">
      <c r="A1057" s="25" t="inlineStr">
        <is>
          <t>ORD2056</t>
        </is>
      </c>
      <c r="B1057" s="25" t="inlineStr">
        <is>
          <t>2025-04-17</t>
        </is>
      </c>
      <c r="C1057" s="25" t="inlineStr">
        <is>
          <t>20:52:37</t>
        </is>
      </c>
      <c r="D1057" s="25" t="n">
        <v>1286</v>
      </c>
      <c r="E1057" s="25" t="n">
        <v>112</v>
      </c>
      <c r="F1057" s="25" t="n">
        <v>212</v>
      </c>
      <c r="G1057" s="25" t="inlineStr">
        <is>
          <t>Delhi NCR</t>
        </is>
      </c>
      <c r="H1057" s="25" t="inlineStr">
        <is>
          <t>North Indian</t>
        </is>
      </c>
      <c r="I1057" s="26" t="n">
        <v>760</v>
      </c>
      <c r="J1057" s="26" t="n">
        <v>19.05</v>
      </c>
      <c r="K1057" s="26" t="n">
        <v>56.5</v>
      </c>
      <c r="L1057" s="27" t="n">
        <v>0.22</v>
      </c>
      <c r="M1057" s="26" t="n">
        <v>181.32</v>
      </c>
      <c r="N1057" s="28" t="n">
        <v>9.300000000000001</v>
      </c>
      <c r="O1057" s="28" t="n">
        <v>61.6</v>
      </c>
      <c r="P1057" s="25" t="inlineStr">
        <is>
          <t>Cash on Delivery</t>
        </is>
      </c>
      <c r="Q1057" s="25" t="inlineStr">
        <is>
          <t>Delivered</t>
        </is>
      </c>
      <c r="R1057" s="25" t="n">
        <v>3</v>
      </c>
      <c r="S1057" s="25">
        <f>TEXT(B1057,"yyyy-mm")</f>
        <v/>
      </c>
      <c r="T1057" s="25">
        <f>VLOOKUP(D1057,Customers!A:D,4,FALSE)</f>
        <v/>
      </c>
      <c r="U1057" s="25">
        <f>CONCATENATE(A1057,"-",G1057)</f>
        <v/>
      </c>
      <c r="V1057" s="25">
        <f>IF(N1057="","",IF(N1057&lt;=30,"Fast (&lt;30m)",IF(N1057&lt;=45,"Moderate (30-45m)","Delayed (&gt;45m)")))</f>
        <v/>
      </c>
      <c r="W1057" s="25">
        <f>IF(AND(I1057&gt;600,P1057="Delivered"),"High Value Delivered","Standard")</f>
        <v/>
      </c>
      <c r="X1057" s="25">
        <f>IF(OR(N1057&gt;50,Q1057&lt;=2),"High Risk / Delayed","Normal")</f>
        <v/>
      </c>
      <c r="Y1057" s="25">
        <f>IF(NOT(P1057="Cancelled"),"Fulfilled","Cancelled")</f>
        <v/>
      </c>
      <c r="Z1057" s="25">
        <f>IFERROR(Q1057,0)</f>
        <v/>
      </c>
    </row>
    <row r="1058">
      <c r="A1058" s="17" t="inlineStr">
        <is>
          <t>ORD2057</t>
        </is>
      </c>
      <c r="B1058" s="17" t="inlineStr">
        <is>
          <t>2025-04-23</t>
        </is>
      </c>
      <c r="C1058" s="17" t="inlineStr">
        <is>
          <t>13:58:23</t>
        </is>
      </c>
      <c r="D1058" s="17" t="n">
        <v>1092</v>
      </c>
      <c r="E1058" s="17" t="n">
        <v>118</v>
      </c>
      <c r="F1058" s="17" t="n">
        <v>228</v>
      </c>
      <c r="G1058" s="17" t="inlineStr">
        <is>
          <t>Delhi NCR</t>
        </is>
      </c>
      <c r="H1058" s="17" t="inlineStr">
        <is>
          <t>North Indian</t>
        </is>
      </c>
      <c r="I1058" s="22" t="n">
        <v>614</v>
      </c>
      <c r="J1058" s="22" t="n">
        <v>72.61</v>
      </c>
      <c r="K1058" s="22" t="n">
        <v>35</v>
      </c>
      <c r="L1058" s="23" t="n">
        <v>0.2</v>
      </c>
      <c r="M1058" s="22" t="n">
        <v>131.55</v>
      </c>
      <c r="N1058" s="24" t="n">
        <v>5</v>
      </c>
      <c r="O1058" s="24" t="n">
        <v>43.1</v>
      </c>
      <c r="P1058" s="17" t="inlineStr">
        <is>
          <t>Digital Wallet</t>
        </is>
      </c>
      <c r="Q1058" s="17" t="inlineStr">
        <is>
          <t>Delivered</t>
        </is>
      </c>
      <c r="R1058" s="17" t="n">
        <v>2</v>
      </c>
      <c r="S1058" s="17">
        <f>TEXT(B1058,"yyyy-mm")</f>
        <v/>
      </c>
      <c r="T1058" s="17">
        <f>VLOOKUP(D1058,Customers!A:D,4,FALSE)</f>
        <v/>
      </c>
      <c r="U1058" s="17">
        <f>CONCATENATE(A1058,"-",G1058)</f>
        <v/>
      </c>
      <c r="V1058" s="17">
        <f>IF(N1058="","",IF(N1058&lt;=30,"Fast (&lt;30m)",IF(N1058&lt;=45,"Moderate (30-45m)","Delayed (&gt;45m)")))</f>
        <v/>
      </c>
      <c r="W1058" s="17">
        <f>IF(AND(I1058&gt;600,P1058="Delivered"),"High Value Delivered","Standard")</f>
        <v/>
      </c>
      <c r="X1058" s="17">
        <f>IF(OR(N1058&gt;50,Q1058&lt;=2),"High Risk / Delayed","Normal")</f>
        <v/>
      </c>
      <c r="Y1058" s="17">
        <f>IF(NOT(P1058="Cancelled"),"Fulfilled","Cancelled")</f>
        <v/>
      </c>
      <c r="Z1058" s="17">
        <f>IFERROR(Q1058,0)</f>
        <v/>
      </c>
    </row>
    <row r="1059">
      <c r="A1059" s="25" t="inlineStr">
        <is>
          <t>ORD2058</t>
        </is>
      </c>
      <c r="B1059" s="25" t="inlineStr">
        <is>
          <t>2025-04-07</t>
        </is>
      </c>
      <c r="C1059" s="25" t="inlineStr">
        <is>
          <t>10:04:17</t>
        </is>
      </c>
      <c r="D1059" s="25" t="n">
        <v>1082</v>
      </c>
      <c r="E1059" s="25" t="n">
        <v>120</v>
      </c>
      <c r="F1059" s="25" t="n">
        <v>207</v>
      </c>
      <c r="G1059" s="25" t="inlineStr">
        <is>
          <t>Pune</t>
        </is>
      </c>
      <c r="H1059" s="25" t="inlineStr">
        <is>
          <t>Fast Food</t>
        </is>
      </c>
      <c r="I1059" s="26" t="n">
        <v>653</v>
      </c>
      <c r="J1059" s="26" t="n">
        <v>40.16</v>
      </c>
      <c r="K1059" s="26" t="n">
        <v>25</v>
      </c>
      <c r="L1059" s="27" t="n">
        <v>0.18</v>
      </c>
      <c r="M1059" s="26" t="n">
        <v>123.79</v>
      </c>
      <c r="N1059" s="28" t="n">
        <v>2.4</v>
      </c>
      <c r="O1059" s="28" t="n">
        <v>22.8</v>
      </c>
      <c r="P1059" s="25" t="inlineStr">
        <is>
          <t>Digital Wallet</t>
        </is>
      </c>
      <c r="Q1059" s="25" t="inlineStr">
        <is>
          <t>Delivered</t>
        </is>
      </c>
      <c r="R1059" s="25" t="n">
        <v>4</v>
      </c>
      <c r="S1059" s="25">
        <f>TEXT(B1059,"yyyy-mm")</f>
        <v/>
      </c>
      <c r="T1059" s="25">
        <f>VLOOKUP(D1059,Customers!A:D,4,FALSE)</f>
        <v/>
      </c>
      <c r="U1059" s="25">
        <f>CONCATENATE(A1059,"-",G1059)</f>
        <v/>
      </c>
      <c r="V1059" s="25">
        <f>IF(N1059="","",IF(N1059&lt;=30,"Fast (&lt;30m)",IF(N1059&lt;=45,"Moderate (30-45m)","Delayed (&gt;45m)")))</f>
        <v/>
      </c>
      <c r="W1059" s="25">
        <f>IF(AND(I1059&gt;600,P1059="Delivered"),"High Value Delivered","Standard")</f>
        <v/>
      </c>
      <c r="X1059" s="25">
        <f>IF(OR(N1059&gt;50,Q1059&lt;=2),"High Risk / Delayed","Normal")</f>
        <v/>
      </c>
      <c r="Y1059" s="25">
        <f>IF(NOT(P1059="Cancelled"),"Fulfilled","Cancelled")</f>
        <v/>
      </c>
      <c r="Z1059" s="25">
        <f>IFERROR(Q1059,0)</f>
        <v/>
      </c>
    </row>
    <row r="1060">
      <c r="A1060" s="17" t="inlineStr">
        <is>
          <t>ORD2059</t>
        </is>
      </c>
      <c r="B1060" s="17" t="inlineStr">
        <is>
          <t>2025-02-24</t>
        </is>
      </c>
      <c r="C1060" s="17" t="inlineStr">
        <is>
          <t>11:47:07</t>
        </is>
      </c>
      <c r="D1060" s="17" t="n">
        <v>1161</v>
      </c>
      <c r="E1060" s="17" t="n">
        <v>102</v>
      </c>
      <c r="F1060" s="17" t="n">
        <v>225</v>
      </c>
      <c r="G1060" s="17" t="inlineStr">
        <is>
          <t>Hyderabad</t>
        </is>
      </c>
      <c r="H1060" s="17" t="inlineStr">
        <is>
          <t>Biryani</t>
        </is>
      </c>
      <c r="I1060" s="22" t="n">
        <v>466</v>
      </c>
      <c r="J1060" s="22" t="n">
        <v>0</v>
      </c>
      <c r="K1060" s="22" t="n">
        <v>35</v>
      </c>
      <c r="L1060" s="23" t="n">
        <v>0.22</v>
      </c>
      <c r="M1060" s="22" t="n">
        <v>111.27</v>
      </c>
      <c r="N1060" s="24" t="n">
        <v>5</v>
      </c>
      <c r="O1060" s="24" t="n">
        <v>31.2</v>
      </c>
      <c r="P1060" s="17" t="inlineStr">
        <is>
          <t>Debit Card</t>
        </is>
      </c>
      <c r="Q1060" s="17" t="inlineStr">
        <is>
          <t>Returned</t>
        </is>
      </c>
      <c r="R1060" s="17" t="n">
        <v>4</v>
      </c>
      <c r="S1060" s="17">
        <f>TEXT(B1060,"yyyy-mm")</f>
        <v/>
      </c>
      <c r="T1060" s="17">
        <f>VLOOKUP(D1060,Customers!A:D,4,FALSE)</f>
        <v/>
      </c>
      <c r="U1060" s="17">
        <f>CONCATENATE(A1060,"-",G1060)</f>
        <v/>
      </c>
      <c r="V1060" s="17">
        <f>IF(N1060="","",IF(N1060&lt;=30,"Fast (&lt;30m)",IF(N1060&lt;=45,"Moderate (30-45m)","Delayed (&gt;45m)")))</f>
        <v/>
      </c>
      <c r="W1060" s="17">
        <f>IF(AND(I1060&gt;600,P1060="Delivered"),"High Value Delivered","Standard")</f>
        <v/>
      </c>
      <c r="X1060" s="17">
        <f>IF(OR(N1060&gt;50,Q1060&lt;=2),"High Risk / Delayed","Normal")</f>
        <v/>
      </c>
      <c r="Y1060" s="17">
        <f>IF(NOT(P1060="Cancelled"),"Fulfilled","Cancelled")</f>
        <v/>
      </c>
      <c r="Z1060" s="17">
        <f>IFERROR(Q1060,0)</f>
        <v/>
      </c>
    </row>
    <row r="1061">
      <c r="A1061" s="25" t="inlineStr">
        <is>
          <t>ORD2060</t>
        </is>
      </c>
      <c r="B1061" s="25" t="inlineStr">
        <is>
          <t>2025-12-05</t>
        </is>
      </c>
      <c r="C1061" s="25" t="inlineStr">
        <is>
          <t>08:33:28</t>
        </is>
      </c>
      <c r="D1061" s="25" t="n">
        <v>1053</v>
      </c>
      <c r="E1061" s="25" t="n">
        <v>114</v>
      </c>
      <c r="F1061" s="25" t="n">
        <v>215</v>
      </c>
      <c r="G1061" s="25" t="inlineStr">
        <is>
          <t>Hyderabad</t>
        </is>
      </c>
      <c r="H1061" s="25" t="inlineStr">
        <is>
          <t>Biryani</t>
        </is>
      </c>
      <c r="I1061" s="26" t="n">
        <v>747</v>
      </c>
      <c r="J1061" s="26" t="n">
        <v>83.54000000000001</v>
      </c>
      <c r="K1061" s="26" t="n">
        <v>0</v>
      </c>
      <c r="L1061" s="27" t="n">
        <v>0.22</v>
      </c>
      <c r="M1061" s="26" t="n">
        <v>164.34</v>
      </c>
      <c r="N1061" s="28" t="n">
        <v>8.9</v>
      </c>
      <c r="O1061" s="28" t="n">
        <v>47.4</v>
      </c>
      <c r="P1061" s="25" t="inlineStr">
        <is>
          <t>Debit Card</t>
        </is>
      </c>
      <c r="Q1061" s="25" t="inlineStr">
        <is>
          <t>Delivered</t>
        </is>
      </c>
      <c r="R1061" s="25" t="n">
        <v>4</v>
      </c>
      <c r="S1061" s="25">
        <f>TEXT(B1061,"yyyy-mm")</f>
        <v/>
      </c>
      <c r="T1061" s="25">
        <f>VLOOKUP(D1061,Customers!A:D,4,FALSE)</f>
        <v/>
      </c>
      <c r="U1061" s="25">
        <f>CONCATENATE(A1061,"-",G1061)</f>
        <v/>
      </c>
      <c r="V1061" s="25">
        <f>IF(N1061="","",IF(N1061&lt;=30,"Fast (&lt;30m)",IF(N1061&lt;=45,"Moderate (30-45m)","Delayed (&gt;45m)")))</f>
        <v/>
      </c>
      <c r="W1061" s="25">
        <f>IF(AND(I1061&gt;600,P1061="Delivered"),"High Value Delivered","Standard")</f>
        <v/>
      </c>
      <c r="X1061" s="25">
        <f>IF(OR(N1061&gt;50,Q1061&lt;=2),"High Risk / Delayed","Normal")</f>
        <v/>
      </c>
      <c r="Y1061" s="25">
        <f>IF(NOT(P1061="Cancelled"),"Fulfilled","Cancelled")</f>
        <v/>
      </c>
      <c r="Z1061" s="25">
        <f>IFERROR(Q1061,0)</f>
        <v/>
      </c>
    </row>
    <row r="1062">
      <c r="A1062" s="17" t="inlineStr">
        <is>
          <t>ORD2061</t>
        </is>
      </c>
      <c r="B1062" s="17" t="inlineStr">
        <is>
          <t>2025-07-23</t>
        </is>
      </c>
      <c r="C1062" s="17" t="inlineStr">
        <is>
          <t>13:32:27</t>
        </is>
      </c>
      <c r="D1062" s="17" t="n">
        <v>1009</v>
      </c>
      <c r="E1062" s="17" t="n">
        <v>119</v>
      </c>
      <c r="F1062" s="17" t="n">
        <v>225</v>
      </c>
      <c r="G1062" s="17" t="inlineStr">
        <is>
          <t>Hyderabad</t>
        </is>
      </c>
      <c r="H1062" s="17" t="inlineStr">
        <is>
          <t>Biryani</t>
        </is>
      </c>
      <c r="I1062" s="22" t="n">
        <v>740</v>
      </c>
      <c r="J1062" s="22" t="n">
        <v>54.29</v>
      </c>
      <c r="K1062" s="22" t="n">
        <v>25</v>
      </c>
      <c r="L1062" s="23" t="n">
        <v>0.2</v>
      </c>
      <c r="M1062" s="22" t="n">
        <v>154.25</v>
      </c>
      <c r="N1062" s="24" t="n">
        <v>2.6</v>
      </c>
      <c r="O1062" s="24" t="n">
        <v>31.6</v>
      </c>
      <c r="P1062" s="17" t="inlineStr">
        <is>
          <t>Debit Card</t>
        </is>
      </c>
      <c r="Q1062" s="17" t="inlineStr">
        <is>
          <t>Delivered</t>
        </is>
      </c>
      <c r="R1062" s="17" t="n">
        <v>4</v>
      </c>
      <c r="S1062" s="17">
        <f>TEXT(B1062,"yyyy-mm")</f>
        <v/>
      </c>
      <c r="T1062" s="17">
        <f>VLOOKUP(D1062,Customers!A:D,4,FALSE)</f>
        <v/>
      </c>
      <c r="U1062" s="17">
        <f>CONCATENATE(A1062,"-",G1062)</f>
        <v/>
      </c>
      <c r="V1062" s="17">
        <f>IF(N1062="","",IF(N1062&lt;=30,"Fast (&lt;30m)",IF(N1062&lt;=45,"Moderate (30-45m)","Delayed (&gt;45m)")))</f>
        <v/>
      </c>
      <c r="W1062" s="17">
        <f>IF(AND(I1062&gt;600,P1062="Delivered"),"High Value Delivered","Standard")</f>
        <v/>
      </c>
      <c r="X1062" s="17">
        <f>IF(OR(N1062&gt;50,Q1062&lt;=2),"High Risk / Delayed","Normal")</f>
        <v/>
      </c>
      <c r="Y1062" s="17">
        <f>IF(NOT(P1062="Cancelled"),"Fulfilled","Cancelled")</f>
        <v/>
      </c>
      <c r="Z1062" s="17">
        <f>IFERROR(Q1062,0)</f>
        <v/>
      </c>
    </row>
    <row r="1063">
      <c r="A1063" s="25" t="inlineStr">
        <is>
          <t>ORD2062</t>
        </is>
      </c>
      <c r="B1063" s="25" t="inlineStr">
        <is>
          <t>2025-11-29</t>
        </is>
      </c>
      <c r="C1063" s="25" t="inlineStr">
        <is>
          <t>21:24:46</t>
        </is>
      </c>
      <c r="D1063" s="25" t="n">
        <v>1195</v>
      </c>
      <c r="E1063" s="25" t="n">
        <v>103</v>
      </c>
      <c r="F1063" s="25" t="n">
        <v>206</v>
      </c>
      <c r="G1063" s="25" t="inlineStr">
        <is>
          <t>Mumbai</t>
        </is>
      </c>
      <c r="H1063" s="25" t="inlineStr">
        <is>
          <t>Italian</t>
        </is>
      </c>
      <c r="I1063" s="26" t="n">
        <v>652</v>
      </c>
      <c r="J1063" s="26" t="n">
        <v>0</v>
      </c>
      <c r="K1063" s="26" t="n">
        <v>25</v>
      </c>
      <c r="L1063" s="27" t="n">
        <v>0.18</v>
      </c>
      <c r="M1063" s="26" t="n">
        <v>123.61</v>
      </c>
      <c r="N1063" s="28" t="n">
        <v>2.3</v>
      </c>
      <c r="O1063" s="28" t="n">
        <v>26.2</v>
      </c>
      <c r="P1063" s="25" t="inlineStr">
        <is>
          <t>Credit Card</t>
        </is>
      </c>
      <c r="Q1063" s="25" t="inlineStr">
        <is>
          <t>Delivered</t>
        </is>
      </c>
      <c r="R1063" s="25" t="n">
        <v>4</v>
      </c>
      <c r="S1063" s="25">
        <f>TEXT(B1063,"yyyy-mm")</f>
        <v/>
      </c>
      <c r="T1063" s="25">
        <f>VLOOKUP(D1063,Customers!A:D,4,FALSE)</f>
        <v/>
      </c>
      <c r="U1063" s="25">
        <f>CONCATENATE(A1063,"-",G1063)</f>
        <v/>
      </c>
      <c r="V1063" s="25">
        <f>IF(N1063="","",IF(N1063&lt;=30,"Fast (&lt;30m)",IF(N1063&lt;=45,"Moderate (30-45m)","Delayed (&gt;45m)")))</f>
        <v/>
      </c>
      <c r="W1063" s="25">
        <f>IF(AND(I1063&gt;600,P1063="Delivered"),"High Value Delivered","Standard")</f>
        <v/>
      </c>
      <c r="X1063" s="25">
        <f>IF(OR(N1063&gt;50,Q1063&lt;=2),"High Risk / Delayed","Normal")</f>
        <v/>
      </c>
      <c r="Y1063" s="25">
        <f>IF(NOT(P1063="Cancelled"),"Fulfilled","Cancelled")</f>
        <v/>
      </c>
      <c r="Z1063" s="25">
        <f>IFERROR(Q1063,0)</f>
        <v/>
      </c>
    </row>
    <row r="1064">
      <c r="A1064" s="17" t="inlineStr">
        <is>
          <t>ORD2063</t>
        </is>
      </c>
      <c r="B1064" s="17" t="inlineStr">
        <is>
          <t>2025-02-25</t>
        </is>
      </c>
      <c r="C1064" s="17" t="inlineStr">
        <is>
          <t>22:43:03</t>
        </is>
      </c>
      <c r="D1064" s="17" t="n">
        <v>1089</v>
      </c>
      <c r="E1064" s="17" t="n">
        <v>115</v>
      </c>
      <c r="F1064" s="17" t="n">
        <v>220</v>
      </c>
      <c r="G1064" s="17" t="inlineStr">
        <is>
          <t>Bangalore</t>
        </is>
      </c>
      <c r="H1064" s="17" t="inlineStr">
        <is>
          <t>Italian</t>
        </is>
      </c>
      <c r="I1064" s="22" t="n">
        <v>1044</v>
      </c>
      <c r="J1064" s="22" t="n">
        <v>204.52</v>
      </c>
      <c r="K1064" s="22" t="n">
        <v>0</v>
      </c>
      <c r="L1064" s="23" t="n">
        <v>0.2</v>
      </c>
      <c r="M1064" s="22" t="n">
        <v>208.8</v>
      </c>
      <c r="N1064" s="24" t="n">
        <v>3.9</v>
      </c>
      <c r="O1064" s="24" t="n">
        <v>37.8</v>
      </c>
      <c r="P1064" s="17" t="inlineStr">
        <is>
          <t>UPI</t>
        </is>
      </c>
      <c r="Q1064" s="17" t="inlineStr">
        <is>
          <t>Delivered</t>
        </is>
      </c>
      <c r="R1064" s="17" t="n">
        <v>5</v>
      </c>
      <c r="S1064" s="17">
        <f>TEXT(B1064,"yyyy-mm")</f>
        <v/>
      </c>
      <c r="T1064" s="17">
        <f>VLOOKUP(D1064,Customers!A:D,4,FALSE)</f>
        <v/>
      </c>
      <c r="U1064" s="17">
        <f>CONCATENATE(A1064,"-",G1064)</f>
        <v/>
      </c>
      <c r="V1064" s="17">
        <f>IF(N1064="","",IF(N1064&lt;=30,"Fast (&lt;30m)",IF(N1064&lt;=45,"Moderate (30-45m)","Delayed (&gt;45m)")))</f>
        <v/>
      </c>
      <c r="W1064" s="17">
        <f>IF(AND(I1064&gt;600,P1064="Delivered"),"High Value Delivered","Standard")</f>
        <v/>
      </c>
      <c r="X1064" s="17">
        <f>IF(OR(N1064&gt;50,Q1064&lt;=2),"High Risk / Delayed","Normal")</f>
        <v/>
      </c>
      <c r="Y1064" s="17">
        <f>IF(NOT(P1064="Cancelled"),"Fulfilled","Cancelled")</f>
        <v/>
      </c>
      <c r="Z1064" s="17">
        <f>IFERROR(Q1064,0)</f>
        <v/>
      </c>
    </row>
    <row r="1065">
      <c r="A1065" s="25" t="inlineStr">
        <is>
          <t>ORD2064</t>
        </is>
      </c>
      <c r="B1065" s="25" t="inlineStr">
        <is>
          <t>2025-05-03</t>
        </is>
      </c>
      <c r="C1065" s="25" t="inlineStr">
        <is>
          <t>20:04:34</t>
        </is>
      </c>
      <c r="D1065" s="25" t="n">
        <v>1158</v>
      </c>
      <c r="E1065" s="25" t="n">
        <v>110</v>
      </c>
      <c r="F1065" s="25" t="n">
        <v>224</v>
      </c>
      <c r="G1065" s="25" t="inlineStr">
        <is>
          <t>Pune</t>
        </is>
      </c>
      <c r="H1065" s="25" t="inlineStr">
        <is>
          <t>North Indian</t>
        </is>
      </c>
      <c r="I1065" s="26" t="n">
        <v>323</v>
      </c>
      <c r="J1065" s="26" t="n">
        <v>22.38</v>
      </c>
      <c r="K1065" s="26" t="n">
        <v>29</v>
      </c>
      <c r="L1065" s="27" t="n">
        <v>0.18</v>
      </c>
      <c r="M1065" s="26" t="n">
        <v>65.39</v>
      </c>
      <c r="N1065" s="28" t="n">
        <v>3.8</v>
      </c>
      <c r="O1065" s="28" t="n">
        <v>41.1</v>
      </c>
      <c r="P1065" s="25" t="inlineStr">
        <is>
          <t>Cash on Delivery</t>
        </is>
      </c>
      <c r="Q1065" s="25" t="inlineStr">
        <is>
          <t>Delivered</t>
        </is>
      </c>
      <c r="R1065" s="25" t="n">
        <v>3</v>
      </c>
      <c r="S1065" s="25">
        <f>TEXT(B1065,"yyyy-mm")</f>
        <v/>
      </c>
      <c r="T1065" s="25">
        <f>VLOOKUP(D1065,Customers!A:D,4,FALSE)</f>
        <v/>
      </c>
      <c r="U1065" s="25">
        <f>CONCATENATE(A1065,"-",G1065)</f>
        <v/>
      </c>
      <c r="V1065" s="25">
        <f>IF(N1065="","",IF(N1065&lt;=30,"Fast (&lt;30m)",IF(N1065&lt;=45,"Moderate (30-45m)","Delayed (&gt;45m)")))</f>
        <v/>
      </c>
      <c r="W1065" s="25">
        <f>IF(AND(I1065&gt;600,P1065="Delivered"),"High Value Delivered","Standard")</f>
        <v/>
      </c>
      <c r="X1065" s="25">
        <f>IF(OR(N1065&gt;50,Q1065&lt;=2),"High Risk / Delayed","Normal")</f>
        <v/>
      </c>
      <c r="Y1065" s="25">
        <f>IF(NOT(P1065="Cancelled"),"Fulfilled","Cancelled")</f>
        <v/>
      </c>
      <c r="Z1065" s="25">
        <f>IFERROR(Q1065,0)</f>
        <v/>
      </c>
    </row>
    <row r="1066">
      <c r="A1066" s="17" t="inlineStr">
        <is>
          <t>ORD2065</t>
        </is>
      </c>
      <c r="B1066" s="17" t="inlineStr">
        <is>
          <t>2025-04-23</t>
        </is>
      </c>
      <c r="C1066" s="17" t="inlineStr">
        <is>
          <t>15:46:52</t>
        </is>
      </c>
      <c r="D1066" s="17" t="n">
        <v>1201</v>
      </c>
      <c r="E1066" s="17" t="n">
        <v>115</v>
      </c>
      <c r="F1066" s="17" t="n">
        <v>205</v>
      </c>
      <c r="G1066" s="17" t="inlineStr">
        <is>
          <t>Bangalore</t>
        </is>
      </c>
      <c r="H1066" s="17" t="inlineStr">
        <is>
          <t>Italian</t>
        </is>
      </c>
      <c r="I1066" s="22" t="n">
        <v>928</v>
      </c>
      <c r="J1066" s="22" t="n">
        <v>63.83</v>
      </c>
      <c r="K1066" s="22" t="n">
        <v>25</v>
      </c>
      <c r="L1066" s="23" t="n">
        <v>0.2</v>
      </c>
      <c r="M1066" s="22" t="n">
        <v>191.85</v>
      </c>
      <c r="N1066" s="24" t="n">
        <v>1.9</v>
      </c>
      <c r="O1066" s="24" t="n">
        <v>19.8</v>
      </c>
      <c r="P1066" s="17" t="inlineStr">
        <is>
          <t>Credit Card</t>
        </is>
      </c>
      <c r="Q1066" s="17" t="inlineStr">
        <is>
          <t>Delivered</t>
        </is>
      </c>
      <c r="R1066" s="17" t="n">
        <v>4</v>
      </c>
      <c r="S1066" s="17">
        <f>TEXT(B1066,"yyyy-mm")</f>
        <v/>
      </c>
      <c r="T1066" s="17">
        <f>VLOOKUP(D1066,Customers!A:D,4,FALSE)</f>
        <v/>
      </c>
      <c r="U1066" s="17">
        <f>CONCATENATE(A1066,"-",G1066)</f>
        <v/>
      </c>
      <c r="V1066" s="17">
        <f>IF(N1066="","",IF(N1066&lt;=30,"Fast (&lt;30m)",IF(N1066&lt;=45,"Moderate (30-45m)","Delayed (&gt;45m)")))</f>
        <v/>
      </c>
      <c r="W1066" s="17">
        <f>IF(AND(I1066&gt;600,P1066="Delivered"),"High Value Delivered","Standard")</f>
        <v/>
      </c>
      <c r="X1066" s="17">
        <f>IF(OR(N1066&gt;50,Q1066&lt;=2),"High Risk / Delayed","Normal")</f>
        <v/>
      </c>
      <c r="Y1066" s="17">
        <f>IF(NOT(P1066="Cancelled"),"Fulfilled","Cancelled")</f>
        <v/>
      </c>
      <c r="Z1066" s="17">
        <f>IFERROR(Q1066,0)</f>
        <v/>
      </c>
    </row>
    <row r="1067">
      <c r="A1067" s="25" t="inlineStr">
        <is>
          <t>ORD2066</t>
        </is>
      </c>
      <c r="B1067" s="25" t="inlineStr">
        <is>
          <t>2025-01-02</t>
        </is>
      </c>
      <c r="C1067" s="25" t="inlineStr">
        <is>
          <t>19:06:11</t>
        </is>
      </c>
      <c r="D1067" s="25" t="n">
        <v>1119</v>
      </c>
      <c r="E1067" s="25" t="n">
        <v>112</v>
      </c>
      <c r="F1067" s="25" t="n">
        <v>219</v>
      </c>
      <c r="G1067" s="25" t="inlineStr">
        <is>
          <t>Delhi NCR</t>
        </is>
      </c>
      <c r="H1067" s="25" t="inlineStr">
        <is>
          <t>North Indian</t>
        </is>
      </c>
      <c r="I1067" s="26" t="n">
        <v>1067</v>
      </c>
      <c r="J1067" s="26" t="n">
        <v>181.44</v>
      </c>
      <c r="K1067" s="26" t="n">
        <v>0</v>
      </c>
      <c r="L1067" s="27" t="n">
        <v>0.22</v>
      </c>
      <c r="M1067" s="26" t="n">
        <v>234.74</v>
      </c>
      <c r="N1067" s="28" t="n">
        <v>2.9</v>
      </c>
      <c r="O1067" s="28" t="n">
        <v>29.4</v>
      </c>
      <c r="P1067" s="25" t="inlineStr">
        <is>
          <t>Debit Card</t>
        </is>
      </c>
      <c r="Q1067" s="25" t="inlineStr">
        <is>
          <t>Delivered</t>
        </is>
      </c>
      <c r="R1067" s="25" t="n">
        <v>5</v>
      </c>
      <c r="S1067" s="25">
        <f>TEXT(B1067,"yyyy-mm")</f>
        <v/>
      </c>
      <c r="T1067" s="25">
        <f>VLOOKUP(D1067,Customers!A:D,4,FALSE)</f>
        <v/>
      </c>
      <c r="U1067" s="25">
        <f>CONCATENATE(A1067,"-",G1067)</f>
        <v/>
      </c>
      <c r="V1067" s="25">
        <f>IF(N1067="","",IF(N1067&lt;=30,"Fast (&lt;30m)",IF(N1067&lt;=45,"Moderate (30-45m)","Delayed (&gt;45m)")))</f>
        <v/>
      </c>
      <c r="W1067" s="25">
        <f>IF(AND(I1067&gt;600,P1067="Delivered"),"High Value Delivered","Standard")</f>
        <v/>
      </c>
      <c r="X1067" s="25">
        <f>IF(OR(N1067&gt;50,Q1067&lt;=2),"High Risk / Delayed","Normal")</f>
        <v/>
      </c>
      <c r="Y1067" s="25">
        <f>IF(NOT(P1067="Cancelled"),"Fulfilled","Cancelled")</f>
        <v/>
      </c>
      <c r="Z1067" s="25">
        <f>IFERROR(Q1067,0)</f>
        <v/>
      </c>
    </row>
    <row r="1068">
      <c r="A1068" s="17" t="inlineStr">
        <is>
          <t>ORD2067</t>
        </is>
      </c>
      <c r="B1068" s="17" t="inlineStr">
        <is>
          <t>2025-12-15</t>
        </is>
      </c>
      <c r="C1068" s="17" t="inlineStr">
        <is>
          <t>21:04:10</t>
        </is>
      </c>
      <c r="D1068" s="17" t="n">
        <v>1094</v>
      </c>
      <c r="E1068" s="17" t="n">
        <v>118</v>
      </c>
      <c r="F1068" s="17" t="n">
        <v>221</v>
      </c>
      <c r="G1068" s="17" t="inlineStr">
        <is>
          <t>Delhi NCR</t>
        </is>
      </c>
      <c r="H1068" s="17" t="inlineStr">
        <is>
          <t>North Indian</t>
        </is>
      </c>
      <c r="I1068" s="22" t="n">
        <v>411</v>
      </c>
      <c r="J1068" s="22" t="n">
        <v>0</v>
      </c>
      <c r="K1068" s="22" t="n">
        <v>32.5</v>
      </c>
      <c r="L1068" s="23" t="n">
        <v>0.2</v>
      </c>
      <c r="M1068" s="22" t="n">
        <v>90.31999999999999</v>
      </c>
      <c r="N1068" s="24" t="n">
        <v>4.5</v>
      </c>
      <c r="O1068" s="24" t="n">
        <v>37.8</v>
      </c>
      <c r="P1068" s="17" t="inlineStr">
        <is>
          <t>UPI</t>
        </is>
      </c>
      <c r="Q1068" s="17" t="inlineStr">
        <is>
          <t>Delivered</t>
        </is>
      </c>
      <c r="R1068" s="17" t="n">
        <v>3</v>
      </c>
      <c r="S1068" s="17">
        <f>TEXT(B1068,"yyyy-mm")</f>
        <v/>
      </c>
      <c r="T1068" s="17">
        <f>VLOOKUP(D1068,Customers!A:D,4,FALSE)</f>
        <v/>
      </c>
      <c r="U1068" s="17">
        <f>CONCATENATE(A1068,"-",G1068)</f>
        <v/>
      </c>
      <c r="V1068" s="17">
        <f>IF(N1068="","",IF(N1068&lt;=30,"Fast (&lt;30m)",IF(N1068&lt;=45,"Moderate (30-45m)","Delayed (&gt;45m)")))</f>
        <v/>
      </c>
      <c r="W1068" s="17">
        <f>IF(AND(I1068&gt;600,P1068="Delivered"),"High Value Delivered","Standard")</f>
        <v/>
      </c>
      <c r="X1068" s="17">
        <f>IF(OR(N1068&gt;50,Q1068&lt;=2),"High Risk / Delayed","Normal")</f>
        <v/>
      </c>
      <c r="Y1068" s="17">
        <f>IF(NOT(P1068="Cancelled"),"Fulfilled","Cancelled")</f>
        <v/>
      </c>
      <c r="Z1068" s="17">
        <f>IFERROR(Q1068,0)</f>
        <v/>
      </c>
    </row>
    <row r="1069">
      <c r="A1069" s="25" t="inlineStr">
        <is>
          <t>ORD2068</t>
        </is>
      </c>
      <c r="B1069" s="25" t="inlineStr">
        <is>
          <t>2025-01-11</t>
        </is>
      </c>
      <c r="C1069" s="25" t="inlineStr">
        <is>
          <t>19:11:16</t>
        </is>
      </c>
      <c r="D1069" s="25" t="n">
        <v>1227</v>
      </c>
      <c r="E1069" s="25" t="n">
        <v>111</v>
      </c>
      <c r="F1069" s="25" t="n">
        <v>223</v>
      </c>
      <c r="G1069" s="25" t="inlineStr">
        <is>
          <t>Bangalore</t>
        </is>
      </c>
      <c r="H1069" s="25" t="inlineStr">
        <is>
          <t>South Indian</t>
        </is>
      </c>
      <c r="I1069" s="26" t="n">
        <v>441</v>
      </c>
      <c r="J1069" s="26" t="n">
        <v>74.05</v>
      </c>
      <c r="K1069" s="26" t="n">
        <v>25</v>
      </c>
      <c r="L1069" s="27" t="n">
        <v>0.15</v>
      </c>
      <c r="M1069" s="26" t="n">
        <v>72.40000000000001</v>
      </c>
      <c r="N1069" s="28" t="n">
        <v>1.4</v>
      </c>
      <c r="O1069" s="28" t="n">
        <v>30.3</v>
      </c>
      <c r="P1069" s="25" t="inlineStr">
        <is>
          <t>Digital Wallet</t>
        </is>
      </c>
      <c r="Q1069" s="25" t="inlineStr">
        <is>
          <t>Returned</t>
        </is>
      </c>
      <c r="R1069" s="25" t="n">
        <v>3</v>
      </c>
      <c r="S1069" s="25">
        <f>TEXT(B1069,"yyyy-mm")</f>
        <v/>
      </c>
      <c r="T1069" s="25">
        <f>VLOOKUP(D1069,Customers!A:D,4,FALSE)</f>
        <v/>
      </c>
      <c r="U1069" s="25">
        <f>CONCATENATE(A1069,"-",G1069)</f>
        <v/>
      </c>
      <c r="V1069" s="25">
        <f>IF(N1069="","",IF(N1069&lt;=30,"Fast (&lt;30m)",IF(N1069&lt;=45,"Moderate (30-45m)","Delayed (&gt;45m)")))</f>
        <v/>
      </c>
      <c r="W1069" s="25">
        <f>IF(AND(I1069&gt;600,P1069="Delivered"),"High Value Delivered","Standard")</f>
        <v/>
      </c>
      <c r="X1069" s="25">
        <f>IF(OR(N1069&gt;50,Q1069&lt;=2),"High Risk / Delayed","Normal")</f>
        <v/>
      </c>
      <c r="Y1069" s="25">
        <f>IF(NOT(P1069="Cancelled"),"Fulfilled","Cancelled")</f>
        <v/>
      </c>
      <c r="Z1069" s="25">
        <f>IFERROR(Q1069,0)</f>
        <v/>
      </c>
    </row>
    <row r="1070">
      <c r="A1070" s="17" t="inlineStr">
        <is>
          <t>ORD2069</t>
        </is>
      </c>
      <c r="B1070" s="17" t="inlineStr">
        <is>
          <t>2025-09-08</t>
        </is>
      </c>
      <c r="C1070" s="17" t="inlineStr">
        <is>
          <t>00:55:15</t>
        </is>
      </c>
      <c r="D1070" s="17" t="n">
        <v>1079</v>
      </c>
      <c r="E1070" s="17" t="n">
        <v>101</v>
      </c>
      <c r="F1070" s="17" t="n">
        <v>201</v>
      </c>
      <c r="G1070" s="17" t="inlineStr">
        <is>
          <t>Bangalore</t>
        </is>
      </c>
      <c r="H1070" s="17" t="inlineStr">
        <is>
          <t>North Indian</t>
        </is>
      </c>
      <c r="I1070" s="22" t="n">
        <v>703</v>
      </c>
      <c r="J1070" s="22" t="n">
        <v>0</v>
      </c>
      <c r="K1070" s="22" t="n">
        <v>50</v>
      </c>
      <c r="L1070" s="23" t="n">
        <v>0.2</v>
      </c>
      <c r="M1070" s="22" t="n">
        <v>153.1</v>
      </c>
      <c r="N1070" s="24" t="n">
        <v>8</v>
      </c>
      <c r="O1070" s="24" t="n">
        <v>42.7</v>
      </c>
      <c r="P1070" s="17" t="inlineStr">
        <is>
          <t>Digital Wallet</t>
        </is>
      </c>
      <c r="Q1070" s="17" t="inlineStr">
        <is>
          <t>Delivered</t>
        </is>
      </c>
      <c r="R1070" s="17" t="n">
        <v>3</v>
      </c>
      <c r="S1070" s="17">
        <f>TEXT(B1070,"yyyy-mm")</f>
        <v/>
      </c>
      <c r="T1070" s="17">
        <f>VLOOKUP(D1070,Customers!A:D,4,FALSE)</f>
        <v/>
      </c>
      <c r="U1070" s="17">
        <f>CONCATENATE(A1070,"-",G1070)</f>
        <v/>
      </c>
      <c r="V1070" s="17">
        <f>IF(N1070="","",IF(N1070&lt;=30,"Fast (&lt;30m)",IF(N1070&lt;=45,"Moderate (30-45m)","Delayed (&gt;45m)")))</f>
        <v/>
      </c>
      <c r="W1070" s="17">
        <f>IF(AND(I1070&gt;600,P1070="Delivered"),"High Value Delivered","Standard")</f>
        <v/>
      </c>
      <c r="X1070" s="17">
        <f>IF(OR(N1070&gt;50,Q1070&lt;=2),"High Risk / Delayed","Normal")</f>
        <v/>
      </c>
      <c r="Y1070" s="17">
        <f>IF(NOT(P1070="Cancelled"),"Fulfilled","Cancelled")</f>
        <v/>
      </c>
      <c r="Z1070" s="17">
        <f>IFERROR(Q1070,0)</f>
        <v/>
      </c>
    </row>
    <row r="1071">
      <c r="A1071" s="25" t="inlineStr">
        <is>
          <t>ORD2070</t>
        </is>
      </c>
      <c r="B1071" s="25" t="inlineStr">
        <is>
          <t>2025-03-17</t>
        </is>
      </c>
      <c r="C1071" s="25" t="inlineStr">
        <is>
          <t>19:49:06</t>
        </is>
      </c>
      <c r="D1071" s="25" t="n">
        <v>1009</v>
      </c>
      <c r="E1071" s="25" t="n">
        <v>109</v>
      </c>
      <c r="F1071" s="25" t="n">
        <v>216</v>
      </c>
      <c r="G1071" s="25" t="inlineStr">
        <is>
          <t>Hyderabad</t>
        </is>
      </c>
      <c r="H1071" s="25" t="inlineStr">
        <is>
          <t>Biryani</t>
        </is>
      </c>
      <c r="I1071" s="26" t="n">
        <v>322</v>
      </c>
      <c r="J1071" s="26" t="n">
        <v>22.97</v>
      </c>
      <c r="K1071" s="26" t="n">
        <v>25</v>
      </c>
      <c r="L1071" s="27" t="n">
        <v>0.2</v>
      </c>
      <c r="M1071" s="26" t="n">
        <v>70.65000000000001</v>
      </c>
      <c r="N1071" s="28" t="n">
        <v>2.5</v>
      </c>
      <c r="O1071" s="28" t="n">
        <v>32.7</v>
      </c>
      <c r="P1071" s="25" t="inlineStr">
        <is>
          <t>Cash on Delivery</t>
        </is>
      </c>
      <c r="Q1071" s="25" t="inlineStr">
        <is>
          <t>Delivered</t>
        </is>
      </c>
      <c r="R1071" s="25" t="n">
        <v>3</v>
      </c>
      <c r="S1071" s="25">
        <f>TEXT(B1071,"yyyy-mm")</f>
        <v/>
      </c>
      <c r="T1071" s="25">
        <f>VLOOKUP(D1071,Customers!A:D,4,FALSE)</f>
        <v/>
      </c>
      <c r="U1071" s="25">
        <f>CONCATENATE(A1071,"-",G1071)</f>
        <v/>
      </c>
      <c r="V1071" s="25">
        <f>IF(N1071="","",IF(N1071&lt;=30,"Fast (&lt;30m)",IF(N1071&lt;=45,"Moderate (30-45m)","Delayed (&gt;45m)")))</f>
        <v/>
      </c>
      <c r="W1071" s="25">
        <f>IF(AND(I1071&gt;600,P1071="Delivered"),"High Value Delivered","Standard")</f>
        <v/>
      </c>
      <c r="X1071" s="25">
        <f>IF(OR(N1071&gt;50,Q1071&lt;=2),"High Risk / Delayed","Normal")</f>
        <v/>
      </c>
      <c r="Y1071" s="25">
        <f>IF(NOT(P1071="Cancelled"),"Fulfilled","Cancelled")</f>
        <v/>
      </c>
      <c r="Z1071" s="25">
        <f>IFERROR(Q1071,0)</f>
        <v/>
      </c>
    </row>
    <row r="1072">
      <c r="A1072" s="17" t="inlineStr">
        <is>
          <t>ORD2071</t>
        </is>
      </c>
      <c r="B1072" s="17" t="inlineStr">
        <is>
          <t>2025-12-06</t>
        </is>
      </c>
      <c r="C1072" s="17" t="inlineStr">
        <is>
          <t>12:31:16</t>
        </is>
      </c>
      <c r="D1072" s="17" t="n">
        <v>1049</v>
      </c>
      <c r="E1072" s="17" t="n">
        <v>113</v>
      </c>
      <c r="F1072" s="17" t="n">
        <v>206</v>
      </c>
      <c r="G1072" s="17" t="inlineStr">
        <is>
          <t>Mumbai</t>
        </is>
      </c>
      <c r="H1072" s="17" t="inlineStr">
        <is>
          <t>Fast Food</t>
        </is>
      </c>
      <c r="I1072" s="22" t="n">
        <v>593</v>
      </c>
      <c r="J1072" s="22" t="n">
        <v>0</v>
      </c>
      <c r="K1072" s="22" t="n">
        <v>32.5</v>
      </c>
      <c r="L1072" s="23" t="n">
        <v>0.18</v>
      </c>
      <c r="M1072" s="22" t="n">
        <v>114.86</v>
      </c>
      <c r="N1072" s="24" t="n">
        <v>4.5</v>
      </c>
      <c r="O1072" s="24" t="n">
        <v>41.6</v>
      </c>
      <c r="P1072" s="17" t="inlineStr">
        <is>
          <t>Debit Card</t>
        </is>
      </c>
      <c r="Q1072" s="17" t="inlineStr">
        <is>
          <t>Delivered</t>
        </is>
      </c>
      <c r="R1072" s="17" t="n">
        <v>3</v>
      </c>
      <c r="S1072" s="17">
        <f>TEXT(B1072,"yyyy-mm")</f>
        <v/>
      </c>
      <c r="T1072" s="17">
        <f>VLOOKUP(D1072,Customers!A:D,4,FALSE)</f>
        <v/>
      </c>
      <c r="U1072" s="17">
        <f>CONCATENATE(A1072,"-",G1072)</f>
        <v/>
      </c>
      <c r="V1072" s="17">
        <f>IF(N1072="","",IF(N1072&lt;=30,"Fast (&lt;30m)",IF(N1072&lt;=45,"Moderate (30-45m)","Delayed (&gt;45m)")))</f>
        <v/>
      </c>
      <c r="W1072" s="17">
        <f>IF(AND(I1072&gt;600,P1072="Delivered"),"High Value Delivered","Standard")</f>
        <v/>
      </c>
      <c r="X1072" s="17">
        <f>IF(OR(N1072&gt;50,Q1072&lt;=2),"High Risk / Delayed","Normal")</f>
        <v/>
      </c>
      <c r="Y1072" s="17">
        <f>IF(NOT(P1072="Cancelled"),"Fulfilled","Cancelled")</f>
        <v/>
      </c>
      <c r="Z1072" s="17">
        <f>IFERROR(Q1072,0)</f>
        <v/>
      </c>
    </row>
    <row r="1073">
      <c r="A1073" s="25" t="inlineStr">
        <is>
          <t>ORD2072</t>
        </is>
      </c>
      <c r="B1073" s="25" t="inlineStr">
        <is>
          <t>2025-05-19</t>
        </is>
      </c>
      <c r="C1073" s="25" t="inlineStr">
        <is>
          <t>21:43:33</t>
        </is>
      </c>
      <c r="D1073" s="25" t="n">
        <v>1195</v>
      </c>
      <c r="E1073" s="25" t="n">
        <v>103</v>
      </c>
      <c r="F1073" s="25" t="n">
        <v>206</v>
      </c>
      <c r="G1073" s="25" t="inlineStr">
        <is>
          <t>Mumbai</t>
        </is>
      </c>
      <c r="H1073" s="25" t="inlineStr">
        <is>
          <t>Italian</t>
        </is>
      </c>
      <c r="I1073" s="26" t="n">
        <v>875</v>
      </c>
      <c r="J1073" s="26" t="n">
        <v>0</v>
      </c>
      <c r="K1073" s="26" t="n">
        <v>25.5</v>
      </c>
      <c r="L1073" s="27" t="n">
        <v>0.18</v>
      </c>
      <c r="M1073" s="26" t="n">
        <v>163.88</v>
      </c>
      <c r="N1073" s="28" t="n">
        <v>3.1</v>
      </c>
      <c r="O1073" s="28" t="n">
        <v/>
      </c>
      <c r="P1073" s="25" t="inlineStr">
        <is>
          <t>Credit Card</t>
        </is>
      </c>
      <c r="Q1073" s="25" t="inlineStr">
        <is>
          <t>Cancelled</t>
        </is>
      </c>
      <c r="R1073" s="25" t="n">
        <v/>
      </c>
      <c r="S1073" s="25">
        <f>TEXT(B1073,"yyyy-mm")</f>
        <v/>
      </c>
      <c r="T1073" s="25">
        <f>VLOOKUP(D1073,Customers!A:D,4,FALSE)</f>
        <v/>
      </c>
      <c r="U1073" s="25">
        <f>CONCATENATE(A1073,"-",G1073)</f>
        <v/>
      </c>
      <c r="V1073" s="25">
        <f>IF(N1073="","",IF(N1073&lt;=30,"Fast (&lt;30m)",IF(N1073&lt;=45,"Moderate (30-45m)","Delayed (&gt;45m)")))</f>
        <v/>
      </c>
      <c r="W1073" s="25">
        <f>IF(AND(I1073&gt;600,P1073="Delivered"),"High Value Delivered","Standard")</f>
        <v/>
      </c>
      <c r="X1073" s="25">
        <f>IF(OR(N1073&gt;50,Q1073&lt;=2),"High Risk / Delayed","Normal")</f>
        <v/>
      </c>
      <c r="Y1073" s="25">
        <f>IF(NOT(P1073="Cancelled"),"Fulfilled","Cancelled")</f>
        <v/>
      </c>
      <c r="Z1073" s="25">
        <f>IFERROR(Q1073,0)</f>
        <v/>
      </c>
    </row>
    <row r="1074">
      <c r="A1074" s="17" t="inlineStr">
        <is>
          <t>ORD2073</t>
        </is>
      </c>
      <c r="B1074" s="17" t="inlineStr">
        <is>
          <t>2025-01-16</t>
        </is>
      </c>
      <c r="C1074" s="17" t="inlineStr">
        <is>
          <t>10:15:36</t>
        </is>
      </c>
      <c r="D1074" s="17" t="n">
        <v>1186</v>
      </c>
      <c r="E1074" s="17" t="n">
        <v>109</v>
      </c>
      <c r="F1074" s="17" t="n">
        <v>216</v>
      </c>
      <c r="G1074" s="17" t="inlineStr">
        <is>
          <t>Hyderabad</t>
        </is>
      </c>
      <c r="H1074" s="17" t="inlineStr">
        <is>
          <t>Biryani</t>
        </is>
      </c>
      <c r="I1074" s="22" t="n">
        <v>932</v>
      </c>
      <c r="J1074" s="22" t="n">
        <v>110.1</v>
      </c>
      <c r="K1074" s="22" t="n">
        <v>26.5</v>
      </c>
      <c r="L1074" s="23" t="n">
        <v>0.2</v>
      </c>
      <c r="M1074" s="22" t="n">
        <v>193.02</v>
      </c>
      <c r="N1074" s="24" t="n">
        <v>3.3</v>
      </c>
      <c r="O1074" s="24" t="n">
        <v>26.7</v>
      </c>
      <c r="P1074" s="17" t="inlineStr">
        <is>
          <t>UPI</t>
        </is>
      </c>
      <c r="Q1074" s="17" t="inlineStr">
        <is>
          <t>Delivered</t>
        </is>
      </c>
      <c r="R1074" s="17" t="n">
        <v>4</v>
      </c>
      <c r="S1074" s="17">
        <f>TEXT(B1074,"yyyy-mm")</f>
        <v/>
      </c>
      <c r="T1074" s="17">
        <f>VLOOKUP(D1074,Customers!A:D,4,FALSE)</f>
        <v/>
      </c>
      <c r="U1074" s="17">
        <f>CONCATENATE(A1074,"-",G1074)</f>
        <v/>
      </c>
      <c r="V1074" s="17">
        <f>IF(N1074="","",IF(N1074&lt;=30,"Fast (&lt;30m)",IF(N1074&lt;=45,"Moderate (30-45m)","Delayed (&gt;45m)")))</f>
        <v/>
      </c>
      <c r="W1074" s="17">
        <f>IF(AND(I1074&gt;600,P1074="Delivered"),"High Value Delivered","Standard")</f>
        <v/>
      </c>
      <c r="X1074" s="17">
        <f>IF(OR(N1074&gt;50,Q1074&lt;=2),"High Risk / Delayed","Normal")</f>
        <v/>
      </c>
      <c r="Y1074" s="17">
        <f>IF(NOT(P1074="Cancelled"),"Fulfilled","Cancelled")</f>
        <v/>
      </c>
      <c r="Z1074" s="17">
        <f>IFERROR(Q1074,0)</f>
        <v/>
      </c>
    </row>
    <row r="1075">
      <c r="A1075" s="25" t="inlineStr">
        <is>
          <t>ORD2074</t>
        </is>
      </c>
      <c r="B1075" s="25" t="inlineStr">
        <is>
          <t>2025-11-24</t>
        </is>
      </c>
      <c r="C1075" s="25" t="inlineStr">
        <is>
          <t>20:06:17</t>
        </is>
      </c>
      <c r="D1075" s="25" t="n">
        <v>1006</v>
      </c>
      <c r="E1075" s="25" t="n">
        <v>117</v>
      </c>
      <c r="F1075" s="25" t="n">
        <v>222</v>
      </c>
      <c r="G1075" s="25" t="inlineStr">
        <is>
          <t>Mumbai</t>
        </is>
      </c>
      <c r="H1075" s="25" t="inlineStr">
        <is>
          <t>Chinese</t>
        </is>
      </c>
      <c r="I1075" s="26" t="n">
        <v>861</v>
      </c>
      <c r="J1075" s="26" t="n">
        <v>61.94</v>
      </c>
      <c r="K1075" s="26" t="n">
        <v>44</v>
      </c>
      <c r="L1075" s="27" t="n">
        <v>0.2</v>
      </c>
      <c r="M1075" s="26" t="n">
        <v>183.2</v>
      </c>
      <c r="N1075" s="28" t="n">
        <v>6.8</v>
      </c>
      <c r="O1075" s="28" t="n">
        <v>45.7</v>
      </c>
      <c r="P1075" s="25" t="inlineStr">
        <is>
          <t>Digital Wallet</t>
        </is>
      </c>
      <c r="Q1075" s="25" t="inlineStr">
        <is>
          <t>Delivered</t>
        </is>
      </c>
      <c r="R1075" s="25" t="n">
        <v>2</v>
      </c>
      <c r="S1075" s="25">
        <f>TEXT(B1075,"yyyy-mm")</f>
        <v/>
      </c>
      <c r="T1075" s="25">
        <f>VLOOKUP(D1075,Customers!A:D,4,FALSE)</f>
        <v/>
      </c>
      <c r="U1075" s="25">
        <f>CONCATENATE(A1075,"-",G1075)</f>
        <v/>
      </c>
      <c r="V1075" s="25">
        <f>IF(N1075="","",IF(N1075&lt;=30,"Fast (&lt;30m)",IF(N1075&lt;=45,"Moderate (30-45m)","Delayed (&gt;45m)")))</f>
        <v/>
      </c>
      <c r="W1075" s="25">
        <f>IF(AND(I1075&gt;600,P1075="Delivered"),"High Value Delivered","Standard")</f>
        <v/>
      </c>
      <c r="X1075" s="25">
        <f>IF(OR(N1075&gt;50,Q1075&lt;=2),"High Risk / Delayed","Normal")</f>
        <v/>
      </c>
      <c r="Y1075" s="25">
        <f>IF(NOT(P1075="Cancelled"),"Fulfilled","Cancelled")</f>
        <v/>
      </c>
      <c r="Z1075" s="25">
        <f>IFERROR(Q1075,0)</f>
        <v/>
      </c>
    </row>
    <row r="1076">
      <c r="A1076" s="17" t="inlineStr">
        <is>
          <t>ORD2075</t>
        </is>
      </c>
      <c r="B1076" s="17" t="inlineStr">
        <is>
          <t>2025-12-14</t>
        </is>
      </c>
      <c r="C1076" s="17" t="inlineStr">
        <is>
          <t>21:22:56</t>
        </is>
      </c>
      <c r="D1076" s="17" t="n">
        <v>1175</v>
      </c>
      <c r="E1076" s="17" t="n">
        <v>115</v>
      </c>
      <c r="F1076" s="17" t="n">
        <v>201</v>
      </c>
      <c r="G1076" s="17" t="inlineStr">
        <is>
          <t>Bangalore</t>
        </is>
      </c>
      <c r="H1076" s="17" t="inlineStr">
        <is>
          <t>Italian</t>
        </is>
      </c>
      <c r="I1076" s="22" t="n">
        <v>559</v>
      </c>
      <c r="J1076" s="22" t="n">
        <v>43.25</v>
      </c>
      <c r="K1076" s="22" t="n">
        <v>29.5</v>
      </c>
      <c r="L1076" s="23" t="n">
        <v>0.2</v>
      </c>
      <c r="M1076" s="22" t="n">
        <v>119.18</v>
      </c>
      <c r="N1076" s="24" t="n">
        <v>3.9</v>
      </c>
      <c r="O1076" s="24" t="n">
        <v>32.7</v>
      </c>
      <c r="P1076" s="17" t="inlineStr">
        <is>
          <t>Debit Card</t>
        </is>
      </c>
      <c r="Q1076" s="17" t="inlineStr">
        <is>
          <t>Delivered</t>
        </is>
      </c>
      <c r="R1076" s="17" t="n">
        <v>4</v>
      </c>
      <c r="S1076" s="17">
        <f>TEXT(B1076,"yyyy-mm")</f>
        <v/>
      </c>
      <c r="T1076" s="17">
        <f>VLOOKUP(D1076,Customers!A:D,4,FALSE)</f>
        <v/>
      </c>
      <c r="U1076" s="17">
        <f>CONCATENATE(A1076,"-",G1076)</f>
        <v/>
      </c>
      <c r="V1076" s="17">
        <f>IF(N1076="","",IF(N1076&lt;=30,"Fast (&lt;30m)",IF(N1076&lt;=45,"Moderate (30-45m)","Delayed (&gt;45m)")))</f>
        <v/>
      </c>
      <c r="W1076" s="17">
        <f>IF(AND(I1076&gt;600,P1076="Delivered"),"High Value Delivered","Standard")</f>
        <v/>
      </c>
      <c r="X1076" s="17">
        <f>IF(OR(N1076&gt;50,Q1076&lt;=2),"High Risk / Delayed","Normal")</f>
        <v/>
      </c>
      <c r="Y1076" s="17">
        <f>IF(NOT(P1076="Cancelled"),"Fulfilled","Cancelled")</f>
        <v/>
      </c>
      <c r="Z1076" s="17">
        <f>IFERROR(Q1076,0)</f>
        <v/>
      </c>
    </row>
    <row r="1077">
      <c r="A1077" s="25" t="inlineStr">
        <is>
          <t>ORD2076</t>
        </is>
      </c>
      <c r="B1077" s="25" t="inlineStr">
        <is>
          <t>2025-10-24</t>
        </is>
      </c>
      <c r="C1077" s="25" t="inlineStr">
        <is>
          <t>12:33:44</t>
        </is>
      </c>
      <c r="D1077" s="25" t="n">
        <v>1070</v>
      </c>
      <c r="E1077" s="25" t="n">
        <v>103</v>
      </c>
      <c r="F1077" s="25" t="n">
        <v>222</v>
      </c>
      <c r="G1077" s="25" t="inlineStr">
        <is>
          <t>Mumbai</t>
        </is>
      </c>
      <c r="H1077" s="25" t="inlineStr">
        <is>
          <t>Italian</t>
        </is>
      </c>
      <c r="I1077" s="26" t="n">
        <v>884</v>
      </c>
      <c r="J1077" s="26" t="n">
        <v>142.53</v>
      </c>
      <c r="K1077" s="26" t="n">
        <v>0</v>
      </c>
      <c r="L1077" s="27" t="n">
        <v>0.18</v>
      </c>
      <c r="M1077" s="26" t="n">
        <v>159.12</v>
      </c>
      <c r="N1077" s="28" t="n">
        <v>9.1</v>
      </c>
      <c r="O1077" s="28" t="n">
        <v>54.6</v>
      </c>
      <c r="P1077" s="25" t="inlineStr">
        <is>
          <t>Cash on Delivery</t>
        </is>
      </c>
      <c r="Q1077" s="25" t="inlineStr">
        <is>
          <t>Delivered</t>
        </is>
      </c>
      <c r="R1077" s="25" t="n">
        <v>2</v>
      </c>
      <c r="S1077" s="25">
        <f>TEXT(B1077,"yyyy-mm")</f>
        <v/>
      </c>
      <c r="T1077" s="25">
        <f>VLOOKUP(D1077,Customers!A:D,4,FALSE)</f>
        <v/>
      </c>
      <c r="U1077" s="25">
        <f>CONCATENATE(A1077,"-",G1077)</f>
        <v/>
      </c>
      <c r="V1077" s="25">
        <f>IF(N1077="","",IF(N1077&lt;=30,"Fast (&lt;30m)",IF(N1077&lt;=45,"Moderate (30-45m)","Delayed (&gt;45m)")))</f>
        <v/>
      </c>
      <c r="W1077" s="25">
        <f>IF(AND(I1077&gt;600,P1077="Delivered"),"High Value Delivered","Standard")</f>
        <v/>
      </c>
      <c r="X1077" s="25">
        <f>IF(OR(N1077&gt;50,Q1077&lt;=2),"High Risk / Delayed","Normal")</f>
        <v/>
      </c>
      <c r="Y1077" s="25">
        <f>IF(NOT(P1077="Cancelled"),"Fulfilled","Cancelled")</f>
        <v/>
      </c>
      <c r="Z1077" s="25">
        <f>IFERROR(Q1077,0)</f>
        <v/>
      </c>
    </row>
    <row r="1078">
      <c r="A1078" s="17" t="inlineStr">
        <is>
          <t>ORD2077</t>
        </is>
      </c>
      <c r="B1078" s="17" t="inlineStr">
        <is>
          <t>2025-01-05</t>
        </is>
      </c>
      <c r="C1078" s="17" t="inlineStr">
        <is>
          <t>07:31:59</t>
        </is>
      </c>
      <c r="D1078" s="17" t="n">
        <v>1081</v>
      </c>
      <c r="E1078" s="17" t="n">
        <v>105</v>
      </c>
      <c r="F1078" s="17" t="n">
        <v>227</v>
      </c>
      <c r="G1078" s="17" t="inlineStr">
        <is>
          <t>Bangalore</t>
        </is>
      </c>
      <c r="H1078" s="17" t="inlineStr">
        <is>
          <t>Chinese</t>
        </is>
      </c>
      <c r="I1078" s="22" t="n">
        <v>1058</v>
      </c>
      <c r="J1078" s="22" t="n">
        <v>155.14</v>
      </c>
      <c r="K1078" s="22" t="n">
        <v>0</v>
      </c>
      <c r="L1078" s="23" t="n">
        <v>0.2</v>
      </c>
      <c r="M1078" s="22" t="n">
        <v>211.6</v>
      </c>
      <c r="N1078" s="24" t="n">
        <v>3.6</v>
      </c>
      <c r="O1078" s="24" t="n">
        <v>31.1</v>
      </c>
      <c r="P1078" s="17" t="inlineStr">
        <is>
          <t>Debit Card</t>
        </is>
      </c>
      <c r="Q1078" s="17" t="inlineStr">
        <is>
          <t>Delivered</t>
        </is>
      </c>
      <c r="R1078" s="17" t="n">
        <v>1</v>
      </c>
      <c r="S1078" s="17">
        <f>TEXT(B1078,"yyyy-mm")</f>
        <v/>
      </c>
      <c r="T1078" s="17">
        <f>VLOOKUP(D1078,Customers!A:D,4,FALSE)</f>
        <v/>
      </c>
      <c r="U1078" s="17">
        <f>CONCATENATE(A1078,"-",G1078)</f>
        <v/>
      </c>
      <c r="V1078" s="17">
        <f>IF(N1078="","",IF(N1078&lt;=30,"Fast (&lt;30m)",IF(N1078&lt;=45,"Moderate (30-45m)","Delayed (&gt;45m)")))</f>
        <v/>
      </c>
      <c r="W1078" s="17">
        <f>IF(AND(I1078&gt;600,P1078="Delivered"),"High Value Delivered","Standard")</f>
        <v/>
      </c>
      <c r="X1078" s="17">
        <f>IF(OR(N1078&gt;50,Q1078&lt;=2),"High Risk / Delayed","Normal")</f>
        <v/>
      </c>
      <c r="Y1078" s="17">
        <f>IF(NOT(P1078="Cancelled"),"Fulfilled","Cancelled")</f>
        <v/>
      </c>
      <c r="Z1078" s="17">
        <f>IFERROR(Q1078,0)</f>
        <v/>
      </c>
    </row>
    <row r="1079">
      <c r="A1079" s="25" t="inlineStr">
        <is>
          <t>ORD2078</t>
        </is>
      </c>
      <c r="B1079" s="25" t="inlineStr">
        <is>
          <t>2025-05-28</t>
        </is>
      </c>
      <c r="C1079" s="25" t="inlineStr">
        <is>
          <t>17:04:51</t>
        </is>
      </c>
      <c r="D1079" s="25" t="n">
        <v>1159</v>
      </c>
      <c r="E1079" s="25" t="n">
        <v>104</v>
      </c>
      <c r="F1079" s="25" t="n">
        <v>212</v>
      </c>
      <c r="G1079" s="25" t="inlineStr">
        <is>
          <t>Delhi NCR</t>
        </is>
      </c>
      <c r="H1079" s="25" t="inlineStr">
        <is>
          <t>Fast Food</t>
        </is>
      </c>
      <c r="I1079" s="26" t="n">
        <v>521</v>
      </c>
      <c r="J1079" s="26" t="n">
        <v>0</v>
      </c>
      <c r="K1079" s="26" t="n">
        <v>29</v>
      </c>
      <c r="L1079" s="27" t="n">
        <v>0.18</v>
      </c>
      <c r="M1079" s="26" t="n">
        <v>101.03</v>
      </c>
      <c r="N1079" s="28" t="n">
        <v>3.8</v>
      </c>
      <c r="O1079" s="28" t="n">
        <v>23.8</v>
      </c>
      <c r="P1079" s="25" t="inlineStr">
        <is>
          <t>Debit Card</t>
        </is>
      </c>
      <c r="Q1079" s="25" t="inlineStr">
        <is>
          <t>Delivered</t>
        </is>
      </c>
      <c r="R1079" s="25" t="n">
        <v>4</v>
      </c>
      <c r="S1079" s="25">
        <f>TEXT(B1079,"yyyy-mm")</f>
        <v/>
      </c>
      <c r="T1079" s="25">
        <f>VLOOKUP(D1079,Customers!A:D,4,FALSE)</f>
        <v/>
      </c>
      <c r="U1079" s="25">
        <f>CONCATENATE(A1079,"-",G1079)</f>
        <v/>
      </c>
      <c r="V1079" s="25">
        <f>IF(N1079="","",IF(N1079&lt;=30,"Fast (&lt;30m)",IF(N1079&lt;=45,"Moderate (30-45m)","Delayed (&gt;45m)")))</f>
        <v/>
      </c>
      <c r="W1079" s="25">
        <f>IF(AND(I1079&gt;600,P1079="Delivered"),"High Value Delivered","Standard")</f>
        <v/>
      </c>
      <c r="X1079" s="25">
        <f>IF(OR(N1079&gt;50,Q1079&lt;=2),"High Risk / Delayed","Normal")</f>
        <v/>
      </c>
      <c r="Y1079" s="25">
        <f>IF(NOT(P1079="Cancelled"),"Fulfilled","Cancelled")</f>
        <v/>
      </c>
      <c r="Z1079" s="25">
        <f>IFERROR(Q1079,0)</f>
        <v/>
      </c>
    </row>
    <row r="1080">
      <c r="A1080" s="17" t="inlineStr">
        <is>
          <t>ORD2079</t>
        </is>
      </c>
      <c r="B1080" s="17" t="inlineStr">
        <is>
          <t>2025-06-06</t>
        </is>
      </c>
      <c r="C1080" s="17" t="inlineStr">
        <is>
          <t>13:00:27</t>
        </is>
      </c>
      <c r="D1080" s="17" t="n">
        <v>1158</v>
      </c>
      <c r="E1080" s="17" t="n">
        <v>116</v>
      </c>
      <c r="F1080" s="17" t="n">
        <v>207</v>
      </c>
      <c r="G1080" s="17" t="inlineStr">
        <is>
          <t>Pune</t>
        </is>
      </c>
      <c r="H1080" s="17" t="inlineStr">
        <is>
          <t>Desserts</t>
        </is>
      </c>
      <c r="I1080" s="22" t="n">
        <v>580</v>
      </c>
      <c r="J1080" s="22" t="n">
        <v>55.81</v>
      </c>
      <c r="K1080" s="22" t="n">
        <v>25</v>
      </c>
      <c r="L1080" s="23" t="n">
        <v>0.25</v>
      </c>
      <c r="M1080" s="22" t="n">
        <v>151.25</v>
      </c>
      <c r="N1080" s="24" t="n">
        <v>2.7</v>
      </c>
      <c r="O1080" s="24" t="n">
        <v>24</v>
      </c>
      <c r="P1080" s="17" t="inlineStr">
        <is>
          <t>Debit Card</t>
        </is>
      </c>
      <c r="Q1080" s="17" t="inlineStr">
        <is>
          <t>Delivered</t>
        </is>
      </c>
      <c r="R1080" s="17" t="n">
        <v>4</v>
      </c>
      <c r="S1080" s="17">
        <f>TEXT(B1080,"yyyy-mm")</f>
        <v/>
      </c>
      <c r="T1080" s="17">
        <f>VLOOKUP(D1080,Customers!A:D,4,FALSE)</f>
        <v/>
      </c>
      <c r="U1080" s="17">
        <f>CONCATENATE(A1080,"-",G1080)</f>
        <v/>
      </c>
      <c r="V1080" s="17">
        <f>IF(N1080="","",IF(N1080&lt;=30,"Fast (&lt;30m)",IF(N1080&lt;=45,"Moderate (30-45m)","Delayed (&gt;45m)")))</f>
        <v/>
      </c>
      <c r="W1080" s="17">
        <f>IF(AND(I1080&gt;600,P1080="Delivered"),"High Value Delivered","Standard")</f>
        <v/>
      </c>
      <c r="X1080" s="17">
        <f>IF(OR(N1080&gt;50,Q1080&lt;=2),"High Risk / Delayed","Normal")</f>
        <v/>
      </c>
      <c r="Y1080" s="17">
        <f>IF(NOT(P1080="Cancelled"),"Fulfilled","Cancelled")</f>
        <v/>
      </c>
      <c r="Z1080" s="17">
        <f>IFERROR(Q1080,0)</f>
        <v/>
      </c>
    </row>
    <row r="1081">
      <c r="A1081" s="25" t="inlineStr">
        <is>
          <t>ORD2080</t>
        </is>
      </c>
      <c r="B1081" s="25" t="inlineStr">
        <is>
          <t>2025-05-26</t>
        </is>
      </c>
      <c r="C1081" s="25" t="inlineStr">
        <is>
          <t>06:50:54</t>
        </is>
      </c>
      <c r="D1081" s="25" t="n">
        <v>1231</v>
      </c>
      <c r="E1081" s="25" t="n">
        <v>101</v>
      </c>
      <c r="F1081" s="25" t="n">
        <v>218</v>
      </c>
      <c r="G1081" s="25" t="inlineStr">
        <is>
          <t>Bangalore</t>
        </is>
      </c>
      <c r="H1081" s="25" t="inlineStr">
        <is>
          <t>North Indian</t>
        </is>
      </c>
      <c r="I1081" s="26" t="n">
        <v>734</v>
      </c>
      <c r="J1081" s="26" t="n">
        <v>70.88</v>
      </c>
      <c r="K1081" s="26" t="n">
        <v>31</v>
      </c>
      <c r="L1081" s="27" t="n">
        <v>0.2</v>
      </c>
      <c r="M1081" s="26" t="n">
        <v>154.55</v>
      </c>
      <c r="N1081" s="28" t="n">
        <v>4.2</v>
      </c>
      <c r="O1081" s="28" t="n">
        <v>32.4</v>
      </c>
      <c r="P1081" s="25" t="inlineStr">
        <is>
          <t>Credit Card</t>
        </is>
      </c>
      <c r="Q1081" s="25" t="inlineStr">
        <is>
          <t>Delivered</t>
        </is>
      </c>
      <c r="R1081" s="25" t="n">
        <v>4</v>
      </c>
      <c r="S1081" s="25">
        <f>TEXT(B1081,"yyyy-mm")</f>
        <v/>
      </c>
      <c r="T1081" s="25">
        <f>VLOOKUP(D1081,Customers!A:D,4,FALSE)</f>
        <v/>
      </c>
      <c r="U1081" s="25">
        <f>CONCATENATE(A1081,"-",G1081)</f>
        <v/>
      </c>
      <c r="V1081" s="25">
        <f>IF(N1081="","",IF(N1081&lt;=30,"Fast (&lt;30m)",IF(N1081&lt;=45,"Moderate (30-45m)","Delayed (&gt;45m)")))</f>
        <v/>
      </c>
      <c r="W1081" s="25">
        <f>IF(AND(I1081&gt;600,P1081="Delivered"),"High Value Delivered","Standard")</f>
        <v/>
      </c>
      <c r="X1081" s="25">
        <f>IF(OR(N1081&gt;50,Q1081&lt;=2),"High Risk / Delayed","Normal")</f>
        <v/>
      </c>
      <c r="Y1081" s="25">
        <f>IF(NOT(P1081="Cancelled"),"Fulfilled","Cancelled")</f>
        <v/>
      </c>
      <c r="Z1081" s="25">
        <f>IFERROR(Q1081,0)</f>
        <v/>
      </c>
    </row>
    <row r="1082">
      <c r="A1082" s="17" t="inlineStr">
        <is>
          <t>ORD2081</t>
        </is>
      </c>
      <c r="B1082" s="17" t="inlineStr">
        <is>
          <t>2025-03-15</t>
        </is>
      </c>
      <c r="C1082" s="17" t="inlineStr">
        <is>
          <t>13:46:12</t>
        </is>
      </c>
      <c r="D1082" s="17" t="n">
        <v>1046</v>
      </c>
      <c r="E1082" s="17" t="n">
        <v>119</v>
      </c>
      <c r="F1082" s="17" t="n">
        <v>215</v>
      </c>
      <c r="G1082" s="17" t="inlineStr">
        <is>
          <t>Hyderabad</t>
        </is>
      </c>
      <c r="H1082" s="17" t="inlineStr">
        <is>
          <t>Biryani</t>
        </is>
      </c>
      <c r="I1082" s="22" t="n">
        <v>662</v>
      </c>
      <c r="J1082" s="22" t="n">
        <v>60.22</v>
      </c>
      <c r="K1082" s="22" t="n">
        <v>52</v>
      </c>
      <c r="L1082" s="23" t="n">
        <v>0.2</v>
      </c>
      <c r="M1082" s="22" t="n">
        <v>145.4</v>
      </c>
      <c r="N1082" s="24" t="n">
        <v>8.4</v>
      </c>
      <c r="O1082" s="24" t="n">
        <v>45.8</v>
      </c>
      <c r="P1082" s="17" t="inlineStr">
        <is>
          <t>Credit Card</t>
        </is>
      </c>
      <c r="Q1082" s="17" t="inlineStr">
        <is>
          <t>Delivered</t>
        </is>
      </c>
      <c r="R1082" s="17" t="n">
        <v>4</v>
      </c>
      <c r="S1082" s="17">
        <f>TEXT(B1082,"yyyy-mm")</f>
        <v/>
      </c>
      <c r="T1082" s="17">
        <f>VLOOKUP(D1082,Customers!A:D,4,FALSE)</f>
        <v/>
      </c>
      <c r="U1082" s="17">
        <f>CONCATENATE(A1082,"-",G1082)</f>
        <v/>
      </c>
      <c r="V1082" s="17">
        <f>IF(N1082="","",IF(N1082&lt;=30,"Fast (&lt;30m)",IF(N1082&lt;=45,"Moderate (30-45m)","Delayed (&gt;45m)")))</f>
        <v/>
      </c>
      <c r="W1082" s="17">
        <f>IF(AND(I1082&gt;600,P1082="Delivered"),"High Value Delivered","Standard")</f>
        <v/>
      </c>
      <c r="X1082" s="17">
        <f>IF(OR(N1082&gt;50,Q1082&lt;=2),"High Risk / Delayed","Normal")</f>
        <v/>
      </c>
      <c r="Y1082" s="17">
        <f>IF(NOT(P1082="Cancelled"),"Fulfilled","Cancelled")</f>
        <v/>
      </c>
      <c r="Z1082" s="17">
        <f>IFERROR(Q1082,0)</f>
        <v/>
      </c>
    </row>
    <row r="1083">
      <c r="A1083" s="25" t="inlineStr">
        <is>
          <t>ORD2082</t>
        </is>
      </c>
      <c r="B1083" s="25" t="inlineStr">
        <is>
          <t>2025-07-01</t>
        </is>
      </c>
      <c r="C1083" s="25" t="inlineStr">
        <is>
          <t>12:15:51</t>
        </is>
      </c>
      <c r="D1083" s="25" t="n">
        <v>1099</v>
      </c>
      <c r="E1083" s="25" t="n">
        <v>109</v>
      </c>
      <c r="F1083" s="25" t="n">
        <v>215</v>
      </c>
      <c r="G1083" s="25" t="inlineStr">
        <is>
          <t>Hyderabad</t>
        </is>
      </c>
      <c r="H1083" s="25" t="inlineStr">
        <is>
          <t>Biryani</t>
        </is>
      </c>
      <c r="I1083" s="26" t="n">
        <v>914</v>
      </c>
      <c r="J1083" s="26" t="n">
        <v>30.9</v>
      </c>
      <c r="K1083" s="26" t="n">
        <v>39</v>
      </c>
      <c r="L1083" s="27" t="n">
        <v>0.2</v>
      </c>
      <c r="M1083" s="26" t="n">
        <v>192.55</v>
      </c>
      <c r="N1083" s="28" t="n">
        <v>5.8</v>
      </c>
      <c r="O1083" s="28" t="n">
        <v/>
      </c>
      <c r="P1083" s="25" t="inlineStr">
        <is>
          <t>UPI</t>
        </is>
      </c>
      <c r="Q1083" s="25" t="inlineStr">
        <is>
          <t>Cancelled</t>
        </is>
      </c>
      <c r="R1083" s="25" t="n">
        <v/>
      </c>
      <c r="S1083" s="25">
        <f>TEXT(B1083,"yyyy-mm")</f>
        <v/>
      </c>
      <c r="T1083" s="25">
        <f>VLOOKUP(D1083,Customers!A:D,4,FALSE)</f>
        <v/>
      </c>
      <c r="U1083" s="25">
        <f>CONCATENATE(A1083,"-",G1083)</f>
        <v/>
      </c>
      <c r="V1083" s="25">
        <f>IF(N1083="","",IF(N1083&lt;=30,"Fast (&lt;30m)",IF(N1083&lt;=45,"Moderate (30-45m)","Delayed (&gt;45m)")))</f>
        <v/>
      </c>
      <c r="W1083" s="25">
        <f>IF(AND(I1083&gt;600,P1083="Delivered"),"High Value Delivered","Standard")</f>
        <v/>
      </c>
      <c r="X1083" s="25">
        <f>IF(OR(N1083&gt;50,Q1083&lt;=2),"High Risk / Delayed","Normal")</f>
        <v/>
      </c>
      <c r="Y1083" s="25">
        <f>IF(NOT(P1083="Cancelled"),"Fulfilled","Cancelled")</f>
        <v/>
      </c>
      <c r="Z1083" s="25">
        <f>IFERROR(Q1083,0)</f>
        <v/>
      </c>
    </row>
    <row r="1084">
      <c r="A1084" s="17" t="inlineStr">
        <is>
          <t>ORD2083</t>
        </is>
      </c>
      <c r="B1084" s="17" t="inlineStr">
        <is>
          <t>2025-03-30</t>
        </is>
      </c>
      <c r="C1084" s="17" t="inlineStr">
        <is>
          <t>21:36:27</t>
        </is>
      </c>
      <c r="D1084" s="17" t="n">
        <v>1066</v>
      </c>
      <c r="E1084" s="17" t="n">
        <v>106</v>
      </c>
      <c r="F1084" s="17" t="n">
        <v>208</v>
      </c>
      <c r="G1084" s="17" t="inlineStr">
        <is>
          <t>Pune</t>
        </is>
      </c>
      <c r="H1084" s="17" t="inlineStr">
        <is>
          <t>South Indian</t>
        </is>
      </c>
      <c r="I1084" s="22" t="n">
        <v>915</v>
      </c>
      <c r="J1084" s="22" t="n">
        <v>58.88</v>
      </c>
      <c r="K1084" s="22" t="n">
        <v>30</v>
      </c>
      <c r="L1084" s="23" t="n">
        <v>0.15</v>
      </c>
      <c r="M1084" s="22" t="n">
        <v>144.75</v>
      </c>
      <c r="N1084" s="24" t="n">
        <v>4</v>
      </c>
      <c r="O1084" s="24" t="n">
        <v/>
      </c>
      <c r="P1084" s="17" t="inlineStr">
        <is>
          <t>Credit Card</t>
        </is>
      </c>
      <c r="Q1084" s="17" t="inlineStr">
        <is>
          <t>Cancelled</t>
        </is>
      </c>
      <c r="R1084" s="17" t="n">
        <v/>
      </c>
      <c r="S1084" s="17">
        <f>TEXT(B1084,"yyyy-mm")</f>
        <v/>
      </c>
      <c r="T1084" s="17">
        <f>VLOOKUP(D1084,Customers!A:D,4,FALSE)</f>
        <v/>
      </c>
      <c r="U1084" s="17">
        <f>CONCATENATE(A1084,"-",G1084)</f>
        <v/>
      </c>
      <c r="V1084" s="17">
        <f>IF(N1084="","",IF(N1084&lt;=30,"Fast (&lt;30m)",IF(N1084&lt;=45,"Moderate (30-45m)","Delayed (&gt;45m)")))</f>
        <v/>
      </c>
      <c r="W1084" s="17">
        <f>IF(AND(I1084&gt;600,P1084="Delivered"),"High Value Delivered","Standard")</f>
        <v/>
      </c>
      <c r="X1084" s="17">
        <f>IF(OR(N1084&gt;50,Q1084&lt;=2),"High Risk / Delayed","Normal")</f>
        <v/>
      </c>
      <c r="Y1084" s="17">
        <f>IF(NOT(P1084="Cancelled"),"Fulfilled","Cancelled")</f>
        <v/>
      </c>
      <c r="Z1084" s="17">
        <f>IFERROR(Q1084,0)</f>
        <v/>
      </c>
    </row>
    <row r="1085">
      <c r="A1085" s="25" t="inlineStr">
        <is>
          <t>ORD2084</t>
        </is>
      </c>
      <c r="B1085" s="25" t="inlineStr">
        <is>
          <t>2025-10-11</t>
        </is>
      </c>
      <c r="C1085" s="25" t="inlineStr">
        <is>
          <t>22:12:19</t>
        </is>
      </c>
      <c r="D1085" s="25" t="n">
        <v>1133</v>
      </c>
      <c r="E1085" s="25" t="n">
        <v>108</v>
      </c>
      <c r="F1085" s="25" t="n">
        <v>212</v>
      </c>
      <c r="G1085" s="25" t="inlineStr">
        <is>
          <t>Delhi NCR</t>
        </is>
      </c>
      <c r="H1085" s="25" t="inlineStr">
        <is>
          <t>Fast Food</t>
        </is>
      </c>
      <c r="I1085" s="26" t="n">
        <v>532</v>
      </c>
      <c r="J1085" s="26" t="n">
        <v>0</v>
      </c>
      <c r="K1085" s="26" t="n">
        <v>30</v>
      </c>
      <c r="L1085" s="27" t="n">
        <v>0.18</v>
      </c>
      <c r="M1085" s="26" t="n">
        <v>103.26</v>
      </c>
      <c r="N1085" s="28" t="n">
        <v>4</v>
      </c>
      <c r="O1085" s="28" t="n">
        <v>31</v>
      </c>
      <c r="P1085" s="25" t="inlineStr">
        <is>
          <t>Cash on Delivery</t>
        </is>
      </c>
      <c r="Q1085" s="25" t="inlineStr">
        <is>
          <t>Delivered</t>
        </is>
      </c>
      <c r="R1085" s="25" t="n">
        <v>4</v>
      </c>
      <c r="S1085" s="25">
        <f>TEXT(B1085,"yyyy-mm")</f>
        <v/>
      </c>
      <c r="T1085" s="25">
        <f>VLOOKUP(D1085,Customers!A:D,4,FALSE)</f>
        <v/>
      </c>
      <c r="U1085" s="25">
        <f>CONCATENATE(A1085,"-",G1085)</f>
        <v/>
      </c>
      <c r="V1085" s="25">
        <f>IF(N1085="","",IF(N1085&lt;=30,"Fast (&lt;30m)",IF(N1085&lt;=45,"Moderate (30-45m)","Delayed (&gt;45m)")))</f>
        <v/>
      </c>
      <c r="W1085" s="25">
        <f>IF(AND(I1085&gt;600,P1085="Delivered"),"High Value Delivered","Standard")</f>
        <v/>
      </c>
      <c r="X1085" s="25">
        <f>IF(OR(N1085&gt;50,Q1085&lt;=2),"High Risk / Delayed","Normal")</f>
        <v/>
      </c>
      <c r="Y1085" s="25">
        <f>IF(NOT(P1085="Cancelled"),"Fulfilled","Cancelled")</f>
        <v/>
      </c>
      <c r="Z1085" s="25">
        <f>IFERROR(Q1085,0)</f>
        <v/>
      </c>
    </row>
    <row r="1086">
      <c r="A1086" s="17" t="inlineStr">
        <is>
          <t>ORD2085</t>
        </is>
      </c>
      <c r="B1086" s="17" t="inlineStr">
        <is>
          <t>2025-02-19</t>
        </is>
      </c>
      <c r="C1086" s="17" t="inlineStr">
        <is>
          <t>21:08:33</t>
        </is>
      </c>
      <c r="D1086" s="17" t="n">
        <v>1133</v>
      </c>
      <c r="E1086" s="17" t="n">
        <v>112</v>
      </c>
      <c r="F1086" s="17" t="n">
        <v>212</v>
      </c>
      <c r="G1086" s="17" t="inlineStr">
        <is>
          <t>Delhi NCR</t>
        </is>
      </c>
      <c r="H1086" s="17" t="inlineStr">
        <is>
          <t>North Indian</t>
        </is>
      </c>
      <c r="I1086" s="22" t="n">
        <v>672</v>
      </c>
      <c r="J1086" s="22" t="n">
        <v>27.09</v>
      </c>
      <c r="K1086" s="22" t="n">
        <v>25</v>
      </c>
      <c r="L1086" s="23" t="n">
        <v>0.22</v>
      </c>
      <c r="M1086" s="22" t="n">
        <v>154.09</v>
      </c>
      <c r="N1086" s="24" t="n">
        <v>2.1</v>
      </c>
      <c r="O1086" s="24" t="n">
        <v>28.8</v>
      </c>
      <c r="P1086" s="17" t="inlineStr">
        <is>
          <t>Debit Card</t>
        </is>
      </c>
      <c r="Q1086" s="17" t="inlineStr">
        <is>
          <t>Delivered</t>
        </is>
      </c>
      <c r="R1086" s="17" t="n">
        <v>4</v>
      </c>
      <c r="S1086" s="17">
        <f>TEXT(B1086,"yyyy-mm")</f>
        <v/>
      </c>
      <c r="T1086" s="17">
        <f>VLOOKUP(D1086,Customers!A:D,4,FALSE)</f>
        <v/>
      </c>
      <c r="U1086" s="17">
        <f>CONCATENATE(A1086,"-",G1086)</f>
        <v/>
      </c>
      <c r="V1086" s="17">
        <f>IF(N1086="","",IF(N1086&lt;=30,"Fast (&lt;30m)",IF(N1086&lt;=45,"Moderate (30-45m)","Delayed (&gt;45m)")))</f>
        <v/>
      </c>
      <c r="W1086" s="17">
        <f>IF(AND(I1086&gt;600,P1086="Delivered"),"High Value Delivered","Standard")</f>
        <v/>
      </c>
      <c r="X1086" s="17">
        <f>IF(OR(N1086&gt;50,Q1086&lt;=2),"High Risk / Delayed","Normal")</f>
        <v/>
      </c>
      <c r="Y1086" s="17">
        <f>IF(NOT(P1086="Cancelled"),"Fulfilled","Cancelled")</f>
        <v/>
      </c>
      <c r="Z1086" s="17">
        <f>IFERROR(Q1086,0)</f>
        <v/>
      </c>
    </row>
    <row r="1087">
      <c r="A1087" s="25" t="inlineStr">
        <is>
          <t>ORD2086</t>
        </is>
      </c>
      <c r="B1087" s="25" t="inlineStr">
        <is>
          <t>2025-08-27</t>
        </is>
      </c>
      <c r="C1087" s="25" t="inlineStr">
        <is>
          <t>11:26:26</t>
        </is>
      </c>
      <c r="D1087" s="25" t="n">
        <v>1295</v>
      </c>
      <c r="E1087" s="25" t="n">
        <v>108</v>
      </c>
      <c r="F1087" s="25" t="n">
        <v>212</v>
      </c>
      <c r="G1087" s="25" t="inlineStr">
        <is>
          <t>Delhi NCR</t>
        </is>
      </c>
      <c r="H1087" s="25" t="inlineStr">
        <is>
          <t>Fast Food</t>
        </is>
      </c>
      <c r="I1087" s="26" t="n">
        <v>692</v>
      </c>
      <c r="J1087" s="26" t="n">
        <v>0</v>
      </c>
      <c r="K1087" s="26" t="n">
        <v>25</v>
      </c>
      <c r="L1087" s="27" t="n">
        <v>0.18</v>
      </c>
      <c r="M1087" s="26" t="n">
        <v>130.81</v>
      </c>
      <c r="N1087" s="28" t="n">
        <v>2.5</v>
      </c>
      <c r="O1087" s="28" t="n">
        <v>24.9</v>
      </c>
      <c r="P1087" s="25" t="inlineStr">
        <is>
          <t>Cash on Delivery</t>
        </is>
      </c>
      <c r="Q1087" s="25" t="inlineStr">
        <is>
          <t>Delivered</t>
        </is>
      </c>
      <c r="R1087" s="25" t="n">
        <v>5</v>
      </c>
      <c r="S1087" s="25">
        <f>TEXT(B1087,"yyyy-mm")</f>
        <v/>
      </c>
      <c r="T1087" s="25">
        <f>VLOOKUP(D1087,Customers!A:D,4,FALSE)</f>
        <v/>
      </c>
      <c r="U1087" s="25">
        <f>CONCATENATE(A1087,"-",G1087)</f>
        <v/>
      </c>
      <c r="V1087" s="25">
        <f>IF(N1087="","",IF(N1087&lt;=30,"Fast (&lt;30m)",IF(N1087&lt;=45,"Moderate (30-45m)","Delayed (&gt;45m)")))</f>
        <v/>
      </c>
      <c r="W1087" s="25">
        <f>IF(AND(I1087&gt;600,P1087="Delivered"),"High Value Delivered","Standard")</f>
        <v/>
      </c>
      <c r="X1087" s="25">
        <f>IF(OR(N1087&gt;50,Q1087&lt;=2),"High Risk / Delayed","Normal")</f>
        <v/>
      </c>
      <c r="Y1087" s="25">
        <f>IF(NOT(P1087="Cancelled"),"Fulfilled","Cancelled")</f>
        <v/>
      </c>
      <c r="Z1087" s="25">
        <f>IFERROR(Q1087,0)</f>
        <v/>
      </c>
    </row>
    <row r="1088">
      <c r="A1088" s="17" t="inlineStr">
        <is>
          <t>ORD2087</t>
        </is>
      </c>
      <c r="B1088" s="17" t="inlineStr">
        <is>
          <t>2025-11-11</t>
        </is>
      </c>
      <c r="C1088" s="17" t="inlineStr">
        <is>
          <t>20:58:19</t>
        </is>
      </c>
      <c r="D1088" s="17" t="n">
        <v>1008</v>
      </c>
      <c r="E1088" s="17" t="n">
        <v>107</v>
      </c>
      <c r="F1088" s="17" t="n">
        <v>222</v>
      </c>
      <c r="G1088" s="17" t="inlineStr">
        <is>
          <t>Mumbai</t>
        </is>
      </c>
      <c r="H1088" s="17" t="inlineStr">
        <is>
          <t>Desserts</t>
        </is>
      </c>
      <c r="I1088" s="22" t="n">
        <v>716</v>
      </c>
      <c r="J1088" s="22" t="n">
        <v>108.27</v>
      </c>
      <c r="K1088" s="22" t="n">
        <v>0</v>
      </c>
      <c r="L1088" s="23" t="n">
        <v>0.25</v>
      </c>
      <c r="M1088" s="22" t="n">
        <v>179</v>
      </c>
      <c r="N1088" s="24" t="n">
        <v>2.6</v>
      </c>
      <c r="O1088" s="24" t="n">
        <v>23.2</v>
      </c>
      <c r="P1088" s="17" t="inlineStr">
        <is>
          <t>Digital Wallet</t>
        </is>
      </c>
      <c r="Q1088" s="17" t="inlineStr">
        <is>
          <t>Delivered</t>
        </is>
      </c>
      <c r="R1088" s="17" t="n">
        <v>1</v>
      </c>
      <c r="S1088" s="17">
        <f>TEXT(B1088,"yyyy-mm")</f>
        <v/>
      </c>
      <c r="T1088" s="17">
        <f>VLOOKUP(D1088,Customers!A:D,4,FALSE)</f>
        <v/>
      </c>
      <c r="U1088" s="17">
        <f>CONCATENATE(A1088,"-",G1088)</f>
        <v/>
      </c>
      <c r="V1088" s="17">
        <f>IF(N1088="","",IF(N1088&lt;=30,"Fast (&lt;30m)",IF(N1088&lt;=45,"Moderate (30-45m)","Delayed (&gt;45m)")))</f>
        <v/>
      </c>
      <c r="W1088" s="17">
        <f>IF(AND(I1088&gt;600,P1088="Delivered"),"High Value Delivered","Standard")</f>
        <v/>
      </c>
      <c r="X1088" s="17">
        <f>IF(OR(N1088&gt;50,Q1088&lt;=2),"High Risk / Delayed","Normal")</f>
        <v/>
      </c>
      <c r="Y1088" s="17">
        <f>IF(NOT(P1088="Cancelled"),"Fulfilled","Cancelled")</f>
        <v/>
      </c>
      <c r="Z1088" s="17">
        <f>IFERROR(Q1088,0)</f>
        <v/>
      </c>
    </row>
    <row r="1089">
      <c r="A1089" s="25" t="inlineStr">
        <is>
          <t>ORD2088</t>
        </is>
      </c>
      <c r="B1089" s="25" t="inlineStr">
        <is>
          <t>2025-03-06</t>
        </is>
      </c>
      <c r="C1089" s="25" t="inlineStr">
        <is>
          <t>07:25:42</t>
        </is>
      </c>
      <c r="D1089" s="25" t="n">
        <v>1177</v>
      </c>
      <c r="E1089" s="25" t="n">
        <v>118</v>
      </c>
      <c r="F1089" s="25" t="n">
        <v>228</v>
      </c>
      <c r="G1089" s="25" t="inlineStr">
        <is>
          <t>Delhi NCR</t>
        </is>
      </c>
      <c r="H1089" s="25" t="inlineStr">
        <is>
          <t>North Indian</t>
        </is>
      </c>
      <c r="I1089" s="26" t="n">
        <v>226</v>
      </c>
      <c r="J1089" s="26" t="n">
        <v>18.62</v>
      </c>
      <c r="K1089" s="26" t="n">
        <v>25</v>
      </c>
      <c r="L1089" s="27" t="n">
        <v>0.2</v>
      </c>
      <c r="M1089" s="26" t="n">
        <v>51.45</v>
      </c>
      <c r="N1089" s="28" t="n">
        <v>2.3</v>
      </c>
      <c r="O1089" s="28" t="n">
        <v>29.9</v>
      </c>
      <c r="P1089" s="25" t="inlineStr">
        <is>
          <t>Digital Wallet</t>
        </is>
      </c>
      <c r="Q1089" s="25" t="inlineStr">
        <is>
          <t>Delivered</t>
        </is>
      </c>
      <c r="R1089" s="25" t="n">
        <v>4</v>
      </c>
      <c r="S1089" s="25">
        <f>TEXT(B1089,"yyyy-mm")</f>
        <v/>
      </c>
      <c r="T1089" s="25">
        <f>VLOOKUP(D1089,Customers!A:D,4,FALSE)</f>
        <v/>
      </c>
      <c r="U1089" s="25">
        <f>CONCATENATE(A1089,"-",G1089)</f>
        <v/>
      </c>
      <c r="V1089" s="25">
        <f>IF(N1089="","",IF(N1089&lt;=30,"Fast (&lt;30m)",IF(N1089&lt;=45,"Moderate (30-45m)","Delayed (&gt;45m)")))</f>
        <v/>
      </c>
      <c r="W1089" s="25">
        <f>IF(AND(I1089&gt;600,P1089="Delivered"),"High Value Delivered","Standard")</f>
        <v/>
      </c>
      <c r="X1089" s="25">
        <f>IF(OR(N1089&gt;50,Q1089&lt;=2),"High Risk / Delayed","Normal")</f>
        <v/>
      </c>
      <c r="Y1089" s="25">
        <f>IF(NOT(P1089="Cancelled"),"Fulfilled","Cancelled")</f>
        <v/>
      </c>
      <c r="Z1089" s="25">
        <f>IFERROR(Q1089,0)</f>
        <v/>
      </c>
    </row>
    <row r="1090">
      <c r="A1090" s="17" t="inlineStr">
        <is>
          <t>ORD2089</t>
        </is>
      </c>
      <c r="B1090" s="17" t="inlineStr">
        <is>
          <t>2025-01-29</t>
        </is>
      </c>
      <c r="C1090" s="17" t="inlineStr">
        <is>
          <t>23:17:53</t>
        </is>
      </c>
      <c r="D1090" s="17" t="n">
        <v>1142</v>
      </c>
      <c r="E1090" s="17" t="n">
        <v>109</v>
      </c>
      <c r="F1090" s="17" t="n">
        <v>225</v>
      </c>
      <c r="G1090" s="17" t="inlineStr">
        <is>
          <t>Hyderabad</t>
        </is>
      </c>
      <c r="H1090" s="17" t="inlineStr">
        <is>
          <t>Biryani</t>
        </is>
      </c>
      <c r="I1090" s="22" t="n">
        <v>885</v>
      </c>
      <c r="J1090" s="22" t="n">
        <v>0</v>
      </c>
      <c r="K1090" s="22" t="n">
        <v>36</v>
      </c>
      <c r="L1090" s="23" t="n">
        <v>0.2</v>
      </c>
      <c r="M1090" s="22" t="n">
        <v>186</v>
      </c>
      <c r="N1090" s="24" t="n">
        <v>5.2</v>
      </c>
      <c r="O1090" s="24" t="n">
        <v/>
      </c>
      <c r="P1090" s="17" t="inlineStr">
        <is>
          <t>Debit Card</t>
        </is>
      </c>
      <c r="Q1090" s="17" t="inlineStr">
        <is>
          <t>Cancelled</t>
        </is>
      </c>
      <c r="R1090" s="17" t="n">
        <v/>
      </c>
      <c r="S1090" s="17">
        <f>TEXT(B1090,"yyyy-mm")</f>
        <v/>
      </c>
      <c r="T1090" s="17">
        <f>VLOOKUP(D1090,Customers!A:D,4,FALSE)</f>
        <v/>
      </c>
      <c r="U1090" s="17">
        <f>CONCATENATE(A1090,"-",G1090)</f>
        <v/>
      </c>
      <c r="V1090" s="17">
        <f>IF(N1090="","",IF(N1090&lt;=30,"Fast (&lt;30m)",IF(N1090&lt;=45,"Moderate (30-45m)","Delayed (&gt;45m)")))</f>
        <v/>
      </c>
      <c r="W1090" s="17">
        <f>IF(AND(I1090&gt;600,P1090="Delivered"),"High Value Delivered","Standard")</f>
        <v/>
      </c>
      <c r="X1090" s="17">
        <f>IF(OR(N1090&gt;50,Q1090&lt;=2),"High Risk / Delayed","Normal")</f>
        <v/>
      </c>
      <c r="Y1090" s="17">
        <f>IF(NOT(P1090="Cancelled"),"Fulfilled","Cancelled")</f>
        <v/>
      </c>
      <c r="Z1090" s="17">
        <f>IFERROR(Q1090,0)</f>
        <v/>
      </c>
    </row>
    <row r="1091">
      <c r="A1091" s="25" t="inlineStr">
        <is>
          <t>ORD2090</t>
        </is>
      </c>
      <c r="B1091" s="25" t="inlineStr">
        <is>
          <t>2025-03-04</t>
        </is>
      </c>
      <c r="C1091" s="25" t="inlineStr">
        <is>
          <t>16:47:37</t>
        </is>
      </c>
      <c r="D1091" s="25" t="n">
        <v>1043</v>
      </c>
      <c r="E1091" s="25" t="n">
        <v>119</v>
      </c>
      <c r="F1091" s="25" t="n">
        <v>216</v>
      </c>
      <c r="G1091" s="25" t="inlineStr">
        <is>
          <t>Hyderabad</t>
        </is>
      </c>
      <c r="H1091" s="25" t="inlineStr">
        <is>
          <t>Biryani</t>
        </is>
      </c>
      <c r="I1091" s="26" t="n">
        <v>910</v>
      </c>
      <c r="J1091" s="26" t="n">
        <v>52.19</v>
      </c>
      <c r="K1091" s="26" t="n">
        <v>30</v>
      </c>
      <c r="L1091" s="27" t="n">
        <v>0.2</v>
      </c>
      <c r="M1091" s="26" t="n">
        <v>189.5</v>
      </c>
      <c r="N1091" s="28" t="n">
        <v>4</v>
      </c>
      <c r="O1091" s="28" t="n">
        <v/>
      </c>
      <c r="P1091" s="25" t="inlineStr">
        <is>
          <t>Digital Wallet</t>
        </is>
      </c>
      <c r="Q1091" s="25" t="inlineStr">
        <is>
          <t>Cancelled</t>
        </is>
      </c>
      <c r="R1091" s="25" t="n">
        <v/>
      </c>
      <c r="S1091" s="25">
        <f>TEXT(B1091,"yyyy-mm")</f>
        <v/>
      </c>
      <c r="T1091" s="25">
        <f>VLOOKUP(D1091,Customers!A:D,4,FALSE)</f>
        <v/>
      </c>
      <c r="U1091" s="25">
        <f>CONCATENATE(A1091,"-",G1091)</f>
        <v/>
      </c>
      <c r="V1091" s="25">
        <f>IF(N1091="","",IF(N1091&lt;=30,"Fast (&lt;30m)",IF(N1091&lt;=45,"Moderate (30-45m)","Delayed (&gt;45m)")))</f>
        <v/>
      </c>
      <c r="W1091" s="25">
        <f>IF(AND(I1091&gt;600,P1091="Delivered"),"High Value Delivered","Standard")</f>
        <v/>
      </c>
      <c r="X1091" s="25">
        <f>IF(OR(N1091&gt;50,Q1091&lt;=2),"High Risk / Delayed","Normal")</f>
        <v/>
      </c>
      <c r="Y1091" s="25">
        <f>IF(NOT(P1091="Cancelled"),"Fulfilled","Cancelled")</f>
        <v/>
      </c>
      <c r="Z1091" s="25">
        <f>IFERROR(Q1091,0)</f>
        <v/>
      </c>
    </row>
    <row r="1092">
      <c r="A1092" s="17" t="inlineStr">
        <is>
          <t>ORD2091</t>
        </is>
      </c>
      <c r="B1092" s="17" t="inlineStr">
        <is>
          <t>2025-03-11</t>
        </is>
      </c>
      <c r="C1092" s="17" t="inlineStr">
        <is>
          <t>11:14:57</t>
        </is>
      </c>
      <c r="D1092" s="17" t="n">
        <v>1283</v>
      </c>
      <c r="E1092" s="17" t="n">
        <v>110</v>
      </c>
      <c r="F1092" s="17" t="n">
        <v>204</v>
      </c>
      <c r="G1092" s="17" t="inlineStr">
        <is>
          <t>Pune</t>
        </is>
      </c>
      <c r="H1092" s="17" t="inlineStr">
        <is>
          <t>North Indian</t>
        </is>
      </c>
      <c r="I1092" s="22" t="n">
        <v>911</v>
      </c>
      <c r="J1092" s="22" t="n">
        <v>11.28</v>
      </c>
      <c r="K1092" s="22" t="n">
        <v>40</v>
      </c>
      <c r="L1092" s="23" t="n">
        <v>0.18</v>
      </c>
      <c r="M1092" s="22" t="n">
        <v>173.98</v>
      </c>
      <c r="N1092" s="24" t="n">
        <v>6</v>
      </c>
      <c r="O1092" s="24" t="n">
        <v>41.7</v>
      </c>
      <c r="P1092" s="17" t="inlineStr">
        <is>
          <t>UPI</t>
        </is>
      </c>
      <c r="Q1092" s="17" t="inlineStr">
        <is>
          <t>Delivered</t>
        </is>
      </c>
      <c r="R1092" s="17" t="n">
        <v>2</v>
      </c>
      <c r="S1092" s="17">
        <f>TEXT(B1092,"yyyy-mm")</f>
        <v/>
      </c>
      <c r="T1092" s="17">
        <f>VLOOKUP(D1092,Customers!A:D,4,FALSE)</f>
        <v/>
      </c>
      <c r="U1092" s="17">
        <f>CONCATENATE(A1092,"-",G1092)</f>
        <v/>
      </c>
      <c r="V1092" s="17">
        <f>IF(N1092="","",IF(N1092&lt;=30,"Fast (&lt;30m)",IF(N1092&lt;=45,"Moderate (30-45m)","Delayed (&gt;45m)")))</f>
        <v/>
      </c>
      <c r="W1092" s="17">
        <f>IF(AND(I1092&gt;600,P1092="Delivered"),"High Value Delivered","Standard")</f>
        <v/>
      </c>
      <c r="X1092" s="17">
        <f>IF(OR(N1092&gt;50,Q1092&lt;=2),"High Risk / Delayed","Normal")</f>
        <v/>
      </c>
      <c r="Y1092" s="17">
        <f>IF(NOT(P1092="Cancelled"),"Fulfilled","Cancelled")</f>
        <v/>
      </c>
      <c r="Z1092" s="17">
        <f>IFERROR(Q1092,0)</f>
        <v/>
      </c>
    </row>
    <row r="1093">
      <c r="A1093" s="25" t="inlineStr">
        <is>
          <t>ORD2092</t>
        </is>
      </c>
      <c r="B1093" s="25" t="inlineStr">
        <is>
          <t>2025-02-04</t>
        </is>
      </c>
      <c r="C1093" s="25" t="inlineStr">
        <is>
          <t>13:00:09</t>
        </is>
      </c>
      <c r="D1093" s="25" t="n">
        <v>1246</v>
      </c>
      <c r="E1093" s="25" t="n">
        <v>106</v>
      </c>
      <c r="F1093" s="25" t="n">
        <v>208</v>
      </c>
      <c r="G1093" s="25" t="inlineStr">
        <is>
          <t>Pune</t>
        </is>
      </c>
      <c r="H1093" s="25" t="inlineStr">
        <is>
          <t>South Indian</t>
        </is>
      </c>
      <c r="I1093" s="26" t="n">
        <v>1163</v>
      </c>
      <c r="J1093" s="26" t="n">
        <v>130.38</v>
      </c>
      <c r="K1093" s="26" t="n">
        <v>0</v>
      </c>
      <c r="L1093" s="27" t="n">
        <v>0.15</v>
      </c>
      <c r="M1093" s="26" t="n">
        <v>174.45</v>
      </c>
      <c r="N1093" s="28" t="n">
        <v>5.1</v>
      </c>
      <c r="O1093" s="28" t="n">
        <v>37.5</v>
      </c>
      <c r="P1093" s="25" t="inlineStr">
        <is>
          <t>Credit Card</t>
        </is>
      </c>
      <c r="Q1093" s="25" t="inlineStr">
        <is>
          <t>Delivered</t>
        </is>
      </c>
      <c r="R1093" s="25" t="n">
        <v>5</v>
      </c>
      <c r="S1093" s="25">
        <f>TEXT(B1093,"yyyy-mm")</f>
        <v/>
      </c>
      <c r="T1093" s="25">
        <f>VLOOKUP(D1093,Customers!A:D,4,FALSE)</f>
        <v/>
      </c>
      <c r="U1093" s="25">
        <f>CONCATENATE(A1093,"-",G1093)</f>
        <v/>
      </c>
      <c r="V1093" s="25">
        <f>IF(N1093="","",IF(N1093&lt;=30,"Fast (&lt;30m)",IF(N1093&lt;=45,"Moderate (30-45m)","Delayed (&gt;45m)")))</f>
        <v/>
      </c>
      <c r="W1093" s="25">
        <f>IF(AND(I1093&gt;600,P1093="Delivered"),"High Value Delivered","Standard")</f>
        <v/>
      </c>
      <c r="X1093" s="25">
        <f>IF(OR(N1093&gt;50,Q1093&lt;=2),"High Risk / Delayed","Normal")</f>
        <v/>
      </c>
      <c r="Y1093" s="25">
        <f>IF(NOT(P1093="Cancelled"),"Fulfilled","Cancelled")</f>
        <v/>
      </c>
      <c r="Z1093" s="25">
        <f>IFERROR(Q1093,0)</f>
        <v/>
      </c>
    </row>
    <row r="1094">
      <c r="A1094" s="17" t="inlineStr">
        <is>
          <t>ORD2093</t>
        </is>
      </c>
      <c r="B1094" s="17" t="inlineStr">
        <is>
          <t>2025-01-13</t>
        </is>
      </c>
      <c r="C1094" s="17" t="inlineStr">
        <is>
          <t>12:53:32</t>
        </is>
      </c>
      <c r="D1094" s="17" t="n">
        <v>1006</v>
      </c>
      <c r="E1094" s="17" t="n">
        <v>107</v>
      </c>
      <c r="F1094" s="17" t="n">
        <v>222</v>
      </c>
      <c r="G1094" s="17" t="inlineStr">
        <is>
          <t>Mumbai</t>
        </is>
      </c>
      <c r="H1094" s="17" t="inlineStr">
        <is>
          <t>Desserts</t>
        </is>
      </c>
      <c r="I1094" s="22" t="n">
        <v>674</v>
      </c>
      <c r="J1094" s="22" t="n">
        <v>0</v>
      </c>
      <c r="K1094" s="22" t="n">
        <v>29.5</v>
      </c>
      <c r="L1094" s="23" t="n">
        <v>0.25</v>
      </c>
      <c r="M1094" s="22" t="n">
        <v>175.88</v>
      </c>
      <c r="N1094" s="24" t="n">
        <v>3.9</v>
      </c>
      <c r="O1094" s="24" t="n">
        <v>37.9</v>
      </c>
      <c r="P1094" s="17" t="inlineStr">
        <is>
          <t>Debit Card</t>
        </is>
      </c>
      <c r="Q1094" s="17" t="inlineStr">
        <is>
          <t>Delivered</t>
        </is>
      </c>
      <c r="R1094" s="17" t="n">
        <v>4</v>
      </c>
      <c r="S1094" s="17">
        <f>TEXT(B1094,"yyyy-mm")</f>
        <v/>
      </c>
      <c r="T1094" s="17">
        <f>VLOOKUP(D1094,Customers!A:D,4,FALSE)</f>
        <v/>
      </c>
      <c r="U1094" s="17">
        <f>CONCATENATE(A1094,"-",G1094)</f>
        <v/>
      </c>
      <c r="V1094" s="17">
        <f>IF(N1094="","",IF(N1094&lt;=30,"Fast (&lt;30m)",IF(N1094&lt;=45,"Moderate (30-45m)","Delayed (&gt;45m)")))</f>
        <v/>
      </c>
      <c r="W1094" s="17">
        <f>IF(AND(I1094&gt;600,P1094="Delivered"),"High Value Delivered","Standard")</f>
        <v/>
      </c>
      <c r="X1094" s="17">
        <f>IF(OR(N1094&gt;50,Q1094&lt;=2),"High Risk / Delayed","Normal")</f>
        <v/>
      </c>
      <c r="Y1094" s="17">
        <f>IF(NOT(P1094="Cancelled"),"Fulfilled","Cancelled")</f>
        <v/>
      </c>
      <c r="Z1094" s="17">
        <f>IFERROR(Q1094,0)</f>
        <v/>
      </c>
    </row>
    <row r="1095">
      <c r="A1095" s="25" t="inlineStr">
        <is>
          <t>ORD2094</t>
        </is>
      </c>
      <c r="B1095" s="25" t="inlineStr">
        <is>
          <t>2025-05-01</t>
        </is>
      </c>
      <c r="C1095" s="25" t="inlineStr">
        <is>
          <t>12:53:54</t>
        </is>
      </c>
      <c r="D1095" s="25" t="n">
        <v>1153</v>
      </c>
      <c r="E1095" s="25" t="n">
        <v>101</v>
      </c>
      <c r="F1095" s="25" t="n">
        <v>205</v>
      </c>
      <c r="G1095" s="25" t="inlineStr">
        <is>
          <t>Bangalore</t>
        </is>
      </c>
      <c r="H1095" s="25" t="inlineStr">
        <is>
          <t>North Indian</t>
        </is>
      </c>
      <c r="I1095" s="26" t="n">
        <v>779</v>
      </c>
      <c r="J1095" s="26" t="n">
        <v>0</v>
      </c>
      <c r="K1095" s="26" t="n">
        <v>25</v>
      </c>
      <c r="L1095" s="27" t="n">
        <v>0.2</v>
      </c>
      <c r="M1095" s="26" t="n">
        <v>162.05</v>
      </c>
      <c r="N1095" s="28" t="n">
        <v>2.5</v>
      </c>
      <c r="O1095" s="28" t="n">
        <v>28.5</v>
      </c>
      <c r="P1095" s="25" t="inlineStr">
        <is>
          <t>Cash on Delivery</t>
        </is>
      </c>
      <c r="Q1095" s="25" t="inlineStr">
        <is>
          <t>Delivered</t>
        </is>
      </c>
      <c r="R1095" s="25" t="n">
        <v>5</v>
      </c>
      <c r="S1095" s="25">
        <f>TEXT(B1095,"yyyy-mm")</f>
        <v/>
      </c>
      <c r="T1095" s="25">
        <f>VLOOKUP(D1095,Customers!A:D,4,FALSE)</f>
        <v/>
      </c>
      <c r="U1095" s="25">
        <f>CONCATENATE(A1095,"-",G1095)</f>
        <v/>
      </c>
      <c r="V1095" s="25">
        <f>IF(N1095="","",IF(N1095&lt;=30,"Fast (&lt;30m)",IF(N1095&lt;=45,"Moderate (30-45m)","Delayed (&gt;45m)")))</f>
        <v/>
      </c>
      <c r="W1095" s="25">
        <f>IF(AND(I1095&gt;600,P1095="Delivered"),"High Value Delivered","Standard")</f>
        <v/>
      </c>
      <c r="X1095" s="25">
        <f>IF(OR(N1095&gt;50,Q1095&lt;=2),"High Risk / Delayed","Normal")</f>
        <v/>
      </c>
      <c r="Y1095" s="25">
        <f>IF(NOT(P1095="Cancelled"),"Fulfilled","Cancelled")</f>
        <v/>
      </c>
      <c r="Z1095" s="25">
        <f>IFERROR(Q1095,0)</f>
        <v/>
      </c>
    </row>
    <row r="1096">
      <c r="A1096" s="17" t="inlineStr">
        <is>
          <t>ORD2095</t>
        </is>
      </c>
      <c r="B1096" s="17" t="inlineStr">
        <is>
          <t>2025-11-22</t>
        </is>
      </c>
      <c r="C1096" s="17" t="inlineStr">
        <is>
          <t>20:01:11</t>
        </is>
      </c>
      <c r="D1096" s="17" t="n">
        <v>1101</v>
      </c>
      <c r="E1096" s="17" t="n">
        <v>111</v>
      </c>
      <c r="F1096" s="17" t="n">
        <v>218</v>
      </c>
      <c r="G1096" s="17" t="inlineStr">
        <is>
          <t>Bangalore</t>
        </is>
      </c>
      <c r="H1096" s="17" t="inlineStr">
        <is>
          <t>South Indian</t>
        </is>
      </c>
      <c r="I1096" s="22" t="n">
        <v>365</v>
      </c>
      <c r="J1096" s="22" t="n">
        <v>19.2</v>
      </c>
      <c r="K1096" s="22" t="n">
        <v>32.5</v>
      </c>
      <c r="L1096" s="23" t="n">
        <v>0.15</v>
      </c>
      <c r="M1096" s="22" t="n">
        <v>62.88</v>
      </c>
      <c r="N1096" s="24" t="n">
        <v>4.5</v>
      </c>
      <c r="O1096" s="24" t="n">
        <v>32.5</v>
      </c>
      <c r="P1096" s="17" t="inlineStr">
        <is>
          <t>Digital Wallet</t>
        </is>
      </c>
      <c r="Q1096" s="17" t="inlineStr">
        <is>
          <t>Delivered</t>
        </is>
      </c>
      <c r="R1096" s="17" t="n">
        <v>1</v>
      </c>
      <c r="S1096" s="17">
        <f>TEXT(B1096,"yyyy-mm")</f>
        <v/>
      </c>
      <c r="T1096" s="17">
        <f>VLOOKUP(D1096,Customers!A:D,4,FALSE)</f>
        <v/>
      </c>
      <c r="U1096" s="17">
        <f>CONCATENATE(A1096,"-",G1096)</f>
        <v/>
      </c>
      <c r="V1096" s="17">
        <f>IF(N1096="","",IF(N1096&lt;=30,"Fast (&lt;30m)",IF(N1096&lt;=45,"Moderate (30-45m)","Delayed (&gt;45m)")))</f>
        <v/>
      </c>
      <c r="W1096" s="17">
        <f>IF(AND(I1096&gt;600,P1096="Delivered"),"High Value Delivered","Standard")</f>
        <v/>
      </c>
      <c r="X1096" s="17">
        <f>IF(OR(N1096&gt;50,Q1096&lt;=2),"High Risk / Delayed","Normal")</f>
        <v/>
      </c>
      <c r="Y1096" s="17">
        <f>IF(NOT(P1096="Cancelled"),"Fulfilled","Cancelled")</f>
        <v/>
      </c>
      <c r="Z1096" s="17">
        <f>IFERROR(Q1096,0)</f>
        <v/>
      </c>
    </row>
    <row r="1097">
      <c r="A1097" s="25" t="inlineStr">
        <is>
          <t>ORD2096</t>
        </is>
      </c>
      <c r="B1097" s="25" t="inlineStr">
        <is>
          <t>2025-09-03</t>
        </is>
      </c>
      <c r="C1097" s="25" t="inlineStr">
        <is>
          <t>18:18:18</t>
        </is>
      </c>
      <c r="D1097" s="25" t="n">
        <v>1008</v>
      </c>
      <c r="E1097" s="25" t="n">
        <v>103</v>
      </c>
      <c r="F1097" s="25" t="n">
        <v>222</v>
      </c>
      <c r="G1097" s="25" t="inlineStr">
        <is>
          <t>Mumbai</t>
        </is>
      </c>
      <c r="H1097" s="25" t="inlineStr">
        <is>
          <t>Italian</t>
        </is>
      </c>
      <c r="I1097" s="26" t="n">
        <v>1028</v>
      </c>
      <c r="J1097" s="26" t="n">
        <v>201.39</v>
      </c>
      <c r="K1097" s="26" t="n">
        <v>0</v>
      </c>
      <c r="L1097" s="27" t="n">
        <v>0.18</v>
      </c>
      <c r="M1097" s="26" t="n">
        <v>185.04</v>
      </c>
      <c r="N1097" s="28" t="n">
        <v>7.9</v>
      </c>
      <c r="O1097" s="28" t="n">
        <v>39.3</v>
      </c>
      <c r="P1097" s="25" t="inlineStr">
        <is>
          <t>Debit Card</t>
        </is>
      </c>
      <c r="Q1097" s="25" t="inlineStr">
        <is>
          <t>Delivered</t>
        </is>
      </c>
      <c r="R1097" s="25" t="n">
        <v>4</v>
      </c>
      <c r="S1097" s="25">
        <f>TEXT(B1097,"yyyy-mm")</f>
        <v/>
      </c>
      <c r="T1097" s="25">
        <f>VLOOKUP(D1097,Customers!A:D,4,FALSE)</f>
        <v/>
      </c>
      <c r="U1097" s="25">
        <f>CONCATENATE(A1097,"-",G1097)</f>
        <v/>
      </c>
      <c r="V1097" s="25">
        <f>IF(N1097="","",IF(N1097&lt;=30,"Fast (&lt;30m)",IF(N1097&lt;=45,"Moderate (30-45m)","Delayed (&gt;45m)")))</f>
        <v/>
      </c>
      <c r="W1097" s="25">
        <f>IF(AND(I1097&gt;600,P1097="Delivered"),"High Value Delivered","Standard")</f>
        <v/>
      </c>
      <c r="X1097" s="25">
        <f>IF(OR(N1097&gt;50,Q1097&lt;=2),"High Risk / Delayed","Normal")</f>
        <v/>
      </c>
      <c r="Y1097" s="25">
        <f>IF(NOT(P1097="Cancelled"),"Fulfilled","Cancelled")</f>
        <v/>
      </c>
      <c r="Z1097" s="25">
        <f>IFERROR(Q1097,0)</f>
        <v/>
      </c>
    </row>
    <row r="1098">
      <c r="A1098" s="17" t="inlineStr">
        <is>
          <t>ORD2097</t>
        </is>
      </c>
      <c r="B1098" s="17" t="inlineStr">
        <is>
          <t>2025-08-26</t>
        </is>
      </c>
      <c r="C1098" s="17" t="inlineStr">
        <is>
          <t>20:26:52</t>
        </is>
      </c>
      <c r="D1098" s="17" t="n">
        <v>1294</v>
      </c>
      <c r="E1098" s="17" t="n">
        <v>112</v>
      </c>
      <c r="F1098" s="17" t="n">
        <v>221</v>
      </c>
      <c r="G1098" s="17" t="inlineStr">
        <is>
          <t>Delhi NCR</t>
        </is>
      </c>
      <c r="H1098" s="17" t="inlineStr">
        <is>
          <t>North Indian</t>
        </is>
      </c>
      <c r="I1098" s="22" t="n">
        <v>655</v>
      </c>
      <c r="J1098" s="22" t="n">
        <v>0</v>
      </c>
      <c r="K1098" s="22" t="n">
        <v>25</v>
      </c>
      <c r="L1098" s="23" t="n">
        <v>0.22</v>
      </c>
      <c r="M1098" s="22" t="n">
        <v>150.35</v>
      </c>
      <c r="N1098" s="24" t="n">
        <v>2.8</v>
      </c>
      <c r="O1098" s="24" t="n">
        <v>32.5</v>
      </c>
      <c r="P1098" s="17" t="inlineStr">
        <is>
          <t>UPI</t>
        </is>
      </c>
      <c r="Q1098" s="17" t="inlineStr">
        <is>
          <t>Delivered</t>
        </is>
      </c>
      <c r="R1098" s="17" t="n">
        <v>5</v>
      </c>
      <c r="S1098" s="17">
        <f>TEXT(B1098,"yyyy-mm")</f>
        <v/>
      </c>
      <c r="T1098" s="17">
        <f>VLOOKUP(D1098,Customers!A:D,4,FALSE)</f>
        <v/>
      </c>
      <c r="U1098" s="17">
        <f>CONCATENATE(A1098,"-",G1098)</f>
        <v/>
      </c>
      <c r="V1098" s="17">
        <f>IF(N1098="","",IF(N1098&lt;=30,"Fast (&lt;30m)",IF(N1098&lt;=45,"Moderate (30-45m)","Delayed (&gt;45m)")))</f>
        <v/>
      </c>
      <c r="W1098" s="17">
        <f>IF(AND(I1098&gt;600,P1098="Delivered"),"High Value Delivered","Standard")</f>
        <v/>
      </c>
      <c r="X1098" s="17">
        <f>IF(OR(N1098&gt;50,Q1098&lt;=2),"High Risk / Delayed","Normal")</f>
        <v/>
      </c>
      <c r="Y1098" s="17">
        <f>IF(NOT(P1098="Cancelled"),"Fulfilled","Cancelled")</f>
        <v/>
      </c>
      <c r="Z1098" s="17">
        <f>IFERROR(Q1098,0)</f>
        <v/>
      </c>
    </row>
    <row r="1099">
      <c r="A1099" s="25" t="inlineStr">
        <is>
          <t>ORD2098</t>
        </is>
      </c>
      <c r="B1099" s="25" t="inlineStr">
        <is>
          <t>2025-01-18</t>
        </is>
      </c>
      <c r="C1099" s="25" t="inlineStr">
        <is>
          <t>10:41:41</t>
        </is>
      </c>
      <c r="D1099" s="25" t="n">
        <v>1201</v>
      </c>
      <c r="E1099" s="25" t="n">
        <v>111</v>
      </c>
      <c r="F1099" s="25" t="n">
        <v>201</v>
      </c>
      <c r="G1099" s="25" t="inlineStr">
        <is>
          <t>Bangalore</t>
        </is>
      </c>
      <c r="H1099" s="25" t="inlineStr">
        <is>
          <t>South Indian</t>
        </is>
      </c>
      <c r="I1099" s="26" t="n">
        <v>892</v>
      </c>
      <c r="J1099" s="26" t="n">
        <v>83.31</v>
      </c>
      <c r="K1099" s="26" t="n">
        <v>42</v>
      </c>
      <c r="L1099" s="27" t="n">
        <v>0.15</v>
      </c>
      <c r="M1099" s="26" t="n">
        <v>144.3</v>
      </c>
      <c r="N1099" s="28" t="n">
        <v>6.4</v>
      </c>
      <c r="O1099" s="28" t="n">
        <v>39.3</v>
      </c>
      <c r="P1099" s="25" t="inlineStr">
        <is>
          <t>Debit Card</t>
        </is>
      </c>
      <c r="Q1099" s="25" t="inlineStr">
        <is>
          <t>Delivered</t>
        </is>
      </c>
      <c r="R1099" s="25" t="n">
        <v>3</v>
      </c>
      <c r="S1099" s="25">
        <f>TEXT(B1099,"yyyy-mm")</f>
        <v/>
      </c>
      <c r="T1099" s="25">
        <f>VLOOKUP(D1099,Customers!A:D,4,FALSE)</f>
        <v/>
      </c>
      <c r="U1099" s="25">
        <f>CONCATENATE(A1099,"-",G1099)</f>
        <v/>
      </c>
      <c r="V1099" s="25">
        <f>IF(N1099="","",IF(N1099&lt;=30,"Fast (&lt;30m)",IF(N1099&lt;=45,"Moderate (30-45m)","Delayed (&gt;45m)")))</f>
        <v/>
      </c>
      <c r="W1099" s="25">
        <f>IF(AND(I1099&gt;600,P1099="Delivered"),"High Value Delivered","Standard")</f>
        <v/>
      </c>
      <c r="X1099" s="25">
        <f>IF(OR(N1099&gt;50,Q1099&lt;=2),"High Risk / Delayed","Normal")</f>
        <v/>
      </c>
      <c r="Y1099" s="25">
        <f>IF(NOT(P1099="Cancelled"),"Fulfilled","Cancelled")</f>
        <v/>
      </c>
      <c r="Z1099" s="25">
        <f>IFERROR(Q1099,0)</f>
        <v/>
      </c>
    </row>
    <row r="1100">
      <c r="A1100" s="17" t="inlineStr">
        <is>
          <t>ORD2099</t>
        </is>
      </c>
      <c r="B1100" s="17" t="inlineStr">
        <is>
          <t>2025-08-23</t>
        </is>
      </c>
      <c r="C1100" s="17" t="inlineStr">
        <is>
          <t>22:17:00</t>
        </is>
      </c>
      <c r="D1100" s="17" t="n">
        <v>1021</v>
      </c>
      <c r="E1100" s="17" t="n">
        <v>110</v>
      </c>
      <c r="F1100" s="17" t="n">
        <v>214</v>
      </c>
      <c r="G1100" s="17" t="inlineStr">
        <is>
          <t>Pune</t>
        </is>
      </c>
      <c r="H1100" s="17" t="inlineStr">
        <is>
          <t>North Indian</t>
        </is>
      </c>
      <c r="I1100" s="22" t="n">
        <v>382</v>
      </c>
      <c r="J1100" s="22" t="n">
        <v>28.67</v>
      </c>
      <c r="K1100" s="22" t="n">
        <v>28.5</v>
      </c>
      <c r="L1100" s="23" t="n">
        <v>0.18</v>
      </c>
      <c r="M1100" s="22" t="n">
        <v>75.88</v>
      </c>
      <c r="N1100" s="24" t="n">
        <v>3.7</v>
      </c>
      <c r="O1100" s="24" t="n">
        <v>30.9</v>
      </c>
      <c r="P1100" s="17" t="inlineStr">
        <is>
          <t>Digital Wallet</t>
        </is>
      </c>
      <c r="Q1100" s="17" t="inlineStr">
        <is>
          <t>Delivered</t>
        </is>
      </c>
      <c r="R1100" s="17" t="n">
        <v>4</v>
      </c>
      <c r="S1100" s="17">
        <f>TEXT(B1100,"yyyy-mm")</f>
        <v/>
      </c>
      <c r="T1100" s="17">
        <f>VLOOKUP(D1100,Customers!A:D,4,FALSE)</f>
        <v/>
      </c>
      <c r="U1100" s="17">
        <f>CONCATENATE(A1100,"-",G1100)</f>
        <v/>
      </c>
      <c r="V1100" s="17">
        <f>IF(N1100="","",IF(N1100&lt;=30,"Fast (&lt;30m)",IF(N1100&lt;=45,"Moderate (30-45m)","Delayed (&gt;45m)")))</f>
        <v/>
      </c>
      <c r="W1100" s="17">
        <f>IF(AND(I1100&gt;600,P1100="Delivered"),"High Value Delivered","Standard")</f>
        <v/>
      </c>
      <c r="X1100" s="17">
        <f>IF(OR(N1100&gt;50,Q1100&lt;=2),"High Risk / Delayed","Normal")</f>
        <v/>
      </c>
      <c r="Y1100" s="17">
        <f>IF(NOT(P1100="Cancelled"),"Fulfilled","Cancelled")</f>
        <v/>
      </c>
      <c r="Z1100" s="17">
        <f>IFERROR(Q1100,0)</f>
        <v/>
      </c>
    </row>
    <row r="1101">
      <c r="A1101" s="25" t="inlineStr">
        <is>
          <t>ORD2100</t>
        </is>
      </c>
      <c r="B1101" s="25" t="inlineStr">
        <is>
          <t>2025-12-28</t>
        </is>
      </c>
      <c r="C1101" s="25" t="inlineStr">
        <is>
          <t>00:33:24</t>
        </is>
      </c>
      <c r="D1101" s="25" t="n">
        <v>1269</v>
      </c>
      <c r="E1101" s="25" t="n">
        <v>107</v>
      </c>
      <c r="F1101" s="25" t="n">
        <v>229</v>
      </c>
      <c r="G1101" s="25" t="inlineStr">
        <is>
          <t>Mumbai</t>
        </is>
      </c>
      <c r="H1101" s="25" t="inlineStr">
        <is>
          <t>Desserts</t>
        </is>
      </c>
      <c r="I1101" s="26" t="n">
        <v>745</v>
      </c>
      <c r="J1101" s="26" t="n">
        <v>0</v>
      </c>
      <c r="K1101" s="26" t="n">
        <v>34.5</v>
      </c>
      <c r="L1101" s="27" t="n">
        <v>0.25</v>
      </c>
      <c r="M1101" s="26" t="n">
        <v>194.88</v>
      </c>
      <c r="N1101" s="28" t="n">
        <v>4.9</v>
      </c>
      <c r="O1101" s="28" t="n">
        <v>36.2</v>
      </c>
      <c r="P1101" s="25" t="inlineStr">
        <is>
          <t>Debit Card</t>
        </is>
      </c>
      <c r="Q1101" s="25" t="inlineStr">
        <is>
          <t>Delivered</t>
        </is>
      </c>
      <c r="R1101" s="25" t="n">
        <v>4</v>
      </c>
      <c r="S1101" s="25">
        <f>TEXT(B1101,"yyyy-mm")</f>
        <v/>
      </c>
      <c r="T1101" s="25">
        <f>VLOOKUP(D1101,Customers!A:D,4,FALSE)</f>
        <v/>
      </c>
      <c r="U1101" s="25">
        <f>CONCATENATE(A1101,"-",G1101)</f>
        <v/>
      </c>
      <c r="V1101" s="25">
        <f>IF(N1101="","",IF(N1101&lt;=30,"Fast (&lt;30m)",IF(N1101&lt;=45,"Moderate (30-45m)","Delayed (&gt;45m)")))</f>
        <v/>
      </c>
      <c r="W1101" s="25">
        <f>IF(AND(I1101&gt;600,P1101="Delivered"),"High Value Delivered","Standard")</f>
        <v/>
      </c>
      <c r="X1101" s="25">
        <f>IF(OR(N1101&gt;50,Q1101&lt;=2),"High Risk / Delayed","Normal")</f>
        <v/>
      </c>
      <c r="Y1101" s="25">
        <f>IF(NOT(P1101="Cancelled"),"Fulfilled","Cancelled")</f>
        <v/>
      </c>
      <c r="Z1101" s="25">
        <f>IFERROR(Q1101,0)</f>
        <v/>
      </c>
    </row>
    <row r="1102">
      <c r="A1102" s="17" t="inlineStr">
        <is>
          <t>ORD2101</t>
        </is>
      </c>
      <c r="B1102" s="17" t="inlineStr">
        <is>
          <t>2025-05-23</t>
        </is>
      </c>
      <c r="C1102" s="17" t="inlineStr">
        <is>
          <t>09:50:48</t>
        </is>
      </c>
      <c r="D1102" s="17" t="n">
        <v>1044</v>
      </c>
      <c r="E1102" s="17" t="n">
        <v>102</v>
      </c>
      <c r="F1102" s="17" t="n">
        <v>225</v>
      </c>
      <c r="G1102" s="17" t="inlineStr">
        <is>
          <t>Hyderabad</t>
        </is>
      </c>
      <c r="H1102" s="17" t="inlineStr">
        <is>
          <t>Biryani</t>
        </is>
      </c>
      <c r="I1102" s="22" t="n">
        <v>1071</v>
      </c>
      <c r="J1102" s="22" t="n">
        <v>206</v>
      </c>
      <c r="K1102" s="22" t="n">
        <v>0</v>
      </c>
      <c r="L1102" s="23" t="n">
        <v>0.22</v>
      </c>
      <c r="M1102" s="22" t="n">
        <v>235.62</v>
      </c>
      <c r="N1102" s="24" t="n">
        <v>3.4</v>
      </c>
      <c r="O1102" s="24" t="n">
        <v>24.7</v>
      </c>
      <c r="P1102" s="17" t="inlineStr">
        <is>
          <t>Cash on Delivery</t>
        </is>
      </c>
      <c r="Q1102" s="17" t="inlineStr">
        <is>
          <t>Delivered</t>
        </is>
      </c>
      <c r="R1102" s="17" t="n">
        <v>4</v>
      </c>
      <c r="S1102" s="17">
        <f>TEXT(B1102,"yyyy-mm")</f>
        <v/>
      </c>
      <c r="T1102" s="17">
        <f>VLOOKUP(D1102,Customers!A:D,4,FALSE)</f>
        <v/>
      </c>
      <c r="U1102" s="17">
        <f>CONCATENATE(A1102,"-",G1102)</f>
        <v/>
      </c>
      <c r="V1102" s="17">
        <f>IF(N1102="","",IF(N1102&lt;=30,"Fast (&lt;30m)",IF(N1102&lt;=45,"Moderate (30-45m)","Delayed (&gt;45m)")))</f>
        <v/>
      </c>
      <c r="W1102" s="17">
        <f>IF(AND(I1102&gt;600,P1102="Delivered"),"High Value Delivered","Standard")</f>
        <v/>
      </c>
      <c r="X1102" s="17">
        <f>IF(OR(N1102&gt;50,Q1102&lt;=2),"High Risk / Delayed","Normal")</f>
        <v/>
      </c>
      <c r="Y1102" s="17">
        <f>IF(NOT(P1102="Cancelled"),"Fulfilled","Cancelled")</f>
        <v/>
      </c>
      <c r="Z1102" s="17">
        <f>IFERROR(Q1102,0)</f>
        <v/>
      </c>
    </row>
    <row r="1103">
      <c r="A1103" s="25" t="inlineStr">
        <is>
          <t>ORD2102</t>
        </is>
      </c>
      <c r="B1103" s="25" t="inlineStr">
        <is>
          <t>2025-10-22</t>
        </is>
      </c>
      <c r="C1103" s="25" t="inlineStr">
        <is>
          <t>21:45:59</t>
        </is>
      </c>
      <c r="D1103" s="25" t="n">
        <v>1025</v>
      </c>
      <c r="E1103" s="25" t="n">
        <v>120</v>
      </c>
      <c r="F1103" s="25" t="n">
        <v>214</v>
      </c>
      <c r="G1103" s="25" t="inlineStr">
        <is>
          <t>Pune</t>
        </is>
      </c>
      <c r="H1103" s="25" t="inlineStr">
        <is>
          <t>Fast Food</t>
        </is>
      </c>
      <c r="I1103" s="26" t="n">
        <v>739</v>
      </c>
      <c r="J1103" s="26" t="n">
        <v>31.06</v>
      </c>
      <c r="K1103" s="26" t="n">
        <v>29.5</v>
      </c>
      <c r="L1103" s="27" t="n">
        <v>0.18</v>
      </c>
      <c r="M1103" s="26" t="n">
        <v>140.39</v>
      </c>
      <c r="N1103" s="28" t="n">
        <v>3.9</v>
      </c>
      <c r="O1103" s="28" t="n">
        <v>87.5</v>
      </c>
      <c r="P1103" s="25" t="inlineStr">
        <is>
          <t>Digital Wallet</t>
        </is>
      </c>
      <c r="Q1103" s="25" t="inlineStr">
        <is>
          <t>Delivered</t>
        </is>
      </c>
      <c r="R1103" s="25" t="n">
        <v>1</v>
      </c>
      <c r="S1103" s="25">
        <f>TEXT(B1103,"yyyy-mm")</f>
        <v/>
      </c>
      <c r="T1103" s="25">
        <f>VLOOKUP(D1103,Customers!A:D,4,FALSE)</f>
        <v/>
      </c>
      <c r="U1103" s="25">
        <f>CONCATENATE(A1103,"-",G1103)</f>
        <v/>
      </c>
      <c r="V1103" s="25">
        <f>IF(N1103="","",IF(N1103&lt;=30,"Fast (&lt;30m)",IF(N1103&lt;=45,"Moderate (30-45m)","Delayed (&gt;45m)")))</f>
        <v/>
      </c>
      <c r="W1103" s="25">
        <f>IF(AND(I1103&gt;600,P1103="Delivered"),"High Value Delivered","Standard")</f>
        <v/>
      </c>
      <c r="X1103" s="25">
        <f>IF(OR(N1103&gt;50,Q1103&lt;=2),"High Risk / Delayed","Normal")</f>
        <v/>
      </c>
      <c r="Y1103" s="25">
        <f>IF(NOT(P1103="Cancelled"),"Fulfilled","Cancelled")</f>
        <v/>
      </c>
      <c r="Z1103" s="25">
        <f>IFERROR(Q1103,0)</f>
        <v/>
      </c>
    </row>
    <row r="1104">
      <c r="A1104" s="17" t="inlineStr">
        <is>
          <t>ORD2103</t>
        </is>
      </c>
      <c r="B1104" s="17" t="inlineStr">
        <is>
          <t>2025-01-24</t>
        </is>
      </c>
      <c r="C1104" s="17" t="inlineStr">
        <is>
          <t>14:01:54</t>
        </is>
      </c>
      <c r="D1104" s="17" t="n">
        <v>1247</v>
      </c>
      <c r="E1104" s="17" t="n">
        <v>115</v>
      </c>
      <c r="F1104" s="17" t="n">
        <v>201</v>
      </c>
      <c r="G1104" s="17" t="inlineStr">
        <is>
          <t>Bangalore</t>
        </is>
      </c>
      <c r="H1104" s="17" t="inlineStr">
        <is>
          <t>Italian</t>
        </is>
      </c>
      <c r="I1104" s="22" t="n">
        <v>382</v>
      </c>
      <c r="J1104" s="22" t="n">
        <v>0</v>
      </c>
      <c r="K1104" s="22" t="n">
        <v>89.5</v>
      </c>
      <c r="L1104" s="23" t="n">
        <v>0.2</v>
      </c>
      <c r="M1104" s="22" t="n">
        <v>98.78</v>
      </c>
      <c r="N1104" s="24" t="n">
        <v>15.9</v>
      </c>
      <c r="O1104" s="24" t="n">
        <v>88.59999999999999</v>
      </c>
      <c r="P1104" s="17" t="inlineStr">
        <is>
          <t>Cash on Delivery</t>
        </is>
      </c>
      <c r="Q1104" s="17" t="inlineStr">
        <is>
          <t>Delivered</t>
        </is>
      </c>
      <c r="R1104" s="17" t="n">
        <v>2</v>
      </c>
      <c r="S1104" s="17">
        <f>TEXT(B1104,"yyyy-mm")</f>
        <v/>
      </c>
      <c r="T1104" s="17">
        <f>VLOOKUP(D1104,Customers!A:D,4,FALSE)</f>
        <v/>
      </c>
      <c r="U1104" s="17">
        <f>CONCATENATE(A1104,"-",G1104)</f>
        <v/>
      </c>
      <c r="V1104" s="17">
        <f>IF(N1104="","",IF(N1104&lt;=30,"Fast (&lt;30m)",IF(N1104&lt;=45,"Moderate (30-45m)","Delayed (&gt;45m)")))</f>
        <v/>
      </c>
      <c r="W1104" s="17">
        <f>IF(AND(I1104&gt;600,P1104="Delivered"),"High Value Delivered","Standard")</f>
        <v/>
      </c>
      <c r="X1104" s="17">
        <f>IF(OR(N1104&gt;50,Q1104&lt;=2),"High Risk / Delayed","Normal")</f>
        <v/>
      </c>
      <c r="Y1104" s="17">
        <f>IF(NOT(P1104="Cancelled"),"Fulfilled","Cancelled")</f>
        <v/>
      </c>
      <c r="Z1104" s="17">
        <f>IFERROR(Q1104,0)</f>
        <v/>
      </c>
    </row>
    <row r="1105">
      <c r="A1105" s="25" t="inlineStr">
        <is>
          <t>ORD2104</t>
        </is>
      </c>
      <c r="B1105" s="25" t="inlineStr">
        <is>
          <t>2025-05-02</t>
        </is>
      </c>
      <c r="C1105" s="25" t="inlineStr">
        <is>
          <t>20:06:57</t>
        </is>
      </c>
      <c r="D1105" s="25" t="n">
        <v>1067</v>
      </c>
      <c r="E1105" s="25" t="n">
        <v>110</v>
      </c>
      <c r="F1105" s="25" t="n">
        <v>204</v>
      </c>
      <c r="G1105" s="25" t="inlineStr">
        <is>
          <t>Pune</t>
        </is>
      </c>
      <c r="H1105" s="25" t="inlineStr">
        <is>
          <t>North Indian</t>
        </is>
      </c>
      <c r="I1105" s="26" t="n">
        <v>398</v>
      </c>
      <c r="J1105" s="26" t="n">
        <v>12.23</v>
      </c>
      <c r="K1105" s="26" t="n">
        <v>25</v>
      </c>
      <c r="L1105" s="27" t="n">
        <v>0.18</v>
      </c>
      <c r="M1105" s="26" t="n">
        <v>77.89</v>
      </c>
      <c r="N1105" s="28" t="n">
        <v>2.2</v>
      </c>
      <c r="O1105" s="28" t="n">
        <v>37.1</v>
      </c>
      <c r="P1105" s="25" t="inlineStr">
        <is>
          <t>UPI</t>
        </is>
      </c>
      <c r="Q1105" s="25" t="inlineStr">
        <is>
          <t>Delivered</t>
        </is>
      </c>
      <c r="R1105" s="25" t="n">
        <v>5</v>
      </c>
      <c r="S1105" s="25">
        <f>TEXT(B1105,"yyyy-mm")</f>
        <v/>
      </c>
      <c r="T1105" s="25">
        <f>VLOOKUP(D1105,Customers!A:D,4,FALSE)</f>
        <v/>
      </c>
      <c r="U1105" s="25">
        <f>CONCATENATE(A1105,"-",G1105)</f>
        <v/>
      </c>
      <c r="V1105" s="25">
        <f>IF(N1105="","",IF(N1105&lt;=30,"Fast (&lt;30m)",IF(N1105&lt;=45,"Moderate (30-45m)","Delayed (&gt;45m)")))</f>
        <v/>
      </c>
      <c r="W1105" s="25">
        <f>IF(AND(I1105&gt;600,P1105="Delivered"),"High Value Delivered","Standard")</f>
        <v/>
      </c>
      <c r="X1105" s="25">
        <f>IF(OR(N1105&gt;50,Q1105&lt;=2),"High Risk / Delayed","Normal")</f>
        <v/>
      </c>
      <c r="Y1105" s="25">
        <f>IF(NOT(P1105="Cancelled"),"Fulfilled","Cancelled")</f>
        <v/>
      </c>
      <c r="Z1105" s="25">
        <f>IFERROR(Q1105,0)</f>
        <v/>
      </c>
    </row>
    <row r="1106">
      <c r="A1106" s="17" t="inlineStr">
        <is>
          <t>ORD2105</t>
        </is>
      </c>
      <c r="B1106" s="17" t="inlineStr">
        <is>
          <t>2025-02-28</t>
        </is>
      </c>
      <c r="C1106" s="17" t="inlineStr">
        <is>
          <t>12:02:54</t>
        </is>
      </c>
      <c r="D1106" s="17" t="n">
        <v>1197</v>
      </c>
      <c r="E1106" s="17" t="n">
        <v>103</v>
      </c>
      <c r="F1106" s="17" t="n">
        <v>229</v>
      </c>
      <c r="G1106" s="17" t="inlineStr">
        <is>
          <t>Mumbai</t>
        </is>
      </c>
      <c r="H1106" s="17" t="inlineStr">
        <is>
          <t>Italian</t>
        </is>
      </c>
      <c r="I1106" s="22" t="n">
        <v>294</v>
      </c>
      <c r="J1106" s="22" t="n">
        <v>23.79</v>
      </c>
      <c r="K1106" s="22" t="n">
        <v>28</v>
      </c>
      <c r="L1106" s="23" t="n">
        <v>0.18</v>
      </c>
      <c r="M1106" s="22" t="n">
        <v>59.92</v>
      </c>
      <c r="N1106" s="24" t="n">
        <v>3.6</v>
      </c>
      <c r="O1106" s="24" t="n">
        <v>34.9</v>
      </c>
      <c r="P1106" s="17" t="inlineStr">
        <is>
          <t>UPI</t>
        </is>
      </c>
      <c r="Q1106" s="17" t="inlineStr">
        <is>
          <t>Delivered</t>
        </is>
      </c>
      <c r="R1106" s="17" t="n">
        <v>5</v>
      </c>
      <c r="S1106" s="17">
        <f>TEXT(B1106,"yyyy-mm")</f>
        <v/>
      </c>
      <c r="T1106" s="17">
        <f>VLOOKUP(D1106,Customers!A:D,4,FALSE)</f>
        <v/>
      </c>
      <c r="U1106" s="17">
        <f>CONCATENATE(A1106,"-",G1106)</f>
        <v/>
      </c>
      <c r="V1106" s="17">
        <f>IF(N1106="","",IF(N1106&lt;=30,"Fast (&lt;30m)",IF(N1106&lt;=45,"Moderate (30-45m)","Delayed (&gt;45m)")))</f>
        <v/>
      </c>
      <c r="W1106" s="17">
        <f>IF(AND(I1106&gt;600,P1106="Delivered"),"High Value Delivered","Standard")</f>
        <v/>
      </c>
      <c r="X1106" s="17">
        <f>IF(OR(N1106&gt;50,Q1106&lt;=2),"High Risk / Delayed","Normal")</f>
        <v/>
      </c>
      <c r="Y1106" s="17">
        <f>IF(NOT(P1106="Cancelled"),"Fulfilled","Cancelled")</f>
        <v/>
      </c>
      <c r="Z1106" s="17">
        <f>IFERROR(Q1106,0)</f>
        <v/>
      </c>
    </row>
    <row r="1107">
      <c r="A1107" s="25" t="inlineStr">
        <is>
          <t>ORD2106</t>
        </is>
      </c>
      <c r="B1107" s="25" t="inlineStr">
        <is>
          <t>2025-02-25</t>
        </is>
      </c>
      <c r="C1107" s="25" t="inlineStr">
        <is>
          <t>20:44:28</t>
        </is>
      </c>
      <c r="D1107" s="25" t="n">
        <v>1295</v>
      </c>
      <c r="E1107" s="25" t="n">
        <v>108</v>
      </c>
      <c r="F1107" s="25" t="n">
        <v>221</v>
      </c>
      <c r="G1107" s="25" t="inlineStr">
        <is>
          <t>Delhi NCR</t>
        </is>
      </c>
      <c r="H1107" s="25" t="inlineStr">
        <is>
          <t>Fast Food</t>
        </is>
      </c>
      <c r="I1107" s="26" t="n">
        <v>606</v>
      </c>
      <c r="J1107" s="26" t="n">
        <v>0</v>
      </c>
      <c r="K1107" s="26" t="n">
        <v>37.5</v>
      </c>
      <c r="L1107" s="27" t="n">
        <v>0.18</v>
      </c>
      <c r="M1107" s="26" t="n">
        <v>118.46</v>
      </c>
      <c r="N1107" s="28" t="n">
        <v>5.5</v>
      </c>
      <c r="O1107" s="28" t="n">
        <v>51.3</v>
      </c>
      <c r="P1107" s="25" t="inlineStr">
        <is>
          <t>Digital Wallet</t>
        </is>
      </c>
      <c r="Q1107" s="25" t="inlineStr">
        <is>
          <t>Delivered</t>
        </is>
      </c>
      <c r="R1107" s="25" t="n">
        <v>1</v>
      </c>
      <c r="S1107" s="25">
        <f>TEXT(B1107,"yyyy-mm")</f>
        <v/>
      </c>
      <c r="T1107" s="25">
        <f>VLOOKUP(D1107,Customers!A:D,4,FALSE)</f>
        <v/>
      </c>
      <c r="U1107" s="25">
        <f>CONCATENATE(A1107,"-",G1107)</f>
        <v/>
      </c>
      <c r="V1107" s="25">
        <f>IF(N1107="","",IF(N1107&lt;=30,"Fast (&lt;30m)",IF(N1107&lt;=45,"Moderate (30-45m)","Delayed (&gt;45m)")))</f>
        <v/>
      </c>
      <c r="W1107" s="25">
        <f>IF(AND(I1107&gt;600,P1107="Delivered"),"High Value Delivered","Standard")</f>
        <v/>
      </c>
      <c r="X1107" s="25">
        <f>IF(OR(N1107&gt;50,Q1107&lt;=2),"High Risk / Delayed","Normal")</f>
        <v/>
      </c>
      <c r="Y1107" s="25">
        <f>IF(NOT(P1107="Cancelled"),"Fulfilled","Cancelled")</f>
        <v/>
      </c>
      <c r="Z1107" s="25">
        <f>IFERROR(Q1107,0)</f>
        <v/>
      </c>
    </row>
    <row r="1108">
      <c r="A1108" s="17" t="inlineStr">
        <is>
          <t>ORD2107</t>
        </is>
      </c>
      <c r="B1108" s="17" t="inlineStr">
        <is>
          <t>2025-05-10</t>
        </is>
      </c>
      <c r="C1108" s="17" t="inlineStr">
        <is>
          <t>17:31:28</t>
        </is>
      </c>
      <c r="D1108" s="17" t="n">
        <v>1098</v>
      </c>
      <c r="E1108" s="17" t="n">
        <v>112</v>
      </c>
      <c r="F1108" s="17" t="n">
        <v>219</v>
      </c>
      <c r="G1108" s="17" t="inlineStr">
        <is>
          <t>Delhi NCR</t>
        </is>
      </c>
      <c r="H1108" s="17" t="inlineStr">
        <is>
          <t>North Indian</t>
        </is>
      </c>
      <c r="I1108" s="22" t="n">
        <v>915</v>
      </c>
      <c r="J1108" s="22" t="n">
        <v>0</v>
      </c>
      <c r="K1108" s="22" t="n">
        <v>37</v>
      </c>
      <c r="L1108" s="23" t="n">
        <v>0.22</v>
      </c>
      <c r="M1108" s="22" t="n">
        <v>210.55</v>
      </c>
      <c r="N1108" s="24" t="n">
        <v>5.4</v>
      </c>
      <c r="O1108" s="24" t="n">
        <v>32.3</v>
      </c>
      <c r="P1108" s="17" t="inlineStr">
        <is>
          <t>Credit Card</t>
        </is>
      </c>
      <c r="Q1108" s="17" t="inlineStr">
        <is>
          <t>Delivered</t>
        </is>
      </c>
      <c r="R1108" s="17" t="n">
        <v>5</v>
      </c>
      <c r="S1108" s="17">
        <f>TEXT(B1108,"yyyy-mm")</f>
        <v/>
      </c>
      <c r="T1108" s="17">
        <f>VLOOKUP(D1108,Customers!A:D,4,FALSE)</f>
        <v/>
      </c>
      <c r="U1108" s="17">
        <f>CONCATENATE(A1108,"-",G1108)</f>
        <v/>
      </c>
      <c r="V1108" s="17">
        <f>IF(N1108="","",IF(N1108&lt;=30,"Fast (&lt;30m)",IF(N1108&lt;=45,"Moderate (30-45m)","Delayed (&gt;45m)")))</f>
        <v/>
      </c>
      <c r="W1108" s="17">
        <f>IF(AND(I1108&gt;600,P1108="Delivered"),"High Value Delivered","Standard")</f>
        <v/>
      </c>
      <c r="X1108" s="17">
        <f>IF(OR(N1108&gt;50,Q1108&lt;=2),"High Risk / Delayed","Normal")</f>
        <v/>
      </c>
      <c r="Y1108" s="17">
        <f>IF(NOT(P1108="Cancelled"),"Fulfilled","Cancelled")</f>
        <v/>
      </c>
      <c r="Z1108" s="17">
        <f>IFERROR(Q1108,0)</f>
        <v/>
      </c>
    </row>
    <row r="1109">
      <c r="A1109" s="25" t="inlineStr">
        <is>
          <t>ORD2108</t>
        </is>
      </c>
      <c r="B1109" s="25" t="inlineStr">
        <is>
          <t>2025-10-26</t>
        </is>
      </c>
      <c r="C1109" s="25" t="inlineStr">
        <is>
          <t>10:01:40</t>
        </is>
      </c>
      <c r="D1109" s="25" t="n">
        <v>1058</v>
      </c>
      <c r="E1109" s="25" t="n">
        <v>107</v>
      </c>
      <c r="F1109" s="25" t="n">
        <v>222</v>
      </c>
      <c r="G1109" s="25" t="inlineStr">
        <is>
          <t>Mumbai</t>
        </is>
      </c>
      <c r="H1109" s="25" t="inlineStr">
        <is>
          <t>Desserts</t>
        </is>
      </c>
      <c r="I1109" s="26" t="n">
        <v>904</v>
      </c>
      <c r="J1109" s="26" t="n">
        <v>0</v>
      </c>
      <c r="K1109" s="26" t="n">
        <v>25</v>
      </c>
      <c r="L1109" s="27" t="n">
        <v>0.25</v>
      </c>
      <c r="M1109" s="26" t="n">
        <v>232.25</v>
      </c>
      <c r="N1109" s="28" t="n">
        <v>2.6</v>
      </c>
      <c r="O1109" s="28" t="n">
        <v>20.1</v>
      </c>
      <c r="P1109" s="25" t="inlineStr">
        <is>
          <t>Credit Card</t>
        </is>
      </c>
      <c r="Q1109" s="25" t="inlineStr">
        <is>
          <t>Delivered</t>
        </is>
      </c>
      <c r="R1109" s="25" t="n">
        <v>5</v>
      </c>
      <c r="S1109" s="25">
        <f>TEXT(B1109,"yyyy-mm")</f>
        <v/>
      </c>
      <c r="T1109" s="25">
        <f>VLOOKUP(D1109,Customers!A:D,4,FALSE)</f>
        <v/>
      </c>
      <c r="U1109" s="25">
        <f>CONCATENATE(A1109,"-",G1109)</f>
        <v/>
      </c>
      <c r="V1109" s="25">
        <f>IF(N1109="","",IF(N1109&lt;=30,"Fast (&lt;30m)",IF(N1109&lt;=45,"Moderate (30-45m)","Delayed (&gt;45m)")))</f>
        <v/>
      </c>
      <c r="W1109" s="25">
        <f>IF(AND(I1109&gt;600,P1109="Delivered"),"High Value Delivered","Standard")</f>
        <v/>
      </c>
      <c r="X1109" s="25">
        <f>IF(OR(N1109&gt;50,Q1109&lt;=2),"High Risk / Delayed","Normal")</f>
        <v/>
      </c>
      <c r="Y1109" s="25">
        <f>IF(NOT(P1109="Cancelled"),"Fulfilled","Cancelled")</f>
        <v/>
      </c>
      <c r="Z1109" s="25">
        <f>IFERROR(Q1109,0)</f>
        <v/>
      </c>
    </row>
    <row r="1110">
      <c r="A1110" s="17" t="inlineStr">
        <is>
          <t>ORD2109</t>
        </is>
      </c>
      <c r="B1110" s="17" t="inlineStr">
        <is>
          <t>2025-07-28</t>
        </is>
      </c>
      <c r="C1110" s="17" t="inlineStr">
        <is>
          <t>17:36:34</t>
        </is>
      </c>
      <c r="D1110" s="17" t="n">
        <v>1076</v>
      </c>
      <c r="E1110" s="17" t="n">
        <v>118</v>
      </c>
      <c r="F1110" s="17" t="n">
        <v>212</v>
      </c>
      <c r="G1110" s="17" t="inlineStr">
        <is>
          <t>Delhi NCR</t>
        </is>
      </c>
      <c r="H1110" s="17" t="inlineStr">
        <is>
          <t>North Indian</t>
        </is>
      </c>
      <c r="I1110" s="22" t="n">
        <v>293</v>
      </c>
      <c r="J1110" s="22" t="n">
        <v>21.64</v>
      </c>
      <c r="K1110" s="22" t="n">
        <v>59.5</v>
      </c>
      <c r="L1110" s="23" t="n">
        <v>0.2</v>
      </c>
      <c r="M1110" s="22" t="n">
        <v>73.47</v>
      </c>
      <c r="N1110" s="24" t="n">
        <v>9.9</v>
      </c>
      <c r="O1110" s="24" t="n">
        <v/>
      </c>
      <c r="P1110" s="17" t="inlineStr">
        <is>
          <t>Digital Wallet</t>
        </is>
      </c>
      <c r="Q1110" s="17" t="inlineStr">
        <is>
          <t>Cancelled</t>
        </is>
      </c>
      <c r="R1110" s="17" t="n">
        <v/>
      </c>
      <c r="S1110" s="17">
        <f>TEXT(B1110,"yyyy-mm")</f>
        <v/>
      </c>
      <c r="T1110" s="17">
        <f>VLOOKUP(D1110,Customers!A:D,4,FALSE)</f>
        <v/>
      </c>
      <c r="U1110" s="17">
        <f>CONCATENATE(A1110,"-",G1110)</f>
        <v/>
      </c>
      <c r="V1110" s="17">
        <f>IF(N1110="","",IF(N1110&lt;=30,"Fast (&lt;30m)",IF(N1110&lt;=45,"Moderate (30-45m)","Delayed (&gt;45m)")))</f>
        <v/>
      </c>
      <c r="W1110" s="17">
        <f>IF(AND(I1110&gt;600,P1110="Delivered"),"High Value Delivered","Standard")</f>
        <v/>
      </c>
      <c r="X1110" s="17">
        <f>IF(OR(N1110&gt;50,Q1110&lt;=2),"High Risk / Delayed","Normal")</f>
        <v/>
      </c>
      <c r="Y1110" s="17">
        <f>IF(NOT(P1110="Cancelled"),"Fulfilled","Cancelled")</f>
        <v/>
      </c>
      <c r="Z1110" s="17">
        <f>IFERROR(Q1110,0)</f>
        <v/>
      </c>
    </row>
    <row r="1111">
      <c r="A1111" s="25" t="inlineStr">
        <is>
          <t>ORD2110</t>
        </is>
      </c>
      <c r="B1111" s="25" t="inlineStr">
        <is>
          <t>2025-10-20</t>
        </is>
      </c>
      <c r="C1111" s="25" t="inlineStr">
        <is>
          <t>12:52:30</t>
        </is>
      </c>
      <c r="D1111" s="25" t="n">
        <v>1037</v>
      </c>
      <c r="E1111" s="25" t="n">
        <v>115</v>
      </c>
      <c r="F1111" s="25" t="n">
        <v>227</v>
      </c>
      <c r="G1111" s="25" t="inlineStr">
        <is>
          <t>Bangalore</t>
        </is>
      </c>
      <c r="H1111" s="25" t="inlineStr">
        <is>
          <t>Italian</t>
        </is>
      </c>
      <c r="I1111" s="26" t="n">
        <v>732</v>
      </c>
      <c r="J1111" s="26" t="n">
        <v>0</v>
      </c>
      <c r="K1111" s="26" t="n">
        <v>25</v>
      </c>
      <c r="L1111" s="27" t="n">
        <v>0.2</v>
      </c>
      <c r="M1111" s="26" t="n">
        <v>152.65</v>
      </c>
      <c r="N1111" s="28" t="n">
        <v>1.8</v>
      </c>
      <c r="O1111" s="28" t="n">
        <v>26.2</v>
      </c>
      <c r="P1111" s="25" t="inlineStr">
        <is>
          <t>Digital Wallet</t>
        </is>
      </c>
      <c r="Q1111" s="25" t="inlineStr">
        <is>
          <t>Delivered</t>
        </is>
      </c>
      <c r="R1111" s="25" t="n">
        <v>4</v>
      </c>
      <c r="S1111" s="25">
        <f>TEXT(B1111,"yyyy-mm")</f>
        <v/>
      </c>
      <c r="T1111" s="25">
        <f>VLOOKUP(D1111,Customers!A:D,4,FALSE)</f>
        <v/>
      </c>
      <c r="U1111" s="25">
        <f>CONCATENATE(A1111,"-",G1111)</f>
        <v/>
      </c>
      <c r="V1111" s="25">
        <f>IF(N1111="","",IF(N1111&lt;=30,"Fast (&lt;30m)",IF(N1111&lt;=45,"Moderate (30-45m)","Delayed (&gt;45m)")))</f>
        <v/>
      </c>
      <c r="W1111" s="25">
        <f>IF(AND(I1111&gt;600,P1111="Delivered"),"High Value Delivered","Standard")</f>
        <v/>
      </c>
      <c r="X1111" s="25">
        <f>IF(OR(N1111&gt;50,Q1111&lt;=2),"High Risk / Delayed","Normal")</f>
        <v/>
      </c>
      <c r="Y1111" s="25">
        <f>IF(NOT(P1111="Cancelled"),"Fulfilled","Cancelled")</f>
        <v/>
      </c>
      <c r="Z1111" s="25">
        <f>IFERROR(Q1111,0)</f>
        <v/>
      </c>
    </row>
    <row r="1112">
      <c r="A1112" s="17" t="inlineStr">
        <is>
          <t>ORD2111</t>
        </is>
      </c>
      <c r="B1112" s="17" t="inlineStr">
        <is>
          <t>2025-08-13</t>
        </is>
      </c>
      <c r="C1112" s="17" t="inlineStr">
        <is>
          <t>09:27:40</t>
        </is>
      </c>
      <c r="D1112" s="17" t="n">
        <v>1221</v>
      </c>
      <c r="E1112" s="17" t="n">
        <v>114</v>
      </c>
      <c r="F1112" s="17" t="n">
        <v>225</v>
      </c>
      <c r="G1112" s="17" t="inlineStr">
        <is>
          <t>Hyderabad</t>
        </is>
      </c>
      <c r="H1112" s="17" t="inlineStr">
        <is>
          <t>Biryani</t>
        </is>
      </c>
      <c r="I1112" s="22" t="n">
        <v>605</v>
      </c>
      <c r="J1112" s="22" t="n">
        <v>67.26000000000001</v>
      </c>
      <c r="K1112" s="22" t="n">
        <v>50</v>
      </c>
      <c r="L1112" s="23" t="n">
        <v>0.22</v>
      </c>
      <c r="M1112" s="22" t="n">
        <v>145.6</v>
      </c>
      <c r="N1112" s="24" t="n">
        <v>8</v>
      </c>
      <c r="O1112" s="24" t="n">
        <v>45.9</v>
      </c>
      <c r="P1112" s="17" t="inlineStr">
        <is>
          <t>Credit Card</t>
        </is>
      </c>
      <c r="Q1112" s="17" t="inlineStr">
        <is>
          <t>Delivered</t>
        </is>
      </c>
      <c r="R1112" s="17" t="n">
        <v>2</v>
      </c>
      <c r="S1112" s="17">
        <f>TEXT(B1112,"yyyy-mm")</f>
        <v/>
      </c>
      <c r="T1112" s="17">
        <f>VLOOKUP(D1112,Customers!A:D,4,FALSE)</f>
        <v/>
      </c>
      <c r="U1112" s="17">
        <f>CONCATENATE(A1112,"-",G1112)</f>
        <v/>
      </c>
      <c r="V1112" s="17">
        <f>IF(N1112="","",IF(N1112&lt;=30,"Fast (&lt;30m)",IF(N1112&lt;=45,"Moderate (30-45m)","Delayed (&gt;45m)")))</f>
        <v/>
      </c>
      <c r="W1112" s="17">
        <f>IF(AND(I1112&gt;600,P1112="Delivered"),"High Value Delivered","Standard")</f>
        <v/>
      </c>
      <c r="X1112" s="17">
        <f>IF(OR(N1112&gt;50,Q1112&lt;=2),"High Risk / Delayed","Normal")</f>
        <v/>
      </c>
      <c r="Y1112" s="17">
        <f>IF(NOT(P1112="Cancelled"),"Fulfilled","Cancelled")</f>
        <v/>
      </c>
      <c r="Z1112" s="17">
        <f>IFERROR(Q1112,0)</f>
        <v/>
      </c>
    </row>
    <row r="1113">
      <c r="A1113" s="25" t="inlineStr">
        <is>
          <t>ORD2112</t>
        </is>
      </c>
      <c r="B1113" s="25" t="inlineStr">
        <is>
          <t>2025-09-13</t>
        </is>
      </c>
      <c r="C1113" s="25" t="inlineStr">
        <is>
          <t>22:14:03</t>
        </is>
      </c>
      <c r="D1113" s="25" t="n">
        <v>1128</v>
      </c>
      <c r="E1113" s="25" t="n">
        <v>114</v>
      </c>
      <c r="F1113" s="25" t="n">
        <v>215</v>
      </c>
      <c r="G1113" s="25" t="inlineStr">
        <is>
          <t>Hyderabad</t>
        </is>
      </c>
      <c r="H1113" s="25" t="inlineStr">
        <is>
          <t>Biryani</t>
        </is>
      </c>
      <c r="I1113" s="26" t="n">
        <v>1073</v>
      </c>
      <c r="J1113" s="26" t="n">
        <v>142.81</v>
      </c>
      <c r="K1113" s="26" t="n">
        <v>0</v>
      </c>
      <c r="L1113" s="27" t="n">
        <v>0.22</v>
      </c>
      <c r="M1113" s="26" t="n">
        <v>236.06</v>
      </c>
      <c r="N1113" s="28" t="n">
        <v>5.5</v>
      </c>
      <c r="O1113" s="28" t="n">
        <v>30.2</v>
      </c>
      <c r="P1113" s="25" t="inlineStr">
        <is>
          <t>Debit Card</t>
        </is>
      </c>
      <c r="Q1113" s="25" t="inlineStr">
        <is>
          <t>Delivered</t>
        </is>
      </c>
      <c r="R1113" s="25" t="n">
        <v>2</v>
      </c>
      <c r="S1113" s="25">
        <f>TEXT(B1113,"yyyy-mm")</f>
        <v/>
      </c>
      <c r="T1113" s="25">
        <f>VLOOKUP(D1113,Customers!A:D,4,FALSE)</f>
        <v/>
      </c>
      <c r="U1113" s="25">
        <f>CONCATENATE(A1113,"-",G1113)</f>
        <v/>
      </c>
      <c r="V1113" s="25">
        <f>IF(N1113="","",IF(N1113&lt;=30,"Fast (&lt;30m)",IF(N1113&lt;=45,"Moderate (30-45m)","Delayed (&gt;45m)")))</f>
        <v/>
      </c>
      <c r="W1113" s="25">
        <f>IF(AND(I1113&gt;600,P1113="Delivered"),"High Value Delivered","Standard")</f>
        <v/>
      </c>
      <c r="X1113" s="25">
        <f>IF(OR(N1113&gt;50,Q1113&lt;=2),"High Risk / Delayed","Normal")</f>
        <v/>
      </c>
      <c r="Y1113" s="25">
        <f>IF(NOT(P1113="Cancelled"),"Fulfilled","Cancelled")</f>
        <v/>
      </c>
      <c r="Z1113" s="25">
        <f>IFERROR(Q1113,0)</f>
        <v/>
      </c>
    </row>
    <row r="1114">
      <c r="A1114" s="17" t="inlineStr">
        <is>
          <t>ORD2113</t>
        </is>
      </c>
      <c r="B1114" s="17" t="inlineStr">
        <is>
          <t>2025-02-04</t>
        </is>
      </c>
      <c r="C1114" s="17" t="inlineStr">
        <is>
          <t>16:55:55</t>
        </is>
      </c>
      <c r="D1114" s="17" t="n">
        <v>1124</v>
      </c>
      <c r="E1114" s="17" t="n">
        <v>112</v>
      </c>
      <c r="F1114" s="17" t="n">
        <v>219</v>
      </c>
      <c r="G1114" s="17" t="inlineStr">
        <is>
          <t>Delhi NCR</t>
        </is>
      </c>
      <c r="H1114" s="17" t="inlineStr">
        <is>
          <t>North Indian</t>
        </is>
      </c>
      <c r="I1114" s="22" t="n">
        <v>381</v>
      </c>
      <c r="J1114" s="22" t="n">
        <v>2.28</v>
      </c>
      <c r="K1114" s="22" t="n">
        <v>28</v>
      </c>
      <c r="L1114" s="23" t="n">
        <v>0.22</v>
      </c>
      <c r="M1114" s="22" t="n">
        <v>90.81999999999999</v>
      </c>
      <c r="N1114" s="24" t="n">
        <v>3.6</v>
      </c>
      <c r="O1114" s="24" t="n">
        <v/>
      </c>
      <c r="P1114" s="17" t="inlineStr">
        <is>
          <t>Digital Wallet</t>
        </is>
      </c>
      <c r="Q1114" s="17" t="inlineStr">
        <is>
          <t>Cancelled</t>
        </is>
      </c>
      <c r="R1114" s="17" t="n">
        <v/>
      </c>
      <c r="S1114" s="17">
        <f>TEXT(B1114,"yyyy-mm")</f>
        <v/>
      </c>
      <c r="T1114" s="17">
        <f>VLOOKUP(D1114,Customers!A:D,4,FALSE)</f>
        <v/>
      </c>
      <c r="U1114" s="17">
        <f>CONCATENATE(A1114,"-",G1114)</f>
        <v/>
      </c>
      <c r="V1114" s="17">
        <f>IF(N1114="","",IF(N1114&lt;=30,"Fast (&lt;30m)",IF(N1114&lt;=45,"Moderate (30-45m)","Delayed (&gt;45m)")))</f>
        <v/>
      </c>
      <c r="W1114" s="17">
        <f>IF(AND(I1114&gt;600,P1114="Delivered"),"High Value Delivered","Standard")</f>
        <v/>
      </c>
      <c r="X1114" s="17">
        <f>IF(OR(N1114&gt;50,Q1114&lt;=2),"High Risk / Delayed","Normal")</f>
        <v/>
      </c>
      <c r="Y1114" s="17">
        <f>IF(NOT(P1114="Cancelled"),"Fulfilled","Cancelled")</f>
        <v/>
      </c>
      <c r="Z1114" s="17">
        <f>IFERROR(Q1114,0)</f>
        <v/>
      </c>
    </row>
    <row r="1115">
      <c r="A1115" s="25" t="inlineStr">
        <is>
          <t>ORD2114</t>
        </is>
      </c>
      <c r="B1115" s="25" t="inlineStr">
        <is>
          <t>2025-10-07</t>
        </is>
      </c>
      <c r="C1115" s="25" t="inlineStr">
        <is>
          <t>12:44:57</t>
        </is>
      </c>
      <c r="D1115" s="25" t="n">
        <v>1229</v>
      </c>
      <c r="E1115" s="25" t="n">
        <v>113</v>
      </c>
      <c r="F1115" s="25" t="n">
        <v>222</v>
      </c>
      <c r="G1115" s="25" t="inlineStr">
        <is>
          <t>Mumbai</t>
        </is>
      </c>
      <c r="H1115" s="25" t="inlineStr">
        <is>
          <t>Fast Food</t>
        </is>
      </c>
      <c r="I1115" s="26" t="n">
        <v>582</v>
      </c>
      <c r="J1115" s="26" t="n">
        <v>85.61</v>
      </c>
      <c r="K1115" s="26" t="n">
        <v>0</v>
      </c>
      <c r="L1115" s="27" t="n">
        <v>0.18</v>
      </c>
      <c r="M1115" s="26" t="n">
        <v>104.76</v>
      </c>
      <c r="N1115" s="28" t="n">
        <v>3.9</v>
      </c>
      <c r="O1115" s="28" t="n">
        <v>37.5</v>
      </c>
      <c r="P1115" s="25" t="inlineStr">
        <is>
          <t>Debit Card</t>
        </is>
      </c>
      <c r="Q1115" s="25" t="inlineStr">
        <is>
          <t>Delivered</t>
        </is>
      </c>
      <c r="R1115" s="25" t="n">
        <v>2</v>
      </c>
      <c r="S1115" s="25">
        <f>TEXT(B1115,"yyyy-mm")</f>
        <v/>
      </c>
      <c r="T1115" s="25">
        <f>VLOOKUP(D1115,Customers!A:D,4,FALSE)</f>
        <v/>
      </c>
      <c r="U1115" s="25">
        <f>CONCATENATE(A1115,"-",G1115)</f>
        <v/>
      </c>
      <c r="V1115" s="25">
        <f>IF(N1115="","",IF(N1115&lt;=30,"Fast (&lt;30m)",IF(N1115&lt;=45,"Moderate (30-45m)","Delayed (&gt;45m)")))</f>
        <v/>
      </c>
      <c r="W1115" s="25">
        <f>IF(AND(I1115&gt;600,P1115="Delivered"),"High Value Delivered","Standard")</f>
        <v/>
      </c>
      <c r="X1115" s="25">
        <f>IF(OR(N1115&gt;50,Q1115&lt;=2),"High Risk / Delayed","Normal")</f>
        <v/>
      </c>
      <c r="Y1115" s="25">
        <f>IF(NOT(P1115="Cancelled"),"Fulfilled","Cancelled")</f>
        <v/>
      </c>
      <c r="Z1115" s="25">
        <f>IFERROR(Q1115,0)</f>
        <v/>
      </c>
    </row>
    <row r="1116">
      <c r="A1116" s="17" t="inlineStr">
        <is>
          <t>ORD2115</t>
        </is>
      </c>
      <c r="B1116" s="17" t="inlineStr">
        <is>
          <t>2025-08-04</t>
        </is>
      </c>
      <c r="C1116" s="17" t="inlineStr">
        <is>
          <t>19:16:12</t>
        </is>
      </c>
      <c r="D1116" s="17" t="n">
        <v>1050</v>
      </c>
      <c r="E1116" s="17" t="n">
        <v>116</v>
      </c>
      <c r="F1116" s="17" t="n">
        <v>214</v>
      </c>
      <c r="G1116" s="17" t="inlineStr">
        <is>
          <t>Pune</t>
        </is>
      </c>
      <c r="H1116" s="17" t="inlineStr">
        <is>
          <t>Desserts</t>
        </is>
      </c>
      <c r="I1116" s="22" t="n">
        <v>562</v>
      </c>
      <c r="J1116" s="22" t="n">
        <v>2.67</v>
      </c>
      <c r="K1116" s="22" t="n">
        <v>44</v>
      </c>
      <c r="L1116" s="23" t="n">
        <v>0.25</v>
      </c>
      <c r="M1116" s="22" t="n">
        <v>151.5</v>
      </c>
      <c r="N1116" s="24" t="n">
        <v>6.8</v>
      </c>
      <c r="O1116" s="24" t="n">
        <v>45.3</v>
      </c>
      <c r="P1116" s="17" t="inlineStr">
        <is>
          <t>Debit Card</t>
        </is>
      </c>
      <c r="Q1116" s="17" t="inlineStr">
        <is>
          <t>Delivered</t>
        </is>
      </c>
      <c r="R1116" s="17" t="n">
        <v>2</v>
      </c>
      <c r="S1116" s="17">
        <f>TEXT(B1116,"yyyy-mm")</f>
        <v/>
      </c>
      <c r="T1116" s="17">
        <f>VLOOKUP(D1116,Customers!A:D,4,FALSE)</f>
        <v/>
      </c>
      <c r="U1116" s="17">
        <f>CONCATENATE(A1116,"-",G1116)</f>
        <v/>
      </c>
      <c r="V1116" s="17">
        <f>IF(N1116="","",IF(N1116&lt;=30,"Fast (&lt;30m)",IF(N1116&lt;=45,"Moderate (30-45m)","Delayed (&gt;45m)")))</f>
        <v/>
      </c>
      <c r="W1116" s="17">
        <f>IF(AND(I1116&gt;600,P1116="Delivered"),"High Value Delivered","Standard")</f>
        <v/>
      </c>
      <c r="X1116" s="17">
        <f>IF(OR(N1116&gt;50,Q1116&lt;=2),"High Risk / Delayed","Normal")</f>
        <v/>
      </c>
      <c r="Y1116" s="17">
        <f>IF(NOT(P1116="Cancelled"),"Fulfilled","Cancelled")</f>
        <v/>
      </c>
      <c r="Z1116" s="17">
        <f>IFERROR(Q1116,0)</f>
        <v/>
      </c>
    </row>
    <row r="1117">
      <c r="A1117" s="25" t="inlineStr">
        <is>
          <t>ORD2116</t>
        </is>
      </c>
      <c r="B1117" s="25" t="inlineStr">
        <is>
          <t>2025-02-07</t>
        </is>
      </c>
      <c r="C1117" s="25" t="inlineStr">
        <is>
          <t>19:51:36</t>
        </is>
      </c>
      <c r="D1117" s="25" t="n">
        <v>1014</v>
      </c>
      <c r="E1117" s="25" t="n">
        <v>108</v>
      </c>
      <c r="F1117" s="25" t="n">
        <v>212</v>
      </c>
      <c r="G1117" s="25" t="inlineStr">
        <is>
          <t>Delhi NCR</t>
        </is>
      </c>
      <c r="H1117" s="25" t="inlineStr">
        <is>
          <t>Fast Food</t>
        </is>
      </c>
      <c r="I1117" s="26" t="n">
        <v>844</v>
      </c>
      <c r="J1117" s="26" t="n">
        <v>51.69</v>
      </c>
      <c r="K1117" s="26" t="n">
        <v>25</v>
      </c>
      <c r="L1117" s="27" t="n">
        <v>0.18</v>
      </c>
      <c r="M1117" s="26" t="n">
        <v>158.17</v>
      </c>
      <c r="N1117" s="28" t="n">
        <v>2.9</v>
      </c>
      <c r="O1117" s="28" t="n">
        <v>34.5</v>
      </c>
      <c r="P1117" s="25" t="inlineStr">
        <is>
          <t>UPI</t>
        </is>
      </c>
      <c r="Q1117" s="25" t="inlineStr">
        <is>
          <t>Delivered</t>
        </is>
      </c>
      <c r="R1117" s="25" t="n">
        <v>5</v>
      </c>
      <c r="S1117" s="25">
        <f>TEXT(B1117,"yyyy-mm")</f>
        <v/>
      </c>
      <c r="T1117" s="25">
        <f>VLOOKUP(D1117,Customers!A:D,4,FALSE)</f>
        <v/>
      </c>
      <c r="U1117" s="25">
        <f>CONCATENATE(A1117,"-",G1117)</f>
        <v/>
      </c>
      <c r="V1117" s="25">
        <f>IF(N1117="","",IF(N1117&lt;=30,"Fast (&lt;30m)",IF(N1117&lt;=45,"Moderate (30-45m)","Delayed (&gt;45m)")))</f>
        <v/>
      </c>
      <c r="W1117" s="25">
        <f>IF(AND(I1117&gt;600,P1117="Delivered"),"High Value Delivered","Standard")</f>
        <v/>
      </c>
      <c r="X1117" s="25">
        <f>IF(OR(N1117&gt;50,Q1117&lt;=2),"High Risk / Delayed","Normal")</f>
        <v/>
      </c>
      <c r="Y1117" s="25">
        <f>IF(NOT(P1117="Cancelled"),"Fulfilled","Cancelled")</f>
        <v/>
      </c>
      <c r="Z1117" s="25">
        <f>IFERROR(Q1117,0)</f>
        <v/>
      </c>
    </row>
    <row r="1118">
      <c r="A1118" s="17" t="inlineStr">
        <is>
          <t>ORD2117</t>
        </is>
      </c>
      <c r="B1118" s="17" t="inlineStr">
        <is>
          <t>2025-03-08</t>
        </is>
      </c>
      <c r="C1118" s="17" t="inlineStr">
        <is>
          <t>20:17:46</t>
        </is>
      </c>
      <c r="D1118" s="17" t="n">
        <v>1059</v>
      </c>
      <c r="E1118" s="17" t="n">
        <v>109</v>
      </c>
      <c r="F1118" s="17" t="n">
        <v>215</v>
      </c>
      <c r="G1118" s="17" t="inlineStr">
        <is>
          <t>Hyderabad</t>
        </is>
      </c>
      <c r="H1118" s="17" t="inlineStr">
        <is>
          <t>Biryani</t>
        </is>
      </c>
      <c r="I1118" s="22" t="n">
        <v>262</v>
      </c>
      <c r="J1118" s="22" t="n">
        <v>0</v>
      </c>
      <c r="K1118" s="22" t="n">
        <v>34</v>
      </c>
      <c r="L1118" s="23" t="n">
        <v>0.2</v>
      </c>
      <c r="M1118" s="22" t="n">
        <v>60.9</v>
      </c>
      <c r="N1118" s="24" t="n">
        <v>4.8</v>
      </c>
      <c r="O1118" s="24" t="n">
        <v>39.8</v>
      </c>
      <c r="P1118" s="17" t="inlineStr">
        <is>
          <t>Credit Card</t>
        </is>
      </c>
      <c r="Q1118" s="17" t="inlineStr">
        <is>
          <t>Delivered</t>
        </is>
      </c>
      <c r="R1118" s="17" t="n">
        <v>4</v>
      </c>
      <c r="S1118" s="17">
        <f>TEXT(B1118,"yyyy-mm")</f>
        <v/>
      </c>
      <c r="T1118" s="17">
        <f>VLOOKUP(D1118,Customers!A:D,4,FALSE)</f>
        <v/>
      </c>
      <c r="U1118" s="17">
        <f>CONCATENATE(A1118,"-",G1118)</f>
        <v/>
      </c>
      <c r="V1118" s="17">
        <f>IF(N1118="","",IF(N1118&lt;=30,"Fast (&lt;30m)",IF(N1118&lt;=45,"Moderate (30-45m)","Delayed (&gt;45m)")))</f>
        <v/>
      </c>
      <c r="W1118" s="17">
        <f>IF(AND(I1118&gt;600,P1118="Delivered"),"High Value Delivered","Standard")</f>
        <v/>
      </c>
      <c r="X1118" s="17">
        <f>IF(OR(N1118&gt;50,Q1118&lt;=2),"High Risk / Delayed","Normal")</f>
        <v/>
      </c>
      <c r="Y1118" s="17">
        <f>IF(NOT(P1118="Cancelled"),"Fulfilled","Cancelled")</f>
        <v/>
      </c>
      <c r="Z1118" s="17">
        <f>IFERROR(Q1118,0)</f>
        <v/>
      </c>
    </row>
    <row r="1119">
      <c r="A1119" s="25" t="inlineStr">
        <is>
          <t>ORD2118</t>
        </is>
      </c>
      <c r="B1119" s="25" t="inlineStr">
        <is>
          <t>2025-06-05</t>
        </is>
      </c>
      <c r="C1119" s="25" t="inlineStr">
        <is>
          <t>15:50:54</t>
        </is>
      </c>
      <c r="D1119" s="25" t="n">
        <v>1222</v>
      </c>
      <c r="E1119" s="25" t="n">
        <v>119</v>
      </c>
      <c r="F1119" s="25" t="n">
        <v>216</v>
      </c>
      <c r="G1119" s="25" t="inlineStr">
        <is>
          <t>Hyderabad</t>
        </is>
      </c>
      <c r="H1119" s="25" t="inlineStr">
        <is>
          <t>Biryani</t>
        </is>
      </c>
      <c r="I1119" s="26" t="n">
        <v>453</v>
      </c>
      <c r="J1119" s="26" t="n">
        <v>0</v>
      </c>
      <c r="K1119" s="26" t="n">
        <v>25</v>
      </c>
      <c r="L1119" s="27" t="n">
        <v>0.2</v>
      </c>
      <c r="M1119" s="26" t="n">
        <v>96.84999999999999</v>
      </c>
      <c r="N1119" s="28" t="n">
        <v>1.9</v>
      </c>
      <c r="O1119" s="28" t="n">
        <v>21.4</v>
      </c>
      <c r="P1119" s="25" t="inlineStr">
        <is>
          <t>Credit Card</t>
        </is>
      </c>
      <c r="Q1119" s="25" t="inlineStr">
        <is>
          <t>Delivered</t>
        </is>
      </c>
      <c r="R1119" s="25" t="n">
        <v>4</v>
      </c>
      <c r="S1119" s="25">
        <f>TEXT(B1119,"yyyy-mm")</f>
        <v/>
      </c>
      <c r="T1119" s="25">
        <f>VLOOKUP(D1119,Customers!A:D,4,FALSE)</f>
        <v/>
      </c>
      <c r="U1119" s="25">
        <f>CONCATENATE(A1119,"-",G1119)</f>
        <v/>
      </c>
      <c r="V1119" s="25">
        <f>IF(N1119="","",IF(N1119&lt;=30,"Fast (&lt;30m)",IF(N1119&lt;=45,"Moderate (30-45m)","Delayed (&gt;45m)")))</f>
        <v/>
      </c>
      <c r="W1119" s="25">
        <f>IF(AND(I1119&gt;600,P1119="Delivered"),"High Value Delivered","Standard")</f>
        <v/>
      </c>
      <c r="X1119" s="25">
        <f>IF(OR(N1119&gt;50,Q1119&lt;=2),"High Risk / Delayed","Normal")</f>
        <v/>
      </c>
      <c r="Y1119" s="25">
        <f>IF(NOT(P1119="Cancelled"),"Fulfilled","Cancelled")</f>
        <v/>
      </c>
      <c r="Z1119" s="25">
        <f>IFERROR(Q1119,0)</f>
        <v/>
      </c>
    </row>
    <row r="1120">
      <c r="A1120" s="17" t="inlineStr">
        <is>
          <t>ORD2119</t>
        </is>
      </c>
      <c r="B1120" s="17" t="inlineStr">
        <is>
          <t>2025-01-27</t>
        </is>
      </c>
      <c r="C1120" s="17" t="inlineStr">
        <is>
          <t>10:24:49</t>
        </is>
      </c>
      <c r="D1120" s="17" t="n">
        <v>1120</v>
      </c>
      <c r="E1120" s="17" t="n">
        <v>116</v>
      </c>
      <c r="F1120" s="17" t="n">
        <v>208</v>
      </c>
      <c r="G1120" s="17" t="inlineStr">
        <is>
          <t>Pune</t>
        </is>
      </c>
      <c r="H1120" s="17" t="inlineStr">
        <is>
          <t>Desserts</t>
        </is>
      </c>
      <c r="I1120" s="22" t="n">
        <v>606</v>
      </c>
      <c r="J1120" s="22" t="n">
        <v>20.83</v>
      </c>
      <c r="K1120" s="22" t="n">
        <v>25</v>
      </c>
      <c r="L1120" s="23" t="n">
        <v>0.25</v>
      </c>
      <c r="M1120" s="22" t="n">
        <v>157.75</v>
      </c>
      <c r="N1120" s="24" t="n">
        <v>2.8</v>
      </c>
      <c r="O1120" s="24" t="n">
        <v>29.3</v>
      </c>
      <c r="P1120" s="17" t="inlineStr">
        <is>
          <t>Credit Card</t>
        </is>
      </c>
      <c r="Q1120" s="17" t="inlineStr">
        <is>
          <t>Delivered</t>
        </is>
      </c>
      <c r="R1120" s="17" t="n">
        <v>5</v>
      </c>
      <c r="S1120" s="17">
        <f>TEXT(B1120,"yyyy-mm")</f>
        <v/>
      </c>
      <c r="T1120" s="17">
        <f>VLOOKUP(D1120,Customers!A:D,4,FALSE)</f>
        <v/>
      </c>
      <c r="U1120" s="17">
        <f>CONCATENATE(A1120,"-",G1120)</f>
        <v/>
      </c>
      <c r="V1120" s="17">
        <f>IF(N1120="","",IF(N1120&lt;=30,"Fast (&lt;30m)",IF(N1120&lt;=45,"Moderate (30-45m)","Delayed (&gt;45m)")))</f>
        <v/>
      </c>
      <c r="W1120" s="17">
        <f>IF(AND(I1120&gt;600,P1120="Delivered"),"High Value Delivered","Standard")</f>
        <v/>
      </c>
      <c r="X1120" s="17">
        <f>IF(OR(N1120&gt;50,Q1120&lt;=2),"High Risk / Delayed","Normal")</f>
        <v/>
      </c>
      <c r="Y1120" s="17">
        <f>IF(NOT(P1120="Cancelled"),"Fulfilled","Cancelled")</f>
        <v/>
      </c>
      <c r="Z1120" s="17">
        <f>IFERROR(Q1120,0)</f>
        <v/>
      </c>
    </row>
    <row r="1121">
      <c r="A1121" s="25" t="inlineStr">
        <is>
          <t>ORD2120</t>
        </is>
      </c>
      <c r="B1121" s="25" t="inlineStr">
        <is>
          <t>2025-03-02</t>
        </is>
      </c>
      <c r="C1121" s="25" t="inlineStr">
        <is>
          <t>20:57:39</t>
        </is>
      </c>
      <c r="D1121" s="25" t="n">
        <v>1092</v>
      </c>
      <c r="E1121" s="25" t="n">
        <v>112</v>
      </c>
      <c r="F1121" s="25" t="n">
        <v>211</v>
      </c>
      <c r="G1121" s="25" t="inlineStr">
        <is>
          <t>Delhi NCR</t>
        </is>
      </c>
      <c r="H1121" s="25" t="inlineStr">
        <is>
          <t>North Indian</t>
        </is>
      </c>
      <c r="I1121" s="26" t="n">
        <v>596</v>
      </c>
      <c r="J1121" s="26" t="n">
        <v>44.48</v>
      </c>
      <c r="K1121" s="26" t="n">
        <v>32.5</v>
      </c>
      <c r="L1121" s="27" t="n">
        <v>0.22</v>
      </c>
      <c r="M1121" s="26" t="n">
        <v>139.24</v>
      </c>
      <c r="N1121" s="28" t="n">
        <v>4.5</v>
      </c>
      <c r="O1121" s="28" t="n">
        <v>35.7</v>
      </c>
      <c r="P1121" s="25" t="inlineStr">
        <is>
          <t>UPI</t>
        </is>
      </c>
      <c r="Q1121" s="25" t="inlineStr">
        <is>
          <t>Delivered</t>
        </is>
      </c>
      <c r="R1121" s="25" t="n">
        <v>3</v>
      </c>
      <c r="S1121" s="25">
        <f>TEXT(B1121,"yyyy-mm")</f>
        <v/>
      </c>
      <c r="T1121" s="25">
        <f>VLOOKUP(D1121,Customers!A:D,4,FALSE)</f>
        <v/>
      </c>
      <c r="U1121" s="25">
        <f>CONCATENATE(A1121,"-",G1121)</f>
        <v/>
      </c>
      <c r="V1121" s="25">
        <f>IF(N1121="","",IF(N1121&lt;=30,"Fast (&lt;30m)",IF(N1121&lt;=45,"Moderate (30-45m)","Delayed (&gt;45m)")))</f>
        <v/>
      </c>
      <c r="W1121" s="25">
        <f>IF(AND(I1121&gt;600,P1121="Delivered"),"High Value Delivered","Standard")</f>
        <v/>
      </c>
      <c r="X1121" s="25">
        <f>IF(OR(N1121&gt;50,Q1121&lt;=2),"High Risk / Delayed","Normal")</f>
        <v/>
      </c>
      <c r="Y1121" s="25">
        <f>IF(NOT(P1121="Cancelled"),"Fulfilled","Cancelled")</f>
        <v/>
      </c>
      <c r="Z1121" s="25">
        <f>IFERROR(Q1121,0)</f>
        <v/>
      </c>
    </row>
    <row r="1122">
      <c r="A1122" s="17" t="inlineStr">
        <is>
          <t>ORD2121</t>
        </is>
      </c>
      <c r="B1122" s="17" t="inlineStr">
        <is>
          <t>2025-02-17</t>
        </is>
      </c>
      <c r="C1122" s="17" t="inlineStr">
        <is>
          <t>18:37:00</t>
        </is>
      </c>
      <c r="D1122" s="17" t="n">
        <v>1022</v>
      </c>
      <c r="E1122" s="17" t="n">
        <v>104</v>
      </c>
      <c r="F1122" s="17" t="n">
        <v>230</v>
      </c>
      <c r="G1122" s="17" t="inlineStr">
        <is>
          <t>Delhi NCR</t>
        </is>
      </c>
      <c r="H1122" s="17" t="inlineStr">
        <is>
          <t>Fast Food</t>
        </is>
      </c>
      <c r="I1122" s="22" t="n">
        <v>452</v>
      </c>
      <c r="J1122" s="22" t="n">
        <v>0</v>
      </c>
      <c r="K1122" s="22" t="n">
        <v>25</v>
      </c>
      <c r="L1122" s="23" t="n">
        <v>0.18</v>
      </c>
      <c r="M1122" s="22" t="n">
        <v>87.61</v>
      </c>
      <c r="N1122" s="24" t="n">
        <v>2.7</v>
      </c>
      <c r="O1122" s="24" t="n">
        <v/>
      </c>
      <c r="P1122" s="17" t="inlineStr">
        <is>
          <t>Digital Wallet</t>
        </is>
      </c>
      <c r="Q1122" s="17" t="inlineStr">
        <is>
          <t>Cancelled</t>
        </is>
      </c>
      <c r="R1122" s="17" t="n">
        <v/>
      </c>
      <c r="S1122" s="17">
        <f>TEXT(B1122,"yyyy-mm")</f>
        <v/>
      </c>
      <c r="T1122" s="17">
        <f>VLOOKUP(D1122,Customers!A:D,4,FALSE)</f>
        <v/>
      </c>
      <c r="U1122" s="17">
        <f>CONCATENATE(A1122,"-",G1122)</f>
        <v/>
      </c>
      <c r="V1122" s="17">
        <f>IF(N1122="","",IF(N1122&lt;=30,"Fast (&lt;30m)",IF(N1122&lt;=45,"Moderate (30-45m)","Delayed (&gt;45m)")))</f>
        <v/>
      </c>
      <c r="W1122" s="17">
        <f>IF(AND(I1122&gt;600,P1122="Delivered"),"High Value Delivered","Standard")</f>
        <v/>
      </c>
      <c r="X1122" s="17">
        <f>IF(OR(N1122&gt;50,Q1122&lt;=2),"High Risk / Delayed","Normal")</f>
        <v/>
      </c>
      <c r="Y1122" s="17">
        <f>IF(NOT(P1122="Cancelled"),"Fulfilled","Cancelled")</f>
        <v/>
      </c>
      <c r="Z1122" s="17">
        <f>IFERROR(Q1122,0)</f>
        <v/>
      </c>
    </row>
    <row r="1123">
      <c r="A1123" s="25" t="inlineStr">
        <is>
          <t>ORD2122</t>
        </is>
      </c>
      <c r="B1123" s="25" t="inlineStr">
        <is>
          <t>2025-01-30</t>
        </is>
      </c>
      <c r="C1123" s="25" t="inlineStr">
        <is>
          <t>19:04:03</t>
        </is>
      </c>
      <c r="D1123" s="25" t="n">
        <v>1140</v>
      </c>
      <c r="E1123" s="25" t="n">
        <v>106</v>
      </c>
      <c r="F1123" s="25" t="n">
        <v>207</v>
      </c>
      <c r="G1123" s="25" t="inlineStr">
        <is>
          <t>Pune</t>
        </is>
      </c>
      <c r="H1123" s="25" t="inlineStr">
        <is>
          <t>South Indian</t>
        </is>
      </c>
      <c r="I1123" s="26" t="n">
        <v>561</v>
      </c>
      <c r="J1123" s="26" t="n">
        <v>66.23</v>
      </c>
      <c r="K1123" s="26" t="n">
        <v>0</v>
      </c>
      <c r="L1123" s="27" t="n">
        <v>0.15</v>
      </c>
      <c r="M1123" s="26" t="n">
        <v>84.15000000000001</v>
      </c>
      <c r="N1123" s="28" t="n">
        <v>3.1</v>
      </c>
      <c r="O1123" s="28" t="n">
        <v>24.3</v>
      </c>
      <c r="P1123" s="25" t="inlineStr">
        <is>
          <t>Debit Card</t>
        </is>
      </c>
      <c r="Q1123" s="25" t="inlineStr">
        <is>
          <t>Delivered</t>
        </is>
      </c>
      <c r="R1123" s="25" t="n">
        <v>4</v>
      </c>
      <c r="S1123" s="25">
        <f>TEXT(B1123,"yyyy-mm")</f>
        <v/>
      </c>
      <c r="T1123" s="25">
        <f>VLOOKUP(D1123,Customers!A:D,4,FALSE)</f>
        <v/>
      </c>
      <c r="U1123" s="25">
        <f>CONCATENATE(A1123,"-",G1123)</f>
        <v/>
      </c>
      <c r="V1123" s="25">
        <f>IF(N1123="","",IF(N1123&lt;=30,"Fast (&lt;30m)",IF(N1123&lt;=45,"Moderate (30-45m)","Delayed (&gt;45m)")))</f>
        <v/>
      </c>
      <c r="W1123" s="25">
        <f>IF(AND(I1123&gt;600,P1123="Delivered"),"High Value Delivered","Standard")</f>
        <v/>
      </c>
      <c r="X1123" s="25">
        <f>IF(OR(N1123&gt;50,Q1123&lt;=2),"High Risk / Delayed","Normal")</f>
        <v/>
      </c>
      <c r="Y1123" s="25">
        <f>IF(NOT(P1123="Cancelled"),"Fulfilled","Cancelled")</f>
        <v/>
      </c>
      <c r="Z1123" s="25">
        <f>IFERROR(Q1123,0)</f>
        <v/>
      </c>
    </row>
    <row r="1124">
      <c r="A1124" s="17" t="inlineStr">
        <is>
          <t>ORD2123</t>
        </is>
      </c>
      <c r="B1124" s="17" t="inlineStr">
        <is>
          <t>2025-11-07</t>
        </is>
      </c>
      <c r="C1124" s="17" t="inlineStr">
        <is>
          <t>13:25:30</t>
        </is>
      </c>
      <c r="D1124" s="17" t="n">
        <v>1216</v>
      </c>
      <c r="E1124" s="17" t="n">
        <v>116</v>
      </c>
      <c r="F1124" s="17" t="n">
        <v>204</v>
      </c>
      <c r="G1124" s="17" t="inlineStr">
        <is>
          <t>Pune</t>
        </is>
      </c>
      <c r="H1124" s="17" t="inlineStr">
        <is>
          <t>Desserts</t>
        </is>
      </c>
      <c r="I1124" s="22" t="n">
        <v>893</v>
      </c>
      <c r="J1124" s="22" t="n">
        <v>0</v>
      </c>
      <c r="K1124" s="22" t="n">
        <v>38</v>
      </c>
      <c r="L1124" s="23" t="n">
        <v>0.25</v>
      </c>
      <c r="M1124" s="22" t="n">
        <v>232.75</v>
      </c>
      <c r="N1124" s="24" t="n">
        <v>5.6</v>
      </c>
      <c r="O1124" s="24" t="n">
        <v>36.1</v>
      </c>
      <c r="P1124" s="17" t="inlineStr">
        <is>
          <t>Debit Card</t>
        </is>
      </c>
      <c r="Q1124" s="17" t="inlineStr">
        <is>
          <t>Delivered</t>
        </is>
      </c>
      <c r="R1124" s="17" t="n">
        <v>3</v>
      </c>
      <c r="S1124" s="17">
        <f>TEXT(B1124,"yyyy-mm")</f>
        <v/>
      </c>
      <c r="T1124" s="17">
        <f>VLOOKUP(D1124,Customers!A:D,4,FALSE)</f>
        <v/>
      </c>
      <c r="U1124" s="17">
        <f>CONCATENATE(A1124,"-",G1124)</f>
        <v/>
      </c>
      <c r="V1124" s="17">
        <f>IF(N1124="","",IF(N1124&lt;=30,"Fast (&lt;30m)",IF(N1124&lt;=45,"Moderate (30-45m)","Delayed (&gt;45m)")))</f>
        <v/>
      </c>
      <c r="W1124" s="17">
        <f>IF(AND(I1124&gt;600,P1124="Delivered"),"High Value Delivered","Standard")</f>
        <v/>
      </c>
      <c r="X1124" s="17">
        <f>IF(OR(N1124&gt;50,Q1124&lt;=2),"High Risk / Delayed","Normal")</f>
        <v/>
      </c>
      <c r="Y1124" s="17">
        <f>IF(NOT(P1124="Cancelled"),"Fulfilled","Cancelled")</f>
        <v/>
      </c>
      <c r="Z1124" s="17">
        <f>IFERROR(Q1124,0)</f>
        <v/>
      </c>
    </row>
    <row r="1125">
      <c r="A1125" s="25" t="inlineStr">
        <is>
          <t>ORD2124</t>
        </is>
      </c>
      <c r="B1125" s="25" t="inlineStr">
        <is>
          <t>2025-04-23</t>
        </is>
      </c>
      <c r="C1125" s="25" t="inlineStr">
        <is>
          <t>09:28:45</t>
        </is>
      </c>
      <c r="D1125" s="25" t="n">
        <v>1110</v>
      </c>
      <c r="E1125" s="25" t="n">
        <v>103</v>
      </c>
      <c r="F1125" s="25" t="n">
        <v>202</v>
      </c>
      <c r="G1125" s="25" t="inlineStr">
        <is>
          <t>Mumbai</t>
        </is>
      </c>
      <c r="H1125" s="25" t="inlineStr">
        <is>
          <t>Italian</t>
        </is>
      </c>
      <c r="I1125" s="26" t="n">
        <v>529</v>
      </c>
      <c r="J1125" s="26" t="n">
        <v>33.02</v>
      </c>
      <c r="K1125" s="26" t="n">
        <v>45.5</v>
      </c>
      <c r="L1125" s="27" t="n">
        <v>0.18</v>
      </c>
      <c r="M1125" s="26" t="n">
        <v>106.6</v>
      </c>
      <c r="N1125" s="28" t="n">
        <v>7.1</v>
      </c>
      <c r="O1125" s="28" t="n">
        <v>39.5</v>
      </c>
      <c r="P1125" s="25" t="inlineStr">
        <is>
          <t>Credit Card</t>
        </is>
      </c>
      <c r="Q1125" s="25" t="inlineStr">
        <is>
          <t>Delivered</t>
        </is>
      </c>
      <c r="R1125" s="25" t="n">
        <v>4</v>
      </c>
      <c r="S1125" s="25">
        <f>TEXT(B1125,"yyyy-mm")</f>
        <v/>
      </c>
      <c r="T1125" s="25">
        <f>VLOOKUP(D1125,Customers!A:D,4,FALSE)</f>
        <v/>
      </c>
      <c r="U1125" s="25">
        <f>CONCATENATE(A1125,"-",G1125)</f>
        <v/>
      </c>
      <c r="V1125" s="25">
        <f>IF(N1125="","",IF(N1125&lt;=30,"Fast (&lt;30m)",IF(N1125&lt;=45,"Moderate (30-45m)","Delayed (&gt;45m)")))</f>
        <v/>
      </c>
      <c r="W1125" s="25">
        <f>IF(AND(I1125&gt;600,P1125="Delivered"),"High Value Delivered","Standard")</f>
        <v/>
      </c>
      <c r="X1125" s="25">
        <f>IF(OR(N1125&gt;50,Q1125&lt;=2),"High Risk / Delayed","Normal")</f>
        <v/>
      </c>
      <c r="Y1125" s="25">
        <f>IF(NOT(P1125="Cancelled"),"Fulfilled","Cancelled")</f>
        <v/>
      </c>
      <c r="Z1125" s="25">
        <f>IFERROR(Q1125,0)</f>
        <v/>
      </c>
    </row>
    <row r="1126">
      <c r="A1126" s="17" t="inlineStr">
        <is>
          <t>ORD2125</t>
        </is>
      </c>
      <c r="B1126" s="17" t="inlineStr">
        <is>
          <t>2025-01-28</t>
        </is>
      </c>
      <c r="C1126" s="17" t="inlineStr">
        <is>
          <t>12:22:57</t>
        </is>
      </c>
      <c r="D1126" s="17" t="n">
        <v>1094</v>
      </c>
      <c r="E1126" s="17" t="n">
        <v>118</v>
      </c>
      <c r="F1126" s="17" t="n">
        <v>211</v>
      </c>
      <c r="G1126" s="17" t="inlineStr">
        <is>
          <t>Delhi NCR</t>
        </is>
      </c>
      <c r="H1126" s="17" t="inlineStr">
        <is>
          <t>North Indian</t>
        </is>
      </c>
      <c r="I1126" s="22" t="n">
        <v>640</v>
      </c>
      <c r="J1126" s="22" t="n">
        <v>31.84</v>
      </c>
      <c r="K1126" s="22" t="n">
        <v>63</v>
      </c>
      <c r="L1126" s="23" t="n">
        <v>0.2</v>
      </c>
      <c r="M1126" s="22" t="n">
        <v>143.75</v>
      </c>
      <c r="N1126" s="24" t="n">
        <v>10.6</v>
      </c>
      <c r="O1126" s="24" t="n">
        <v>56.8</v>
      </c>
      <c r="P1126" s="17" t="inlineStr">
        <is>
          <t>Credit Card</t>
        </is>
      </c>
      <c r="Q1126" s="17" t="inlineStr">
        <is>
          <t>Delivered</t>
        </is>
      </c>
      <c r="R1126" s="17" t="n">
        <v>4</v>
      </c>
      <c r="S1126" s="17">
        <f>TEXT(B1126,"yyyy-mm")</f>
        <v/>
      </c>
      <c r="T1126" s="17">
        <f>VLOOKUP(D1126,Customers!A:D,4,FALSE)</f>
        <v/>
      </c>
      <c r="U1126" s="17">
        <f>CONCATENATE(A1126,"-",G1126)</f>
        <v/>
      </c>
      <c r="V1126" s="17">
        <f>IF(N1126="","",IF(N1126&lt;=30,"Fast (&lt;30m)",IF(N1126&lt;=45,"Moderate (30-45m)","Delayed (&gt;45m)")))</f>
        <v/>
      </c>
      <c r="W1126" s="17">
        <f>IF(AND(I1126&gt;600,P1126="Delivered"),"High Value Delivered","Standard")</f>
        <v/>
      </c>
      <c r="X1126" s="17">
        <f>IF(OR(N1126&gt;50,Q1126&lt;=2),"High Risk / Delayed","Normal")</f>
        <v/>
      </c>
      <c r="Y1126" s="17">
        <f>IF(NOT(P1126="Cancelled"),"Fulfilled","Cancelled")</f>
        <v/>
      </c>
      <c r="Z1126" s="17">
        <f>IFERROR(Q1126,0)</f>
        <v/>
      </c>
    </row>
    <row r="1127">
      <c r="A1127" s="25" t="inlineStr">
        <is>
          <t>ORD2126</t>
        </is>
      </c>
      <c r="B1127" s="25" t="inlineStr">
        <is>
          <t>2025-06-06</t>
        </is>
      </c>
      <c r="C1127" s="25" t="inlineStr">
        <is>
          <t>21:47:35</t>
        </is>
      </c>
      <c r="D1127" s="25" t="n">
        <v>1164</v>
      </c>
      <c r="E1127" s="25" t="n">
        <v>110</v>
      </c>
      <c r="F1127" s="25" t="n">
        <v>214</v>
      </c>
      <c r="G1127" s="25" t="inlineStr">
        <is>
          <t>Pune</t>
        </is>
      </c>
      <c r="H1127" s="25" t="inlineStr">
        <is>
          <t>North Indian</t>
        </is>
      </c>
      <c r="I1127" s="26" t="n">
        <v>435</v>
      </c>
      <c r="J1127" s="26" t="n">
        <v>0</v>
      </c>
      <c r="K1127" s="26" t="n">
        <v>25</v>
      </c>
      <c r="L1127" s="27" t="n">
        <v>0.18</v>
      </c>
      <c r="M1127" s="26" t="n">
        <v>84.55</v>
      </c>
      <c r="N1127" s="28" t="n">
        <v>1.6</v>
      </c>
      <c r="O1127" s="28" t="n">
        <v>25.8</v>
      </c>
      <c r="P1127" s="25" t="inlineStr">
        <is>
          <t>Credit Card</t>
        </is>
      </c>
      <c r="Q1127" s="25" t="inlineStr">
        <is>
          <t>Delivered</t>
        </is>
      </c>
      <c r="R1127" s="25" t="n">
        <v>5</v>
      </c>
      <c r="S1127" s="25">
        <f>TEXT(B1127,"yyyy-mm")</f>
        <v/>
      </c>
      <c r="T1127" s="25">
        <f>VLOOKUP(D1127,Customers!A:D,4,FALSE)</f>
        <v/>
      </c>
      <c r="U1127" s="25">
        <f>CONCATENATE(A1127,"-",G1127)</f>
        <v/>
      </c>
      <c r="V1127" s="25">
        <f>IF(N1127="","",IF(N1127&lt;=30,"Fast (&lt;30m)",IF(N1127&lt;=45,"Moderate (30-45m)","Delayed (&gt;45m)")))</f>
        <v/>
      </c>
      <c r="W1127" s="25">
        <f>IF(AND(I1127&gt;600,P1127="Delivered"),"High Value Delivered","Standard")</f>
        <v/>
      </c>
      <c r="X1127" s="25">
        <f>IF(OR(N1127&gt;50,Q1127&lt;=2),"High Risk / Delayed","Normal")</f>
        <v/>
      </c>
      <c r="Y1127" s="25">
        <f>IF(NOT(P1127="Cancelled"),"Fulfilled","Cancelled")</f>
        <v/>
      </c>
      <c r="Z1127" s="25">
        <f>IFERROR(Q1127,0)</f>
        <v/>
      </c>
    </row>
    <row r="1128">
      <c r="A1128" s="17" t="inlineStr">
        <is>
          <t>ORD2127</t>
        </is>
      </c>
      <c r="B1128" s="17" t="inlineStr">
        <is>
          <t>2025-12-24</t>
        </is>
      </c>
      <c r="C1128" s="17" t="inlineStr">
        <is>
          <t>21:28:41</t>
        </is>
      </c>
      <c r="D1128" s="17" t="n">
        <v>1065</v>
      </c>
      <c r="E1128" s="17" t="n">
        <v>108</v>
      </c>
      <c r="F1128" s="17" t="n">
        <v>228</v>
      </c>
      <c r="G1128" s="17" t="inlineStr">
        <is>
          <t>Delhi NCR</t>
        </is>
      </c>
      <c r="H1128" s="17" t="inlineStr">
        <is>
          <t>Fast Food</t>
        </is>
      </c>
      <c r="I1128" s="22" t="n">
        <v>684</v>
      </c>
      <c r="J1128" s="22" t="n">
        <v>1.16</v>
      </c>
      <c r="K1128" s="22" t="n">
        <v>28.5</v>
      </c>
      <c r="L1128" s="23" t="n">
        <v>0.18</v>
      </c>
      <c r="M1128" s="22" t="n">
        <v>130.24</v>
      </c>
      <c r="N1128" s="24" t="n">
        <v>3.7</v>
      </c>
      <c r="O1128" s="24" t="n">
        <v>34.7</v>
      </c>
      <c r="P1128" s="17" t="inlineStr">
        <is>
          <t>Debit Card</t>
        </is>
      </c>
      <c r="Q1128" s="17" t="inlineStr">
        <is>
          <t>Delivered</t>
        </is>
      </c>
      <c r="R1128" s="17" t="n">
        <v>3</v>
      </c>
      <c r="S1128" s="17">
        <f>TEXT(B1128,"yyyy-mm")</f>
        <v/>
      </c>
      <c r="T1128" s="17">
        <f>VLOOKUP(D1128,Customers!A:D,4,FALSE)</f>
        <v/>
      </c>
      <c r="U1128" s="17">
        <f>CONCATENATE(A1128,"-",G1128)</f>
        <v/>
      </c>
      <c r="V1128" s="17">
        <f>IF(N1128="","",IF(N1128&lt;=30,"Fast (&lt;30m)",IF(N1128&lt;=45,"Moderate (30-45m)","Delayed (&gt;45m)")))</f>
        <v/>
      </c>
      <c r="W1128" s="17">
        <f>IF(AND(I1128&gt;600,P1128="Delivered"),"High Value Delivered","Standard")</f>
        <v/>
      </c>
      <c r="X1128" s="17">
        <f>IF(OR(N1128&gt;50,Q1128&lt;=2),"High Risk / Delayed","Normal")</f>
        <v/>
      </c>
      <c r="Y1128" s="17">
        <f>IF(NOT(P1128="Cancelled"),"Fulfilled","Cancelled")</f>
        <v/>
      </c>
      <c r="Z1128" s="17">
        <f>IFERROR(Q1128,0)</f>
        <v/>
      </c>
    </row>
    <row r="1129">
      <c r="A1129" s="25" t="inlineStr">
        <is>
          <t>ORD2128</t>
        </is>
      </c>
      <c r="B1129" s="25" t="inlineStr">
        <is>
          <t>2025-02-13</t>
        </is>
      </c>
      <c r="C1129" s="25" t="inlineStr">
        <is>
          <t>12:03:17</t>
        </is>
      </c>
      <c r="D1129" s="25" t="n">
        <v>1037</v>
      </c>
      <c r="E1129" s="25" t="n">
        <v>105</v>
      </c>
      <c r="F1129" s="25" t="n">
        <v>227</v>
      </c>
      <c r="G1129" s="25" t="inlineStr">
        <is>
          <t>Bangalore</t>
        </is>
      </c>
      <c r="H1129" s="25" t="inlineStr">
        <is>
          <t>Chinese</t>
        </is>
      </c>
      <c r="I1129" s="26" t="n">
        <v>844</v>
      </c>
      <c r="J1129" s="26" t="n">
        <v>0</v>
      </c>
      <c r="K1129" s="26" t="n">
        <v>32.5</v>
      </c>
      <c r="L1129" s="27" t="n">
        <v>0.2</v>
      </c>
      <c r="M1129" s="26" t="n">
        <v>176.92</v>
      </c>
      <c r="N1129" s="28" t="n">
        <v>4.5</v>
      </c>
      <c r="O1129" s="28" t="n">
        <v>29.6</v>
      </c>
      <c r="P1129" s="25" t="inlineStr">
        <is>
          <t>Cash on Delivery</t>
        </is>
      </c>
      <c r="Q1129" s="25" t="inlineStr">
        <is>
          <t>Delivered</t>
        </is>
      </c>
      <c r="R1129" s="25" t="n">
        <v>5</v>
      </c>
      <c r="S1129" s="25">
        <f>TEXT(B1129,"yyyy-mm")</f>
        <v/>
      </c>
      <c r="T1129" s="25">
        <f>VLOOKUP(D1129,Customers!A:D,4,FALSE)</f>
        <v/>
      </c>
      <c r="U1129" s="25">
        <f>CONCATENATE(A1129,"-",G1129)</f>
        <v/>
      </c>
      <c r="V1129" s="25">
        <f>IF(N1129="","",IF(N1129&lt;=30,"Fast (&lt;30m)",IF(N1129&lt;=45,"Moderate (30-45m)","Delayed (&gt;45m)")))</f>
        <v/>
      </c>
      <c r="W1129" s="25">
        <f>IF(AND(I1129&gt;600,P1129="Delivered"),"High Value Delivered","Standard")</f>
        <v/>
      </c>
      <c r="X1129" s="25">
        <f>IF(OR(N1129&gt;50,Q1129&lt;=2),"High Risk / Delayed","Normal")</f>
        <v/>
      </c>
      <c r="Y1129" s="25">
        <f>IF(NOT(P1129="Cancelled"),"Fulfilled","Cancelled")</f>
        <v/>
      </c>
      <c r="Z1129" s="25">
        <f>IFERROR(Q1129,0)</f>
        <v/>
      </c>
    </row>
    <row r="1130">
      <c r="A1130" s="17" t="inlineStr">
        <is>
          <t>ORD2129</t>
        </is>
      </c>
      <c r="B1130" s="17" t="inlineStr">
        <is>
          <t>2025-04-25</t>
        </is>
      </c>
      <c r="C1130" s="17" t="inlineStr">
        <is>
          <t>21:13:24</t>
        </is>
      </c>
      <c r="D1130" s="17" t="n">
        <v>1134</v>
      </c>
      <c r="E1130" s="17" t="n">
        <v>119</v>
      </c>
      <c r="F1130" s="17" t="n">
        <v>215</v>
      </c>
      <c r="G1130" s="17" t="inlineStr">
        <is>
          <t>Hyderabad</t>
        </is>
      </c>
      <c r="H1130" s="17" t="inlineStr">
        <is>
          <t>Biryani</t>
        </is>
      </c>
      <c r="I1130" s="22" t="n">
        <v>408</v>
      </c>
      <c r="J1130" s="22" t="n">
        <v>17.38</v>
      </c>
      <c r="K1130" s="22" t="n">
        <v>34</v>
      </c>
      <c r="L1130" s="23" t="n">
        <v>0.2</v>
      </c>
      <c r="M1130" s="22" t="n">
        <v>90.09999999999999</v>
      </c>
      <c r="N1130" s="24" t="n">
        <v>4.8</v>
      </c>
      <c r="O1130" s="24" t="n">
        <v>37.5</v>
      </c>
      <c r="P1130" s="17" t="inlineStr">
        <is>
          <t>UPI</t>
        </is>
      </c>
      <c r="Q1130" s="17" t="inlineStr">
        <is>
          <t>Delivered</t>
        </is>
      </c>
      <c r="R1130" s="17" t="n">
        <v>5</v>
      </c>
      <c r="S1130" s="17">
        <f>TEXT(B1130,"yyyy-mm")</f>
        <v/>
      </c>
      <c r="T1130" s="17">
        <f>VLOOKUP(D1130,Customers!A:D,4,FALSE)</f>
        <v/>
      </c>
      <c r="U1130" s="17">
        <f>CONCATENATE(A1130,"-",G1130)</f>
        <v/>
      </c>
      <c r="V1130" s="17">
        <f>IF(N1130="","",IF(N1130&lt;=30,"Fast (&lt;30m)",IF(N1130&lt;=45,"Moderate (30-45m)","Delayed (&gt;45m)")))</f>
        <v/>
      </c>
      <c r="W1130" s="17">
        <f>IF(AND(I1130&gt;600,P1130="Delivered"),"High Value Delivered","Standard")</f>
        <v/>
      </c>
      <c r="X1130" s="17">
        <f>IF(OR(N1130&gt;50,Q1130&lt;=2),"High Risk / Delayed","Normal")</f>
        <v/>
      </c>
      <c r="Y1130" s="17">
        <f>IF(NOT(P1130="Cancelled"),"Fulfilled","Cancelled")</f>
        <v/>
      </c>
      <c r="Z1130" s="17">
        <f>IFERROR(Q1130,0)</f>
        <v/>
      </c>
    </row>
    <row r="1131">
      <c r="A1131" s="25" t="inlineStr">
        <is>
          <t>ORD2130</t>
        </is>
      </c>
      <c r="B1131" s="25" t="inlineStr">
        <is>
          <t>2025-05-15</t>
        </is>
      </c>
      <c r="C1131" s="25" t="inlineStr">
        <is>
          <t>10:51:48</t>
        </is>
      </c>
      <c r="D1131" s="25" t="n">
        <v>1164</v>
      </c>
      <c r="E1131" s="25" t="n">
        <v>110</v>
      </c>
      <c r="F1131" s="25" t="n">
        <v>224</v>
      </c>
      <c r="G1131" s="25" t="inlineStr">
        <is>
          <t>Pune</t>
        </is>
      </c>
      <c r="H1131" s="25" t="inlineStr">
        <is>
          <t>North Indian</t>
        </is>
      </c>
      <c r="I1131" s="26" t="n">
        <v>825</v>
      </c>
      <c r="J1131" s="26" t="n">
        <v>0</v>
      </c>
      <c r="K1131" s="26" t="n">
        <v>25</v>
      </c>
      <c r="L1131" s="27" t="n">
        <v>0.18</v>
      </c>
      <c r="M1131" s="26" t="n">
        <v>154.75</v>
      </c>
      <c r="N1131" s="28" t="n">
        <v>1.1</v>
      </c>
      <c r="O1131" s="28" t="n">
        <v>19.4</v>
      </c>
      <c r="P1131" s="25" t="inlineStr">
        <is>
          <t>Digital Wallet</t>
        </is>
      </c>
      <c r="Q1131" s="25" t="inlineStr">
        <is>
          <t>Delivered</t>
        </is>
      </c>
      <c r="R1131" s="25" t="n">
        <v>2</v>
      </c>
      <c r="S1131" s="25">
        <f>TEXT(B1131,"yyyy-mm")</f>
        <v/>
      </c>
      <c r="T1131" s="25">
        <f>VLOOKUP(D1131,Customers!A:D,4,FALSE)</f>
        <v/>
      </c>
      <c r="U1131" s="25">
        <f>CONCATENATE(A1131,"-",G1131)</f>
        <v/>
      </c>
      <c r="V1131" s="25">
        <f>IF(N1131="","",IF(N1131&lt;=30,"Fast (&lt;30m)",IF(N1131&lt;=45,"Moderate (30-45m)","Delayed (&gt;45m)")))</f>
        <v/>
      </c>
      <c r="W1131" s="25">
        <f>IF(AND(I1131&gt;600,P1131="Delivered"),"High Value Delivered","Standard")</f>
        <v/>
      </c>
      <c r="X1131" s="25">
        <f>IF(OR(N1131&gt;50,Q1131&lt;=2),"High Risk / Delayed","Normal")</f>
        <v/>
      </c>
      <c r="Y1131" s="25">
        <f>IF(NOT(P1131="Cancelled"),"Fulfilled","Cancelled")</f>
        <v/>
      </c>
      <c r="Z1131" s="25">
        <f>IFERROR(Q1131,0)</f>
        <v/>
      </c>
    </row>
    <row r="1132">
      <c r="A1132" s="17" t="inlineStr">
        <is>
          <t>ORD2131</t>
        </is>
      </c>
      <c r="B1132" s="17" t="inlineStr">
        <is>
          <t>2025-02-25</t>
        </is>
      </c>
      <c r="C1132" s="17" t="inlineStr">
        <is>
          <t>07:35:24</t>
        </is>
      </c>
      <c r="D1132" s="17" t="n">
        <v>1097</v>
      </c>
      <c r="E1132" s="17" t="n">
        <v>111</v>
      </c>
      <c r="F1132" s="17" t="n">
        <v>218</v>
      </c>
      <c r="G1132" s="17" t="inlineStr">
        <is>
          <t>Bangalore</t>
        </is>
      </c>
      <c r="H1132" s="17" t="inlineStr">
        <is>
          <t>South Indian</t>
        </is>
      </c>
      <c r="I1132" s="22" t="n">
        <v>914</v>
      </c>
      <c r="J1132" s="22" t="n">
        <v>0</v>
      </c>
      <c r="K1132" s="22" t="n">
        <v>34</v>
      </c>
      <c r="L1132" s="23" t="n">
        <v>0.15</v>
      </c>
      <c r="M1132" s="22" t="n">
        <v>145.6</v>
      </c>
      <c r="N1132" s="24" t="n">
        <v>4.8</v>
      </c>
      <c r="O1132" s="24" t="n">
        <v>40.3</v>
      </c>
      <c r="P1132" s="17" t="inlineStr">
        <is>
          <t>Digital Wallet</t>
        </is>
      </c>
      <c r="Q1132" s="17" t="inlineStr">
        <is>
          <t>Delivered</t>
        </is>
      </c>
      <c r="R1132" s="17" t="n">
        <v>4</v>
      </c>
      <c r="S1132" s="17">
        <f>TEXT(B1132,"yyyy-mm")</f>
        <v/>
      </c>
      <c r="T1132" s="17">
        <f>VLOOKUP(D1132,Customers!A:D,4,FALSE)</f>
        <v/>
      </c>
      <c r="U1132" s="17">
        <f>CONCATENATE(A1132,"-",G1132)</f>
        <v/>
      </c>
      <c r="V1132" s="17">
        <f>IF(N1132="","",IF(N1132&lt;=30,"Fast (&lt;30m)",IF(N1132&lt;=45,"Moderate (30-45m)","Delayed (&gt;45m)")))</f>
        <v/>
      </c>
      <c r="W1132" s="17">
        <f>IF(AND(I1132&gt;600,P1132="Delivered"),"High Value Delivered","Standard")</f>
        <v/>
      </c>
      <c r="X1132" s="17">
        <f>IF(OR(N1132&gt;50,Q1132&lt;=2),"High Risk / Delayed","Normal")</f>
        <v/>
      </c>
      <c r="Y1132" s="17">
        <f>IF(NOT(P1132="Cancelled"),"Fulfilled","Cancelled")</f>
        <v/>
      </c>
      <c r="Z1132" s="17">
        <f>IFERROR(Q1132,0)</f>
        <v/>
      </c>
    </row>
    <row r="1133">
      <c r="A1133" s="25" t="inlineStr">
        <is>
          <t>ORD2132</t>
        </is>
      </c>
      <c r="B1133" s="25" t="inlineStr">
        <is>
          <t>2025-03-25</t>
        </is>
      </c>
      <c r="C1133" s="25" t="inlineStr">
        <is>
          <t>18:24:29</t>
        </is>
      </c>
      <c r="D1133" s="25" t="n">
        <v>1164</v>
      </c>
      <c r="E1133" s="25" t="n">
        <v>106</v>
      </c>
      <c r="F1133" s="25" t="n">
        <v>217</v>
      </c>
      <c r="G1133" s="25" t="inlineStr">
        <is>
          <t>Pune</t>
        </is>
      </c>
      <c r="H1133" s="25" t="inlineStr">
        <is>
          <t>South Indian</t>
        </is>
      </c>
      <c r="I1133" s="26" t="n">
        <v>463</v>
      </c>
      <c r="J1133" s="26" t="n">
        <v>0</v>
      </c>
      <c r="K1133" s="26" t="n">
        <v>37.5</v>
      </c>
      <c r="L1133" s="27" t="n">
        <v>0.15</v>
      </c>
      <c r="M1133" s="26" t="n">
        <v>78.81999999999999</v>
      </c>
      <c r="N1133" s="28" t="n">
        <v>5.5</v>
      </c>
      <c r="O1133" s="28" t="n">
        <v>30.1</v>
      </c>
      <c r="P1133" s="25" t="inlineStr">
        <is>
          <t>Debit Card</t>
        </is>
      </c>
      <c r="Q1133" s="25" t="inlineStr">
        <is>
          <t>Delivered</t>
        </is>
      </c>
      <c r="R1133" s="25" t="n">
        <v>5</v>
      </c>
      <c r="S1133" s="25">
        <f>TEXT(B1133,"yyyy-mm")</f>
        <v/>
      </c>
      <c r="T1133" s="25">
        <f>VLOOKUP(D1133,Customers!A:D,4,FALSE)</f>
        <v/>
      </c>
      <c r="U1133" s="25">
        <f>CONCATENATE(A1133,"-",G1133)</f>
        <v/>
      </c>
      <c r="V1133" s="25">
        <f>IF(N1133="","",IF(N1133&lt;=30,"Fast (&lt;30m)",IF(N1133&lt;=45,"Moderate (30-45m)","Delayed (&gt;45m)")))</f>
        <v/>
      </c>
      <c r="W1133" s="25">
        <f>IF(AND(I1133&gt;600,P1133="Delivered"),"High Value Delivered","Standard")</f>
        <v/>
      </c>
      <c r="X1133" s="25">
        <f>IF(OR(N1133&gt;50,Q1133&lt;=2),"High Risk / Delayed","Normal")</f>
        <v/>
      </c>
      <c r="Y1133" s="25">
        <f>IF(NOT(P1133="Cancelled"),"Fulfilled","Cancelled")</f>
        <v/>
      </c>
      <c r="Z1133" s="25">
        <f>IFERROR(Q1133,0)</f>
        <v/>
      </c>
    </row>
    <row r="1134">
      <c r="A1134" s="17" t="inlineStr">
        <is>
          <t>ORD2133</t>
        </is>
      </c>
      <c r="B1134" s="17" t="inlineStr">
        <is>
          <t>2025-10-05</t>
        </is>
      </c>
      <c r="C1134" s="17" t="inlineStr">
        <is>
          <t>18:18:21</t>
        </is>
      </c>
      <c r="D1134" s="17" t="n">
        <v>1233</v>
      </c>
      <c r="E1134" s="17" t="n">
        <v>120</v>
      </c>
      <c r="F1134" s="17" t="n">
        <v>217</v>
      </c>
      <c r="G1134" s="17" t="inlineStr">
        <is>
          <t>Pune</t>
        </is>
      </c>
      <c r="H1134" s="17" t="inlineStr">
        <is>
          <t>Fast Food</t>
        </is>
      </c>
      <c r="I1134" s="22" t="n">
        <v>804</v>
      </c>
      <c r="J1134" s="22" t="n">
        <v>0</v>
      </c>
      <c r="K1134" s="22" t="n">
        <v>35.5</v>
      </c>
      <c r="L1134" s="23" t="n">
        <v>0.18</v>
      </c>
      <c r="M1134" s="22" t="n">
        <v>153.6</v>
      </c>
      <c r="N1134" s="24" t="n">
        <v>5.1</v>
      </c>
      <c r="O1134" s="24" t="n">
        <v/>
      </c>
      <c r="P1134" s="17" t="inlineStr">
        <is>
          <t>Debit Card</t>
        </is>
      </c>
      <c r="Q1134" s="17" t="inlineStr">
        <is>
          <t>Cancelled</t>
        </is>
      </c>
      <c r="R1134" s="17" t="n">
        <v/>
      </c>
      <c r="S1134" s="17">
        <f>TEXT(B1134,"yyyy-mm")</f>
        <v/>
      </c>
      <c r="T1134" s="17">
        <f>VLOOKUP(D1134,Customers!A:D,4,FALSE)</f>
        <v/>
      </c>
      <c r="U1134" s="17">
        <f>CONCATENATE(A1134,"-",G1134)</f>
        <v/>
      </c>
      <c r="V1134" s="17">
        <f>IF(N1134="","",IF(N1134&lt;=30,"Fast (&lt;30m)",IF(N1134&lt;=45,"Moderate (30-45m)","Delayed (&gt;45m)")))</f>
        <v/>
      </c>
      <c r="W1134" s="17">
        <f>IF(AND(I1134&gt;600,P1134="Delivered"),"High Value Delivered","Standard")</f>
        <v/>
      </c>
      <c r="X1134" s="17">
        <f>IF(OR(N1134&gt;50,Q1134&lt;=2),"High Risk / Delayed","Normal")</f>
        <v/>
      </c>
      <c r="Y1134" s="17">
        <f>IF(NOT(P1134="Cancelled"),"Fulfilled","Cancelled")</f>
        <v/>
      </c>
      <c r="Z1134" s="17">
        <f>IFERROR(Q1134,0)</f>
        <v/>
      </c>
    </row>
    <row r="1135">
      <c r="A1135" s="25" t="inlineStr">
        <is>
          <t>ORD2134</t>
        </is>
      </c>
      <c r="B1135" s="25" t="inlineStr">
        <is>
          <t>2025-03-05</t>
        </is>
      </c>
      <c r="C1135" s="25" t="inlineStr">
        <is>
          <t>12:19:36</t>
        </is>
      </c>
      <c r="D1135" s="25" t="n">
        <v>1176</v>
      </c>
      <c r="E1135" s="25" t="n">
        <v>102</v>
      </c>
      <c r="F1135" s="25" t="n">
        <v>215</v>
      </c>
      <c r="G1135" s="25" t="inlineStr">
        <is>
          <t>Hyderabad</t>
        </is>
      </c>
      <c r="H1135" s="25" t="inlineStr">
        <is>
          <t>Biryani</t>
        </is>
      </c>
      <c r="I1135" s="26" t="n">
        <v>896</v>
      </c>
      <c r="J1135" s="26" t="n">
        <v>0</v>
      </c>
      <c r="K1135" s="26" t="n">
        <v>25</v>
      </c>
      <c r="L1135" s="27" t="n">
        <v>0.22</v>
      </c>
      <c r="M1135" s="26" t="n">
        <v>203.37</v>
      </c>
      <c r="N1135" s="28" t="n">
        <v>2.2</v>
      </c>
      <c r="O1135" s="28" t="n">
        <v>26.1</v>
      </c>
      <c r="P1135" s="25" t="inlineStr">
        <is>
          <t>Credit Card</t>
        </is>
      </c>
      <c r="Q1135" s="25" t="inlineStr">
        <is>
          <t>Delivered</t>
        </is>
      </c>
      <c r="R1135" s="25" t="n">
        <v>5</v>
      </c>
      <c r="S1135" s="25">
        <f>TEXT(B1135,"yyyy-mm")</f>
        <v/>
      </c>
      <c r="T1135" s="25">
        <f>VLOOKUP(D1135,Customers!A:D,4,FALSE)</f>
        <v/>
      </c>
      <c r="U1135" s="25">
        <f>CONCATENATE(A1135,"-",G1135)</f>
        <v/>
      </c>
      <c r="V1135" s="25">
        <f>IF(N1135="","",IF(N1135&lt;=30,"Fast (&lt;30m)",IF(N1135&lt;=45,"Moderate (30-45m)","Delayed (&gt;45m)")))</f>
        <v/>
      </c>
      <c r="W1135" s="25">
        <f>IF(AND(I1135&gt;600,P1135="Delivered"),"High Value Delivered","Standard")</f>
        <v/>
      </c>
      <c r="X1135" s="25">
        <f>IF(OR(N1135&gt;50,Q1135&lt;=2),"High Risk / Delayed","Normal")</f>
        <v/>
      </c>
      <c r="Y1135" s="25">
        <f>IF(NOT(P1135="Cancelled"),"Fulfilled","Cancelled")</f>
        <v/>
      </c>
      <c r="Z1135" s="25">
        <f>IFERROR(Q1135,0)</f>
        <v/>
      </c>
    </row>
    <row r="1136">
      <c r="A1136" s="17" t="inlineStr">
        <is>
          <t>ORD2135</t>
        </is>
      </c>
      <c r="B1136" s="17" t="inlineStr">
        <is>
          <t>2025-08-14</t>
        </is>
      </c>
      <c r="C1136" s="17" t="inlineStr">
        <is>
          <t>20:00:29</t>
        </is>
      </c>
      <c r="D1136" s="17" t="n">
        <v>1168</v>
      </c>
      <c r="E1136" s="17" t="n">
        <v>110</v>
      </c>
      <c r="F1136" s="17" t="n">
        <v>214</v>
      </c>
      <c r="G1136" s="17" t="inlineStr">
        <is>
          <t>Pune</t>
        </is>
      </c>
      <c r="H1136" s="17" t="inlineStr">
        <is>
          <t>North Indian</t>
        </is>
      </c>
      <c r="I1136" s="22" t="n">
        <v>257</v>
      </c>
      <c r="J1136" s="22" t="n">
        <v>9.869999999999999</v>
      </c>
      <c r="K1136" s="22" t="n">
        <v>27.5</v>
      </c>
      <c r="L1136" s="23" t="n">
        <v>0.18</v>
      </c>
      <c r="M1136" s="22" t="n">
        <v>53.14</v>
      </c>
      <c r="N1136" s="24" t="n">
        <v>3.5</v>
      </c>
      <c r="O1136" s="24" t="n">
        <v>38.1</v>
      </c>
      <c r="P1136" s="17" t="inlineStr">
        <is>
          <t>Credit Card</t>
        </is>
      </c>
      <c r="Q1136" s="17" t="inlineStr">
        <is>
          <t>Delivered</t>
        </is>
      </c>
      <c r="R1136" s="17" t="n">
        <v>4</v>
      </c>
      <c r="S1136" s="17">
        <f>TEXT(B1136,"yyyy-mm")</f>
        <v/>
      </c>
      <c r="T1136" s="17">
        <f>VLOOKUP(D1136,Customers!A:D,4,FALSE)</f>
        <v/>
      </c>
      <c r="U1136" s="17">
        <f>CONCATENATE(A1136,"-",G1136)</f>
        <v/>
      </c>
      <c r="V1136" s="17">
        <f>IF(N1136="","",IF(N1136&lt;=30,"Fast (&lt;30m)",IF(N1136&lt;=45,"Moderate (30-45m)","Delayed (&gt;45m)")))</f>
        <v/>
      </c>
      <c r="W1136" s="17">
        <f>IF(AND(I1136&gt;600,P1136="Delivered"),"High Value Delivered","Standard")</f>
        <v/>
      </c>
      <c r="X1136" s="17">
        <f>IF(OR(N1136&gt;50,Q1136&lt;=2),"High Risk / Delayed","Normal")</f>
        <v/>
      </c>
      <c r="Y1136" s="17">
        <f>IF(NOT(P1136="Cancelled"),"Fulfilled","Cancelled")</f>
        <v/>
      </c>
      <c r="Z1136" s="17">
        <f>IFERROR(Q1136,0)</f>
        <v/>
      </c>
    </row>
    <row r="1137">
      <c r="A1137" s="25" t="inlineStr">
        <is>
          <t>ORD2136</t>
        </is>
      </c>
      <c r="B1137" s="25" t="inlineStr">
        <is>
          <t>2025-05-22</t>
        </is>
      </c>
      <c r="C1137" s="25" t="inlineStr">
        <is>
          <t>17:57:39</t>
        </is>
      </c>
      <c r="D1137" s="25" t="n">
        <v>1119</v>
      </c>
      <c r="E1137" s="25" t="n">
        <v>104</v>
      </c>
      <c r="F1137" s="25" t="n">
        <v>230</v>
      </c>
      <c r="G1137" s="25" t="inlineStr">
        <is>
          <t>Delhi NCR</t>
        </is>
      </c>
      <c r="H1137" s="25" t="inlineStr">
        <is>
          <t>Fast Food</t>
        </is>
      </c>
      <c r="I1137" s="26" t="n">
        <v>964</v>
      </c>
      <c r="J1137" s="26" t="n">
        <v>188.3</v>
      </c>
      <c r="K1137" s="26" t="n">
        <v>0</v>
      </c>
      <c r="L1137" s="27" t="n">
        <v>0.18</v>
      </c>
      <c r="M1137" s="26" t="n">
        <v>173.52</v>
      </c>
      <c r="N1137" s="28" t="n">
        <v>5.6</v>
      </c>
      <c r="O1137" s="28" t="n">
        <v>36.6</v>
      </c>
      <c r="P1137" s="25" t="inlineStr">
        <is>
          <t>Debit Card</t>
        </is>
      </c>
      <c r="Q1137" s="25" t="inlineStr">
        <is>
          <t>Delivered</t>
        </is>
      </c>
      <c r="R1137" s="25" t="n">
        <v>3</v>
      </c>
      <c r="S1137" s="25">
        <f>TEXT(B1137,"yyyy-mm")</f>
        <v/>
      </c>
      <c r="T1137" s="25">
        <f>VLOOKUP(D1137,Customers!A:D,4,FALSE)</f>
        <v/>
      </c>
      <c r="U1137" s="25">
        <f>CONCATENATE(A1137,"-",G1137)</f>
        <v/>
      </c>
      <c r="V1137" s="25">
        <f>IF(N1137="","",IF(N1137&lt;=30,"Fast (&lt;30m)",IF(N1137&lt;=45,"Moderate (30-45m)","Delayed (&gt;45m)")))</f>
        <v/>
      </c>
      <c r="W1137" s="25">
        <f>IF(AND(I1137&gt;600,P1137="Delivered"),"High Value Delivered","Standard")</f>
        <v/>
      </c>
      <c r="X1137" s="25">
        <f>IF(OR(N1137&gt;50,Q1137&lt;=2),"High Risk / Delayed","Normal")</f>
        <v/>
      </c>
      <c r="Y1137" s="25">
        <f>IF(NOT(P1137="Cancelled"),"Fulfilled","Cancelled")</f>
        <v/>
      </c>
      <c r="Z1137" s="25">
        <f>IFERROR(Q1137,0)</f>
        <v/>
      </c>
    </row>
    <row r="1138">
      <c r="A1138" s="17" t="inlineStr">
        <is>
          <t>ORD2137</t>
        </is>
      </c>
      <c r="B1138" s="17" t="inlineStr">
        <is>
          <t>2025-03-07</t>
        </is>
      </c>
      <c r="C1138" s="17" t="inlineStr">
        <is>
          <t>19:14:40</t>
        </is>
      </c>
      <c r="D1138" s="17" t="n">
        <v>1215</v>
      </c>
      <c r="E1138" s="17" t="n">
        <v>120</v>
      </c>
      <c r="F1138" s="17" t="n">
        <v>207</v>
      </c>
      <c r="G1138" s="17" t="inlineStr">
        <is>
          <t>Pune</t>
        </is>
      </c>
      <c r="H1138" s="17" t="inlineStr">
        <is>
          <t>Fast Food</t>
        </is>
      </c>
      <c r="I1138" s="22" t="n">
        <v>398</v>
      </c>
      <c r="J1138" s="22" t="n">
        <v>23.99</v>
      </c>
      <c r="K1138" s="22" t="n">
        <v>46.5</v>
      </c>
      <c r="L1138" s="23" t="n">
        <v>0.18</v>
      </c>
      <c r="M1138" s="22" t="n">
        <v>83.26000000000001</v>
      </c>
      <c r="N1138" s="24" t="n">
        <v>7.3</v>
      </c>
      <c r="O1138" s="24" t="n">
        <v>45.8</v>
      </c>
      <c r="P1138" s="17" t="inlineStr">
        <is>
          <t>UPI</t>
        </is>
      </c>
      <c r="Q1138" s="17" t="inlineStr">
        <is>
          <t>Delivered</t>
        </is>
      </c>
      <c r="R1138" s="17" t="n">
        <v>3</v>
      </c>
      <c r="S1138" s="17">
        <f>TEXT(B1138,"yyyy-mm")</f>
        <v/>
      </c>
      <c r="T1138" s="17">
        <f>VLOOKUP(D1138,Customers!A:D,4,FALSE)</f>
        <v/>
      </c>
      <c r="U1138" s="17">
        <f>CONCATENATE(A1138,"-",G1138)</f>
        <v/>
      </c>
      <c r="V1138" s="17">
        <f>IF(N1138="","",IF(N1138&lt;=30,"Fast (&lt;30m)",IF(N1138&lt;=45,"Moderate (30-45m)","Delayed (&gt;45m)")))</f>
        <v/>
      </c>
      <c r="W1138" s="17">
        <f>IF(AND(I1138&gt;600,P1138="Delivered"),"High Value Delivered","Standard")</f>
        <v/>
      </c>
      <c r="X1138" s="17">
        <f>IF(OR(N1138&gt;50,Q1138&lt;=2),"High Risk / Delayed","Normal")</f>
        <v/>
      </c>
      <c r="Y1138" s="17">
        <f>IF(NOT(P1138="Cancelled"),"Fulfilled","Cancelled")</f>
        <v/>
      </c>
      <c r="Z1138" s="17">
        <f>IFERROR(Q1138,0)</f>
        <v/>
      </c>
    </row>
    <row r="1139">
      <c r="A1139" s="25" t="inlineStr">
        <is>
          <t>ORD2138</t>
        </is>
      </c>
      <c r="B1139" s="25" t="inlineStr">
        <is>
          <t>2025-12-02</t>
        </is>
      </c>
      <c r="C1139" s="25" t="inlineStr">
        <is>
          <t>15:02:11</t>
        </is>
      </c>
      <c r="D1139" s="25" t="n">
        <v>1218</v>
      </c>
      <c r="E1139" s="25" t="n">
        <v>112</v>
      </c>
      <c r="F1139" s="25" t="n">
        <v>219</v>
      </c>
      <c r="G1139" s="25" t="inlineStr">
        <is>
          <t>Delhi NCR</t>
        </is>
      </c>
      <c r="H1139" s="25" t="inlineStr">
        <is>
          <t>North Indian</t>
        </is>
      </c>
      <c r="I1139" s="26" t="n">
        <v>920</v>
      </c>
      <c r="J1139" s="26" t="n">
        <v>78.63</v>
      </c>
      <c r="K1139" s="26" t="n">
        <v>25</v>
      </c>
      <c r="L1139" s="27" t="n">
        <v>0.22</v>
      </c>
      <c r="M1139" s="26" t="n">
        <v>208.65</v>
      </c>
      <c r="N1139" s="28" t="n">
        <v>3</v>
      </c>
      <c r="O1139" s="28" t="n">
        <v>25.7</v>
      </c>
      <c r="P1139" s="25" t="inlineStr">
        <is>
          <t>Debit Card</t>
        </is>
      </c>
      <c r="Q1139" s="25" t="inlineStr">
        <is>
          <t>Delivered</t>
        </is>
      </c>
      <c r="R1139" s="25" t="n">
        <v>5</v>
      </c>
      <c r="S1139" s="25">
        <f>TEXT(B1139,"yyyy-mm")</f>
        <v/>
      </c>
      <c r="T1139" s="25">
        <f>VLOOKUP(D1139,Customers!A:D,4,FALSE)</f>
        <v/>
      </c>
      <c r="U1139" s="25">
        <f>CONCATENATE(A1139,"-",G1139)</f>
        <v/>
      </c>
      <c r="V1139" s="25">
        <f>IF(N1139="","",IF(N1139&lt;=30,"Fast (&lt;30m)",IF(N1139&lt;=45,"Moderate (30-45m)","Delayed (&gt;45m)")))</f>
        <v/>
      </c>
      <c r="W1139" s="25">
        <f>IF(AND(I1139&gt;600,P1139="Delivered"),"High Value Delivered","Standard")</f>
        <v/>
      </c>
      <c r="X1139" s="25">
        <f>IF(OR(N1139&gt;50,Q1139&lt;=2),"High Risk / Delayed","Normal")</f>
        <v/>
      </c>
      <c r="Y1139" s="25">
        <f>IF(NOT(P1139="Cancelled"),"Fulfilled","Cancelled")</f>
        <v/>
      </c>
      <c r="Z1139" s="25">
        <f>IFERROR(Q1139,0)</f>
        <v/>
      </c>
    </row>
    <row r="1140">
      <c r="A1140" s="17" t="inlineStr">
        <is>
          <t>ORD2139</t>
        </is>
      </c>
      <c r="B1140" s="17" t="inlineStr">
        <is>
          <t>2025-02-01</t>
        </is>
      </c>
      <c r="C1140" s="17" t="inlineStr">
        <is>
          <t>22:45:16</t>
        </is>
      </c>
      <c r="D1140" s="17" t="n">
        <v>1086</v>
      </c>
      <c r="E1140" s="17" t="n">
        <v>112</v>
      </c>
      <c r="F1140" s="17" t="n">
        <v>212</v>
      </c>
      <c r="G1140" s="17" t="inlineStr">
        <is>
          <t>Delhi NCR</t>
        </is>
      </c>
      <c r="H1140" s="17" t="inlineStr">
        <is>
          <t>North Indian</t>
        </is>
      </c>
      <c r="I1140" s="22" t="n">
        <v>483</v>
      </c>
      <c r="J1140" s="22" t="n">
        <v>0</v>
      </c>
      <c r="K1140" s="22" t="n">
        <v>33.5</v>
      </c>
      <c r="L1140" s="23" t="n">
        <v>0.22</v>
      </c>
      <c r="M1140" s="22" t="n">
        <v>114.64</v>
      </c>
      <c r="N1140" s="24" t="n">
        <v>4.7</v>
      </c>
      <c r="O1140" s="24" t="n">
        <v>35.8</v>
      </c>
      <c r="P1140" s="17" t="inlineStr">
        <is>
          <t>Debit Card</t>
        </is>
      </c>
      <c r="Q1140" s="17" t="inlineStr">
        <is>
          <t>Delivered</t>
        </is>
      </c>
      <c r="R1140" s="17" t="n">
        <v>3</v>
      </c>
      <c r="S1140" s="17">
        <f>TEXT(B1140,"yyyy-mm")</f>
        <v/>
      </c>
      <c r="T1140" s="17">
        <f>VLOOKUP(D1140,Customers!A:D,4,FALSE)</f>
        <v/>
      </c>
      <c r="U1140" s="17">
        <f>CONCATENATE(A1140,"-",G1140)</f>
        <v/>
      </c>
      <c r="V1140" s="17">
        <f>IF(N1140="","",IF(N1140&lt;=30,"Fast (&lt;30m)",IF(N1140&lt;=45,"Moderate (30-45m)","Delayed (&gt;45m)")))</f>
        <v/>
      </c>
      <c r="W1140" s="17">
        <f>IF(AND(I1140&gt;600,P1140="Delivered"),"High Value Delivered","Standard")</f>
        <v/>
      </c>
      <c r="X1140" s="17">
        <f>IF(OR(N1140&gt;50,Q1140&lt;=2),"High Risk / Delayed","Normal")</f>
        <v/>
      </c>
      <c r="Y1140" s="17">
        <f>IF(NOT(P1140="Cancelled"),"Fulfilled","Cancelled")</f>
        <v/>
      </c>
      <c r="Z1140" s="17">
        <f>IFERROR(Q1140,0)</f>
        <v/>
      </c>
    </row>
    <row r="1141">
      <c r="A1141" s="25" t="inlineStr">
        <is>
          <t>ORD2140</t>
        </is>
      </c>
      <c r="B1141" s="25" t="inlineStr">
        <is>
          <t>2025-02-25</t>
        </is>
      </c>
      <c r="C1141" s="25" t="inlineStr">
        <is>
          <t>21:04:32</t>
        </is>
      </c>
      <c r="D1141" s="25" t="n">
        <v>1225</v>
      </c>
      <c r="E1141" s="25" t="n">
        <v>116</v>
      </c>
      <c r="F1141" s="25" t="n">
        <v>208</v>
      </c>
      <c r="G1141" s="25" t="inlineStr">
        <is>
          <t>Pune</t>
        </is>
      </c>
      <c r="H1141" s="25" t="inlineStr">
        <is>
          <t>Desserts</t>
        </is>
      </c>
      <c r="I1141" s="26" t="n">
        <v>674</v>
      </c>
      <c r="J1141" s="26" t="n">
        <v>0</v>
      </c>
      <c r="K1141" s="26" t="n">
        <v>28.5</v>
      </c>
      <c r="L1141" s="27" t="n">
        <v>0.25</v>
      </c>
      <c r="M1141" s="26" t="n">
        <v>175.62</v>
      </c>
      <c r="N1141" s="28" t="n">
        <v>3.7</v>
      </c>
      <c r="O1141" s="28" t="n">
        <v>27.1</v>
      </c>
      <c r="P1141" s="25" t="inlineStr">
        <is>
          <t>Credit Card</t>
        </is>
      </c>
      <c r="Q1141" s="25" t="inlineStr">
        <is>
          <t>Delivered</t>
        </is>
      </c>
      <c r="R1141" s="25" t="n">
        <v>5</v>
      </c>
      <c r="S1141" s="25">
        <f>TEXT(B1141,"yyyy-mm")</f>
        <v/>
      </c>
      <c r="T1141" s="25">
        <f>VLOOKUP(D1141,Customers!A:D,4,FALSE)</f>
        <v/>
      </c>
      <c r="U1141" s="25">
        <f>CONCATENATE(A1141,"-",G1141)</f>
        <v/>
      </c>
      <c r="V1141" s="25">
        <f>IF(N1141="","",IF(N1141&lt;=30,"Fast (&lt;30m)",IF(N1141&lt;=45,"Moderate (30-45m)","Delayed (&gt;45m)")))</f>
        <v/>
      </c>
      <c r="W1141" s="25">
        <f>IF(AND(I1141&gt;600,P1141="Delivered"),"High Value Delivered","Standard")</f>
        <v/>
      </c>
      <c r="X1141" s="25">
        <f>IF(OR(N1141&gt;50,Q1141&lt;=2),"High Risk / Delayed","Normal")</f>
        <v/>
      </c>
      <c r="Y1141" s="25">
        <f>IF(NOT(P1141="Cancelled"),"Fulfilled","Cancelled")</f>
        <v/>
      </c>
      <c r="Z1141" s="25">
        <f>IFERROR(Q1141,0)</f>
        <v/>
      </c>
    </row>
    <row r="1142">
      <c r="A1142" s="17" t="inlineStr">
        <is>
          <t>ORD2141</t>
        </is>
      </c>
      <c r="B1142" s="17" t="inlineStr">
        <is>
          <t>2025-02-06</t>
        </is>
      </c>
      <c r="C1142" s="17" t="inlineStr">
        <is>
          <t>19:41:27</t>
        </is>
      </c>
      <c r="D1142" s="17" t="n">
        <v>1014</v>
      </c>
      <c r="E1142" s="17" t="n">
        <v>108</v>
      </c>
      <c r="F1142" s="17" t="n">
        <v>211</v>
      </c>
      <c r="G1142" s="17" t="inlineStr">
        <is>
          <t>Delhi NCR</t>
        </is>
      </c>
      <c r="H1142" s="17" t="inlineStr">
        <is>
          <t>Fast Food</t>
        </is>
      </c>
      <c r="I1142" s="22" t="n">
        <v>509</v>
      </c>
      <c r="J1142" s="22" t="n">
        <v>0</v>
      </c>
      <c r="K1142" s="22" t="n">
        <v>33.5</v>
      </c>
      <c r="L1142" s="23" t="n">
        <v>0.18</v>
      </c>
      <c r="M1142" s="22" t="n">
        <v>99.98999999999999</v>
      </c>
      <c r="N1142" s="24" t="n">
        <v>4.7</v>
      </c>
      <c r="O1142" s="24" t="n">
        <v>37.8</v>
      </c>
      <c r="P1142" s="17" t="inlineStr">
        <is>
          <t>Debit Card</t>
        </is>
      </c>
      <c r="Q1142" s="17" t="inlineStr">
        <is>
          <t>Delivered</t>
        </is>
      </c>
      <c r="R1142" s="17" t="n">
        <v>4</v>
      </c>
      <c r="S1142" s="17">
        <f>TEXT(B1142,"yyyy-mm")</f>
        <v/>
      </c>
      <c r="T1142" s="17">
        <f>VLOOKUP(D1142,Customers!A:D,4,FALSE)</f>
        <v/>
      </c>
      <c r="U1142" s="17">
        <f>CONCATENATE(A1142,"-",G1142)</f>
        <v/>
      </c>
      <c r="V1142" s="17">
        <f>IF(N1142="","",IF(N1142&lt;=30,"Fast (&lt;30m)",IF(N1142&lt;=45,"Moderate (30-45m)","Delayed (&gt;45m)")))</f>
        <v/>
      </c>
      <c r="W1142" s="17">
        <f>IF(AND(I1142&gt;600,P1142="Delivered"),"High Value Delivered","Standard")</f>
        <v/>
      </c>
      <c r="X1142" s="17">
        <f>IF(OR(N1142&gt;50,Q1142&lt;=2),"High Risk / Delayed","Normal")</f>
        <v/>
      </c>
      <c r="Y1142" s="17">
        <f>IF(NOT(P1142="Cancelled"),"Fulfilled","Cancelled")</f>
        <v/>
      </c>
      <c r="Z1142" s="17">
        <f>IFERROR(Q1142,0)</f>
        <v/>
      </c>
    </row>
    <row r="1143">
      <c r="A1143" s="25" t="inlineStr">
        <is>
          <t>ORD2142</t>
        </is>
      </c>
      <c r="B1143" s="25" t="inlineStr">
        <is>
          <t>2025-08-29</t>
        </is>
      </c>
      <c r="C1143" s="25" t="inlineStr">
        <is>
          <t>18:18:39</t>
        </is>
      </c>
      <c r="D1143" s="25" t="n">
        <v>1062</v>
      </c>
      <c r="E1143" s="25" t="n">
        <v>103</v>
      </c>
      <c r="F1143" s="25" t="n">
        <v>229</v>
      </c>
      <c r="G1143" s="25" t="inlineStr">
        <is>
          <t>Mumbai</t>
        </is>
      </c>
      <c r="H1143" s="25" t="inlineStr">
        <is>
          <t>Italian</t>
        </is>
      </c>
      <c r="I1143" s="26" t="n">
        <v>251</v>
      </c>
      <c r="J1143" s="26" t="n">
        <v>0</v>
      </c>
      <c r="K1143" s="26" t="n">
        <v>25</v>
      </c>
      <c r="L1143" s="27" t="n">
        <v>0.18</v>
      </c>
      <c r="M1143" s="26" t="n">
        <v>51.43</v>
      </c>
      <c r="N1143" s="28" t="n">
        <v>2.2</v>
      </c>
      <c r="O1143" s="28" t="n">
        <v>22</v>
      </c>
      <c r="P1143" s="25" t="inlineStr">
        <is>
          <t>Credit Card</t>
        </is>
      </c>
      <c r="Q1143" s="25" t="inlineStr">
        <is>
          <t>Delivered</t>
        </is>
      </c>
      <c r="R1143" s="25" t="n">
        <v>5</v>
      </c>
      <c r="S1143" s="25">
        <f>TEXT(B1143,"yyyy-mm")</f>
        <v/>
      </c>
      <c r="T1143" s="25">
        <f>VLOOKUP(D1143,Customers!A:D,4,FALSE)</f>
        <v/>
      </c>
      <c r="U1143" s="25">
        <f>CONCATENATE(A1143,"-",G1143)</f>
        <v/>
      </c>
      <c r="V1143" s="25">
        <f>IF(N1143="","",IF(N1143&lt;=30,"Fast (&lt;30m)",IF(N1143&lt;=45,"Moderate (30-45m)","Delayed (&gt;45m)")))</f>
        <v/>
      </c>
      <c r="W1143" s="25">
        <f>IF(AND(I1143&gt;600,P1143="Delivered"),"High Value Delivered","Standard")</f>
        <v/>
      </c>
      <c r="X1143" s="25">
        <f>IF(OR(N1143&gt;50,Q1143&lt;=2),"High Risk / Delayed","Normal")</f>
        <v/>
      </c>
      <c r="Y1143" s="25">
        <f>IF(NOT(P1143="Cancelled"),"Fulfilled","Cancelled")</f>
        <v/>
      </c>
      <c r="Z1143" s="25">
        <f>IFERROR(Q1143,0)</f>
        <v/>
      </c>
    </row>
    <row r="1144">
      <c r="A1144" s="17" t="inlineStr">
        <is>
          <t>ORD2143</t>
        </is>
      </c>
      <c r="B1144" s="17" t="inlineStr">
        <is>
          <t>2025-06-10</t>
        </is>
      </c>
      <c r="C1144" s="17" t="inlineStr">
        <is>
          <t>17:32:45</t>
        </is>
      </c>
      <c r="D1144" s="17" t="n">
        <v>1241</v>
      </c>
      <c r="E1144" s="17" t="n">
        <v>119</v>
      </c>
      <c r="F1144" s="17" t="n">
        <v>225</v>
      </c>
      <c r="G1144" s="17" t="inlineStr">
        <is>
          <t>Hyderabad</t>
        </is>
      </c>
      <c r="H1144" s="17" t="inlineStr">
        <is>
          <t>Biryani</t>
        </is>
      </c>
      <c r="I1144" s="22" t="n">
        <v>1040</v>
      </c>
      <c r="J1144" s="22" t="n">
        <v>164.47</v>
      </c>
      <c r="K1144" s="22" t="n">
        <v>0</v>
      </c>
      <c r="L1144" s="23" t="n">
        <v>0.2</v>
      </c>
      <c r="M1144" s="22" t="n">
        <v>208</v>
      </c>
      <c r="N1144" s="24" t="n">
        <v>6.8</v>
      </c>
      <c r="O1144" s="24" t="n">
        <v>36.5</v>
      </c>
      <c r="P1144" s="17" t="inlineStr">
        <is>
          <t>Credit Card</t>
        </is>
      </c>
      <c r="Q1144" s="17" t="inlineStr">
        <is>
          <t>Delivered</t>
        </is>
      </c>
      <c r="R1144" s="17" t="n">
        <v>4</v>
      </c>
      <c r="S1144" s="17">
        <f>TEXT(B1144,"yyyy-mm")</f>
        <v/>
      </c>
      <c r="T1144" s="17">
        <f>VLOOKUP(D1144,Customers!A:D,4,FALSE)</f>
        <v/>
      </c>
      <c r="U1144" s="17">
        <f>CONCATENATE(A1144,"-",G1144)</f>
        <v/>
      </c>
      <c r="V1144" s="17">
        <f>IF(N1144="","",IF(N1144&lt;=30,"Fast (&lt;30m)",IF(N1144&lt;=45,"Moderate (30-45m)","Delayed (&gt;45m)")))</f>
        <v/>
      </c>
      <c r="W1144" s="17">
        <f>IF(AND(I1144&gt;600,P1144="Delivered"),"High Value Delivered","Standard")</f>
        <v/>
      </c>
      <c r="X1144" s="17">
        <f>IF(OR(N1144&gt;50,Q1144&lt;=2),"High Risk / Delayed","Normal")</f>
        <v/>
      </c>
      <c r="Y1144" s="17">
        <f>IF(NOT(P1144="Cancelled"),"Fulfilled","Cancelled")</f>
        <v/>
      </c>
      <c r="Z1144" s="17">
        <f>IFERROR(Q1144,0)</f>
        <v/>
      </c>
    </row>
    <row r="1145">
      <c r="A1145" s="25" t="inlineStr">
        <is>
          <t>ORD2144</t>
        </is>
      </c>
      <c r="B1145" s="25" t="inlineStr">
        <is>
          <t>2025-07-15</t>
        </is>
      </c>
      <c r="C1145" s="25" t="inlineStr">
        <is>
          <t>20:48:41</t>
        </is>
      </c>
      <c r="D1145" s="25" t="n">
        <v>1101</v>
      </c>
      <c r="E1145" s="25" t="n">
        <v>111</v>
      </c>
      <c r="F1145" s="25" t="n">
        <v>223</v>
      </c>
      <c r="G1145" s="25" t="inlineStr">
        <is>
          <t>Bangalore</t>
        </is>
      </c>
      <c r="H1145" s="25" t="inlineStr">
        <is>
          <t>South Indian</t>
        </is>
      </c>
      <c r="I1145" s="26" t="n">
        <v>300</v>
      </c>
      <c r="J1145" s="26" t="n">
        <v>23.01</v>
      </c>
      <c r="K1145" s="26" t="n">
        <v>29.5</v>
      </c>
      <c r="L1145" s="27" t="n">
        <v>0.15</v>
      </c>
      <c r="M1145" s="26" t="n">
        <v>52.38</v>
      </c>
      <c r="N1145" s="28" t="n">
        <v>3.9</v>
      </c>
      <c r="O1145" s="28" t="n">
        <v>38.5</v>
      </c>
      <c r="P1145" s="25" t="inlineStr">
        <is>
          <t>Digital Wallet</t>
        </is>
      </c>
      <c r="Q1145" s="25" t="inlineStr">
        <is>
          <t>Delivered</t>
        </is>
      </c>
      <c r="R1145" s="25" t="n">
        <v>5</v>
      </c>
      <c r="S1145" s="25">
        <f>TEXT(B1145,"yyyy-mm")</f>
        <v/>
      </c>
      <c r="T1145" s="25">
        <f>VLOOKUP(D1145,Customers!A:D,4,FALSE)</f>
        <v/>
      </c>
      <c r="U1145" s="25">
        <f>CONCATENATE(A1145,"-",G1145)</f>
        <v/>
      </c>
      <c r="V1145" s="25">
        <f>IF(N1145="","",IF(N1145&lt;=30,"Fast (&lt;30m)",IF(N1145&lt;=45,"Moderate (30-45m)","Delayed (&gt;45m)")))</f>
        <v/>
      </c>
      <c r="W1145" s="25">
        <f>IF(AND(I1145&gt;600,P1145="Delivered"),"High Value Delivered","Standard")</f>
        <v/>
      </c>
      <c r="X1145" s="25">
        <f>IF(OR(N1145&gt;50,Q1145&lt;=2),"High Risk / Delayed","Normal")</f>
        <v/>
      </c>
      <c r="Y1145" s="25">
        <f>IF(NOT(P1145="Cancelled"),"Fulfilled","Cancelled")</f>
        <v/>
      </c>
      <c r="Z1145" s="25">
        <f>IFERROR(Q1145,0)</f>
        <v/>
      </c>
    </row>
    <row r="1146">
      <c r="A1146" s="17" t="inlineStr">
        <is>
          <t>ORD2145</t>
        </is>
      </c>
      <c r="B1146" s="17" t="inlineStr">
        <is>
          <t>2025-11-07</t>
        </is>
      </c>
      <c r="C1146" s="17" t="inlineStr">
        <is>
          <t>22:30:42</t>
        </is>
      </c>
      <c r="D1146" s="17" t="n">
        <v>1210</v>
      </c>
      <c r="E1146" s="17" t="n">
        <v>104</v>
      </c>
      <c r="F1146" s="17" t="n">
        <v>221</v>
      </c>
      <c r="G1146" s="17" t="inlineStr">
        <is>
          <t>Delhi NCR</t>
        </is>
      </c>
      <c r="H1146" s="17" t="inlineStr">
        <is>
          <t>Fast Food</t>
        </is>
      </c>
      <c r="I1146" s="22" t="n">
        <v>757</v>
      </c>
      <c r="J1146" s="22" t="n">
        <v>19.19</v>
      </c>
      <c r="K1146" s="22" t="n">
        <v>25</v>
      </c>
      <c r="L1146" s="23" t="n">
        <v>0.18</v>
      </c>
      <c r="M1146" s="22" t="n">
        <v>142.51</v>
      </c>
      <c r="N1146" s="24" t="n">
        <v>2.4</v>
      </c>
      <c r="O1146" s="24" t="n">
        <v>23.2</v>
      </c>
      <c r="P1146" s="17" t="inlineStr">
        <is>
          <t>Digital Wallet</t>
        </is>
      </c>
      <c r="Q1146" s="17" t="inlineStr">
        <is>
          <t>Delivered</t>
        </is>
      </c>
      <c r="R1146" s="17" t="n">
        <v>4</v>
      </c>
      <c r="S1146" s="17">
        <f>TEXT(B1146,"yyyy-mm")</f>
        <v/>
      </c>
      <c r="T1146" s="17">
        <f>VLOOKUP(D1146,Customers!A:D,4,FALSE)</f>
        <v/>
      </c>
      <c r="U1146" s="17">
        <f>CONCATENATE(A1146,"-",G1146)</f>
        <v/>
      </c>
      <c r="V1146" s="17">
        <f>IF(N1146="","",IF(N1146&lt;=30,"Fast (&lt;30m)",IF(N1146&lt;=45,"Moderate (30-45m)","Delayed (&gt;45m)")))</f>
        <v/>
      </c>
      <c r="W1146" s="17">
        <f>IF(AND(I1146&gt;600,P1146="Delivered"),"High Value Delivered","Standard")</f>
        <v/>
      </c>
      <c r="X1146" s="17">
        <f>IF(OR(N1146&gt;50,Q1146&lt;=2),"High Risk / Delayed","Normal")</f>
        <v/>
      </c>
      <c r="Y1146" s="17">
        <f>IF(NOT(P1146="Cancelled"),"Fulfilled","Cancelled")</f>
        <v/>
      </c>
      <c r="Z1146" s="17">
        <f>IFERROR(Q1146,0)</f>
        <v/>
      </c>
    </row>
    <row r="1147">
      <c r="A1147" s="25" t="inlineStr">
        <is>
          <t>ORD2146</t>
        </is>
      </c>
      <c r="B1147" s="25" t="inlineStr">
        <is>
          <t>2025-05-05</t>
        </is>
      </c>
      <c r="C1147" s="25" t="inlineStr">
        <is>
          <t>18:51:49</t>
        </is>
      </c>
      <c r="D1147" s="25" t="n">
        <v>1174</v>
      </c>
      <c r="E1147" s="25" t="n">
        <v>114</v>
      </c>
      <c r="F1147" s="25" t="n">
        <v>225</v>
      </c>
      <c r="G1147" s="25" t="inlineStr">
        <is>
          <t>Hyderabad</t>
        </is>
      </c>
      <c r="H1147" s="25" t="inlineStr">
        <is>
          <t>Biryani</t>
        </is>
      </c>
      <c r="I1147" s="26" t="n">
        <v>590</v>
      </c>
      <c r="J1147" s="26" t="n">
        <v>0</v>
      </c>
      <c r="K1147" s="26" t="n">
        <v>25</v>
      </c>
      <c r="L1147" s="27" t="n">
        <v>0.22</v>
      </c>
      <c r="M1147" s="26" t="n">
        <v>136.05</v>
      </c>
      <c r="N1147" s="28" t="n">
        <v>1.4</v>
      </c>
      <c r="O1147" s="28" t="n">
        <v>20.1</v>
      </c>
      <c r="P1147" s="25" t="inlineStr">
        <is>
          <t>UPI</t>
        </is>
      </c>
      <c r="Q1147" s="25" t="inlineStr">
        <is>
          <t>Delivered</t>
        </is>
      </c>
      <c r="R1147" s="25" t="n">
        <v>4</v>
      </c>
      <c r="S1147" s="25">
        <f>TEXT(B1147,"yyyy-mm")</f>
        <v/>
      </c>
      <c r="T1147" s="25">
        <f>VLOOKUP(D1147,Customers!A:D,4,FALSE)</f>
        <v/>
      </c>
      <c r="U1147" s="25">
        <f>CONCATENATE(A1147,"-",G1147)</f>
        <v/>
      </c>
      <c r="V1147" s="25">
        <f>IF(N1147="","",IF(N1147&lt;=30,"Fast (&lt;30m)",IF(N1147&lt;=45,"Moderate (30-45m)","Delayed (&gt;45m)")))</f>
        <v/>
      </c>
      <c r="W1147" s="25">
        <f>IF(AND(I1147&gt;600,P1147="Delivered"),"High Value Delivered","Standard")</f>
        <v/>
      </c>
      <c r="X1147" s="25">
        <f>IF(OR(N1147&gt;50,Q1147&lt;=2),"High Risk / Delayed","Normal")</f>
        <v/>
      </c>
      <c r="Y1147" s="25">
        <f>IF(NOT(P1147="Cancelled"),"Fulfilled","Cancelled")</f>
        <v/>
      </c>
      <c r="Z1147" s="25">
        <f>IFERROR(Q1147,0)</f>
        <v/>
      </c>
    </row>
    <row r="1148">
      <c r="A1148" s="17" t="inlineStr">
        <is>
          <t>ORD2147</t>
        </is>
      </c>
      <c r="B1148" s="17" t="inlineStr">
        <is>
          <t>2025-07-05</t>
        </is>
      </c>
      <c r="C1148" s="17" t="inlineStr">
        <is>
          <t>10:05:22</t>
        </is>
      </c>
      <c r="D1148" s="17" t="n">
        <v>1200</v>
      </c>
      <c r="E1148" s="17" t="n">
        <v>107</v>
      </c>
      <c r="F1148" s="17" t="n">
        <v>202</v>
      </c>
      <c r="G1148" s="17" t="inlineStr">
        <is>
          <t>Mumbai</t>
        </is>
      </c>
      <c r="H1148" s="17" t="inlineStr">
        <is>
          <t>Desserts</t>
        </is>
      </c>
      <c r="I1148" s="22" t="n">
        <v>793</v>
      </c>
      <c r="J1148" s="22" t="n">
        <v>67.72</v>
      </c>
      <c r="K1148" s="22" t="n">
        <v>26.5</v>
      </c>
      <c r="L1148" s="23" t="n">
        <v>0.25</v>
      </c>
      <c r="M1148" s="22" t="n">
        <v>204.88</v>
      </c>
      <c r="N1148" s="24" t="n">
        <v>3.3</v>
      </c>
      <c r="O1148" s="24" t="n">
        <v>34</v>
      </c>
      <c r="P1148" s="17" t="inlineStr">
        <is>
          <t>Cash on Delivery</t>
        </is>
      </c>
      <c r="Q1148" s="17" t="inlineStr">
        <is>
          <t>Delivered</t>
        </is>
      </c>
      <c r="R1148" s="17" t="n">
        <v>5</v>
      </c>
      <c r="S1148" s="17">
        <f>TEXT(B1148,"yyyy-mm")</f>
        <v/>
      </c>
      <c r="T1148" s="17">
        <f>VLOOKUP(D1148,Customers!A:D,4,FALSE)</f>
        <v/>
      </c>
      <c r="U1148" s="17">
        <f>CONCATENATE(A1148,"-",G1148)</f>
        <v/>
      </c>
      <c r="V1148" s="17">
        <f>IF(N1148="","",IF(N1148&lt;=30,"Fast (&lt;30m)",IF(N1148&lt;=45,"Moderate (30-45m)","Delayed (&gt;45m)")))</f>
        <v/>
      </c>
      <c r="W1148" s="17">
        <f>IF(AND(I1148&gt;600,P1148="Delivered"),"High Value Delivered","Standard")</f>
        <v/>
      </c>
      <c r="X1148" s="17">
        <f>IF(OR(N1148&gt;50,Q1148&lt;=2),"High Risk / Delayed","Normal")</f>
        <v/>
      </c>
      <c r="Y1148" s="17">
        <f>IF(NOT(P1148="Cancelled"),"Fulfilled","Cancelled")</f>
        <v/>
      </c>
      <c r="Z1148" s="17">
        <f>IFERROR(Q1148,0)</f>
        <v/>
      </c>
    </row>
    <row r="1149">
      <c r="A1149" s="25" t="inlineStr">
        <is>
          <t>ORD2148</t>
        </is>
      </c>
      <c r="B1149" s="25" t="inlineStr">
        <is>
          <t>2025-04-28</t>
        </is>
      </c>
      <c r="C1149" s="25" t="inlineStr">
        <is>
          <t>13:36:52</t>
        </is>
      </c>
      <c r="D1149" s="25" t="n">
        <v>1256</v>
      </c>
      <c r="E1149" s="25" t="n">
        <v>111</v>
      </c>
      <c r="F1149" s="25" t="n">
        <v>218</v>
      </c>
      <c r="G1149" s="25" t="inlineStr">
        <is>
          <t>Bangalore</t>
        </is>
      </c>
      <c r="H1149" s="25" t="inlineStr">
        <is>
          <t>South Indian</t>
        </is>
      </c>
      <c r="I1149" s="26" t="n">
        <v>348</v>
      </c>
      <c r="J1149" s="26" t="n">
        <v>6.82</v>
      </c>
      <c r="K1149" s="26" t="n">
        <v>25</v>
      </c>
      <c r="L1149" s="27" t="n">
        <v>0.15</v>
      </c>
      <c r="M1149" s="26" t="n">
        <v>58.45</v>
      </c>
      <c r="N1149" s="28" t="n">
        <v>1</v>
      </c>
      <c r="O1149" s="28" t="n">
        <v>25.1</v>
      </c>
      <c r="P1149" s="25" t="inlineStr">
        <is>
          <t>Digital Wallet</t>
        </is>
      </c>
      <c r="Q1149" s="25" t="inlineStr">
        <is>
          <t>Delivered</t>
        </is>
      </c>
      <c r="R1149" s="25" t="n">
        <v>5</v>
      </c>
      <c r="S1149" s="25">
        <f>TEXT(B1149,"yyyy-mm")</f>
        <v/>
      </c>
      <c r="T1149" s="25">
        <f>VLOOKUP(D1149,Customers!A:D,4,FALSE)</f>
        <v/>
      </c>
      <c r="U1149" s="25">
        <f>CONCATENATE(A1149,"-",G1149)</f>
        <v/>
      </c>
      <c r="V1149" s="25">
        <f>IF(N1149="","",IF(N1149&lt;=30,"Fast (&lt;30m)",IF(N1149&lt;=45,"Moderate (30-45m)","Delayed (&gt;45m)")))</f>
        <v/>
      </c>
      <c r="W1149" s="25">
        <f>IF(AND(I1149&gt;600,P1149="Delivered"),"High Value Delivered","Standard")</f>
        <v/>
      </c>
      <c r="X1149" s="25">
        <f>IF(OR(N1149&gt;50,Q1149&lt;=2),"High Risk / Delayed","Normal")</f>
        <v/>
      </c>
      <c r="Y1149" s="25">
        <f>IF(NOT(P1149="Cancelled"),"Fulfilled","Cancelled")</f>
        <v/>
      </c>
      <c r="Z1149" s="25">
        <f>IFERROR(Q1149,0)</f>
        <v/>
      </c>
    </row>
    <row r="1150">
      <c r="A1150" s="17" t="inlineStr">
        <is>
          <t>ORD2149</t>
        </is>
      </c>
      <c r="B1150" s="17" t="inlineStr">
        <is>
          <t>2025-06-24</t>
        </is>
      </c>
      <c r="C1150" s="17" t="inlineStr">
        <is>
          <t>21:20:07</t>
        </is>
      </c>
      <c r="D1150" s="17" t="n">
        <v>1062</v>
      </c>
      <c r="E1150" s="17" t="n">
        <v>117</v>
      </c>
      <c r="F1150" s="17" t="n">
        <v>222</v>
      </c>
      <c r="G1150" s="17" t="inlineStr">
        <is>
          <t>Mumbai</t>
        </is>
      </c>
      <c r="H1150" s="17" t="inlineStr">
        <is>
          <t>Chinese</t>
        </is>
      </c>
      <c r="I1150" s="22" t="n">
        <v>303</v>
      </c>
      <c r="J1150" s="22" t="n">
        <v>0</v>
      </c>
      <c r="K1150" s="22" t="n">
        <v>29</v>
      </c>
      <c r="L1150" s="23" t="n">
        <v>0.2</v>
      </c>
      <c r="M1150" s="22" t="n">
        <v>67.84999999999999</v>
      </c>
      <c r="N1150" s="24" t="n">
        <v>3.8</v>
      </c>
      <c r="O1150" s="24" t="n">
        <v>34.8</v>
      </c>
      <c r="P1150" s="17" t="inlineStr">
        <is>
          <t>Credit Card</t>
        </is>
      </c>
      <c r="Q1150" s="17" t="inlineStr">
        <is>
          <t>Delivered</t>
        </is>
      </c>
      <c r="R1150" s="17" t="n">
        <v>2</v>
      </c>
      <c r="S1150" s="17">
        <f>TEXT(B1150,"yyyy-mm")</f>
        <v/>
      </c>
      <c r="T1150" s="17">
        <f>VLOOKUP(D1150,Customers!A:D,4,FALSE)</f>
        <v/>
      </c>
      <c r="U1150" s="17">
        <f>CONCATENATE(A1150,"-",G1150)</f>
        <v/>
      </c>
      <c r="V1150" s="17">
        <f>IF(N1150="","",IF(N1150&lt;=30,"Fast (&lt;30m)",IF(N1150&lt;=45,"Moderate (30-45m)","Delayed (&gt;45m)")))</f>
        <v/>
      </c>
      <c r="W1150" s="17">
        <f>IF(AND(I1150&gt;600,P1150="Delivered"),"High Value Delivered","Standard")</f>
        <v/>
      </c>
      <c r="X1150" s="17">
        <f>IF(OR(N1150&gt;50,Q1150&lt;=2),"High Risk / Delayed","Normal")</f>
        <v/>
      </c>
      <c r="Y1150" s="17">
        <f>IF(NOT(P1150="Cancelled"),"Fulfilled","Cancelled")</f>
        <v/>
      </c>
      <c r="Z1150" s="17">
        <f>IFERROR(Q1150,0)</f>
        <v/>
      </c>
    </row>
    <row r="1151">
      <c r="A1151" s="25" t="inlineStr">
        <is>
          <t>ORD2150</t>
        </is>
      </c>
      <c r="B1151" s="25" t="inlineStr">
        <is>
          <t>2025-08-21</t>
        </is>
      </c>
      <c r="C1151" s="25" t="inlineStr">
        <is>
          <t>20:00:10</t>
        </is>
      </c>
      <c r="D1151" s="25" t="n">
        <v>1052</v>
      </c>
      <c r="E1151" s="25" t="n">
        <v>109</v>
      </c>
      <c r="F1151" s="25" t="n">
        <v>216</v>
      </c>
      <c r="G1151" s="25" t="inlineStr">
        <is>
          <t>Hyderabad</t>
        </is>
      </c>
      <c r="H1151" s="25" t="inlineStr">
        <is>
          <t>Biryani</t>
        </is>
      </c>
      <c r="I1151" s="26" t="n">
        <v>343</v>
      </c>
      <c r="J1151" s="26" t="n">
        <v>27.2</v>
      </c>
      <c r="K1151" s="26" t="n">
        <v>43</v>
      </c>
      <c r="L1151" s="27" t="n">
        <v>0.2</v>
      </c>
      <c r="M1151" s="26" t="n">
        <v>79.34999999999999</v>
      </c>
      <c r="N1151" s="28" t="n">
        <v>6.6</v>
      </c>
      <c r="O1151" s="28" t="n">
        <v>49</v>
      </c>
      <c r="P1151" s="25" t="inlineStr">
        <is>
          <t>Cash on Delivery</t>
        </is>
      </c>
      <c r="Q1151" s="25" t="inlineStr">
        <is>
          <t>Delivered</t>
        </is>
      </c>
      <c r="R1151" s="25" t="n">
        <v>3</v>
      </c>
      <c r="S1151" s="25">
        <f>TEXT(B1151,"yyyy-mm")</f>
        <v/>
      </c>
      <c r="T1151" s="25">
        <f>VLOOKUP(D1151,Customers!A:D,4,FALSE)</f>
        <v/>
      </c>
      <c r="U1151" s="25">
        <f>CONCATENATE(A1151,"-",G1151)</f>
        <v/>
      </c>
      <c r="V1151" s="25">
        <f>IF(N1151="","",IF(N1151&lt;=30,"Fast (&lt;30m)",IF(N1151&lt;=45,"Moderate (30-45m)","Delayed (&gt;45m)")))</f>
        <v/>
      </c>
      <c r="W1151" s="25">
        <f>IF(AND(I1151&gt;600,P1151="Delivered"),"High Value Delivered","Standard")</f>
        <v/>
      </c>
      <c r="X1151" s="25">
        <f>IF(OR(N1151&gt;50,Q1151&lt;=2),"High Risk / Delayed","Normal")</f>
        <v/>
      </c>
      <c r="Y1151" s="25">
        <f>IF(NOT(P1151="Cancelled"),"Fulfilled","Cancelled")</f>
        <v/>
      </c>
      <c r="Z1151" s="25">
        <f>IFERROR(Q1151,0)</f>
        <v/>
      </c>
    </row>
    <row r="1152">
      <c r="A1152" s="17" t="inlineStr">
        <is>
          <t>ORD2151</t>
        </is>
      </c>
      <c r="B1152" s="17" t="inlineStr">
        <is>
          <t>2025-08-09</t>
        </is>
      </c>
      <c r="C1152" s="17" t="inlineStr">
        <is>
          <t>15:01:44</t>
        </is>
      </c>
      <c r="D1152" s="17" t="n">
        <v>1048</v>
      </c>
      <c r="E1152" s="17" t="n">
        <v>114</v>
      </c>
      <c r="F1152" s="17" t="n">
        <v>225</v>
      </c>
      <c r="G1152" s="17" t="inlineStr">
        <is>
          <t>Hyderabad</t>
        </is>
      </c>
      <c r="H1152" s="17" t="inlineStr">
        <is>
          <t>Biryani</t>
        </is>
      </c>
      <c r="I1152" s="22" t="n">
        <v>390</v>
      </c>
      <c r="J1152" s="22" t="n">
        <v>4.13</v>
      </c>
      <c r="K1152" s="22" t="n">
        <v>37</v>
      </c>
      <c r="L1152" s="23" t="n">
        <v>0.22</v>
      </c>
      <c r="M1152" s="22" t="n">
        <v>95.05</v>
      </c>
      <c r="N1152" s="24" t="n">
        <v>5.4</v>
      </c>
      <c r="O1152" s="24" t="n">
        <v>52.9</v>
      </c>
      <c r="P1152" s="17" t="inlineStr">
        <is>
          <t>Cash on Delivery</t>
        </is>
      </c>
      <c r="Q1152" s="17" t="inlineStr">
        <is>
          <t>Delivered</t>
        </is>
      </c>
      <c r="R1152" s="17" t="n">
        <v>3</v>
      </c>
      <c r="S1152" s="17">
        <f>TEXT(B1152,"yyyy-mm")</f>
        <v/>
      </c>
      <c r="T1152" s="17">
        <f>VLOOKUP(D1152,Customers!A:D,4,FALSE)</f>
        <v/>
      </c>
      <c r="U1152" s="17">
        <f>CONCATENATE(A1152,"-",G1152)</f>
        <v/>
      </c>
      <c r="V1152" s="17">
        <f>IF(N1152="","",IF(N1152&lt;=30,"Fast (&lt;30m)",IF(N1152&lt;=45,"Moderate (30-45m)","Delayed (&gt;45m)")))</f>
        <v/>
      </c>
      <c r="W1152" s="17">
        <f>IF(AND(I1152&gt;600,P1152="Delivered"),"High Value Delivered","Standard")</f>
        <v/>
      </c>
      <c r="X1152" s="17">
        <f>IF(OR(N1152&gt;50,Q1152&lt;=2),"High Risk / Delayed","Normal")</f>
        <v/>
      </c>
      <c r="Y1152" s="17">
        <f>IF(NOT(P1152="Cancelled"),"Fulfilled","Cancelled")</f>
        <v/>
      </c>
      <c r="Z1152" s="17">
        <f>IFERROR(Q1152,0)</f>
        <v/>
      </c>
    </row>
    <row r="1153">
      <c r="A1153" s="25" t="inlineStr">
        <is>
          <t>ORD2152</t>
        </is>
      </c>
      <c r="B1153" s="25" t="inlineStr">
        <is>
          <t>2025-07-25</t>
        </is>
      </c>
      <c r="C1153" s="25" t="inlineStr">
        <is>
          <t>15:44:35</t>
        </is>
      </c>
      <c r="D1153" s="25" t="n">
        <v>1194</v>
      </c>
      <c r="E1153" s="25" t="n">
        <v>115</v>
      </c>
      <c r="F1153" s="25" t="n">
        <v>220</v>
      </c>
      <c r="G1153" s="25" t="inlineStr">
        <is>
          <t>Bangalore</t>
        </is>
      </c>
      <c r="H1153" s="25" t="inlineStr">
        <is>
          <t>Italian</t>
        </is>
      </c>
      <c r="I1153" s="26" t="n">
        <v>467</v>
      </c>
      <c r="J1153" s="26" t="n">
        <v>46.62</v>
      </c>
      <c r="K1153" s="26" t="n">
        <v>25</v>
      </c>
      <c r="L1153" s="27" t="n">
        <v>0.2</v>
      </c>
      <c r="M1153" s="26" t="n">
        <v>99.65000000000001</v>
      </c>
      <c r="N1153" s="28" t="n">
        <v>1.8</v>
      </c>
      <c r="O1153" s="28" t="n">
        <v>19.1</v>
      </c>
      <c r="P1153" s="25" t="inlineStr">
        <is>
          <t>Debit Card</t>
        </is>
      </c>
      <c r="Q1153" s="25" t="inlineStr">
        <is>
          <t>Delivered</t>
        </is>
      </c>
      <c r="R1153" s="25" t="n">
        <v>4</v>
      </c>
      <c r="S1153" s="25">
        <f>TEXT(B1153,"yyyy-mm")</f>
        <v/>
      </c>
      <c r="T1153" s="25">
        <f>VLOOKUP(D1153,Customers!A:D,4,FALSE)</f>
        <v/>
      </c>
      <c r="U1153" s="25">
        <f>CONCATENATE(A1153,"-",G1153)</f>
        <v/>
      </c>
      <c r="V1153" s="25">
        <f>IF(N1153="","",IF(N1153&lt;=30,"Fast (&lt;30m)",IF(N1153&lt;=45,"Moderate (30-45m)","Delayed (&gt;45m)")))</f>
        <v/>
      </c>
      <c r="W1153" s="25">
        <f>IF(AND(I1153&gt;600,P1153="Delivered"),"High Value Delivered","Standard")</f>
        <v/>
      </c>
      <c r="X1153" s="25">
        <f>IF(OR(N1153&gt;50,Q1153&lt;=2),"High Risk / Delayed","Normal")</f>
        <v/>
      </c>
      <c r="Y1153" s="25">
        <f>IF(NOT(P1153="Cancelled"),"Fulfilled","Cancelled")</f>
        <v/>
      </c>
      <c r="Z1153" s="25">
        <f>IFERROR(Q1153,0)</f>
        <v/>
      </c>
    </row>
    <row r="1154">
      <c r="A1154" s="17" t="inlineStr">
        <is>
          <t>ORD2153</t>
        </is>
      </c>
      <c r="B1154" s="17" t="inlineStr">
        <is>
          <t>2025-07-01</t>
        </is>
      </c>
      <c r="C1154" s="17" t="inlineStr">
        <is>
          <t>06:28:58</t>
        </is>
      </c>
      <c r="D1154" s="17" t="n">
        <v>1093</v>
      </c>
      <c r="E1154" s="17" t="n">
        <v>104</v>
      </c>
      <c r="F1154" s="17" t="n">
        <v>211</v>
      </c>
      <c r="G1154" s="17" t="inlineStr">
        <is>
          <t>Delhi NCR</t>
        </is>
      </c>
      <c r="H1154" s="17" t="inlineStr">
        <is>
          <t>Fast Food</t>
        </is>
      </c>
      <c r="I1154" s="22" t="n">
        <v>638</v>
      </c>
      <c r="J1154" s="22" t="n">
        <v>60.07</v>
      </c>
      <c r="K1154" s="22" t="n">
        <v>37</v>
      </c>
      <c r="L1154" s="23" t="n">
        <v>0.18</v>
      </c>
      <c r="M1154" s="22" t="n">
        <v>124.09</v>
      </c>
      <c r="N1154" s="24" t="n">
        <v>5.4</v>
      </c>
      <c r="O1154" s="24" t="n">
        <v>36.4</v>
      </c>
      <c r="P1154" s="17" t="inlineStr">
        <is>
          <t>Cash on Delivery</t>
        </is>
      </c>
      <c r="Q1154" s="17" t="inlineStr">
        <is>
          <t>Delivered</t>
        </is>
      </c>
      <c r="R1154" s="17" t="n">
        <v>3</v>
      </c>
      <c r="S1154" s="17">
        <f>TEXT(B1154,"yyyy-mm")</f>
        <v/>
      </c>
      <c r="T1154" s="17">
        <f>VLOOKUP(D1154,Customers!A:D,4,FALSE)</f>
        <v/>
      </c>
      <c r="U1154" s="17">
        <f>CONCATENATE(A1154,"-",G1154)</f>
        <v/>
      </c>
      <c r="V1154" s="17">
        <f>IF(N1154="","",IF(N1154&lt;=30,"Fast (&lt;30m)",IF(N1154&lt;=45,"Moderate (30-45m)","Delayed (&gt;45m)")))</f>
        <v/>
      </c>
      <c r="W1154" s="17">
        <f>IF(AND(I1154&gt;600,P1154="Delivered"),"High Value Delivered","Standard")</f>
        <v/>
      </c>
      <c r="X1154" s="17">
        <f>IF(OR(N1154&gt;50,Q1154&lt;=2),"High Risk / Delayed","Normal")</f>
        <v/>
      </c>
      <c r="Y1154" s="17">
        <f>IF(NOT(P1154="Cancelled"),"Fulfilled","Cancelled")</f>
        <v/>
      </c>
      <c r="Z1154" s="17">
        <f>IFERROR(Q1154,0)</f>
        <v/>
      </c>
    </row>
    <row r="1155">
      <c r="A1155" s="25" t="inlineStr">
        <is>
          <t>ORD2154</t>
        </is>
      </c>
      <c r="B1155" s="25" t="inlineStr">
        <is>
          <t>2025-04-04</t>
        </is>
      </c>
      <c r="C1155" s="25" t="inlineStr">
        <is>
          <t>12:46:49</t>
        </is>
      </c>
      <c r="D1155" s="25" t="n">
        <v>1241</v>
      </c>
      <c r="E1155" s="25" t="n">
        <v>102</v>
      </c>
      <c r="F1155" s="25" t="n">
        <v>216</v>
      </c>
      <c r="G1155" s="25" t="inlineStr">
        <is>
          <t>Hyderabad</t>
        </is>
      </c>
      <c r="H1155" s="25" t="inlineStr">
        <is>
          <t>Biryani</t>
        </is>
      </c>
      <c r="I1155" s="26" t="n">
        <v>1157</v>
      </c>
      <c r="J1155" s="26" t="n">
        <v>210.59</v>
      </c>
      <c r="K1155" s="26" t="n">
        <v>0</v>
      </c>
      <c r="L1155" s="27" t="n">
        <v>0.22</v>
      </c>
      <c r="M1155" s="26" t="n">
        <v>254.54</v>
      </c>
      <c r="N1155" s="28" t="n">
        <v>2.1</v>
      </c>
      <c r="O1155" s="28" t="n">
        <v>25.1</v>
      </c>
      <c r="P1155" s="25" t="inlineStr">
        <is>
          <t>Credit Card</t>
        </is>
      </c>
      <c r="Q1155" s="25" t="inlineStr">
        <is>
          <t>Delivered</t>
        </is>
      </c>
      <c r="R1155" s="25" t="n">
        <v>4</v>
      </c>
      <c r="S1155" s="25">
        <f>TEXT(B1155,"yyyy-mm")</f>
        <v/>
      </c>
      <c r="T1155" s="25">
        <f>VLOOKUP(D1155,Customers!A:D,4,FALSE)</f>
        <v/>
      </c>
      <c r="U1155" s="25">
        <f>CONCATENATE(A1155,"-",G1155)</f>
        <v/>
      </c>
      <c r="V1155" s="25">
        <f>IF(N1155="","",IF(N1155&lt;=30,"Fast (&lt;30m)",IF(N1155&lt;=45,"Moderate (30-45m)","Delayed (&gt;45m)")))</f>
        <v/>
      </c>
      <c r="W1155" s="25">
        <f>IF(AND(I1155&gt;600,P1155="Delivered"),"High Value Delivered","Standard")</f>
        <v/>
      </c>
      <c r="X1155" s="25">
        <f>IF(OR(N1155&gt;50,Q1155&lt;=2),"High Risk / Delayed","Normal")</f>
        <v/>
      </c>
      <c r="Y1155" s="25">
        <f>IF(NOT(P1155="Cancelled"),"Fulfilled","Cancelled")</f>
        <v/>
      </c>
      <c r="Z1155" s="25">
        <f>IFERROR(Q1155,0)</f>
        <v/>
      </c>
    </row>
    <row r="1156">
      <c r="A1156" s="17" t="inlineStr">
        <is>
          <t>ORD2155</t>
        </is>
      </c>
      <c r="B1156" s="17" t="inlineStr">
        <is>
          <t>2025-12-12</t>
        </is>
      </c>
      <c r="C1156" s="17" t="inlineStr">
        <is>
          <t>20:41:29</t>
        </is>
      </c>
      <c r="D1156" s="17" t="n">
        <v>1183</v>
      </c>
      <c r="E1156" s="17" t="n">
        <v>113</v>
      </c>
      <c r="F1156" s="17" t="n">
        <v>202</v>
      </c>
      <c r="G1156" s="17" t="inlineStr">
        <is>
          <t>Mumbai</t>
        </is>
      </c>
      <c r="H1156" s="17" t="inlineStr">
        <is>
          <t>Fast Food</t>
        </is>
      </c>
      <c r="I1156" s="22" t="n">
        <v>790</v>
      </c>
      <c r="J1156" s="22" t="n">
        <v>113.65</v>
      </c>
      <c r="K1156" s="22" t="n">
        <v>0</v>
      </c>
      <c r="L1156" s="23" t="n">
        <v>0.18</v>
      </c>
      <c r="M1156" s="22" t="n">
        <v>142.2</v>
      </c>
      <c r="N1156" s="24" t="n">
        <v>6</v>
      </c>
      <c r="O1156" s="24" t="n">
        <v>40.1</v>
      </c>
      <c r="P1156" s="17" t="inlineStr">
        <is>
          <t>Digital Wallet</t>
        </is>
      </c>
      <c r="Q1156" s="17" t="inlineStr">
        <is>
          <t>Delivered</t>
        </is>
      </c>
      <c r="R1156" s="17" t="n">
        <v>3</v>
      </c>
      <c r="S1156" s="17">
        <f>TEXT(B1156,"yyyy-mm")</f>
        <v/>
      </c>
      <c r="T1156" s="17">
        <f>VLOOKUP(D1156,Customers!A:D,4,FALSE)</f>
        <v/>
      </c>
      <c r="U1156" s="17">
        <f>CONCATENATE(A1156,"-",G1156)</f>
        <v/>
      </c>
      <c r="V1156" s="17">
        <f>IF(N1156="","",IF(N1156&lt;=30,"Fast (&lt;30m)",IF(N1156&lt;=45,"Moderate (30-45m)","Delayed (&gt;45m)")))</f>
        <v/>
      </c>
      <c r="W1156" s="17">
        <f>IF(AND(I1156&gt;600,P1156="Delivered"),"High Value Delivered","Standard")</f>
        <v/>
      </c>
      <c r="X1156" s="17">
        <f>IF(OR(N1156&gt;50,Q1156&lt;=2),"High Risk / Delayed","Normal")</f>
        <v/>
      </c>
      <c r="Y1156" s="17">
        <f>IF(NOT(P1156="Cancelled"),"Fulfilled","Cancelled")</f>
        <v/>
      </c>
      <c r="Z1156" s="17">
        <f>IFERROR(Q1156,0)</f>
        <v/>
      </c>
    </row>
    <row r="1157">
      <c r="A1157" s="25" t="inlineStr">
        <is>
          <t>ORD2156</t>
        </is>
      </c>
      <c r="B1157" s="25" t="inlineStr">
        <is>
          <t>2025-06-02</t>
        </is>
      </c>
      <c r="C1157" s="25" t="inlineStr">
        <is>
          <t>13:31:21</t>
        </is>
      </c>
      <c r="D1157" s="25" t="n">
        <v>1122</v>
      </c>
      <c r="E1157" s="25" t="n">
        <v>110</v>
      </c>
      <c r="F1157" s="25" t="n">
        <v>208</v>
      </c>
      <c r="G1157" s="25" t="inlineStr">
        <is>
          <t>Pune</t>
        </is>
      </c>
      <c r="H1157" s="25" t="inlineStr">
        <is>
          <t>North Indian</t>
        </is>
      </c>
      <c r="I1157" s="26" t="n">
        <v>513</v>
      </c>
      <c r="J1157" s="26" t="n">
        <v>77.86</v>
      </c>
      <c r="K1157" s="26" t="n">
        <v>0</v>
      </c>
      <c r="L1157" s="27" t="n">
        <v>0.18</v>
      </c>
      <c r="M1157" s="26" t="n">
        <v>92.34</v>
      </c>
      <c r="N1157" s="28" t="n">
        <v>3.4</v>
      </c>
      <c r="O1157" s="28" t="n">
        <v>31.8</v>
      </c>
      <c r="P1157" s="25" t="inlineStr">
        <is>
          <t>Digital Wallet</t>
        </is>
      </c>
      <c r="Q1157" s="25" t="inlineStr">
        <is>
          <t>Delivered</t>
        </is>
      </c>
      <c r="R1157" s="25" t="n">
        <v>5</v>
      </c>
      <c r="S1157" s="25">
        <f>TEXT(B1157,"yyyy-mm")</f>
        <v/>
      </c>
      <c r="T1157" s="25">
        <f>VLOOKUP(D1157,Customers!A:D,4,FALSE)</f>
        <v/>
      </c>
      <c r="U1157" s="25">
        <f>CONCATENATE(A1157,"-",G1157)</f>
        <v/>
      </c>
      <c r="V1157" s="25">
        <f>IF(N1157="","",IF(N1157&lt;=30,"Fast (&lt;30m)",IF(N1157&lt;=45,"Moderate (30-45m)","Delayed (&gt;45m)")))</f>
        <v/>
      </c>
      <c r="W1157" s="25">
        <f>IF(AND(I1157&gt;600,P1157="Delivered"),"High Value Delivered","Standard")</f>
        <v/>
      </c>
      <c r="X1157" s="25">
        <f>IF(OR(N1157&gt;50,Q1157&lt;=2),"High Risk / Delayed","Normal")</f>
        <v/>
      </c>
      <c r="Y1157" s="25">
        <f>IF(NOT(P1157="Cancelled"),"Fulfilled","Cancelled")</f>
        <v/>
      </c>
      <c r="Z1157" s="25">
        <f>IFERROR(Q1157,0)</f>
        <v/>
      </c>
    </row>
    <row r="1158">
      <c r="A1158" s="17" t="inlineStr">
        <is>
          <t>ORD2157</t>
        </is>
      </c>
      <c r="B1158" s="17" t="inlineStr">
        <is>
          <t>2025-07-16</t>
        </is>
      </c>
      <c r="C1158" s="17" t="inlineStr">
        <is>
          <t>12:20:48</t>
        </is>
      </c>
      <c r="D1158" s="17" t="n">
        <v>1030</v>
      </c>
      <c r="E1158" s="17" t="n">
        <v>114</v>
      </c>
      <c r="F1158" s="17" t="n">
        <v>215</v>
      </c>
      <c r="G1158" s="17" t="inlineStr">
        <is>
          <t>Hyderabad</t>
        </is>
      </c>
      <c r="H1158" s="17" t="inlineStr">
        <is>
          <t>Biryani</t>
        </is>
      </c>
      <c r="I1158" s="22" t="n">
        <v>402</v>
      </c>
      <c r="J1158" s="22" t="n">
        <v>1.35</v>
      </c>
      <c r="K1158" s="22" t="n">
        <v>32</v>
      </c>
      <c r="L1158" s="23" t="n">
        <v>0.22</v>
      </c>
      <c r="M1158" s="22" t="n">
        <v>96.44</v>
      </c>
      <c r="N1158" s="24" t="n">
        <v>4.4</v>
      </c>
      <c r="O1158" s="24" t="n">
        <v>44.2</v>
      </c>
      <c r="P1158" s="17" t="inlineStr">
        <is>
          <t>Credit Card</t>
        </is>
      </c>
      <c r="Q1158" s="17" t="inlineStr">
        <is>
          <t>Delivered</t>
        </is>
      </c>
      <c r="R1158" s="17" t="n">
        <v>3</v>
      </c>
      <c r="S1158" s="17">
        <f>TEXT(B1158,"yyyy-mm")</f>
        <v/>
      </c>
      <c r="T1158" s="17">
        <f>VLOOKUP(D1158,Customers!A:D,4,FALSE)</f>
        <v/>
      </c>
      <c r="U1158" s="17">
        <f>CONCATENATE(A1158,"-",G1158)</f>
        <v/>
      </c>
      <c r="V1158" s="17">
        <f>IF(N1158="","",IF(N1158&lt;=30,"Fast (&lt;30m)",IF(N1158&lt;=45,"Moderate (30-45m)","Delayed (&gt;45m)")))</f>
        <v/>
      </c>
      <c r="W1158" s="17">
        <f>IF(AND(I1158&gt;600,P1158="Delivered"),"High Value Delivered","Standard")</f>
        <v/>
      </c>
      <c r="X1158" s="17">
        <f>IF(OR(N1158&gt;50,Q1158&lt;=2),"High Risk / Delayed","Normal")</f>
        <v/>
      </c>
      <c r="Y1158" s="17">
        <f>IF(NOT(P1158="Cancelled"),"Fulfilled","Cancelled")</f>
        <v/>
      </c>
      <c r="Z1158" s="17">
        <f>IFERROR(Q1158,0)</f>
        <v/>
      </c>
    </row>
    <row r="1159">
      <c r="A1159" s="25" t="inlineStr">
        <is>
          <t>ORD2158</t>
        </is>
      </c>
      <c r="B1159" s="25" t="inlineStr">
        <is>
          <t>2025-02-20</t>
        </is>
      </c>
      <c r="C1159" s="25" t="inlineStr">
        <is>
          <t>13:22:18</t>
        </is>
      </c>
      <c r="D1159" s="25" t="n">
        <v>1150</v>
      </c>
      <c r="E1159" s="25" t="n">
        <v>109</v>
      </c>
      <c r="F1159" s="25" t="n">
        <v>216</v>
      </c>
      <c r="G1159" s="25" t="inlineStr">
        <is>
          <t>Hyderabad</t>
        </is>
      </c>
      <c r="H1159" s="25" t="inlineStr">
        <is>
          <t>Biryani</t>
        </is>
      </c>
      <c r="I1159" s="26" t="n">
        <v>389</v>
      </c>
      <c r="J1159" s="26" t="n">
        <v>0</v>
      </c>
      <c r="K1159" s="26" t="n">
        <v>25</v>
      </c>
      <c r="L1159" s="27" t="n">
        <v>0.2</v>
      </c>
      <c r="M1159" s="26" t="n">
        <v>84.05</v>
      </c>
      <c r="N1159" s="28" t="n">
        <v>1</v>
      </c>
      <c r="O1159" s="28" t="n">
        <v>21</v>
      </c>
      <c r="P1159" s="25" t="inlineStr">
        <is>
          <t>Cash on Delivery</t>
        </is>
      </c>
      <c r="Q1159" s="25" t="inlineStr">
        <is>
          <t>Delivered</t>
        </is>
      </c>
      <c r="R1159" s="25" t="n">
        <v>5</v>
      </c>
      <c r="S1159" s="25">
        <f>TEXT(B1159,"yyyy-mm")</f>
        <v/>
      </c>
      <c r="T1159" s="25">
        <f>VLOOKUP(D1159,Customers!A:D,4,FALSE)</f>
        <v/>
      </c>
      <c r="U1159" s="25">
        <f>CONCATENATE(A1159,"-",G1159)</f>
        <v/>
      </c>
      <c r="V1159" s="25">
        <f>IF(N1159="","",IF(N1159&lt;=30,"Fast (&lt;30m)",IF(N1159&lt;=45,"Moderate (30-45m)","Delayed (&gt;45m)")))</f>
        <v/>
      </c>
      <c r="W1159" s="25">
        <f>IF(AND(I1159&gt;600,P1159="Delivered"),"High Value Delivered","Standard")</f>
        <v/>
      </c>
      <c r="X1159" s="25">
        <f>IF(OR(N1159&gt;50,Q1159&lt;=2),"High Risk / Delayed","Normal")</f>
        <v/>
      </c>
      <c r="Y1159" s="25">
        <f>IF(NOT(P1159="Cancelled"),"Fulfilled","Cancelled")</f>
        <v/>
      </c>
      <c r="Z1159" s="25">
        <f>IFERROR(Q1159,0)</f>
        <v/>
      </c>
    </row>
    <row r="1160">
      <c r="A1160" s="17" t="inlineStr">
        <is>
          <t>ORD2159</t>
        </is>
      </c>
      <c r="B1160" s="17" t="inlineStr">
        <is>
          <t>2025-05-28</t>
        </is>
      </c>
      <c r="C1160" s="17" t="inlineStr">
        <is>
          <t>21:58:16</t>
        </is>
      </c>
      <c r="D1160" s="17" t="n">
        <v>1255</v>
      </c>
      <c r="E1160" s="17" t="n">
        <v>110</v>
      </c>
      <c r="F1160" s="17" t="n">
        <v>217</v>
      </c>
      <c r="G1160" s="17" t="inlineStr">
        <is>
          <t>Pune</t>
        </is>
      </c>
      <c r="H1160" s="17" t="inlineStr">
        <is>
          <t>North Indian</t>
        </is>
      </c>
      <c r="I1160" s="22" t="n">
        <v>840</v>
      </c>
      <c r="J1160" s="22" t="n">
        <v>62.13</v>
      </c>
      <c r="K1160" s="22" t="n">
        <v>37</v>
      </c>
      <c r="L1160" s="23" t="n">
        <v>0.18</v>
      </c>
      <c r="M1160" s="22" t="n">
        <v>160.45</v>
      </c>
      <c r="N1160" s="24" t="n">
        <v>5.4</v>
      </c>
      <c r="O1160" s="24" t="n">
        <v/>
      </c>
      <c r="P1160" s="17" t="inlineStr">
        <is>
          <t>Credit Card</t>
        </is>
      </c>
      <c r="Q1160" s="17" t="inlineStr">
        <is>
          <t>Cancelled</t>
        </is>
      </c>
      <c r="R1160" s="17" t="n">
        <v/>
      </c>
      <c r="S1160" s="17">
        <f>TEXT(B1160,"yyyy-mm")</f>
        <v/>
      </c>
      <c r="T1160" s="17">
        <f>VLOOKUP(D1160,Customers!A:D,4,FALSE)</f>
        <v/>
      </c>
      <c r="U1160" s="17">
        <f>CONCATENATE(A1160,"-",G1160)</f>
        <v/>
      </c>
      <c r="V1160" s="17">
        <f>IF(N1160="","",IF(N1160&lt;=30,"Fast (&lt;30m)",IF(N1160&lt;=45,"Moderate (30-45m)","Delayed (&gt;45m)")))</f>
        <v/>
      </c>
      <c r="W1160" s="17">
        <f>IF(AND(I1160&gt;600,P1160="Delivered"),"High Value Delivered","Standard")</f>
        <v/>
      </c>
      <c r="X1160" s="17">
        <f>IF(OR(N1160&gt;50,Q1160&lt;=2),"High Risk / Delayed","Normal")</f>
        <v/>
      </c>
      <c r="Y1160" s="17">
        <f>IF(NOT(P1160="Cancelled"),"Fulfilled","Cancelled")</f>
        <v/>
      </c>
      <c r="Z1160" s="17">
        <f>IFERROR(Q1160,0)</f>
        <v/>
      </c>
    </row>
    <row r="1161">
      <c r="A1161" s="25" t="inlineStr">
        <is>
          <t>ORD2160</t>
        </is>
      </c>
      <c r="B1161" s="25" t="inlineStr">
        <is>
          <t>2025-10-10</t>
        </is>
      </c>
      <c r="C1161" s="25" t="inlineStr">
        <is>
          <t>14:53:32</t>
        </is>
      </c>
      <c r="D1161" s="25" t="n">
        <v>1221</v>
      </c>
      <c r="E1161" s="25" t="n">
        <v>119</v>
      </c>
      <c r="F1161" s="25" t="n">
        <v>216</v>
      </c>
      <c r="G1161" s="25" t="inlineStr">
        <is>
          <t>Hyderabad</t>
        </is>
      </c>
      <c r="H1161" s="25" t="inlineStr">
        <is>
          <t>Biryani</t>
        </is>
      </c>
      <c r="I1161" s="26" t="n">
        <v>392</v>
      </c>
      <c r="J1161" s="26" t="n">
        <v>20.35</v>
      </c>
      <c r="K1161" s="26" t="n">
        <v>28</v>
      </c>
      <c r="L1161" s="27" t="n">
        <v>0.2</v>
      </c>
      <c r="M1161" s="26" t="n">
        <v>85.40000000000001</v>
      </c>
      <c r="N1161" s="28" t="n">
        <v>3.6</v>
      </c>
      <c r="O1161" s="28" t="n">
        <v>35.3</v>
      </c>
      <c r="P1161" s="25" t="inlineStr">
        <is>
          <t>Digital Wallet</t>
        </is>
      </c>
      <c r="Q1161" s="25" t="inlineStr">
        <is>
          <t>Delivered</t>
        </is>
      </c>
      <c r="R1161" s="25" t="n">
        <v>4</v>
      </c>
      <c r="S1161" s="25">
        <f>TEXT(B1161,"yyyy-mm")</f>
        <v/>
      </c>
      <c r="T1161" s="25">
        <f>VLOOKUP(D1161,Customers!A:D,4,FALSE)</f>
        <v/>
      </c>
      <c r="U1161" s="25">
        <f>CONCATENATE(A1161,"-",G1161)</f>
        <v/>
      </c>
      <c r="V1161" s="25">
        <f>IF(N1161="","",IF(N1161&lt;=30,"Fast (&lt;30m)",IF(N1161&lt;=45,"Moderate (30-45m)","Delayed (&gt;45m)")))</f>
        <v/>
      </c>
      <c r="W1161" s="25">
        <f>IF(AND(I1161&gt;600,P1161="Delivered"),"High Value Delivered","Standard")</f>
        <v/>
      </c>
      <c r="X1161" s="25">
        <f>IF(OR(N1161&gt;50,Q1161&lt;=2),"High Risk / Delayed","Normal")</f>
        <v/>
      </c>
      <c r="Y1161" s="25">
        <f>IF(NOT(P1161="Cancelled"),"Fulfilled","Cancelled")</f>
        <v/>
      </c>
      <c r="Z1161" s="25">
        <f>IFERROR(Q1161,0)</f>
        <v/>
      </c>
    </row>
    <row r="1162">
      <c r="A1162" s="17" t="inlineStr">
        <is>
          <t>ORD2161</t>
        </is>
      </c>
      <c r="B1162" s="17" t="inlineStr">
        <is>
          <t>2025-01-14</t>
        </is>
      </c>
      <c r="C1162" s="17" t="inlineStr">
        <is>
          <t>13:23:13</t>
        </is>
      </c>
      <c r="D1162" s="17" t="n">
        <v>1178</v>
      </c>
      <c r="E1162" s="17" t="n">
        <v>110</v>
      </c>
      <c r="F1162" s="17" t="n">
        <v>209</v>
      </c>
      <c r="G1162" s="17" t="inlineStr">
        <is>
          <t>Pune</t>
        </is>
      </c>
      <c r="H1162" s="17" t="inlineStr">
        <is>
          <t>North Indian</t>
        </is>
      </c>
      <c r="I1162" s="22" t="n">
        <v>508</v>
      </c>
      <c r="J1162" s="22" t="n">
        <v>23.21</v>
      </c>
      <c r="K1162" s="22" t="n">
        <v>48</v>
      </c>
      <c r="L1162" s="23" t="n">
        <v>0.18</v>
      </c>
      <c r="M1162" s="22" t="n">
        <v>103.44</v>
      </c>
      <c r="N1162" s="24" t="n">
        <v>7.6</v>
      </c>
      <c r="O1162" s="24" t="n">
        <v>48.2</v>
      </c>
      <c r="P1162" s="17" t="inlineStr">
        <is>
          <t>Digital Wallet</t>
        </is>
      </c>
      <c r="Q1162" s="17" t="inlineStr">
        <is>
          <t>Delivered</t>
        </is>
      </c>
      <c r="R1162" s="17" t="n">
        <v>3</v>
      </c>
      <c r="S1162" s="17">
        <f>TEXT(B1162,"yyyy-mm")</f>
        <v/>
      </c>
      <c r="T1162" s="17">
        <f>VLOOKUP(D1162,Customers!A:D,4,FALSE)</f>
        <v/>
      </c>
      <c r="U1162" s="17">
        <f>CONCATENATE(A1162,"-",G1162)</f>
        <v/>
      </c>
      <c r="V1162" s="17">
        <f>IF(N1162="","",IF(N1162&lt;=30,"Fast (&lt;30m)",IF(N1162&lt;=45,"Moderate (30-45m)","Delayed (&gt;45m)")))</f>
        <v/>
      </c>
      <c r="W1162" s="17">
        <f>IF(AND(I1162&gt;600,P1162="Delivered"),"High Value Delivered","Standard")</f>
        <v/>
      </c>
      <c r="X1162" s="17">
        <f>IF(OR(N1162&gt;50,Q1162&lt;=2),"High Risk / Delayed","Normal")</f>
        <v/>
      </c>
      <c r="Y1162" s="17">
        <f>IF(NOT(P1162="Cancelled"),"Fulfilled","Cancelled")</f>
        <v/>
      </c>
      <c r="Z1162" s="17">
        <f>IFERROR(Q1162,0)</f>
        <v/>
      </c>
    </row>
    <row r="1163">
      <c r="A1163" s="25" t="inlineStr">
        <is>
          <t>ORD2162</t>
        </is>
      </c>
      <c r="B1163" s="25" t="inlineStr">
        <is>
          <t>2025-06-01</t>
        </is>
      </c>
      <c r="C1163" s="25" t="inlineStr">
        <is>
          <t>12:58:07</t>
        </is>
      </c>
      <c r="D1163" s="25" t="n">
        <v>1267</v>
      </c>
      <c r="E1163" s="25" t="n">
        <v>115</v>
      </c>
      <c r="F1163" s="25" t="n">
        <v>213</v>
      </c>
      <c r="G1163" s="25" t="inlineStr">
        <is>
          <t>Bangalore</t>
        </is>
      </c>
      <c r="H1163" s="25" t="inlineStr">
        <is>
          <t>Italian</t>
        </is>
      </c>
      <c r="I1163" s="26" t="n">
        <v>943</v>
      </c>
      <c r="J1163" s="26" t="n">
        <v>107.83</v>
      </c>
      <c r="K1163" s="26" t="n">
        <v>27</v>
      </c>
      <c r="L1163" s="27" t="n">
        <v>0.2</v>
      </c>
      <c r="M1163" s="26" t="n">
        <v>195.35</v>
      </c>
      <c r="N1163" s="28" t="n">
        <v>3.4</v>
      </c>
      <c r="O1163" s="28" t="n">
        <v>30.2</v>
      </c>
      <c r="P1163" s="25" t="inlineStr">
        <is>
          <t>Cash on Delivery</t>
        </is>
      </c>
      <c r="Q1163" s="25" t="inlineStr">
        <is>
          <t>Delivered</t>
        </is>
      </c>
      <c r="R1163" s="25" t="n">
        <v>2</v>
      </c>
      <c r="S1163" s="25">
        <f>TEXT(B1163,"yyyy-mm")</f>
        <v/>
      </c>
      <c r="T1163" s="25">
        <f>VLOOKUP(D1163,Customers!A:D,4,FALSE)</f>
        <v/>
      </c>
      <c r="U1163" s="25">
        <f>CONCATENATE(A1163,"-",G1163)</f>
        <v/>
      </c>
      <c r="V1163" s="25">
        <f>IF(N1163="","",IF(N1163&lt;=30,"Fast (&lt;30m)",IF(N1163&lt;=45,"Moderate (30-45m)","Delayed (&gt;45m)")))</f>
        <v/>
      </c>
      <c r="W1163" s="25">
        <f>IF(AND(I1163&gt;600,P1163="Delivered"),"High Value Delivered","Standard")</f>
        <v/>
      </c>
      <c r="X1163" s="25">
        <f>IF(OR(N1163&gt;50,Q1163&lt;=2),"High Risk / Delayed","Normal")</f>
        <v/>
      </c>
      <c r="Y1163" s="25">
        <f>IF(NOT(P1163="Cancelled"),"Fulfilled","Cancelled")</f>
        <v/>
      </c>
      <c r="Z1163" s="25">
        <f>IFERROR(Q1163,0)</f>
        <v/>
      </c>
    </row>
    <row r="1164">
      <c r="A1164" s="17" t="inlineStr">
        <is>
          <t>ORD2163</t>
        </is>
      </c>
      <c r="B1164" s="17" t="inlineStr">
        <is>
          <t>2025-03-12</t>
        </is>
      </c>
      <c r="C1164" s="17" t="inlineStr">
        <is>
          <t>19:17:46</t>
        </is>
      </c>
      <c r="D1164" s="17" t="n">
        <v>1104</v>
      </c>
      <c r="E1164" s="17" t="n">
        <v>113</v>
      </c>
      <c r="F1164" s="17" t="n">
        <v>202</v>
      </c>
      <c r="G1164" s="17" t="inlineStr">
        <is>
          <t>Mumbai</t>
        </is>
      </c>
      <c r="H1164" s="17" t="inlineStr">
        <is>
          <t>Fast Food</t>
        </is>
      </c>
      <c r="I1164" s="22" t="n">
        <v>904</v>
      </c>
      <c r="J1164" s="22" t="n">
        <v>0</v>
      </c>
      <c r="K1164" s="22" t="n">
        <v>57</v>
      </c>
      <c r="L1164" s="23" t="n">
        <v>0.18</v>
      </c>
      <c r="M1164" s="22" t="n">
        <v>176.97</v>
      </c>
      <c r="N1164" s="24" t="n">
        <v>9.4</v>
      </c>
      <c r="O1164" s="24" t="n">
        <v>56.7</v>
      </c>
      <c r="P1164" s="17" t="inlineStr">
        <is>
          <t>UPI</t>
        </is>
      </c>
      <c r="Q1164" s="17" t="inlineStr">
        <is>
          <t>Delivered</t>
        </is>
      </c>
      <c r="R1164" s="17" t="n">
        <v>1</v>
      </c>
      <c r="S1164" s="17">
        <f>TEXT(B1164,"yyyy-mm")</f>
        <v/>
      </c>
      <c r="T1164" s="17">
        <f>VLOOKUP(D1164,Customers!A:D,4,FALSE)</f>
        <v/>
      </c>
      <c r="U1164" s="17">
        <f>CONCATENATE(A1164,"-",G1164)</f>
        <v/>
      </c>
      <c r="V1164" s="17">
        <f>IF(N1164="","",IF(N1164&lt;=30,"Fast (&lt;30m)",IF(N1164&lt;=45,"Moderate (30-45m)","Delayed (&gt;45m)")))</f>
        <v/>
      </c>
      <c r="W1164" s="17">
        <f>IF(AND(I1164&gt;600,P1164="Delivered"),"High Value Delivered","Standard")</f>
        <v/>
      </c>
      <c r="X1164" s="17">
        <f>IF(OR(N1164&gt;50,Q1164&lt;=2),"High Risk / Delayed","Normal")</f>
        <v/>
      </c>
      <c r="Y1164" s="17">
        <f>IF(NOT(P1164="Cancelled"),"Fulfilled","Cancelled")</f>
        <v/>
      </c>
      <c r="Z1164" s="17">
        <f>IFERROR(Q1164,0)</f>
        <v/>
      </c>
    </row>
    <row r="1165">
      <c r="A1165" s="25" t="inlineStr">
        <is>
          <t>ORD2164</t>
        </is>
      </c>
      <c r="B1165" s="25" t="inlineStr">
        <is>
          <t>2025-03-22</t>
        </is>
      </c>
      <c r="C1165" s="25" t="inlineStr">
        <is>
          <t>16:32:21</t>
        </is>
      </c>
      <c r="D1165" s="25" t="n">
        <v>1157</v>
      </c>
      <c r="E1165" s="25" t="n">
        <v>109</v>
      </c>
      <c r="F1165" s="25" t="n">
        <v>215</v>
      </c>
      <c r="G1165" s="25" t="inlineStr">
        <is>
          <t>Hyderabad</t>
        </is>
      </c>
      <c r="H1165" s="25" t="inlineStr">
        <is>
          <t>Biryani</t>
        </is>
      </c>
      <c r="I1165" s="26" t="n">
        <v>502</v>
      </c>
      <c r="J1165" s="26" t="n">
        <v>41.03</v>
      </c>
      <c r="K1165" s="26" t="n">
        <v>74.5</v>
      </c>
      <c r="L1165" s="27" t="n">
        <v>0.2</v>
      </c>
      <c r="M1165" s="26" t="n">
        <v>119.02</v>
      </c>
      <c r="N1165" s="28" t="n">
        <v>12.9</v>
      </c>
      <c r="O1165" s="28" t="n">
        <v>56.8</v>
      </c>
      <c r="P1165" s="25" t="inlineStr">
        <is>
          <t>UPI</t>
        </is>
      </c>
      <c r="Q1165" s="25" t="inlineStr">
        <is>
          <t>Delivered</t>
        </is>
      </c>
      <c r="R1165" s="25" t="n">
        <v>2</v>
      </c>
      <c r="S1165" s="25">
        <f>TEXT(B1165,"yyyy-mm")</f>
        <v/>
      </c>
      <c r="T1165" s="25">
        <f>VLOOKUP(D1165,Customers!A:D,4,FALSE)</f>
        <v/>
      </c>
      <c r="U1165" s="25">
        <f>CONCATENATE(A1165,"-",G1165)</f>
        <v/>
      </c>
      <c r="V1165" s="25">
        <f>IF(N1165="","",IF(N1165&lt;=30,"Fast (&lt;30m)",IF(N1165&lt;=45,"Moderate (30-45m)","Delayed (&gt;45m)")))</f>
        <v/>
      </c>
      <c r="W1165" s="25">
        <f>IF(AND(I1165&gt;600,P1165="Delivered"),"High Value Delivered","Standard")</f>
        <v/>
      </c>
      <c r="X1165" s="25">
        <f>IF(OR(N1165&gt;50,Q1165&lt;=2),"High Risk / Delayed","Normal")</f>
        <v/>
      </c>
      <c r="Y1165" s="25">
        <f>IF(NOT(P1165="Cancelled"),"Fulfilled","Cancelled")</f>
        <v/>
      </c>
      <c r="Z1165" s="25">
        <f>IFERROR(Q1165,0)</f>
        <v/>
      </c>
    </row>
    <row r="1166">
      <c r="A1166" s="17" t="inlineStr">
        <is>
          <t>ORD2165</t>
        </is>
      </c>
      <c r="B1166" s="17" t="inlineStr">
        <is>
          <t>2025-02-21</t>
        </is>
      </c>
      <c r="C1166" s="17" t="inlineStr">
        <is>
          <t>11:59:45</t>
        </is>
      </c>
      <c r="D1166" s="17" t="n">
        <v>1056</v>
      </c>
      <c r="E1166" s="17" t="n">
        <v>119</v>
      </c>
      <c r="F1166" s="17" t="n">
        <v>225</v>
      </c>
      <c r="G1166" s="17" t="inlineStr">
        <is>
          <t>Hyderabad</t>
        </is>
      </c>
      <c r="H1166" s="17" t="inlineStr">
        <is>
          <t>Biryani</t>
        </is>
      </c>
      <c r="I1166" s="22" t="n">
        <v>934</v>
      </c>
      <c r="J1166" s="22" t="n">
        <v>111.18</v>
      </c>
      <c r="K1166" s="22" t="n">
        <v>0</v>
      </c>
      <c r="L1166" s="23" t="n">
        <v>0.2</v>
      </c>
      <c r="M1166" s="22" t="n">
        <v>186.8</v>
      </c>
      <c r="N1166" s="24" t="n">
        <v>2.5</v>
      </c>
      <c r="O1166" s="24" t="n">
        <v>24.7</v>
      </c>
      <c r="P1166" s="17" t="inlineStr">
        <is>
          <t>UPI</t>
        </is>
      </c>
      <c r="Q1166" s="17" t="inlineStr">
        <is>
          <t>Delivered</t>
        </is>
      </c>
      <c r="R1166" s="17" t="n">
        <v>2</v>
      </c>
      <c r="S1166" s="17">
        <f>TEXT(B1166,"yyyy-mm")</f>
        <v/>
      </c>
      <c r="T1166" s="17">
        <f>VLOOKUP(D1166,Customers!A:D,4,FALSE)</f>
        <v/>
      </c>
      <c r="U1166" s="17">
        <f>CONCATENATE(A1166,"-",G1166)</f>
        <v/>
      </c>
      <c r="V1166" s="17">
        <f>IF(N1166="","",IF(N1166&lt;=30,"Fast (&lt;30m)",IF(N1166&lt;=45,"Moderate (30-45m)","Delayed (&gt;45m)")))</f>
        <v/>
      </c>
      <c r="W1166" s="17">
        <f>IF(AND(I1166&gt;600,P1166="Delivered"),"High Value Delivered","Standard")</f>
        <v/>
      </c>
      <c r="X1166" s="17">
        <f>IF(OR(N1166&gt;50,Q1166&lt;=2),"High Risk / Delayed","Normal")</f>
        <v/>
      </c>
      <c r="Y1166" s="17">
        <f>IF(NOT(P1166="Cancelled"),"Fulfilled","Cancelled")</f>
        <v/>
      </c>
      <c r="Z1166" s="17">
        <f>IFERROR(Q1166,0)</f>
        <v/>
      </c>
    </row>
    <row r="1167">
      <c r="A1167" s="25" t="inlineStr">
        <is>
          <t>ORD2166</t>
        </is>
      </c>
      <c r="B1167" s="25" t="inlineStr">
        <is>
          <t>2025-10-28</t>
        </is>
      </c>
      <c r="C1167" s="25" t="inlineStr">
        <is>
          <t>17:24:55</t>
        </is>
      </c>
      <c r="D1167" s="25" t="n">
        <v>1040</v>
      </c>
      <c r="E1167" s="25" t="n">
        <v>106</v>
      </c>
      <c r="F1167" s="25" t="n">
        <v>208</v>
      </c>
      <c r="G1167" s="25" t="inlineStr">
        <is>
          <t>Pune</t>
        </is>
      </c>
      <c r="H1167" s="25" t="inlineStr">
        <is>
          <t>South Indian</t>
        </is>
      </c>
      <c r="I1167" s="26" t="n">
        <v>445</v>
      </c>
      <c r="J1167" s="26" t="n">
        <v>9.44</v>
      </c>
      <c r="K1167" s="26" t="n">
        <v>28</v>
      </c>
      <c r="L1167" s="27" t="n">
        <v>0.15</v>
      </c>
      <c r="M1167" s="26" t="n">
        <v>73.75</v>
      </c>
      <c r="N1167" s="28" t="n">
        <v>3.6</v>
      </c>
      <c r="O1167" s="28" t="n">
        <v>25.1</v>
      </c>
      <c r="P1167" s="25" t="inlineStr">
        <is>
          <t>Credit Card</t>
        </is>
      </c>
      <c r="Q1167" s="25" t="inlineStr">
        <is>
          <t>Delivered</t>
        </is>
      </c>
      <c r="R1167" s="25" t="n">
        <v>2</v>
      </c>
      <c r="S1167" s="25">
        <f>TEXT(B1167,"yyyy-mm")</f>
        <v/>
      </c>
      <c r="T1167" s="25">
        <f>VLOOKUP(D1167,Customers!A:D,4,FALSE)</f>
        <v/>
      </c>
      <c r="U1167" s="25">
        <f>CONCATENATE(A1167,"-",G1167)</f>
        <v/>
      </c>
      <c r="V1167" s="25">
        <f>IF(N1167="","",IF(N1167&lt;=30,"Fast (&lt;30m)",IF(N1167&lt;=45,"Moderate (30-45m)","Delayed (&gt;45m)")))</f>
        <v/>
      </c>
      <c r="W1167" s="25">
        <f>IF(AND(I1167&gt;600,P1167="Delivered"),"High Value Delivered","Standard")</f>
        <v/>
      </c>
      <c r="X1167" s="25">
        <f>IF(OR(N1167&gt;50,Q1167&lt;=2),"High Risk / Delayed","Normal")</f>
        <v/>
      </c>
      <c r="Y1167" s="25">
        <f>IF(NOT(P1167="Cancelled"),"Fulfilled","Cancelled")</f>
        <v/>
      </c>
      <c r="Z1167" s="25">
        <f>IFERROR(Q1167,0)</f>
        <v/>
      </c>
    </row>
    <row r="1168">
      <c r="A1168" s="17" t="inlineStr">
        <is>
          <t>ORD2167</t>
        </is>
      </c>
      <c r="B1168" s="17" t="inlineStr">
        <is>
          <t>2025-04-12</t>
        </is>
      </c>
      <c r="C1168" s="17" t="inlineStr">
        <is>
          <t>20:40:56</t>
        </is>
      </c>
      <c r="D1168" s="17" t="n">
        <v>1143</v>
      </c>
      <c r="E1168" s="17" t="n">
        <v>109</v>
      </c>
      <c r="F1168" s="17" t="n">
        <v>215</v>
      </c>
      <c r="G1168" s="17" t="inlineStr">
        <is>
          <t>Hyderabad</t>
        </is>
      </c>
      <c r="H1168" s="17" t="inlineStr">
        <is>
          <t>Biryani</t>
        </is>
      </c>
      <c r="I1168" s="22" t="n">
        <v>310</v>
      </c>
      <c r="J1168" s="22" t="n">
        <v>21.26</v>
      </c>
      <c r="K1168" s="22" t="n">
        <v>25.5</v>
      </c>
      <c r="L1168" s="23" t="n">
        <v>0.2</v>
      </c>
      <c r="M1168" s="22" t="n">
        <v>68.38</v>
      </c>
      <c r="N1168" s="24" t="n">
        <v>3.1</v>
      </c>
      <c r="O1168" s="24" t="n">
        <v>31.3</v>
      </c>
      <c r="P1168" s="17" t="inlineStr">
        <is>
          <t>UPI</t>
        </is>
      </c>
      <c r="Q1168" s="17" t="inlineStr">
        <is>
          <t>Delivered</t>
        </is>
      </c>
      <c r="R1168" s="17" t="n">
        <v>3</v>
      </c>
      <c r="S1168" s="17">
        <f>TEXT(B1168,"yyyy-mm")</f>
        <v/>
      </c>
      <c r="T1168" s="17">
        <f>VLOOKUP(D1168,Customers!A:D,4,FALSE)</f>
        <v/>
      </c>
      <c r="U1168" s="17">
        <f>CONCATENATE(A1168,"-",G1168)</f>
        <v/>
      </c>
      <c r="V1168" s="17">
        <f>IF(N1168="","",IF(N1168&lt;=30,"Fast (&lt;30m)",IF(N1168&lt;=45,"Moderate (30-45m)","Delayed (&gt;45m)")))</f>
        <v/>
      </c>
      <c r="W1168" s="17">
        <f>IF(AND(I1168&gt;600,P1168="Delivered"),"High Value Delivered","Standard")</f>
        <v/>
      </c>
      <c r="X1168" s="17">
        <f>IF(OR(N1168&gt;50,Q1168&lt;=2),"High Risk / Delayed","Normal")</f>
        <v/>
      </c>
      <c r="Y1168" s="17">
        <f>IF(NOT(P1168="Cancelled"),"Fulfilled","Cancelled")</f>
        <v/>
      </c>
      <c r="Z1168" s="17">
        <f>IFERROR(Q1168,0)</f>
        <v/>
      </c>
    </row>
    <row r="1169">
      <c r="A1169" s="25" t="inlineStr">
        <is>
          <t>ORD2168</t>
        </is>
      </c>
      <c r="B1169" s="25" t="inlineStr">
        <is>
          <t>2025-10-13</t>
        </is>
      </c>
      <c r="C1169" s="25" t="inlineStr">
        <is>
          <t>14:39:13</t>
        </is>
      </c>
      <c r="D1169" s="25" t="n">
        <v>1125</v>
      </c>
      <c r="E1169" s="25" t="n">
        <v>120</v>
      </c>
      <c r="F1169" s="25" t="n">
        <v>209</v>
      </c>
      <c r="G1169" s="25" t="inlineStr">
        <is>
          <t>Pune</t>
        </is>
      </c>
      <c r="H1169" s="25" t="inlineStr">
        <is>
          <t>Fast Food</t>
        </is>
      </c>
      <c r="I1169" s="26" t="n">
        <v>947</v>
      </c>
      <c r="J1169" s="26" t="n">
        <v>0</v>
      </c>
      <c r="K1169" s="26" t="n">
        <v>25</v>
      </c>
      <c r="L1169" s="27" t="n">
        <v>0.18</v>
      </c>
      <c r="M1169" s="26" t="n">
        <v>176.71</v>
      </c>
      <c r="N1169" s="28" t="n">
        <v>2.6</v>
      </c>
      <c r="O1169" s="28" t="n">
        <v>27.1</v>
      </c>
      <c r="P1169" s="25" t="inlineStr">
        <is>
          <t>Debit Card</t>
        </is>
      </c>
      <c r="Q1169" s="25" t="inlineStr">
        <is>
          <t>Delivered</t>
        </is>
      </c>
      <c r="R1169" s="25" t="n">
        <v>5</v>
      </c>
      <c r="S1169" s="25">
        <f>TEXT(B1169,"yyyy-mm")</f>
        <v/>
      </c>
      <c r="T1169" s="25">
        <f>VLOOKUP(D1169,Customers!A:D,4,FALSE)</f>
        <v/>
      </c>
      <c r="U1169" s="25">
        <f>CONCATENATE(A1169,"-",G1169)</f>
        <v/>
      </c>
      <c r="V1169" s="25">
        <f>IF(N1169="","",IF(N1169&lt;=30,"Fast (&lt;30m)",IF(N1169&lt;=45,"Moderate (30-45m)","Delayed (&gt;45m)")))</f>
        <v/>
      </c>
      <c r="W1169" s="25">
        <f>IF(AND(I1169&gt;600,P1169="Delivered"),"High Value Delivered","Standard")</f>
        <v/>
      </c>
      <c r="X1169" s="25">
        <f>IF(OR(N1169&gt;50,Q1169&lt;=2),"High Risk / Delayed","Normal")</f>
        <v/>
      </c>
      <c r="Y1169" s="25">
        <f>IF(NOT(P1169="Cancelled"),"Fulfilled","Cancelled")</f>
        <v/>
      </c>
      <c r="Z1169" s="25">
        <f>IFERROR(Q1169,0)</f>
        <v/>
      </c>
    </row>
    <row r="1170">
      <c r="A1170" s="17" t="inlineStr">
        <is>
          <t>ORD2169</t>
        </is>
      </c>
      <c r="B1170" s="17" t="inlineStr">
        <is>
          <t>2025-09-05</t>
        </is>
      </c>
      <c r="C1170" s="17" t="inlineStr">
        <is>
          <t>21:33:42</t>
        </is>
      </c>
      <c r="D1170" s="17" t="n">
        <v>1283</v>
      </c>
      <c r="E1170" s="17" t="n">
        <v>110</v>
      </c>
      <c r="F1170" s="17" t="n">
        <v>207</v>
      </c>
      <c r="G1170" s="17" t="inlineStr">
        <is>
          <t>Pune</t>
        </is>
      </c>
      <c r="H1170" s="17" t="inlineStr">
        <is>
          <t>North Indian</t>
        </is>
      </c>
      <c r="I1170" s="22" t="n">
        <v>404</v>
      </c>
      <c r="J1170" s="22" t="n">
        <v>27.17</v>
      </c>
      <c r="K1170" s="22" t="n">
        <v>26</v>
      </c>
      <c r="L1170" s="23" t="n">
        <v>0.18</v>
      </c>
      <c r="M1170" s="22" t="n">
        <v>79.22</v>
      </c>
      <c r="N1170" s="24" t="n">
        <v>3.2</v>
      </c>
      <c r="O1170" s="24" t="n">
        <v>36.5</v>
      </c>
      <c r="P1170" s="17" t="inlineStr">
        <is>
          <t>Cash on Delivery</t>
        </is>
      </c>
      <c r="Q1170" s="17" t="inlineStr">
        <is>
          <t>Delivered</t>
        </is>
      </c>
      <c r="R1170" s="17" t="n">
        <v>4</v>
      </c>
      <c r="S1170" s="17">
        <f>TEXT(B1170,"yyyy-mm")</f>
        <v/>
      </c>
      <c r="T1170" s="17">
        <f>VLOOKUP(D1170,Customers!A:D,4,FALSE)</f>
        <v/>
      </c>
      <c r="U1170" s="17">
        <f>CONCATENATE(A1170,"-",G1170)</f>
        <v/>
      </c>
      <c r="V1170" s="17">
        <f>IF(N1170="","",IF(N1170&lt;=30,"Fast (&lt;30m)",IF(N1170&lt;=45,"Moderate (30-45m)","Delayed (&gt;45m)")))</f>
        <v/>
      </c>
      <c r="W1170" s="17">
        <f>IF(AND(I1170&gt;600,P1170="Delivered"),"High Value Delivered","Standard")</f>
        <v/>
      </c>
      <c r="X1170" s="17">
        <f>IF(OR(N1170&gt;50,Q1170&lt;=2),"High Risk / Delayed","Normal")</f>
        <v/>
      </c>
      <c r="Y1170" s="17">
        <f>IF(NOT(P1170="Cancelled"),"Fulfilled","Cancelled")</f>
        <v/>
      </c>
      <c r="Z1170" s="17">
        <f>IFERROR(Q1170,0)</f>
        <v/>
      </c>
    </row>
    <row r="1171">
      <c r="A1171" s="25" t="inlineStr">
        <is>
          <t>ORD2170</t>
        </is>
      </c>
      <c r="B1171" s="25" t="inlineStr">
        <is>
          <t>2025-10-06</t>
        </is>
      </c>
      <c r="C1171" s="25" t="inlineStr">
        <is>
          <t>19:30:18</t>
        </is>
      </c>
      <c r="D1171" s="25" t="n">
        <v>1161</v>
      </c>
      <c r="E1171" s="25" t="n">
        <v>119</v>
      </c>
      <c r="F1171" s="25" t="n">
        <v>215</v>
      </c>
      <c r="G1171" s="25" t="inlineStr">
        <is>
          <t>Hyderabad</t>
        </is>
      </c>
      <c r="H1171" s="25" t="inlineStr">
        <is>
          <t>Biryani</t>
        </is>
      </c>
      <c r="I1171" s="26" t="n">
        <v>318</v>
      </c>
      <c r="J1171" s="26" t="n">
        <v>0</v>
      </c>
      <c r="K1171" s="26" t="n">
        <v>36</v>
      </c>
      <c r="L1171" s="27" t="n">
        <v>0.2</v>
      </c>
      <c r="M1171" s="26" t="n">
        <v>72.59999999999999</v>
      </c>
      <c r="N1171" s="28" t="n">
        <v>5.2</v>
      </c>
      <c r="O1171" s="28" t="n">
        <v>43.2</v>
      </c>
      <c r="P1171" s="25" t="inlineStr">
        <is>
          <t>Debit Card</t>
        </is>
      </c>
      <c r="Q1171" s="25" t="inlineStr">
        <is>
          <t>Delivered</t>
        </is>
      </c>
      <c r="R1171" s="25" t="n">
        <v>5</v>
      </c>
      <c r="S1171" s="25">
        <f>TEXT(B1171,"yyyy-mm")</f>
        <v/>
      </c>
      <c r="T1171" s="25">
        <f>VLOOKUP(D1171,Customers!A:D,4,FALSE)</f>
        <v/>
      </c>
      <c r="U1171" s="25">
        <f>CONCATENATE(A1171,"-",G1171)</f>
        <v/>
      </c>
      <c r="V1171" s="25">
        <f>IF(N1171="","",IF(N1171&lt;=30,"Fast (&lt;30m)",IF(N1171&lt;=45,"Moderate (30-45m)","Delayed (&gt;45m)")))</f>
        <v/>
      </c>
      <c r="W1171" s="25">
        <f>IF(AND(I1171&gt;600,P1171="Delivered"),"High Value Delivered","Standard")</f>
        <v/>
      </c>
      <c r="X1171" s="25">
        <f>IF(OR(N1171&gt;50,Q1171&lt;=2),"High Risk / Delayed","Normal")</f>
        <v/>
      </c>
      <c r="Y1171" s="25">
        <f>IF(NOT(P1171="Cancelled"),"Fulfilled","Cancelled")</f>
        <v/>
      </c>
      <c r="Z1171" s="25">
        <f>IFERROR(Q1171,0)</f>
        <v/>
      </c>
    </row>
    <row r="1172">
      <c r="A1172" s="17" t="inlineStr">
        <is>
          <t>ORD2171</t>
        </is>
      </c>
      <c r="B1172" s="17" t="inlineStr">
        <is>
          <t>2025-05-07</t>
        </is>
      </c>
      <c r="C1172" s="17" t="inlineStr">
        <is>
          <t>13:42:27</t>
        </is>
      </c>
      <c r="D1172" s="17" t="n">
        <v>1162</v>
      </c>
      <c r="E1172" s="17" t="n">
        <v>119</v>
      </c>
      <c r="F1172" s="17" t="n">
        <v>225</v>
      </c>
      <c r="G1172" s="17" t="inlineStr">
        <is>
          <t>Hyderabad</t>
        </is>
      </c>
      <c r="H1172" s="17" t="inlineStr">
        <is>
          <t>Biryani</t>
        </is>
      </c>
      <c r="I1172" s="22" t="n">
        <v>338</v>
      </c>
      <c r="J1172" s="22" t="n">
        <v>21.07</v>
      </c>
      <c r="K1172" s="22" t="n">
        <v>25</v>
      </c>
      <c r="L1172" s="23" t="n">
        <v>0.2</v>
      </c>
      <c r="M1172" s="22" t="n">
        <v>73.84999999999999</v>
      </c>
      <c r="N1172" s="24" t="n">
        <v>2.9</v>
      </c>
      <c r="O1172" s="24" t="n">
        <v>35.6</v>
      </c>
      <c r="P1172" s="17" t="inlineStr">
        <is>
          <t>UPI</t>
        </is>
      </c>
      <c r="Q1172" s="17" t="inlineStr">
        <is>
          <t>Delivered</t>
        </is>
      </c>
      <c r="R1172" s="17" t="n">
        <v>3</v>
      </c>
      <c r="S1172" s="17">
        <f>TEXT(B1172,"yyyy-mm")</f>
        <v/>
      </c>
      <c r="T1172" s="17">
        <f>VLOOKUP(D1172,Customers!A:D,4,FALSE)</f>
        <v/>
      </c>
      <c r="U1172" s="17">
        <f>CONCATENATE(A1172,"-",G1172)</f>
        <v/>
      </c>
      <c r="V1172" s="17">
        <f>IF(N1172="","",IF(N1172&lt;=30,"Fast (&lt;30m)",IF(N1172&lt;=45,"Moderate (30-45m)","Delayed (&gt;45m)")))</f>
        <v/>
      </c>
      <c r="W1172" s="17">
        <f>IF(AND(I1172&gt;600,P1172="Delivered"),"High Value Delivered","Standard")</f>
        <v/>
      </c>
      <c r="X1172" s="17">
        <f>IF(OR(N1172&gt;50,Q1172&lt;=2),"High Risk / Delayed","Normal")</f>
        <v/>
      </c>
      <c r="Y1172" s="17">
        <f>IF(NOT(P1172="Cancelled"),"Fulfilled","Cancelled")</f>
        <v/>
      </c>
      <c r="Z1172" s="17">
        <f>IFERROR(Q1172,0)</f>
        <v/>
      </c>
    </row>
    <row r="1173">
      <c r="A1173" s="25" t="inlineStr">
        <is>
          <t>ORD2172</t>
        </is>
      </c>
      <c r="B1173" s="25" t="inlineStr">
        <is>
          <t>2025-09-05</t>
        </is>
      </c>
      <c r="C1173" s="25" t="inlineStr">
        <is>
          <t>15:53:51</t>
        </is>
      </c>
      <c r="D1173" s="25" t="n">
        <v>1139</v>
      </c>
      <c r="E1173" s="25" t="n">
        <v>118</v>
      </c>
      <c r="F1173" s="25" t="n">
        <v>219</v>
      </c>
      <c r="G1173" s="25" t="inlineStr">
        <is>
          <t>Delhi NCR</t>
        </is>
      </c>
      <c r="H1173" s="25" t="inlineStr">
        <is>
          <t>North Indian</t>
        </is>
      </c>
      <c r="I1173" s="26" t="n">
        <v>720</v>
      </c>
      <c r="J1173" s="26" t="n">
        <v>39.58</v>
      </c>
      <c r="K1173" s="26" t="n">
        <v>25.5</v>
      </c>
      <c r="L1173" s="27" t="n">
        <v>0.2</v>
      </c>
      <c r="M1173" s="26" t="n">
        <v>150.38</v>
      </c>
      <c r="N1173" s="28" t="n">
        <v>3.1</v>
      </c>
      <c r="O1173" s="28" t="n">
        <v>22.8</v>
      </c>
      <c r="P1173" s="25" t="inlineStr">
        <is>
          <t>Debit Card</t>
        </is>
      </c>
      <c r="Q1173" s="25" t="inlineStr">
        <is>
          <t>Delivered</t>
        </is>
      </c>
      <c r="R1173" s="25" t="n">
        <v>4</v>
      </c>
      <c r="S1173" s="25">
        <f>TEXT(B1173,"yyyy-mm")</f>
        <v/>
      </c>
      <c r="T1173" s="25">
        <f>VLOOKUP(D1173,Customers!A:D,4,FALSE)</f>
        <v/>
      </c>
      <c r="U1173" s="25">
        <f>CONCATENATE(A1173,"-",G1173)</f>
        <v/>
      </c>
      <c r="V1173" s="25">
        <f>IF(N1173="","",IF(N1173&lt;=30,"Fast (&lt;30m)",IF(N1173&lt;=45,"Moderate (30-45m)","Delayed (&gt;45m)")))</f>
        <v/>
      </c>
      <c r="W1173" s="25">
        <f>IF(AND(I1173&gt;600,P1173="Delivered"),"High Value Delivered","Standard")</f>
        <v/>
      </c>
      <c r="X1173" s="25">
        <f>IF(OR(N1173&gt;50,Q1173&lt;=2),"High Risk / Delayed","Normal")</f>
        <v/>
      </c>
      <c r="Y1173" s="25">
        <f>IF(NOT(P1173="Cancelled"),"Fulfilled","Cancelled")</f>
        <v/>
      </c>
      <c r="Z1173" s="25">
        <f>IFERROR(Q1173,0)</f>
        <v/>
      </c>
    </row>
    <row r="1174">
      <c r="A1174" s="17" t="inlineStr">
        <is>
          <t>ORD2173</t>
        </is>
      </c>
      <c r="B1174" s="17" t="inlineStr">
        <is>
          <t>2025-10-15</t>
        </is>
      </c>
      <c r="C1174" s="17" t="inlineStr">
        <is>
          <t>12:49:20</t>
        </is>
      </c>
      <c r="D1174" s="17" t="n">
        <v>1235</v>
      </c>
      <c r="E1174" s="17" t="n">
        <v>119</v>
      </c>
      <c r="F1174" s="17" t="n">
        <v>225</v>
      </c>
      <c r="G1174" s="17" t="inlineStr">
        <is>
          <t>Hyderabad</t>
        </is>
      </c>
      <c r="H1174" s="17" t="inlineStr">
        <is>
          <t>Biryani</t>
        </is>
      </c>
      <c r="I1174" s="22" t="n">
        <v>487</v>
      </c>
      <c r="J1174" s="22" t="n">
        <v>16.02</v>
      </c>
      <c r="K1174" s="22" t="n">
        <v>31.5</v>
      </c>
      <c r="L1174" s="23" t="n">
        <v>0.2</v>
      </c>
      <c r="M1174" s="22" t="n">
        <v>105.28</v>
      </c>
      <c r="N1174" s="24" t="n">
        <v>4.3</v>
      </c>
      <c r="O1174" s="24" t="n">
        <v>40.7</v>
      </c>
      <c r="P1174" s="17" t="inlineStr">
        <is>
          <t>Cash on Delivery</t>
        </is>
      </c>
      <c r="Q1174" s="17" t="inlineStr">
        <is>
          <t>Delivered</t>
        </is>
      </c>
      <c r="R1174" s="17" t="n">
        <v>3</v>
      </c>
      <c r="S1174" s="17">
        <f>TEXT(B1174,"yyyy-mm")</f>
        <v/>
      </c>
      <c r="T1174" s="17">
        <f>VLOOKUP(D1174,Customers!A:D,4,FALSE)</f>
        <v/>
      </c>
      <c r="U1174" s="17">
        <f>CONCATENATE(A1174,"-",G1174)</f>
        <v/>
      </c>
      <c r="V1174" s="17">
        <f>IF(N1174="","",IF(N1174&lt;=30,"Fast (&lt;30m)",IF(N1174&lt;=45,"Moderate (30-45m)","Delayed (&gt;45m)")))</f>
        <v/>
      </c>
      <c r="W1174" s="17">
        <f>IF(AND(I1174&gt;600,P1174="Delivered"),"High Value Delivered","Standard")</f>
        <v/>
      </c>
      <c r="X1174" s="17">
        <f>IF(OR(N1174&gt;50,Q1174&lt;=2),"High Risk / Delayed","Normal")</f>
        <v/>
      </c>
      <c r="Y1174" s="17">
        <f>IF(NOT(P1174="Cancelled"),"Fulfilled","Cancelled")</f>
        <v/>
      </c>
      <c r="Z1174" s="17">
        <f>IFERROR(Q1174,0)</f>
        <v/>
      </c>
    </row>
    <row r="1175">
      <c r="A1175" s="25" t="inlineStr">
        <is>
          <t>ORD2174</t>
        </is>
      </c>
      <c r="B1175" s="25" t="inlineStr">
        <is>
          <t>2025-05-18</t>
        </is>
      </c>
      <c r="C1175" s="25" t="inlineStr">
        <is>
          <t>13:31:46</t>
        </is>
      </c>
      <c r="D1175" s="25" t="n">
        <v>1209</v>
      </c>
      <c r="E1175" s="25" t="n">
        <v>120</v>
      </c>
      <c r="F1175" s="25" t="n">
        <v>207</v>
      </c>
      <c r="G1175" s="25" t="inlineStr">
        <is>
          <t>Pune</t>
        </is>
      </c>
      <c r="H1175" s="25" t="inlineStr">
        <is>
          <t>Fast Food</t>
        </is>
      </c>
      <c r="I1175" s="26" t="n">
        <v>444</v>
      </c>
      <c r="J1175" s="26" t="n">
        <v>0</v>
      </c>
      <c r="K1175" s="26" t="n">
        <v>35</v>
      </c>
      <c r="L1175" s="27" t="n">
        <v>0.18</v>
      </c>
      <c r="M1175" s="26" t="n">
        <v>88.67</v>
      </c>
      <c r="N1175" s="28" t="n">
        <v>5</v>
      </c>
      <c r="O1175" s="28" t="n">
        <v>40.9</v>
      </c>
      <c r="P1175" s="25" t="inlineStr">
        <is>
          <t>Debit Card</t>
        </is>
      </c>
      <c r="Q1175" s="25" t="inlineStr">
        <is>
          <t>Delivered</t>
        </is>
      </c>
      <c r="R1175" s="25" t="n">
        <v>3</v>
      </c>
      <c r="S1175" s="25">
        <f>TEXT(B1175,"yyyy-mm")</f>
        <v/>
      </c>
      <c r="T1175" s="25">
        <f>VLOOKUP(D1175,Customers!A:D,4,FALSE)</f>
        <v/>
      </c>
      <c r="U1175" s="25">
        <f>CONCATENATE(A1175,"-",G1175)</f>
        <v/>
      </c>
      <c r="V1175" s="25">
        <f>IF(N1175="","",IF(N1175&lt;=30,"Fast (&lt;30m)",IF(N1175&lt;=45,"Moderate (30-45m)","Delayed (&gt;45m)")))</f>
        <v/>
      </c>
      <c r="W1175" s="25">
        <f>IF(AND(I1175&gt;600,P1175="Delivered"),"High Value Delivered","Standard")</f>
        <v/>
      </c>
      <c r="X1175" s="25">
        <f>IF(OR(N1175&gt;50,Q1175&lt;=2),"High Risk / Delayed","Normal")</f>
        <v/>
      </c>
      <c r="Y1175" s="25">
        <f>IF(NOT(P1175="Cancelled"),"Fulfilled","Cancelled")</f>
        <v/>
      </c>
      <c r="Z1175" s="25">
        <f>IFERROR(Q1175,0)</f>
        <v/>
      </c>
    </row>
    <row r="1176">
      <c r="A1176" s="17" t="inlineStr">
        <is>
          <t>ORD2175</t>
        </is>
      </c>
      <c r="B1176" s="17" t="inlineStr">
        <is>
          <t>2025-10-21</t>
        </is>
      </c>
      <c r="C1176" s="17" t="inlineStr">
        <is>
          <t>18:56:10</t>
        </is>
      </c>
      <c r="D1176" s="17" t="n">
        <v>1196</v>
      </c>
      <c r="E1176" s="17" t="n">
        <v>120</v>
      </c>
      <c r="F1176" s="17" t="n">
        <v>204</v>
      </c>
      <c r="G1176" s="17" t="inlineStr">
        <is>
          <t>Pune</t>
        </is>
      </c>
      <c r="H1176" s="17" t="inlineStr">
        <is>
          <t>Fast Food</t>
        </is>
      </c>
      <c r="I1176" s="22" t="n">
        <v>768</v>
      </c>
      <c r="J1176" s="22" t="n">
        <v>0</v>
      </c>
      <c r="K1176" s="22" t="n">
        <v>30.5</v>
      </c>
      <c r="L1176" s="23" t="n">
        <v>0.18</v>
      </c>
      <c r="M1176" s="22" t="n">
        <v>145.86</v>
      </c>
      <c r="N1176" s="24" t="n">
        <v>4.1</v>
      </c>
      <c r="O1176" s="24" t="n">
        <v>29.9</v>
      </c>
      <c r="P1176" s="17" t="inlineStr">
        <is>
          <t>Digital Wallet</t>
        </is>
      </c>
      <c r="Q1176" s="17" t="inlineStr">
        <is>
          <t>Delivered</t>
        </is>
      </c>
      <c r="R1176" s="17" t="n">
        <v>4</v>
      </c>
      <c r="S1176" s="17">
        <f>TEXT(B1176,"yyyy-mm")</f>
        <v/>
      </c>
      <c r="T1176" s="17">
        <f>VLOOKUP(D1176,Customers!A:D,4,FALSE)</f>
        <v/>
      </c>
      <c r="U1176" s="17">
        <f>CONCATENATE(A1176,"-",G1176)</f>
        <v/>
      </c>
      <c r="V1176" s="17">
        <f>IF(N1176="","",IF(N1176&lt;=30,"Fast (&lt;30m)",IF(N1176&lt;=45,"Moderate (30-45m)","Delayed (&gt;45m)")))</f>
        <v/>
      </c>
      <c r="W1176" s="17">
        <f>IF(AND(I1176&gt;600,P1176="Delivered"),"High Value Delivered","Standard")</f>
        <v/>
      </c>
      <c r="X1176" s="17">
        <f>IF(OR(N1176&gt;50,Q1176&lt;=2),"High Risk / Delayed","Normal")</f>
        <v/>
      </c>
      <c r="Y1176" s="17">
        <f>IF(NOT(P1176="Cancelled"),"Fulfilled","Cancelled")</f>
        <v/>
      </c>
      <c r="Z1176" s="17">
        <f>IFERROR(Q1176,0)</f>
        <v/>
      </c>
    </row>
    <row r="1177">
      <c r="A1177" s="25" t="inlineStr">
        <is>
          <t>ORD2176</t>
        </is>
      </c>
      <c r="B1177" s="25" t="inlineStr">
        <is>
          <t>2025-01-11</t>
        </is>
      </c>
      <c r="C1177" s="25" t="inlineStr">
        <is>
          <t>20:51:24</t>
        </is>
      </c>
      <c r="D1177" s="25" t="n">
        <v>1006</v>
      </c>
      <c r="E1177" s="25" t="n">
        <v>117</v>
      </c>
      <c r="F1177" s="25" t="n">
        <v>202</v>
      </c>
      <c r="G1177" s="25" t="inlineStr">
        <is>
          <t>Mumbai</t>
        </is>
      </c>
      <c r="H1177" s="25" t="inlineStr">
        <is>
          <t>Chinese</t>
        </is>
      </c>
      <c r="I1177" s="26" t="n">
        <v>312</v>
      </c>
      <c r="J1177" s="26" t="n">
        <v>8.32</v>
      </c>
      <c r="K1177" s="26" t="n">
        <v>29</v>
      </c>
      <c r="L1177" s="27" t="n">
        <v>0.2</v>
      </c>
      <c r="M1177" s="26" t="n">
        <v>69.65000000000001</v>
      </c>
      <c r="N1177" s="28" t="n">
        <v>3.8</v>
      </c>
      <c r="O1177" s="28" t="n">
        <v>30.1</v>
      </c>
      <c r="P1177" s="25" t="inlineStr">
        <is>
          <t>Digital Wallet</t>
        </is>
      </c>
      <c r="Q1177" s="25" t="inlineStr">
        <is>
          <t>Delivered</t>
        </is>
      </c>
      <c r="R1177" s="25" t="n">
        <v>5</v>
      </c>
      <c r="S1177" s="25">
        <f>TEXT(B1177,"yyyy-mm")</f>
        <v/>
      </c>
      <c r="T1177" s="25">
        <f>VLOOKUP(D1177,Customers!A:D,4,FALSE)</f>
        <v/>
      </c>
      <c r="U1177" s="25">
        <f>CONCATENATE(A1177,"-",G1177)</f>
        <v/>
      </c>
      <c r="V1177" s="25">
        <f>IF(N1177="","",IF(N1177&lt;=30,"Fast (&lt;30m)",IF(N1177&lt;=45,"Moderate (30-45m)","Delayed (&gt;45m)")))</f>
        <v/>
      </c>
      <c r="W1177" s="25">
        <f>IF(AND(I1177&gt;600,P1177="Delivered"),"High Value Delivered","Standard")</f>
        <v/>
      </c>
      <c r="X1177" s="25">
        <f>IF(OR(N1177&gt;50,Q1177&lt;=2),"High Risk / Delayed","Normal")</f>
        <v/>
      </c>
      <c r="Y1177" s="25">
        <f>IF(NOT(P1177="Cancelled"),"Fulfilled","Cancelled")</f>
        <v/>
      </c>
      <c r="Z1177" s="25">
        <f>IFERROR(Q1177,0)</f>
        <v/>
      </c>
    </row>
    <row r="1178">
      <c r="A1178" s="17" t="inlineStr">
        <is>
          <t>ORD2177</t>
        </is>
      </c>
      <c r="B1178" s="17" t="inlineStr">
        <is>
          <t>2025-09-23</t>
        </is>
      </c>
      <c r="C1178" s="17" t="inlineStr">
        <is>
          <t>11:13:23</t>
        </is>
      </c>
      <c r="D1178" s="17" t="n">
        <v>1170</v>
      </c>
      <c r="E1178" s="17" t="n">
        <v>103</v>
      </c>
      <c r="F1178" s="17" t="n">
        <v>206</v>
      </c>
      <c r="G1178" s="17" t="inlineStr">
        <is>
          <t>Mumbai</t>
        </is>
      </c>
      <c r="H1178" s="17" t="inlineStr">
        <is>
          <t>Italian</t>
        </is>
      </c>
      <c r="I1178" s="22" t="n">
        <v>768</v>
      </c>
      <c r="J1178" s="22" t="n">
        <v>0</v>
      </c>
      <c r="K1178" s="22" t="n">
        <v>25</v>
      </c>
      <c r="L1178" s="23" t="n">
        <v>0.18</v>
      </c>
      <c r="M1178" s="22" t="n">
        <v>144.49</v>
      </c>
      <c r="N1178" s="24" t="n">
        <v>3</v>
      </c>
      <c r="O1178" s="24" t="n">
        <v>31.3</v>
      </c>
      <c r="P1178" s="17" t="inlineStr">
        <is>
          <t>Digital Wallet</t>
        </is>
      </c>
      <c r="Q1178" s="17" t="inlineStr">
        <is>
          <t>Delivered</t>
        </is>
      </c>
      <c r="R1178" s="17" t="n">
        <v>1</v>
      </c>
      <c r="S1178" s="17">
        <f>TEXT(B1178,"yyyy-mm")</f>
        <v/>
      </c>
      <c r="T1178" s="17">
        <f>VLOOKUP(D1178,Customers!A:D,4,FALSE)</f>
        <v/>
      </c>
      <c r="U1178" s="17">
        <f>CONCATENATE(A1178,"-",G1178)</f>
        <v/>
      </c>
      <c r="V1178" s="17">
        <f>IF(N1178="","",IF(N1178&lt;=30,"Fast (&lt;30m)",IF(N1178&lt;=45,"Moderate (30-45m)","Delayed (&gt;45m)")))</f>
        <v/>
      </c>
      <c r="W1178" s="17">
        <f>IF(AND(I1178&gt;600,P1178="Delivered"),"High Value Delivered","Standard")</f>
        <v/>
      </c>
      <c r="X1178" s="17">
        <f>IF(OR(N1178&gt;50,Q1178&lt;=2),"High Risk / Delayed","Normal")</f>
        <v/>
      </c>
      <c r="Y1178" s="17">
        <f>IF(NOT(P1178="Cancelled"),"Fulfilled","Cancelled")</f>
        <v/>
      </c>
      <c r="Z1178" s="17">
        <f>IFERROR(Q1178,0)</f>
        <v/>
      </c>
    </row>
    <row r="1179">
      <c r="A1179" s="25" t="inlineStr">
        <is>
          <t>ORD2178</t>
        </is>
      </c>
      <c r="B1179" s="25" t="inlineStr">
        <is>
          <t>2025-03-24</t>
        </is>
      </c>
      <c r="C1179" s="25" t="inlineStr">
        <is>
          <t>22:58:23</t>
        </is>
      </c>
      <c r="D1179" s="25" t="n">
        <v>1242</v>
      </c>
      <c r="E1179" s="25" t="n">
        <v>106</v>
      </c>
      <c r="F1179" s="25" t="n">
        <v>214</v>
      </c>
      <c r="G1179" s="25" t="inlineStr">
        <is>
          <t>Pune</t>
        </is>
      </c>
      <c r="H1179" s="25" t="inlineStr">
        <is>
          <t>South Indian</t>
        </is>
      </c>
      <c r="I1179" s="26" t="n">
        <v>764</v>
      </c>
      <c r="J1179" s="26" t="n">
        <v>92.87</v>
      </c>
      <c r="K1179" s="26" t="n">
        <v>0</v>
      </c>
      <c r="L1179" s="27" t="n">
        <v>0.15</v>
      </c>
      <c r="M1179" s="26" t="n">
        <v>114.6</v>
      </c>
      <c r="N1179" s="28" t="n">
        <v>7.7</v>
      </c>
      <c r="O1179" s="28" t="n">
        <v>43.5</v>
      </c>
      <c r="P1179" s="25" t="inlineStr">
        <is>
          <t>UPI</t>
        </is>
      </c>
      <c r="Q1179" s="25" t="inlineStr">
        <is>
          <t>Delivered</t>
        </is>
      </c>
      <c r="R1179" s="25" t="n">
        <v>5</v>
      </c>
      <c r="S1179" s="25">
        <f>TEXT(B1179,"yyyy-mm")</f>
        <v/>
      </c>
      <c r="T1179" s="25">
        <f>VLOOKUP(D1179,Customers!A:D,4,FALSE)</f>
        <v/>
      </c>
      <c r="U1179" s="25">
        <f>CONCATENATE(A1179,"-",G1179)</f>
        <v/>
      </c>
      <c r="V1179" s="25">
        <f>IF(N1179="","",IF(N1179&lt;=30,"Fast (&lt;30m)",IF(N1179&lt;=45,"Moderate (30-45m)","Delayed (&gt;45m)")))</f>
        <v/>
      </c>
      <c r="W1179" s="25">
        <f>IF(AND(I1179&gt;600,P1179="Delivered"),"High Value Delivered","Standard")</f>
        <v/>
      </c>
      <c r="X1179" s="25">
        <f>IF(OR(N1179&gt;50,Q1179&lt;=2),"High Risk / Delayed","Normal")</f>
        <v/>
      </c>
      <c r="Y1179" s="25">
        <f>IF(NOT(P1179="Cancelled"),"Fulfilled","Cancelled")</f>
        <v/>
      </c>
      <c r="Z1179" s="25">
        <f>IFERROR(Q1179,0)</f>
        <v/>
      </c>
    </row>
    <row r="1180">
      <c r="A1180" s="17" t="inlineStr">
        <is>
          <t>ORD2179</t>
        </is>
      </c>
      <c r="B1180" s="17" t="inlineStr">
        <is>
          <t>2025-09-27</t>
        </is>
      </c>
      <c r="C1180" s="17" t="inlineStr">
        <is>
          <t>16:06:32</t>
        </is>
      </c>
      <c r="D1180" s="17" t="n">
        <v>1167</v>
      </c>
      <c r="E1180" s="17" t="n">
        <v>112</v>
      </c>
      <c r="F1180" s="17" t="n">
        <v>211</v>
      </c>
      <c r="G1180" s="17" t="inlineStr">
        <is>
          <t>Delhi NCR</t>
        </is>
      </c>
      <c r="H1180" s="17" t="inlineStr">
        <is>
          <t>North Indian</t>
        </is>
      </c>
      <c r="I1180" s="22" t="n">
        <v>627</v>
      </c>
      <c r="J1180" s="22" t="n">
        <v>2.12</v>
      </c>
      <c r="K1180" s="22" t="n">
        <v>40.5</v>
      </c>
      <c r="L1180" s="23" t="n">
        <v>0.22</v>
      </c>
      <c r="M1180" s="22" t="n">
        <v>148.06</v>
      </c>
      <c r="N1180" s="24" t="n">
        <v>6.1</v>
      </c>
      <c r="O1180" s="24" t="n">
        <v>33.8</v>
      </c>
      <c r="P1180" s="17" t="inlineStr">
        <is>
          <t>UPI</t>
        </is>
      </c>
      <c r="Q1180" s="17" t="inlineStr">
        <is>
          <t>Delivered</t>
        </is>
      </c>
      <c r="R1180" s="17" t="n">
        <v>4</v>
      </c>
      <c r="S1180" s="17">
        <f>TEXT(B1180,"yyyy-mm")</f>
        <v/>
      </c>
      <c r="T1180" s="17">
        <f>VLOOKUP(D1180,Customers!A:D,4,FALSE)</f>
        <v/>
      </c>
      <c r="U1180" s="17">
        <f>CONCATENATE(A1180,"-",G1180)</f>
        <v/>
      </c>
      <c r="V1180" s="17">
        <f>IF(N1180="","",IF(N1180&lt;=30,"Fast (&lt;30m)",IF(N1180&lt;=45,"Moderate (30-45m)","Delayed (&gt;45m)")))</f>
        <v/>
      </c>
      <c r="W1180" s="17">
        <f>IF(AND(I1180&gt;600,P1180="Delivered"),"High Value Delivered","Standard")</f>
        <v/>
      </c>
      <c r="X1180" s="17">
        <f>IF(OR(N1180&gt;50,Q1180&lt;=2),"High Risk / Delayed","Normal")</f>
        <v/>
      </c>
      <c r="Y1180" s="17">
        <f>IF(NOT(P1180="Cancelled"),"Fulfilled","Cancelled")</f>
        <v/>
      </c>
      <c r="Z1180" s="17">
        <f>IFERROR(Q1180,0)</f>
        <v/>
      </c>
    </row>
    <row r="1181">
      <c r="A1181" s="25" t="inlineStr">
        <is>
          <t>ORD2180</t>
        </is>
      </c>
      <c r="B1181" s="25" t="inlineStr">
        <is>
          <t>2025-01-18</t>
        </is>
      </c>
      <c r="C1181" s="25" t="inlineStr">
        <is>
          <t>17:17:47</t>
        </is>
      </c>
      <c r="D1181" s="25" t="n">
        <v>1004</v>
      </c>
      <c r="E1181" s="25" t="n">
        <v>110</v>
      </c>
      <c r="F1181" s="25" t="n">
        <v>208</v>
      </c>
      <c r="G1181" s="25" t="inlineStr">
        <is>
          <t>Pune</t>
        </is>
      </c>
      <c r="H1181" s="25" t="inlineStr">
        <is>
          <t>North Indian</t>
        </is>
      </c>
      <c r="I1181" s="26" t="n">
        <v>346</v>
      </c>
      <c r="J1181" s="26" t="n">
        <v>10.46</v>
      </c>
      <c r="K1181" s="26" t="n">
        <v>29.5</v>
      </c>
      <c r="L1181" s="27" t="n">
        <v>0.18</v>
      </c>
      <c r="M1181" s="26" t="n">
        <v>69.66</v>
      </c>
      <c r="N1181" s="28" t="n">
        <v>3.9</v>
      </c>
      <c r="O1181" s="28" t="n">
        <v>27</v>
      </c>
      <c r="P1181" s="25" t="inlineStr">
        <is>
          <t>Debit Card</t>
        </is>
      </c>
      <c r="Q1181" s="25" t="inlineStr">
        <is>
          <t>Delivered</t>
        </is>
      </c>
      <c r="R1181" s="25" t="n">
        <v>4</v>
      </c>
      <c r="S1181" s="25">
        <f>TEXT(B1181,"yyyy-mm")</f>
        <v/>
      </c>
      <c r="T1181" s="25">
        <f>VLOOKUP(D1181,Customers!A:D,4,FALSE)</f>
        <v/>
      </c>
      <c r="U1181" s="25">
        <f>CONCATENATE(A1181,"-",G1181)</f>
        <v/>
      </c>
      <c r="V1181" s="25">
        <f>IF(N1181="","",IF(N1181&lt;=30,"Fast (&lt;30m)",IF(N1181&lt;=45,"Moderate (30-45m)","Delayed (&gt;45m)")))</f>
        <v/>
      </c>
      <c r="W1181" s="25">
        <f>IF(AND(I1181&gt;600,P1181="Delivered"),"High Value Delivered","Standard")</f>
        <v/>
      </c>
      <c r="X1181" s="25">
        <f>IF(OR(N1181&gt;50,Q1181&lt;=2),"High Risk / Delayed","Normal")</f>
        <v/>
      </c>
      <c r="Y1181" s="25">
        <f>IF(NOT(P1181="Cancelled"),"Fulfilled","Cancelled")</f>
        <v/>
      </c>
      <c r="Z1181" s="25">
        <f>IFERROR(Q1181,0)</f>
        <v/>
      </c>
    </row>
    <row r="1182">
      <c r="A1182" s="17" t="inlineStr">
        <is>
          <t>ORD2181</t>
        </is>
      </c>
      <c r="B1182" s="17" t="inlineStr">
        <is>
          <t>2025-02-07</t>
        </is>
      </c>
      <c r="C1182" s="17" t="inlineStr">
        <is>
          <t>14:32:46</t>
        </is>
      </c>
      <c r="D1182" s="17" t="n">
        <v>1109</v>
      </c>
      <c r="E1182" s="17" t="n">
        <v>107</v>
      </c>
      <c r="F1182" s="17" t="n">
        <v>206</v>
      </c>
      <c r="G1182" s="17" t="inlineStr">
        <is>
          <t>Mumbai</t>
        </is>
      </c>
      <c r="H1182" s="17" t="inlineStr">
        <is>
          <t>Desserts</t>
        </is>
      </c>
      <c r="I1182" s="22" t="n">
        <v>940</v>
      </c>
      <c r="J1182" s="22" t="n">
        <v>31.24</v>
      </c>
      <c r="K1182" s="22" t="n">
        <v>46</v>
      </c>
      <c r="L1182" s="23" t="n">
        <v>0.25</v>
      </c>
      <c r="M1182" s="22" t="n">
        <v>246.5</v>
      </c>
      <c r="N1182" s="24" t="n">
        <v>7.2</v>
      </c>
      <c r="O1182" s="24" t="n">
        <v>41.7</v>
      </c>
      <c r="P1182" s="17" t="inlineStr">
        <is>
          <t>Digital Wallet</t>
        </is>
      </c>
      <c r="Q1182" s="17" t="inlineStr">
        <is>
          <t>Delivered</t>
        </is>
      </c>
      <c r="R1182" s="17" t="n">
        <v>1</v>
      </c>
      <c r="S1182" s="17">
        <f>TEXT(B1182,"yyyy-mm")</f>
        <v/>
      </c>
      <c r="T1182" s="17">
        <f>VLOOKUP(D1182,Customers!A:D,4,FALSE)</f>
        <v/>
      </c>
      <c r="U1182" s="17">
        <f>CONCATENATE(A1182,"-",G1182)</f>
        <v/>
      </c>
      <c r="V1182" s="17">
        <f>IF(N1182="","",IF(N1182&lt;=30,"Fast (&lt;30m)",IF(N1182&lt;=45,"Moderate (30-45m)","Delayed (&gt;45m)")))</f>
        <v/>
      </c>
      <c r="W1182" s="17">
        <f>IF(AND(I1182&gt;600,P1182="Delivered"),"High Value Delivered","Standard")</f>
        <v/>
      </c>
      <c r="X1182" s="17">
        <f>IF(OR(N1182&gt;50,Q1182&lt;=2),"High Risk / Delayed","Normal")</f>
        <v/>
      </c>
      <c r="Y1182" s="17">
        <f>IF(NOT(P1182="Cancelled"),"Fulfilled","Cancelled")</f>
        <v/>
      </c>
      <c r="Z1182" s="17">
        <f>IFERROR(Q1182,0)</f>
        <v/>
      </c>
    </row>
    <row r="1183">
      <c r="A1183" s="25" t="inlineStr">
        <is>
          <t>ORD2182</t>
        </is>
      </c>
      <c r="B1183" s="25" t="inlineStr">
        <is>
          <t>2025-04-10</t>
        </is>
      </c>
      <c r="C1183" s="25" t="inlineStr">
        <is>
          <t>10:53:38</t>
        </is>
      </c>
      <c r="D1183" s="25" t="n">
        <v>1132</v>
      </c>
      <c r="E1183" s="25" t="n">
        <v>111</v>
      </c>
      <c r="F1183" s="25" t="n">
        <v>218</v>
      </c>
      <c r="G1183" s="25" t="inlineStr">
        <is>
          <t>Bangalore</t>
        </is>
      </c>
      <c r="H1183" s="25" t="inlineStr">
        <is>
          <t>South Indian</t>
        </is>
      </c>
      <c r="I1183" s="26" t="n">
        <v>539</v>
      </c>
      <c r="J1183" s="26" t="n">
        <v>18.33</v>
      </c>
      <c r="K1183" s="26" t="n">
        <v>25.5</v>
      </c>
      <c r="L1183" s="27" t="n">
        <v>0.15</v>
      </c>
      <c r="M1183" s="26" t="n">
        <v>87.22</v>
      </c>
      <c r="N1183" s="28" t="n">
        <v>3.1</v>
      </c>
      <c r="O1183" s="28" t="n">
        <v>28.3</v>
      </c>
      <c r="P1183" s="25" t="inlineStr">
        <is>
          <t>Debit Card</t>
        </is>
      </c>
      <c r="Q1183" s="25" t="inlineStr">
        <is>
          <t>Delivered</t>
        </is>
      </c>
      <c r="R1183" s="25" t="n">
        <v>5</v>
      </c>
      <c r="S1183" s="25">
        <f>TEXT(B1183,"yyyy-mm")</f>
        <v/>
      </c>
      <c r="T1183" s="25">
        <f>VLOOKUP(D1183,Customers!A:D,4,FALSE)</f>
        <v/>
      </c>
      <c r="U1183" s="25">
        <f>CONCATENATE(A1183,"-",G1183)</f>
        <v/>
      </c>
      <c r="V1183" s="25">
        <f>IF(N1183="","",IF(N1183&lt;=30,"Fast (&lt;30m)",IF(N1183&lt;=45,"Moderate (30-45m)","Delayed (&gt;45m)")))</f>
        <v/>
      </c>
      <c r="W1183" s="25">
        <f>IF(AND(I1183&gt;600,P1183="Delivered"),"High Value Delivered","Standard")</f>
        <v/>
      </c>
      <c r="X1183" s="25">
        <f>IF(OR(N1183&gt;50,Q1183&lt;=2),"High Risk / Delayed","Normal")</f>
        <v/>
      </c>
      <c r="Y1183" s="25">
        <f>IF(NOT(P1183="Cancelled"),"Fulfilled","Cancelled")</f>
        <v/>
      </c>
      <c r="Z1183" s="25">
        <f>IFERROR(Q1183,0)</f>
        <v/>
      </c>
    </row>
    <row r="1184">
      <c r="A1184" s="17" t="inlineStr">
        <is>
          <t>ORD2183</t>
        </is>
      </c>
      <c r="B1184" s="17" t="inlineStr">
        <is>
          <t>2025-02-21</t>
        </is>
      </c>
      <c r="C1184" s="17" t="inlineStr">
        <is>
          <t>11:16:41</t>
        </is>
      </c>
      <c r="D1184" s="17" t="n">
        <v>1225</v>
      </c>
      <c r="E1184" s="17" t="n">
        <v>110</v>
      </c>
      <c r="F1184" s="17" t="n">
        <v>226</v>
      </c>
      <c r="G1184" s="17" t="inlineStr">
        <is>
          <t>Pune</t>
        </is>
      </c>
      <c r="H1184" s="17" t="inlineStr">
        <is>
          <t>North Indian</t>
        </is>
      </c>
      <c r="I1184" s="22" t="n">
        <v>810</v>
      </c>
      <c r="J1184" s="22" t="n">
        <v>0</v>
      </c>
      <c r="K1184" s="22" t="n">
        <v>40.5</v>
      </c>
      <c r="L1184" s="23" t="n">
        <v>0.18</v>
      </c>
      <c r="M1184" s="22" t="n">
        <v>155.92</v>
      </c>
      <c r="N1184" s="24" t="n">
        <v>6.1</v>
      </c>
      <c r="O1184" s="24" t="n">
        <v>32.3</v>
      </c>
      <c r="P1184" s="17" t="inlineStr">
        <is>
          <t>UPI</t>
        </is>
      </c>
      <c r="Q1184" s="17" t="inlineStr">
        <is>
          <t>Delivered</t>
        </is>
      </c>
      <c r="R1184" s="17" t="n">
        <v>4</v>
      </c>
      <c r="S1184" s="17">
        <f>TEXT(B1184,"yyyy-mm")</f>
        <v/>
      </c>
      <c r="T1184" s="17">
        <f>VLOOKUP(D1184,Customers!A:D,4,FALSE)</f>
        <v/>
      </c>
      <c r="U1184" s="17">
        <f>CONCATENATE(A1184,"-",G1184)</f>
        <v/>
      </c>
      <c r="V1184" s="17">
        <f>IF(N1184="","",IF(N1184&lt;=30,"Fast (&lt;30m)",IF(N1184&lt;=45,"Moderate (30-45m)","Delayed (&gt;45m)")))</f>
        <v/>
      </c>
      <c r="W1184" s="17">
        <f>IF(AND(I1184&gt;600,P1184="Delivered"),"High Value Delivered","Standard")</f>
        <v/>
      </c>
      <c r="X1184" s="17">
        <f>IF(OR(N1184&gt;50,Q1184&lt;=2),"High Risk / Delayed","Normal")</f>
        <v/>
      </c>
      <c r="Y1184" s="17">
        <f>IF(NOT(P1184="Cancelled"),"Fulfilled","Cancelled")</f>
        <v/>
      </c>
      <c r="Z1184" s="17">
        <f>IFERROR(Q1184,0)</f>
        <v/>
      </c>
    </row>
    <row r="1185">
      <c r="A1185" s="25" t="inlineStr">
        <is>
          <t>ORD2184</t>
        </is>
      </c>
      <c r="B1185" s="25" t="inlineStr">
        <is>
          <t>2025-10-15</t>
        </is>
      </c>
      <c r="C1185" s="25" t="inlineStr">
        <is>
          <t>13:17:30</t>
        </is>
      </c>
      <c r="D1185" s="25" t="n">
        <v>1159</v>
      </c>
      <c r="E1185" s="25" t="n">
        <v>104</v>
      </c>
      <c r="F1185" s="25" t="n">
        <v>219</v>
      </c>
      <c r="G1185" s="25" t="inlineStr">
        <is>
          <t>Delhi NCR</t>
        </is>
      </c>
      <c r="H1185" s="25" t="inlineStr">
        <is>
          <t>Fast Food</t>
        </is>
      </c>
      <c r="I1185" s="26" t="n">
        <v>511</v>
      </c>
      <c r="J1185" s="26" t="n">
        <v>21.8</v>
      </c>
      <c r="K1185" s="26" t="n">
        <v>42</v>
      </c>
      <c r="L1185" s="27" t="n">
        <v>0.18</v>
      </c>
      <c r="M1185" s="26" t="n">
        <v>102.48</v>
      </c>
      <c r="N1185" s="28" t="n">
        <v>6.4</v>
      </c>
      <c r="O1185" s="28" t="n">
        <v>38.7</v>
      </c>
      <c r="P1185" s="25" t="inlineStr">
        <is>
          <t>UPI</t>
        </is>
      </c>
      <c r="Q1185" s="25" t="inlineStr">
        <is>
          <t>Delivered</t>
        </is>
      </c>
      <c r="R1185" s="25" t="n">
        <v>4</v>
      </c>
      <c r="S1185" s="25">
        <f>TEXT(B1185,"yyyy-mm")</f>
        <v/>
      </c>
      <c r="T1185" s="25">
        <f>VLOOKUP(D1185,Customers!A:D,4,FALSE)</f>
        <v/>
      </c>
      <c r="U1185" s="25">
        <f>CONCATENATE(A1185,"-",G1185)</f>
        <v/>
      </c>
      <c r="V1185" s="25">
        <f>IF(N1185="","",IF(N1185&lt;=30,"Fast (&lt;30m)",IF(N1185&lt;=45,"Moderate (30-45m)","Delayed (&gt;45m)")))</f>
        <v/>
      </c>
      <c r="W1185" s="25">
        <f>IF(AND(I1185&gt;600,P1185="Delivered"),"High Value Delivered","Standard")</f>
        <v/>
      </c>
      <c r="X1185" s="25">
        <f>IF(OR(N1185&gt;50,Q1185&lt;=2),"High Risk / Delayed","Normal")</f>
        <v/>
      </c>
      <c r="Y1185" s="25">
        <f>IF(NOT(P1185="Cancelled"),"Fulfilled","Cancelled")</f>
        <v/>
      </c>
      <c r="Z1185" s="25">
        <f>IFERROR(Q1185,0)</f>
        <v/>
      </c>
    </row>
    <row r="1186">
      <c r="A1186" s="17" t="inlineStr">
        <is>
          <t>ORD2185</t>
        </is>
      </c>
      <c r="B1186" s="17" t="inlineStr">
        <is>
          <t>2025-10-07</t>
        </is>
      </c>
      <c r="C1186" s="17" t="inlineStr">
        <is>
          <t>13:45:06</t>
        </is>
      </c>
      <c r="D1186" s="17" t="n">
        <v>1076</v>
      </c>
      <c r="E1186" s="17" t="n">
        <v>108</v>
      </c>
      <c r="F1186" s="17" t="n">
        <v>211</v>
      </c>
      <c r="G1186" s="17" t="inlineStr">
        <is>
          <t>Delhi NCR</t>
        </is>
      </c>
      <c r="H1186" s="17" t="inlineStr">
        <is>
          <t>Fast Food</t>
        </is>
      </c>
      <c r="I1186" s="22" t="n">
        <v>683</v>
      </c>
      <c r="J1186" s="22" t="n">
        <v>44.86</v>
      </c>
      <c r="K1186" s="22" t="n">
        <v>25</v>
      </c>
      <c r="L1186" s="23" t="n">
        <v>0.18</v>
      </c>
      <c r="M1186" s="22" t="n">
        <v>129.19</v>
      </c>
      <c r="N1186" s="24" t="n">
        <v>2.8</v>
      </c>
      <c r="O1186" s="24" t="n">
        <v>32.6</v>
      </c>
      <c r="P1186" s="17" t="inlineStr">
        <is>
          <t>Cash on Delivery</t>
        </is>
      </c>
      <c r="Q1186" s="17" t="inlineStr">
        <is>
          <t>Delivered</t>
        </is>
      </c>
      <c r="R1186" s="17" t="n">
        <v>4</v>
      </c>
      <c r="S1186" s="17">
        <f>TEXT(B1186,"yyyy-mm")</f>
        <v/>
      </c>
      <c r="T1186" s="17">
        <f>VLOOKUP(D1186,Customers!A:D,4,FALSE)</f>
        <v/>
      </c>
      <c r="U1186" s="17">
        <f>CONCATENATE(A1186,"-",G1186)</f>
        <v/>
      </c>
      <c r="V1186" s="17">
        <f>IF(N1186="","",IF(N1186&lt;=30,"Fast (&lt;30m)",IF(N1186&lt;=45,"Moderate (30-45m)","Delayed (&gt;45m)")))</f>
        <v/>
      </c>
      <c r="W1186" s="17">
        <f>IF(AND(I1186&gt;600,P1186="Delivered"),"High Value Delivered","Standard")</f>
        <v/>
      </c>
      <c r="X1186" s="17">
        <f>IF(OR(N1186&gt;50,Q1186&lt;=2),"High Risk / Delayed","Normal")</f>
        <v/>
      </c>
      <c r="Y1186" s="17">
        <f>IF(NOT(P1186="Cancelled"),"Fulfilled","Cancelled")</f>
        <v/>
      </c>
      <c r="Z1186" s="17">
        <f>IFERROR(Q1186,0)</f>
        <v/>
      </c>
    </row>
    <row r="1187">
      <c r="A1187" s="25" t="inlineStr">
        <is>
          <t>ORD2186</t>
        </is>
      </c>
      <c r="B1187" s="25" t="inlineStr">
        <is>
          <t>2025-07-09</t>
        </is>
      </c>
      <c r="C1187" s="25" t="inlineStr">
        <is>
          <t>14:30:36</t>
        </is>
      </c>
      <c r="D1187" s="25" t="n">
        <v>1284</v>
      </c>
      <c r="E1187" s="25" t="n">
        <v>109</v>
      </c>
      <c r="F1187" s="25" t="n">
        <v>216</v>
      </c>
      <c r="G1187" s="25" t="inlineStr">
        <is>
          <t>Hyderabad</t>
        </is>
      </c>
      <c r="H1187" s="25" t="inlineStr">
        <is>
          <t>Biryani</t>
        </is>
      </c>
      <c r="I1187" s="26" t="n">
        <v>331</v>
      </c>
      <c r="J1187" s="26" t="n">
        <v>8.800000000000001</v>
      </c>
      <c r="K1187" s="26" t="n">
        <v>31.5</v>
      </c>
      <c r="L1187" s="27" t="n">
        <v>0.2</v>
      </c>
      <c r="M1187" s="26" t="n">
        <v>74.08</v>
      </c>
      <c r="N1187" s="28" t="n">
        <v>4.3</v>
      </c>
      <c r="O1187" s="28" t="n">
        <v>37.3</v>
      </c>
      <c r="P1187" s="25" t="inlineStr">
        <is>
          <t>UPI</t>
        </is>
      </c>
      <c r="Q1187" s="25" t="inlineStr">
        <is>
          <t>Delivered</t>
        </is>
      </c>
      <c r="R1187" s="25" t="n">
        <v>3</v>
      </c>
      <c r="S1187" s="25">
        <f>TEXT(B1187,"yyyy-mm")</f>
        <v/>
      </c>
      <c r="T1187" s="25">
        <f>VLOOKUP(D1187,Customers!A:D,4,FALSE)</f>
        <v/>
      </c>
      <c r="U1187" s="25">
        <f>CONCATENATE(A1187,"-",G1187)</f>
        <v/>
      </c>
      <c r="V1187" s="25">
        <f>IF(N1187="","",IF(N1187&lt;=30,"Fast (&lt;30m)",IF(N1187&lt;=45,"Moderate (30-45m)","Delayed (&gt;45m)")))</f>
        <v/>
      </c>
      <c r="W1187" s="25">
        <f>IF(AND(I1187&gt;600,P1187="Delivered"),"High Value Delivered","Standard")</f>
        <v/>
      </c>
      <c r="X1187" s="25">
        <f>IF(OR(N1187&gt;50,Q1187&lt;=2),"High Risk / Delayed","Normal")</f>
        <v/>
      </c>
      <c r="Y1187" s="25">
        <f>IF(NOT(P1187="Cancelled"),"Fulfilled","Cancelled")</f>
        <v/>
      </c>
      <c r="Z1187" s="25">
        <f>IFERROR(Q1187,0)</f>
        <v/>
      </c>
    </row>
    <row r="1188">
      <c r="A1188" s="17" t="inlineStr">
        <is>
          <t>ORD2187</t>
        </is>
      </c>
      <c r="B1188" s="17" t="inlineStr">
        <is>
          <t>2025-04-17</t>
        </is>
      </c>
      <c r="C1188" s="17" t="inlineStr">
        <is>
          <t>22:55:31</t>
        </is>
      </c>
      <c r="D1188" s="17" t="n">
        <v>1276</v>
      </c>
      <c r="E1188" s="17" t="n">
        <v>105</v>
      </c>
      <c r="F1188" s="17" t="n">
        <v>220</v>
      </c>
      <c r="G1188" s="17" t="inlineStr">
        <is>
          <t>Bangalore</t>
        </is>
      </c>
      <c r="H1188" s="17" t="inlineStr">
        <is>
          <t>Chinese</t>
        </is>
      </c>
      <c r="I1188" s="22" t="n">
        <v>827</v>
      </c>
      <c r="J1188" s="22" t="n">
        <v>0</v>
      </c>
      <c r="K1188" s="22" t="n">
        <v>36</v>
      </c>
      <c r="L1188" s="23" t="n">
        <v>0.2</v>
      </c>
      <c r="M1188" s="22" t="n">
        <v>174.4</v>
      </c>
      <c r="N1188" s="24" t="n">
        <v>5.2</v>
      </c>
      <c r="O1188" s="24" t="n">
        <v>32.7</v>
      </c>
      <c r="P1188" s="17" t="inlineStr">
        <is>
          <t>Digital Wallet</t>
        </is>
      </c>
      <c r="Q1188" s="17" t="inlineStr">
        <is>
          <t>Delivered</t>
        </is>
      </c>
      <c r="R1188" s="17" t="n">
        <v>4</v>
      </c>
      <c r="S1188" s="17">
        <f>TEXT(B1188,"yyyy-mm")</f>
        <v/>
      </c>
      <c r="T1188" s="17">
        <f>VLOOKUP(D1188,Customers!A:D,4,FALSE)</f>
        <v/>
      </c>
      <c r="U1188" s="17">
        <f>CONCATENATE(A1188,"-",G1188)</f>
        <v/>
      </c>
      <c r="V1188" s="17">
        <f>IF(N1188="","",IF(N1188&lt;=30,"Fast (&lt;30m)",IF(N1188&lt;=45,"Moderate (30-45m)","Delayed (&gt;45m)")))</f>
        <v/>
      </c>
      <c r="W1188" s="17">
        <f>IF(AND(I1188&gt;600,P1188="Delivered"),"High Value Delivered","Standard")</f>
        <v/>
      </c>
      <c r="X1188" s="17">
        <f>IF(OR(N1188&gt;50,Q1188&lt;=2),"High Risk / Delayed","Normal")</f>
        <v/>
      </c>
      <c r="Y1188" s="17">
        <f>IF(NOT(P1188="Cancelled"),"Fulfilled","Cancelled")</f>
        <v/>
      </c>
      <c r="Z1188" s="17">
        <f>IFERROR(Q1188,0)</f>
        <v/>
      </c>
    </row>
    <row r="1189">
      <c r="A1189" s="25" t="inlineStr">
        <is>
          <t>ORD2188</t>
        </is>
      </c>
      <c r="B1189" s="25" t="inlineStr">
        <is>
          <t>2025-09-10</t>
        </is>
      </c>
      <c r="C1189" s="25" t="inlineStr">
        <is>
          <t>13:16:26</t>
        </is>
      </c>
      <c r="D1189" s="25" t="n">
        <v>1275</v>
      </c>
      <c r="E1189" s="25" t="n">
        <v>110</v>
      </c>
      <c r="F1189" s="25" t="n">
        <v>214</v>
      </c>
      <c r="G1189" s="25" t="inlineStr">
        <is>
          <t>Pune</t>
        </is>
      </c>
      <c r="H1189" s="25" t="inlineStr">
        <is>
          <t>North Indian</t>
        </is>
      </c>
      <c r="I1189" s="26" t="n">
        <v>538</v>
      </c>
      <c r="J1189" s="26" t="n">
        <v>35.91</v>
      </c>
      <c r="K1189" s="26" t="n">
        <v>30</v>
      </c>
      <c r="L1189" s="27" t="n">
        <v>0.18</v>
      </c>
      <c r="M1189" s="26" t="n">
        <v>104.34</v>
      </c>
      <c r="N1189" s="28" t="n">
        <v>4</v>
      </c>
      <c r="O1189" s="28" t="n">
        <v>30.3</v>
      </c>
      <c r="P1189" s="25" t="inlineStr">
        <is>
          <t>Digital Wallet</t>
        </is>
      </c>
      <c r="Q1189" s="25" t="inlineStr">
        <is>
          <t>Delivered</t>
        </is>
      </c>
      <c r="R1189" s="25" t="n">
        <v>5</v>
      </c>
      <c r="S1189" s="25">
        <f>TEXT(B1189,"yyyy-mm")</f>
        <v/>
      </c>
      <c r="T1189" s="25">
        <f>VLOOKUP(D1189,Customers!A:D,4,FALSE)</f>
        <v/>
      </c>
      <c r="U1189" s="25">
        <f>CONCATENATE(A1189,"-",G1189)</f>
        <v/>
      </c>
      <c r="V1189" s="25">
        <f>IF(N1189="","",IF(N1189&lt;=30,"Fast (&lt;30m)",IF(N1189&lt;=45,"Moderate (30-45m)","Delayed (&gt;45m)")))</f>
        <v/>
      </c>
      <c r="W1189" s="25">
        <f>IF(AND(I1189&gt;600,P1189="Delivered"),"High Value Delivered","Standard")</f>
        <v/>
      </c>
      <c r="X1189" s="25">
        <f>IF(OR(N1189&gt;50,Q1189&lt;=2),"High Risk / Delayed","Normal")</f>
        <v/>
      </c>
      <c r="Y1189" s="25">
        <f>IF(NOT(P1189="Cancelled"),"Fulfilled","Cancelled")</f>
        <v/>
      </c>
      <c r="Z1189" s="25">
        <f>IFERROR(Q1189,0)</f>
        <v/>
      </c>
    </row>
    <row r="1190">
      <c r="A1190" s="17" t="inlineStr">
        <is>
          <t>ORD2189</t>
        </is>
      </c>
      <c r="B1190" s="17" t="inlineStr">
        <is>
          <t>2025-12-20</t>
        </is>
      </c>
      <c r="C1190" s="17" t="inlineStr">
        <is>
          <t>01:13:48</t>
        </is>
      </c>
      <c r="D1190" s="17" t="n">
        <v>1106</v>
      </c>
      <c r="E1190" s="17" t="n">
        <v>111</v>
      </c>
      <c r="F1190" s="17" t="n">
        <v>223</v>
      </c>
      <c r="G1190" s="17" t="inlineStr">
        <is>
          <t>Bangalore</t>
        </is>
      </c>
      <c r="H1190" s="17" t="inlineStr">
        <is>
          <t>South Indian</t>
        </is>
      </c>
      <c r="I1190" s="22" t="n">
        <v>795</v>
      </c>
      <c r="J1190" s="22" t="n">
        <v>34.7</v>
      </c>
      <c r="K1190" s="22" t="n">
        <v>38.5</v>
      </c>
      <c r="L1190" s="23" t="n">
        <v>0.15</v>
      </c>
      <c r="M1190" s="22" t="n">
        <v>128.88</v>
      </c>
      <c r="N1190" s="24" t="n">
        <v>5.7</v>
      </c>
      <c r="O1190" s="24" t="n">
        <v>32.6</v>
      </c>
      <c r="P1190" s="17" t="inlineStr">
        <is>
          <t>Credit Card</t>
        </is>
      </c>
      <c r="Q1190" s="17" t="inlineStr">
        <is>
          <t>Delivered</t>
        </is>
      </c>
      <c r="R1190" s="17" t="n">
        <v>5</v>
      </c>
      <c r="S1190" s="17">
        <f>TEXT(B1190,"yyyy-mm")</f>
        <v/>
      </c>
      <c r="T1190" s="17">
        <f>VLOOKUP(D1190,Customers!A:D,4,FALSE)</f>
        <v/>
      </c>
      <c r="U1190" s="17">
        <f>CONCATENATE(A1190,"-",G1190)</f>
        <v/>
      </c>
      <c r="V1190" s="17">
        <f>IF(N1190="","",IF(N1190&lt;=30,"Fast (&lt;30m)",IF(N1190&lt;=45,"Moderate (30-45m)","Delayed (&gt;45m)")))</f>
        <v/>
      </c>
      <c r="W1190" s="17">
        <f>IF(AND(I1190&gt;600,P1190="Delivered"),"High Value Delivered","Standard")</f>
        <v/>
      </c>
      <c r="X1190" s="17">
        <f>IF(OR(N1190&gt;50,Q1190&lt;=2),"High Risk / Delayed","Normal")</f>
        <v/>
      </c>
      <c r="Y1190" s="17">
        <f>IF(NOT(P1190="Cancelled"),"Fulfilled","Cancelled")</f>
        <v/>
      </c>
      <c r="Z1190" s="17">
        <f>IFERROR(Q1190,0)</f>
        <v/>
      </c>
    </row>
    <row r="1191">
      <c r="A1191" s="25" t="inlineStr">
        <is>
          <t>ORD2190</t>
        </is>
      </c>
      <c r="B1191" s="25" t="inlineStr">
        <is>
          <t>2025-09-21</t>
        </is>
      </c>
      <c r="C1191" s="25" t="inlineStr">
        <is>
          <t>11:35:54</t>
        </is>
      </c>
      <c r="D1191" s="25" t="n">
        <v>1011</v>
      </c>
      <c r="E1191" s="25" t="n">
        <v>119</v>
      </c>
      <c r="F1191" s="25" t="n">
        <v>216</v>
      </c>
      <c r="G1191" s="25" t="inlineStr">
        <is>
          <t>Hyderabad</t>
        </is>
      </c>
      <c r="H1191" s="25" t="inlineStr">
        <is>
          <t>Biryani</t>
        </is>
      </c>
      <c r="I1191" s="26" t="n">
        <v>303</v>
      </c>
      <c r="J1191" s="26" t="n">
        <v>10.32</v>
      </c>
      <c r="K1191" s="26" t="n">
        <v>29.5</v>
      </c>
      <c r="L1191" s="27" t="n">
        <v>0.2</v>
      </c>
      <c r="M1191" s="26" t="n">
        <v>67.97</v>
      </c>
      <c r="N1191" s="28" t="n">
        <v>3.9</v>
      </c>
      <c r="O1191" s="28" t="n">
        <v>30</v>
      </c>
      <c r="P1191" s="25" t="inlineStr">
        <is>
          <t>Credit Card</t>
        </is>
      </c>
      <c r="Q1191" s="25" t="inlineStr">
        <is>
          <t>Delivered</t>
        </is>
      </c>
      <c r="R1191" s="25" t="n">
        <v>3</v>
      </c>
      <c r="S1191" s="25">
        <f>TEXT(B1191,"yyyy-mm")</f>
        <v/>
      </c>
      <c r="T1191" s="25">
        <f>VLOOKUP(D1191,Customers!A:D,4,FALSE)</f>
        <v/>
      </c>
      <c r="U1191" s="25">
        <f>CONCATENATE(A1191,"-",G1191)</f>
        <v/>
      </c>
      <c r="V1191" s="25">
        <f>IF(N1191="","",IF(N1191&lt;=30,"Fast (&lt;30m)",IF(N1191&lt;=45,"Moderate (30-45m)","Delayed (&gt;45m)")))</f>
        <v/>
      </c>
      <c r="W1191" s="25">
        <f>IF(AND(I1191&gt;600,P1191="Delivered"),"High Value Delivered","Standard")</f>
        <v/>
      </c>
      <c r="X1191" s="25">
        <f>IF(OR(N1191&gt;50,Q1191&lt;=2),"High Risk / Delayed","Normal")</f>
        <v/>
      </c>
      <c r="Y1191" s="25">
        <f>IF(NOT(P1191="Cancelled"),"Fulfilled","Cancelled")</f>
        <v/>
      </c>
      <c r="Z1191" s="25">
        <f>IFERROR(Q1191,0)</f>
        <v/>
      </c>
    </row>
    <row r="1192">
      <c r="A1192" s="17" t="inlineStr">
        <is>
          <t>ORD2191</t>
        </is>
      </c>
      <c r="B1192" s="17" t="inlineStr">
        <is>
          <t>2025-09-24</t>
        </is>
      </c>
      <c r="C1192" s="17" t="inlineStr">
        <is>
          <t>09:47:07</t>
        </is>
      </c>
      <c r="D1192" s="17" t="n">
        <v>1243</v>
      </c>
      <c r="E1192" s="17" t="n">
        <v>104</v>
      </c>
      <c r="F1192" s="17" t="n">
        <v>211</v>
      </c>
      <c r="G1192" s="17" t="inlineStr">
        <is>
          <t>Delhi NCR</t>
        </is>
      </c>
      <c r="H1192" s="17" t="inlineStr">
        <is>
          <t>Fast Food</t>
        </is>
      </c>
      <c r="I1192" s="22" t="n">
        <v>540</v>
      </c>
      <c r="J1192" s="22" t="n">
        <v>77.63</v>
      </c>
      <c r="K1192" s="22" t="n">
        <v>0</v>
      </c>
      <c r="L1192" s="23" t="n">
        <v>0.18</v>
      </c>
      <c r="M1192" s="22" t="n">
        <v>97.2</v>
      </c>
      <c r="N1192" s="24" t="n">
        <v>4.3</v>
      </c>
      <c r="O1192" s="24" t="n">
        <v>45.4</v>
      </c>
      <c r="P1192" s="17" t="inlineStr">
        <is>
          <t>UPI</t>
        </is>
      </c>
      <c r="Q1192" s="17" t="inlineStr">
        <is>
          <t>Delivered</t>
        </is>
      </c>
      <c r="R1192" s="17" t="n">
        <v>4</v>
      </c>
      <c r="S1192" s="17">
        <f>TEXT(B1192,"yyyy-mm")</f>
        <v/>
      </c>
      <c r="T1192" s="17">
        <f>VLOOKUP(D1192,Customers!A:D,4,FALSE)</f>
        <v/>
      </c>
      <c r="U1192" s="17">
        <f>CONCATENATE(A1192,"-",G1192)</f>
        <v/>
      </c>
      <c r="V1192" s="17">
        <f>IF(N1192="","",IF(N1192&lt;=30,"Fast (&lt;30m)",IF(N1192&lt;=45,"Moderate (30-45m)","Delayed (&gt;45m)")))</f>
        <v/>
      </c>
      <c r="W1192" s="17">
        <f>IF(AND(I1192&gt;600,P1192="Delivered"),"High Value Delivered","Standard")</f>
        <v/>
      </c>
      <c r="X1192" s="17">
        <f>IF(OR(N1192&gt;50,Q1192&lt;=2),"High Risk / Delayed","Normal")</f>
        <v/>
      </c>
      <c r="Y1192" s="17">
        <f>IF(NOT(P1192="Cancelled"),"Fulfilled","Cancelled")</f>
        <v/>
      </c>
      <c r="Z1192" s="17">
        <f>IFERROR(Q1192,0)</f>
        <v/>
      </c>
    </row>
    <row r="1193">
      <c r="A1193" s="25" t="inlineStr">
        <is>
          <t>ORD2192</t>
        </is>
      </c>
      <c r="B1193" s="25" t="inlineStr">
        <is>
          <t>2025-11-17</t>
        </is>
      </c>
      <c r="C1193" s="25" t="inlineStr">
        <is>
          <t>10:51:33</t>
        </is>
      </c>
      <c r="D1193" s="25" t="n">
        <v>1090</v>
      </c>
      <c r="E1193" s="25" t="n">
        <v>101</v>
      </c>
      <c r="F1193" s="25" t="n">
        <v>213</v>
      </c>
      <c r="G1193" s="25" t="inlineStr">
        <is>
          <t>Bangalore</t>
        </is>
      </c>
      <c r="H1193" s="25" t="inlineStr">
        <is>
          <t>North Indian</t>
        </is>
      </c>
      <c r="I1193" s="26" t="n">
        <v>718</v>
      </c>
      <c r="J1193" s="26" t="n">
        <v>0</v>
      </c>
      <c r="K1193" s="26" t="n">
        <v>33</v>
      </c>
      <c r="L1193" s="27" t="n">
        <v>0.2</v>
      </c>
      <c r="M1193" s="26" t="n">
        <v>151.85</v>
      </c>
      <c r="N1193" s="28" t="n">
        <v>4.6</v>
      </c>
      <c r="O1193" s="28" t="n">
        <v>34.8</v>
      </c>
      <c r="P1193" s="25" t="inlineStr">
        <is>
          <t>Cash on Delivery</t>
        </is>
      </c>
      <c r="Q1193" s="25" t="inlineStr">
        <is>
          <t>Delivered</t>
        </is>
      </c>
      <c r="R1193" s="25" t="n">
        <v>5</v>
      </c>
      <c r="S1193" s="25">
        <f>TEXT(B1193,"yyyy-mm")</f>
        <v/>
      </c>
      <c r="T1193" s="25">
        <f>VLOOKUP(D1193,Customers!A:D,4,FALSE)</f>
        <v/>
      </c>
      <c r="U1193" s="25">
        <f>CONCATENATE(A1193,"-",G1193)</f>
        <v/>
      </c>
      <c r="V1193" s="25">
        <f>IF(N1193="","",IF(N1193&lt;=30,"Fast (&lt;30m)",IF(N1193&lt;=45,"Moderate (30-45m)","Delayed (&gt;45m)")))</f>
        <v/>
      </c>
      <c r="W1193" s="25">
        <f>IF(AND(I1193&gt;600,P1193="Delivered"),"High Value Delivered","Standard")</f>
        <v/>
      </c>
      <c r="X1193" s="25">
        <f>IF(OR(N1193&gt;50,Q1193&lt;=2),"High Risk / Delayed","Normal")</f>
        <v/>
      </c>
      <c r="Y1193" s="25">
        <f>IF(NOT(P1193="Cancelled"),"Fulfilled","Cancelled")</f>
        <v/>
      </c>
      <c r="Z1193" s="25">
        <f>IFERROR(Q1193,0)</f>
        <v/>
      </c>
    </row>
    <row r="1194">
      <c r="A1194" s="17" t="inlineStr">
        <is>
          <t>ORD2193</t>
        </is>
      </c>
      <c r="B1194" s="17" t="inlineStr">
        <is>
          <t>2025-03-02</t>
        </is>
      </c>
      <c r="C1194" s="17" t="inlineStr">
        <is>
          <t>19:27:18</t>
        </is>
      </c>
      <c r="D1194" s="17" t="n">
        <v>1269</v>
      </c>
      <c r="E1194" s="17" t="n">
        <v>107</v>
      </c>
      <c r="F1194" s="17" t="n">
        <v>206</v>
      </c>
      <c r="G1194" s="17" t="inlineStr">
        <is>
          <t>Mumbai</t>
        </is>
      </c>
      <c r="H1194" s="17" t="inlineStr">
        <is>
          <t>Desserts</t>
        </is>
      </c>
      <c r="I1194" s="22" t="n">
        <v>912</v>
      </c>
      <c r="J1194" s="22" t="n">
        <v>0</v>
      </c>
      <c r="K1194" s="22" t="n">
        <v>44.5</v>
      </c>
      <c r="L1194" s="23" t="n">
        <v>0.25</v>
      </c>
      <c r="M1194" s="22" t="n">
        <v>239.12</v>
      </c>
      <c r="N1194" s="24" t="n">
        <v>6.9</v>
      </c>
      <c r="O1194" s="24" t="n">
        <v>46.3</v>
      </c>
      <c r="P1194" s="17" t="inlineStr">
        <is>
          <t>Debit Card</t>
        </is>
      </c>
      <c r="Q1194" s="17" t="inlineStr">
        <is>
          <t>Delivered</t>
        </is>
      </c>
      <c r="R1194" s="17" t="n">
        <v>4</v>
      </c>
      <c r="S1194" s="17">
        <f>TEXT(B1194,"yyyy-mm")</f>
        <v/>
      </c>
      <c r="T1194" s="17">
        <f>VLOOKUP(D1194,Customers!A:D,4,FALSE)</f>
        <v/>
      </c>
      <c r="U1194" s="17">
        <f>CONCATENATE(A1194,"-",G1194)</f>
        <v/>
      </c>
      <c r="V1194" s="17">
        <f>IF(N1194="","",IF(N1194&lt;=30,"Fast (&lt;30m)",IF(N1194&lt;=45,"Moderate (30-45m)","Delayed (&gt;45m)")))</f>
        <v/>
      </c>
      <c r="W1194" s="17">
        <f>IF(AND(I1194&gt;600,P1194="Delivered"),"High Value Delivered","Standard")</f>
        <v/>
      </c>
      <c r="X1194" s="17">
        <f>IF(OR(N1194&gt;50,Q1194&lt;=2),"High Risk / Delayed","Normal")</f>
        <v/>
      </c>
      <c r="Y1194" s="17">
        <f>IF(NOT(P1194="Cancelled"),"Fulfilled","Cancelled")</f>
        <v/>
      </c>
      <c r="Z1194" s="17">
        <f>IFERROR(Q1194,0)</f>
        <v/>
      </c>
    </row>
    <row r="1195">
      <c r="A1195" s="25" t="inlineStr">
        <is>
          <t>ORD2194</t>
        </is>
      </c>
      <c r="B1195" s="25" t="inlineStr">
        <is>
          <t>2025-09-25</t>
        </is>
      </c>
      <c r="C1195" s="25" t="inlineStr">
        <is>
          <t>15:43:13</t>
        </is>
      </c>
      <c r="D1195" s="25" t="n">
        <v>1133</v>
      </c>
      <c r="E1195" s="25" t="n">
        <v>118</v>
      </c>
      <c r="F1195" s="25" t="n">
        <v>230</v>
      </c>
      <c r="G1195" s="25" t="inlineStr">
        <is>
          <t>Delhi NCR</t>
        </is>
      </c>
      <c r="H1195" s="25" t="inlineStr">
        <is>
          <t>North Indian</t>
        </is>
      </c>
      <c r="I1195" s="26" t="n">
        <v>848</v>
      </c>
      <c r="J1195" s="26" t="n">
        <v>25.19</v>
      </c>
      <c r="K1195" s="26" t="n">
        <v>32.5</v>
      </c>
      <c r="L1195" s="27" t="n">
        <v>0.2</v>
      </c>
      <c r="M1195" s="26" t="n">
        <v>177.73</v>
      </c>
      <c r="N1195" s="28" t="n">
        <v>4.5</v>
      </c>
      <c r="O1195" s="28" t="n">
        <v>32.2</v>
      </c>
      <c r="P1195" s="25" t="inlineStr">
        <is>
          <t>Cash on Delivery</t>
        </is>
      </c>
      <c r="Q1195" s="25" t="inlineStr">
        <is>
          <t>Delivered</t>
        </is>
      </c>
      <c r="R1195" s="25" t="n">
        <v>5</v>
      </c>
      <c r="S1195" s="25">
        <f>TEXT(B1195,"yyyy-mm")</f>
        <v/>
      </c>
      <c r="T1195" s="25">
        <f>VLOOKUP(D1195,Customers!A:D,4,FALSE)</f>
        <v/>
      </c>
      <c r="U1195" s="25">
        <f>CONCATENATE(A1195,"-",G1195)</f>
        <v/>
      </c>
      <c r="V1195" s="25">
        <f>IF(N1195="","",IF(N1195&lt;=30,"Fast (&lt;30m)",IF(N1195&lt;=45,"Moderate (30-45m)","Delayed (&gt;45m)")))</f>
        <v/>
      </c>
      <c r="W1195" s="25">
        <f>IF(AND(I1195&gt;600,P1195="Delivered"),"High Value Delivered","Standard")</f>
        <v/>
      </c>
      <c r="X1195" s="25">
        <f>IF(OR(N1195&gt;50,Q1195&lt;=2),"High Risk / Delayed","Normal")</f>
        <v/>
      </c>
      <c r="Y1195" s="25">
        <f>IF(NOT(P1195="Cancelled"),"Fulfilled","Cancelled")</f>
        <v/>
      </c>
      <c r="Z1195" s="25">
        <f>IFERROR(Q1195,0)</f>
        <v/>
      </c>
    </row>
    <row r="1196">
      <c r="A1196" s="17" t="inlineStr">
        <is>
          <t>ORD2195</t>
        </is>
      </c>
      <c r="B1196" s="17" t="inlineStr">
        <is>
          <t>2025-03-11</t>
        </is>
      </c>
      <c r="C1196" s="17" t="inlineStr">
        <is>
          <t>13:10:33</t>
        </is>
      </c>
      <c r="D1196" s="17" t="n">
        <v>1264</v>
      </c>
      <c r="E1196" s="17" t="n">
        <v>105</v>
      </c>
      <c r="F1196" s="17" t="n">
        <v>203</v>
      </c>
      <c r="G1196" s="17" t="inlineStr">
        <is>
          <t>Bangalore</t>
        </is>
      </c>
      <c r="H1196" s="17" t="inlineStr">
        <is>
          <t>Chinese</t>
        </is>
      </c>
      <c r="I1196" s="22" t="n">
        <v>705</v>
      </c>
      <c r="J1196" s="22" t="n">
        <v>0</v>
      </c>
      <c r="K1196" s="22" t="n">
        <v>32.5</v>
      </c>
      <c r="L1196" s="23" t="n">
        <v>0.2</v>
      </c>
      <c r="M1196" s="22" t="n">
        <v>149.12</v>
      </c>
      <c r="N1196" s="24" t="n">
        <v>4.5</v>
      </c>
      <c r="O1196" s="24" t="n">
        <v>43</v>
      </c>
      <c r="P1196" s="17" t="inlineStr">
        <is>
          <t>Credit Card</t>
        </is>
      </c>
      <c r="Q1196" s="17" t="inlineStr">
        <is>
          <t>Delivered</t>
        </is>
      </c>
      <c r="R1196" s="17" t="n">
        <v>3</v>
      </c>
      <c r="S1196" s="17">
        <f>TEXT(B1196,"yyyy-mm")</f>
        <v/>
      </c>
      <c r="T1196" s="17">
        <f>VLOOKUP(D1196,Customers!A:D,4,FALSE)</f>
        <v/>
      </c>
      <c r="U1196" s="17">
        <f>CONCATENATE(A1196,"-",G1196)</f>
        <v/>
      </c>
      <c r="V1196" s="17">
        <f>IF(N1196="","",IF(N1196&lt;=30,"Fast (&lt;30m)",IF(N1196&lt;=45,"Moderate (30-45m)","Delayed (&gt;45m)")))</f>
        <v/>
      </c>
      <c r="W1196" s="17">
        <f>IF(AND(I1196&gt;600,P1196="Delivered"),"High Value Delivered","Standard")</f>
        <v/>
      </c>
      <c r="X1196" s="17">
        <f>IF(OR(N1196&gt;50,Q1196&lt;=2),"High Risk / Delayed","Normal")</f>
        <v/>
      </c>
      <c r="Y1196" s="17">
        <f>IF(NOT(P1196="Cancelled"),"Fulfilled","Cancelled")</f>
        <v/>
      </c>
      <c r="Z1196" s="17">
        <f>IFERROR(Q1196,0)</f>
        <v/>
      </c>
    </row>
    <row r="1197">
      <c r="A1197" s="25" t="inlineStr">
        <is>
          <t>ORD2196</t>
        </is>
      </c>
      <c r="B1197" s="25" t="inlineStr">
        <is>
          <t>2025-06-09</t>
        </is>
      </c>
      <c r="C1197" s="25" t="inlineStr">
        <is>
          <t>19:44:12</t>
        </is>
      </c>
      <c r="D1197" s="25" t="n">
        <v>1145</v>
      </c>
      <c r="E1197" s="25" t="n">
        <v>116</v>
      </c>
      <c r="F1197" s="25" t="n">
        <v>208</v>
      </c>
      <c r="G1197" s="25" t="inlineStr">
        <is>
          <t>Pune</t>
        </is>
      </c>
      <c r="H1197" s="25" t="inlineStr">
        <is>
          <t>Desserts</t>
        </is>
      </c>
      <c r="I1197" s="26" t="n">
        <v>424</v>
      </c>
      <c r="J1197" s="26" t="n">
        <v>18.24</v>
      </c>
      <c r="K1197" s="26" t="n">
        <v>25</v>
      </c>
      <c r="L1197" s="27" t="n">
        <v>0.25</v>
      </c>
      <c r="M1197" s="26" t="n">
        <v>112.25</v>
      </c>
      <c r="N1197" s="28" t="n">
        <v>1.8</v>
      </c>
      <c r="O1197" s="28" t="n">
        <v>23.2</v>
      </c>
      <c r="P1197" s="25" t="inlineStr">
        <is>
          <t>UPI</t>
        </is>
      </c>
      <c r="Q1197" s="25" t="inlineStr">
        <is>
          <t>Delivered</t>
        </is>
      </c>
      <c r="R1197" s="25" t="n">
        <v>4</v>
      </c>
      <c r="S1197" s="25">
        <f>TEXT(B1197,"yyyy-mm")</f>
        <v/>
      </c>
      <c r="T1197" s="25">
        <f>VLOOKUP(D1197,Customers!A:D,4,FALSE)</f>
        <v/>
      </c>
      <c r="U1197" s="25">
        <f>CONCATENATE(A1197,"-",G1197)</f>
        <v/>
      </c>
      <c r="V1197" s="25">
        <f>IF(N1197="","",IF(N1197&lt;=30,"Fast (&lt;30m)",IF(N1197&lt;=45,"Moderate (30-45m)","Delayed (&gt;45m)")))</f>
        <v/>
      </c>
      <c r="W1197" s="25">
        <f>IF(AND(I1197&gt;600,P1197="Delivered"),"High Value Delivered","Standard")</f>
        <v/>
      </c>
      <c r="X1197" s="25">
        <f>IF(OR(N1197&gt;50,Q1197&lt;=2),"High Risk / Delayed","Normal")</f>
        <v/>
      </c>
      <c r="Y1197" s="25">
        <f>IF(NOT(P1197="Cancelled"),"Fulfilled","Cancelled")</f>
        <v/>
      </c>
      <c r="Z1197" s="25">
        <f>IFERROR(Q1197,0)</f>
        <v/>
      </c>
    </row>
    <row r="1198">
      <c r="A1198" s="17" t="inlineStr">
        <is>
          <t>ORD2197</t>
        </is>
      </c>
      <c r="B1198" s="17" t="inlineStr">
        <is>
          <t>2025-06-29</t>
        </is>
      </c>
      <c r="C1198" s="17" t="inlineStr">
        <is>
          <t>20:40:35</t>
        </is>
      </c>
      <c r="D1198" s="17" t="n">
        <v>1198</v>
      </c>
      <c r="E1198" s="17" t="n">
        <v>101</v>
      </c>
      <c r="F1198" s="17" t="n">
        <v>205</v>
      </c>
      <c r="G1198" s="17" t="inlineStr">
        <is>
          <t>Bangalore</t>
        </is>
      </c>
      <c r="H1198" s="17" t="inlineStr">
        <is>
          <t>North Indian</t>
        </is>
      </c>
      <c r="I1198" s="22" t="n">
        <v>639</v>
      </c>
      <c r="J1198" s="22" t="n">
        <v>104.08</v>
      </c>
      <c r="K1198" s="22" t="n">
        <v>0</v>
      </c>
      <c r="L1198" s="23" t="n">
        <v>0.2</v>
      </c>
      <c r="M1198" s="22" t="n">
        <v>127.8</v>
      </c>
      <c r="N1198" s="24" t="n">
        <v>2.6</v>
      </c>
      <c r="O1198" s="24" t="n">
        <v>34</v>
      </c>
      <c r="P1198" s="17" t="inlineStr">
        <is>
          <t>Debit Card</t>
        </is>
      </c>
      <c r="Q1198" s="17" t="inlineStr">
        <is>
          <t>Delivered</t>
        </is>
      </c>
      <c r="R1198" s="17" t="n">
        <v>4</v>
      </c>
      <c r="S1198" s="17">
        <f>TEXT(B1198,"yyyy-mm")</f>
        <v/>
      </c>
      <c r="T1198" s="17">
        <f>VLOOKUP(D1198,Customers!A:D,4,FALSE)</f>
        <v/>
      </c>
      <c r="U1198" s="17">
        <f>CONCATENATE(A1198,"-",G1198)</f>
        <v/>
      </c>
      <c r="V1198" s="17">
        <f>IF(N1198="","",IF(N1198&lt;=30,"Fast (&lt;30m)",IF(N1198&lt;=45,"Moderate (30-45m)","Delayed (&gt;45m)")))</f>
        <v/>
      </c>
      <c r="W1198" s="17">
        <f>IF(AND(I1198&gt;600,P1198="Delivered"),"High Value Delivered","Standard")</f>
        <v/>
      </c>
      <c r="X1198" s="17">
        <f>IF(OR(N1198&gt;50,Q1198&lt;=2),"High Risk / Delayed","Normal")</f>
        <v/>
      </c>
      <c r="Y1198" s="17">
        <f>IF(NOT(P1198="Cancelled"),"Fulfilled","Cancelled")</f>
        <v/>
      </c>
      <c r="Z1198" s="17">
        <f>IFERROR(Q1198,0)</f>
        <v/>
      </c>
    </row>
    <row r="1199">
      <c r="A1199" s="25" t="inlineStr">
        <is>
          <t>ORD2198</t>
        </is>
      </c>
      <c r="B1199" s="25" t="inlineStr">
        <is>
          <t>2025-07-08</t>
        </is>
      </c>
      <c r="C1199" s="25" t="inlineStr">
        <is>
          <t>20:39:49</t>
        </is>
      </c>
      <c r="D1199" s="25" t="n">
        <v>1275</v>
      </c>
      <c r="E1199" s="25" t="n">
        <v>120</v>
      </c>
      <c r="F1199" s="25" t="n">
        <v>214</v>
      </c>
      <c r="G1199" s="25" t="inlineStr">
        <is>
          <t>Pune</t>
        </is>
      </c>
      <c r="H1199" s="25" t="inlineStr">
        <is>
          <t>Fast Food</t>
        </is>
      </c>
      <c r="I1199" s="26" t="n">
        <v>632</v>
      </c>
      <c r="J1199" s="26" t="n">
        <v>28.37</v>
      </c>
      <c r="K1199" s="26" t="n">
        <v>27.5</v>
      </c>
      <c r="L1199" s="27" t="n">
        <v>0.18</v>
      </c>
      <c r="M1199" s="26" t="n">
        <v>120.64</v>
      </c>
      <c r="N1199" s="28" t="n">
        <v>3.5</v>
      </c>
      <c r="O1199" s="28" t="n">
        <v>34.9</v>
      </c>
      <c r="P1199" s="25" t="inlineStr">
        <is>
          <t>Credit Card</t>
        </is>
      </c>
      <c r="Q1199" s="25" t="inlineStr">
        <is>
          <t>Delivered</t>
        </is>
      </c>
      <c r="R1199" s="25" t="n">
        <v>2</v>
      </c>
      <c r="S1199" s="25">
        <f>TEXT(B1199,"yyyy-mm")</f>
        <v/>
      </c>
      <c r="T1199" s="25">
        <f>VLOOKUP(D1199,Customers!A:D,4,FALSE)</f>
        <v/>
      </c>
      <c r="U1199" s="25">
        <f>CONCATENATE(A1199,"-",G1199)</f>
        <v/>
      </c>
      <c r="V1199" s="25">
        <f>IF(N1199="","",IF(N1199&lt;=30,"Fast (&lt;30m)",IF(N1199&lt;=45,"Moderate (30-45m)","Delayed (&gt;45m)")))</f>
        <v/>
      </c>
      <c r="W1199" s="25">
        <f>IF(AND(I1199&gt;600,P1199="Delivered"),"High Value Delivered","Standard")</f>
        <v/>
      </c>
      <c r="X1199" s="25">
        <f>IF(OR(N1199&gt;50,Q1199&lt;=2),"High Risk / Delayed","Normal")</f>
        <v/>
      </c>
      <c r="Y1199" s="25">
        <f>IF(NOT(P1199="Cancelled"),"Fulfilled","Cancelled")</f>
        <v/>
      </c>
      <c r="Z1199" s="25">
        <f>IFERROR(Q1199,0)</f>
        <v/>
      </c>
    </row>
    <row r="1200">
      <c r="A1200" s="17" t="inlineStr">
        <is>
          <t>ORD2199</t>
        </is>
      </c>
      <c r="B1200" s="17" t="inlineStr">
        <is>
          <t>2025-02-22</t>
        </is>
      </c>
      <c r="C1200" s="17" t="inlineStr">
        <is>
          <t>20:46:13</t>
        </is>
      </c>
      <c r="D1200" s="17" t="n">
        <v>1240</v>
      </c>
      <c r="E1200" s="17" t="n">
        <v>107</v>
      </c>
      <c r="F1200" s="17" t="n">
        <v>202</v>
      </c>
      <c r="G1200" s="17" t="inlineStr">
        <is>
          <t>Mumbai</t>
        </is>
      </c>
      <c r="H1200" s="17" t="inlineStr">
        <is>
          <t>Desserts</t>
        </is>
      </c>
      <c r="I1200" s="22" t="n">
        <v>506</v>
      </c>
      <c r="J1200" s="22" t="n">
        <v>0</v>
      </c>
      <c r="K1200" s="22" t="n">
        <v>51.5</v>
      </c>
      <c r="L1200" s="23" t="n">
        <v>0.25</v>
      </c>
      <c r="M1200" s="22" t="n">
        <v>139.38</v>
      </c>
      <c r="N1200" s="24" t="n">
        <v>8.300000000000001</v>
      </c>
      <c r="O1200" s="24" t="n">
        <v>62.3</v>
      </c>
      <c r="P1200" s="17" t="inlineStr">
        <is>
          <t>Credit Card</t>
        </is>
      </c>
      <c r="Q1200" s="17" t="inlineStr">
        <is>
          <t>Delivered</t>
        </is>
      </c>
      <c r="R1200" s="17" t="n">
        <v>1</v>
      </c>
      <c r="S1200" s="17">
        <f>TEXT(B1200,"yyyy-mm")</f>
        <v/>
      </c>
      <c r="T1200" s="17">
        <f>VLOOKUP(D1200,Customers!A:D,4,FALSE)</f>
        <v/>
      </c>
      <c r="U1200" s="17">
        <f>CONCATENATE(A1200,"-",G1200)</f>
        <v/>
      </c>
      <c r="V1200" s="17">
        <f>IF(N1200="","",IF(N1200&lt;=30,"Fast (&lt;30m)",IF(N1200&lt;=45,"Moderate (30-45m)","Delayed (&gt;45m)")))</f>
        <v/>
      </c>
      <c r="W1200" s="17">
        <f>IF(AND(I1200&gt;600,P1200="Delivered"),"High Value Delivered","Standard")</f>
        <v/>
      </c>
      <c r="X1200" s="17">
        <f>IF(OR(N1200&gt;50,Q1200&lt;=2),"High Risk / Delayed","Normal")</f>
        <v/>
      </c>
      <c r="Y1200" s="17">
        <f>IF(NOT(P1200="Cancelled"),"Fulfilled","Cancelled")</f>
        <v/>
      </c>
      <c r="Z1200" s="17">
        <f>IFERROR(Q1200,0)</f>
        <v/>
      </c>
    </row>
    <row r="1201">
      <c r="A1201" s="25" t="inlineStr">
        <is>
          <t>ORD2200</t>
        </is>
      </c>
      <c r="B1201" s="25" t="inlineStr">
        <is>
          <t>2025-11-12</t>
        </is>
      </c>
      <c r="C1201" s="25" t="inlineStr">
        <is>
          <t>14:42:58</t>
        </is>
      </c>
      <c r="D1201" s="25" t="n">
        <v>1140</v>
      </c>
      <c r="E1201" s="25" t="n">
        <v>106</v>
      </c>
      <c r="F1201" s="25" t="n">
        <v>208</v>
      </c>
      <c r="G1201" s="25" t="inlineStr">
        <is>
          <t>Pune</t>
        </is>
      </c>
      <c r="H1201" s="25" t="inlineStr">
        <is>
          <t>South Indian</t>
        </is>
      </c>
      <c r="I1201" s="26" t="n">
        <v>857</v>
      </c>
      <c r="J1201" s="26" t="n">
        <v>100.11</v>
      </c>
      <c r="K1201" s="26" t="n">
        <v>0</v>
      </c>
      <c r="L1201" s="27" t="n">
        <v>0.15</v>
      </c>
      <c r="M1201" s="26" t="n">
        <v>128.55</v>
      </c>
      <c r="N1201" s="28" t="n">
        <v>5.6</v>
      </c>
      <c r="O1201" s="28" t="n">
        <v>43.1</v>
      </c>
      <c r="P1201" s="25" t="inlineStr">
        <is>
          <t>Credit Card</t>
        </is>
      </c>
      <c r="Q1201" s="25" t="inlineStr">
        <is>
          <t>Delivered</t>
        </is>
      </c>
      <c r="R1201" s="25" t="n">
        <v>1</v>
      </c>
      <c r="S1201" s="25">
        <f>TEXT(B1201,"yyyy-mm")</f>
        <v/>
      </c>
      <c r="T1201" s="25">
        <f>VLOOKUP(D1201,Customers!A:D,4,FALSE)</f>
        <v/>
      </c>
      <c r="U1201" s="25">
        <f>CONCATENATE(A1201,"-",G1201)</f>
        <v/>
      </c>
      <c r="V1201" s="25">
        <f>IF(N1201="","",IF(N1201&lt;=30,"Fast (&lt;30m)",IF(N1201&lt;=45,"Moderate (30-45m)","Delayed (&gt;45m)")))</f>
        <v/>
      </c>
      <c r="W1201" s="25">
        <f>IF(AND(I1201&gt;600,P1201="Delivered"),"High Value Delivered","Standard")</f>
        <v/>
      </c>
      <c r="X1201" s="25">
        <f>IF(OR(N1201&gt;50,Q1201&lt;=2),"High Risk / Delayed","Normal")</f>
        <v/>
      </c>
      <c r="Y1201" s="25">
        <f>IF(NOT(P1201="Cancelled"),"Fulfilled","Cancelled")</f>
        <v/>
      </c>
      <c r="Z1201" s="25">
        <f>IFERROR(Q1201,0)</f>
        <v/>
      </c>
    </row>
    <row r="1202">
      <c r="A1202" s="17" t="inlineStr">
        <is>
          <t>ORD2201</t>
        </is>
      </c>
      <c r="B1202" s="17" t="inlineStr">
        <is>
          <t>2025-03-15</t>
        </is>
      </c>
      <c r="C1202" s="17" t="inlineStr">
        <is>
          <t>21:10:30</t>
        </is>
      </c>
      <c r="D1202" s="17" t="n">
        <v>1263</v>
      </c>
      <c r="E1202" s="17" t="n">
        <v>104</v>
      </c>
      <c r="F1202" s="17" t="n">
        <v>221</v>
      </c>
      <c r="G1202" s="17" t="inlineStr">
        <is>
          <t>Delhi NCR</t>
        </is>
      </c>
      <c r="H1202" s="17" t="inlineStr">
        <is>
          <t>Fast Food</t>
        </is>
      </c>
      <c r="I1202" s="22" t="n">
        <v>220</v>
      </c>
      <c r="J1202" s="22" t="n">
        <v>0</v>
      </c>
      <c r="K1202" s="22" t="n">
        <v>25</v>
      </c>
      <c r="L1202" s="23" t="n">
        <v>0.18</v>
      </c>
      <c r="M1202" s="22" t="n">
        <v>45.85</v>
      </c>
      <c r="N1202" s="24" t="n">
        <v>2.4</v>
      </c>
      <c r="O1202" s="24" t="n">
        <v>32.2</v>
      </c>
      <c r="P1202" s="17" t="inlineStr">
        <is>
          <t>UPI</t>
        </is>
      </c>
      <c r="Q1202" s="17" t="inlineStr">
        <is>
          <t>Delivered</t>
        </is>
      </c>
      <c r="R1202" s="17" t="n">
        <v>3</v>
      </c>
      <c r="S1202" s="17">
        <f>TEXT(B1202,"yyyy-mm")</f>
        <v/>
      </c>
      <c r="T1202" s="17">
        <f>VLOOKUP(D1202,Customers!A:D,4,FALSE)</f>
        <v/>
      </c>
      <c r="U1202" s="17">
        <f>CONCATENATE(A1202,"-",G1202)</f>
        <v/>
      </c>
      <c r="V1202" s="17">
        <f>IF(N1202="","",IF(N1202&lt;=30,"Fast (&lt;30m)",IF(N1202&lt;=45,"Moderate (30-45m)","Delayed (&gt;45m)")))</f>
        <v/>
      </c>
      <c r="W1202" s="17">
        <f>IF(AND(I1202&gt;600,P1202="Delivered"),"High Value Delivered","Standard")</f>
        <v/>
      </c>
      <c r="X1202" s="17">
        <f>IF(OR(N1202&gt;50,Q1202&lt;=2),"High Risk / Delayed","Normal")</f>
        <v/>
      </c>
      <c r="Y1202" s="17">
        <f>IF(NOT(P1202="Cancelled"),"Fulfilled","Cancelled")</f>
        <v/>
      </c>
      <c r="Z1202" s="17">
        <f>IFERROR(Q1202,0)</f>
        <v/>
      </c>
    </row>
    <row r="1203">
      <c r="A1203" s="25" t="inlineStr">
        <is>
          <t>ORD2202</t>
        </is>
      </c>
      <c r="B1203" s="25" t="inlineStr">
        <is>
          <t>2025-08-06</t>
        </is>
      </c>
      <c r="C1203" s="25" t="inlineStr">
        <is>
          <t>17:42:30</t>
        </is>
      </c>
      <c r="D1203" s="25" t="n">
        <v>1079</v>
      </c>
      <c r="E1203" s="25" t="n">
        <v>101</v>
      </c>
      <c r="F1203" s="25" t="n">
        <v>218</v>
      </c>
      <c r="G1203" s="25" t="inlineStr">
        <is>
          <t>Bangalore</t>
        </is>
      </c>
      <c r="H1203" s="25" t="inlineStr">
        <is>
          <t>North Indian</t>
        </is>
      </c>
      <c r="I1203" s="26" t="n">
        <v>554</v>
      </c>
      <c r="J1203" s="26" t="n">
        <v>0</v>
      </c>
      <c r="K1203" s="26" t="n">
        <v>25</v>
      </c>
      <c r="L1203" s="27" t="n">
        <v>0.2</v>
      </c>
      <c r="M1203" s="26" t="n">
        <v>117.05</v>
      </c>
      <c r="N1203" s="28" t="n">
        <v>2.9</v>
      </c>
      <c r="O1203" s="28" t="n">
        <v>30.6</v>
      </c>
      <c r="P1203" s="25" t="inlineStr">
        <is>
          <t>Credit Card</t>
        </is>
      </c>
      <c r="Q1203" s="25" t="inlineStr">
        <is>
          <t>Delivered</t>
        </is>
      </c>
      <c r="R1203" s="25" t="n">
        <v>4</v>
      </c>
      <c r="S1203" s="25">
        <f>TEXT(B1203,"yyyy-mm")</f>
        <v/>
      </c>
      <c r="T1203" s="25">
        <f>VLOOKUP(D1203,Customers!A:D,4,FALSE)</f>
        <v/>
      </c>
      <c r="U1203" s="25">
        <f>CONCATENATE(A1203,"-",G1203)</f>
        <v/>
      </c>
      <c r="V1203" s="25">
        <f>IF(N1203="","",IF(N1203&lt;=30,"Fast (&lt;30m)",IF(N1203&lt;=45,"Moderate (30-45m)","Delayed (&gt;45m)")))</f>
        <v/>
      </c>
      <c r="W1203" s="25">
        <f>IF(AND(I1203&gt;600,P1203="Delivered"),"High Value Delivered","Standard")</f>
        <v/>
      </c>
      <c r="X1203" s="25">
        <f>IF(OR(N1203&gt;50,Q1203&lt;=2),"High Risk / Delayed","Normal")</f>
        <v/>
      </c>
      <c r="Y1203" s="25">
        <f>IF(NOT(P1203="Cancelled"),"Fulfilled","Cancelled")</f>
        <v/>
      </c>
      <c r="Z1203" s="25">
        <f>IFERROR(Q1203,0)</f>
        <v/>
      </c>
    </row>
    <row r="1204">
      <c r="A1204" s="17" t="inlineStr">
        <is>
          <t>ORD2203</t>
        </is>
      </c>
      <c r="B1204" s="17" t="inlineStr">
        <is>
          <t>2025-12-28</t>
        </is>
      </c>
      <c r="C1204" s="17" t="inlineStr">
        <is>
          <t>13:30:22</t>
        </is>
      </c>
      <c r="D1204" s="17" t="n">
        <v>1018</v>
      </c>
      <c r="E1204" s="17" t="n">
        <v>108</v>
      </c>
      <c r="F1204" s="17" t="n">
        <v>212</v>
      </c>
      <c r="G1204" s="17" t="inlineStr">
        <is>
          <t>Delhi NCR</t>
        </is>
      </c>
      <c r="H1204" s="17" t="inlineStr">
        <is>
          <t>Fast Food</t>
        </is>
      </c>
      <c r="I1204" s="22" t="n">
        <v>539</v>
      </c>
      <c r="J1204" s="22" t="n">
        <v>13.67</v>
      </c>
      <c r="K1204" s="22" t="n">
        <v>35</v>
      </c>
      <c r="L1204" s="23" t="n">
        <v>0.18</v>
      </c>
      <c r="M1204" s="22" t="n">
        <v>105.77</v>
      </c>
      <c r="N1204" s="24" t="n">
        <v>5</v>
      </c>
      <c r="O1204" s="24" t="n">
        <v>33.2</v>
      </c>
      <c r="P1204" s="17" t="inlineStr">
        <is>
          <t>Digital Wallet</t>
        </is>
      </c>
      <c r="Q1204" s="17" t="inlineStr">
        <is>
          <t>Delivered</t>
        </is>
      </c>
      <c r="R1204" s="17" t="n">
        <v>4</v>
      </c>
      <c r="S1204" s="17">
        <f>TEXT(B1204,"yyyy-mm")</f>
        <v/>
      </c>
      <c r="T1204" s="17">
        <f>VLOOKUP(D1204,Customers!A:D,4,FALSE)</f>
        <v/>
      </c>
      <c r="U1204" s="17">
        <f>CONCATENATE(A1204,"-",G1204)</f>
        <v/>
      </c>
      <c r="V1204" s="17">
        <f>IF(N1204="","",IF(N1204&lt;=30,"Fast (&lt;30m)",IF(N1204&lt;=45,"Moderate (30-45m)","Delayed (&gt;45m)")))</f>
        <v/>
      </c>
      <c r="W1204" s="17">
        <f>IF(AND(I1204&gt;600,P1204="Delivered"),"High Value Delivered","Standard")</f>
        <v/>
      </c>
      <c r="X1204" s="17">
        <f>IF(OR(N1204&gt;50,Q1204&lt;=2),"High Risk / Delayed","Normal")</f>
        <v/>
      </c>
      <c r="Y1204" s="17">
        <f>IF(NOT(P1204="Cancelled"),"Fulfilled","Cancelled")</f>
        <v/>
      </c>
      <c r="Z1204" s="17">
        <f>IFERROR(Q1204,0)</f>
        <v/>
      </c>
    </row>
    <row r="1205">
      <c r="A1205" s="25" t="inlineStr">
        <is>
          <t>ORD2204</t>
        </is>
      </c>
      <c r="B1205" s="25" t="inlineStr">
        <is>
          <t>2025-11-21</t>
        </is>
      </c>
      <c r="C1205" s="25" t="inlineStr">
        <is>
          <t>20:53:17</t>
        </is>
      </c>
      <c r="D1205" s="25" t="n">
        <v>1162</v>
      </c>
      <c r="E1205" s="25" t="n">
        <v>114</v>
      </c>
      <c r="F1205" s="25" t="n">
        <v>215</v>
      </c>
      <c r="G1205" s="25" t="inlineStr">
        <is>
          <t>Hyderabad</t>
        </is>
      </c>
      <c r="H1205" s="25" t="inlineStr">
        <is>
          <t>Biryani</t>
        </is>
      </c>
      <c r="I1205" s="26" t="n">
        <v>948</v>
      </c>
      <c r="J1205" s="26" t="n">
        <v>56.88</v>
      </c>
      <c r="K1205" s="26" t="n">
        <v>44.5</v>
      </c>
      <c r="L1205" s="27" t="n">
        <v>0.22</v>
      </c>
      <c r="M1205" s="26" t="n">
        <v>219.68</v>
      </c>
      <c r="N1205" s="28" t="n">
        <v>6.9</v>
      </c>
      <c r="O1205" s="28" t="n">
        <v>42.5</v>
      </c>
      <c r="P1205" s="25" t="inlineStr">
        <is>
          <t>Cash on Delivery</t>
        </is>
      </c>
      <c r="Q1205" s="25" t="inlineStr">
        <is>
          <t>Delivered</t>
        </is>
      </c>
      <c r="R1205" s="25" t="n">
        <v>5</v>
      </c>
      <c r="S1205" s="25">
        <f>TEXT(B1205,"yyyy-mm")</f>
        <v/>
      </c>
      <c r="T1205" s="25">
        <f>VLOOKUP(D1205,Customers!A:D,4,FALSE)</f>
        <v/>
      </c>
      <c r="U1205" s="25">
        <f>CONCATENATE(A1205,"-",G1205)</f>
        <v/>
      </c>
      <c r="V1205" s="25">
        <f>IF(N1205="","",IF(N1205&lt;=30,"Fast (&lt;30m)",IF(N1205&lt;=45,"Moderate (30-45m)","Delayed (&gt;45m)")))</f>
        <v/>
      </c>
      <c r="W1205" s="25">
        <f>IF(AND(I1205&gt;600,P1205="Delivered"),"High Value Delivered","Standard")</f>
        <v/>
      </c>
      <c r="X1205" s="25">
        <f>IF(OR(N1205&gt;50,Q1205&lt;=2),"High Risk / Delayed","Normal")</f>
        <v/>
      </c>
      <c r="Y1205" s="25">
        <f>IF(NOT(P1205="Cancelled"),"Fulfilled","Cancelled")</f>
        <v/>
      </c>
      <c r="Z1205" s="25">
        <f>IFERROR(Q1205,0)</f>
        <v/>
      </c>
    </row>
    <row r="1206">
      <c r="A1206" s="17" t="inlineStr">
        <is>
          <t>ORD2205</t>
        </is>
      </c>
      <c r="B1206" s="17" t="inlineStr">
        <is>
          <t>2025-10-13</t>
        </is>
      </c>
      <c r="C1206" s="17" t="inlineStr">
        <is>
          <t>11:57:27</t>
        </is>
      </c>
      <c r="D1206" s="17" t="n">
        <v>1148</v>
      </c>
      <c r="E1206" s="17" t="n">
        <v>101</v>
      </c>
      <c r="F1206" s="17" t="n">
        <v>220</v>
      </c>
      <c r="G1206" s="17" t="inlineStr">
        <is>
          <t>Bangalore</t>
        </is>
      </c>
      <c r="H1206" s="17" t="inlineStr">
        <is>
          <t>North Indian</t>
        </is>
      </c>
      <c r="I1206" s="22" t="n">
        <v>887</v>
      </c>
      <c r="J1206" s="22" t="n">
        <v>0</v>
      </c>
      <c r="K1206" s="22" t="n">
        <v>25</v>
      </c>
      <c r="L1206" s="23" t="n">
        <v>0.2</v>
      </c>
      <c r="M1206" s="22" t="n">
        <v>183.65</v>
      </c>
      <c r="N1206" s="24" t="n">
        <v>2.6</v>
      </c>
      <c r="O1206" s="24" t="n">
        <v>20.4</v>
      </c>
      <c r="P1206" s="17" t="inlineStr">
        <is>
          <t>Debit Card</t>
        </is>
      </c>
      <c r="Q1206" s="17" t="inlineStr">
        <is>
          <t>Delivered</t>
        </is>
      </c>
      <c r="R1206" s="17" t="n">
        <v>3</v>
      </c>
      <c r="S1206" s="17">
        <f>TEXT(B1206,"yyyy-mm")</f>
        <v/>
      </c>
      <c r="T1206" s="17">
        <f>VLOOKUP(D1206,Customers!A:D,4,FALSE)</f>
        <v/>
      </c>
      <c r="U1206" s="17">
        <f>CONCATENATE(A1206,"-",G1206)</f>
        <v/>
      </c>
      <c r="V1206" s="17">
        <f>IF(N1206="","",IF(N1206&lt;=30,"Fast (&lt;30m)",IF(N1206&lt;=45,"Moderate (30-45m)","Delayed (&gt;45m)")))</f>
        <v/>
      </c>
      <c r="W1206" s="17">
        <f>IF(AND(I1206&gt;600,P1206="Delivered"),"High Value Delivered","Standard")</f>
        <v/>
      </c>
      <c r="X1206" s="17">
        <f>IF(OR(N1206&gt;50,Q1206&lt;=2),"High Risk / Delayed","Normal")</f>
        <v/>
      </c>
      <c r="Y1206" s="17">
        <f>IF(NOT(P1206="Cancelled"),"Fulfilled","Cancelled")</f>
        <v/>
      </c>
      <c r="Z1206" s="17">
        <f>IFERROR(Q1206,0)</f>
        <v/>
      </c>
    </row>
    <row r="1207">
      <c r="A1207" s="25" t="inlineStr">
        <is>
          <t>ORD2206</t>
        </is>
      </c>
      <c r="B1207" s="25" t="inlineStr">
        <is>
          <t>2025-04-20</t>
        </is>
      </c>
      <c r="C1207" s="25" t="inlineStr">
        <is>
          <t>13:39:35</t>
        </is>
      </c>
      <c r="D1207" s="25" t="n">
        <v>1244</v>
      </c>
      <c r="E1207" s="25" t="n">
        <v>112</v>
      </c>
      <c r="F1207" s="25" t="n">
        <v>228</v>
      </c>
      <c r="G1207" s="25" t="inlineStr">
        <is>
          <t>Delhi NCR</t>
        </is>
      </c>
      <c r="H1207" s="25" t="inlineStr">
        <is>
          <t>North Indian</t>
        </is>
      </c>
      <c r="I1207" s="26" t="n">
        <v>415</v>
      </c>
      <c r="J1207" s="26" t="n">
        <v>0</v>
      </c>
      <c r="K1207" s="26" t="n">
        <v>37.5</v>
      </c>
      <c r="L1207" s="27" t="n">
        <v>0.22</v>
      </c>
      <c r="M1207" s="26" t="n">
        <v>100.68</v>
      </c>
      <c r="N1207" s="28" t="n">
        <v>5.5</v>
      </c>
      <c r="O1207" s="28" t="n">
        <v>34.7</v>
      </c>
      <c r="P1207" s="25" t="inlineStr">
        <is>
          <t>UPI</t>
        </is>
      </c>
      <c r="Q1207" s="25" t="inlineStr">
        <is>
          <t>Delivered</t>
        </is>
      </c>
      <c r="R1207" s="25" t="n">
        <v>4</v>
      </c>
      <c r="S1207" s="25">
        <f>TEXT(B1207,"yyyy-mm")</f>
        <v/>
      </c>
      <c r="T1207" s="25">
        <f>VLOOKUP(D1207,Customers!A:D,4,FALSE)</f>
        <v/>
      </c>
      <c r="U1207" s="25">
        <f>CONCATENATE(A1207,"-",G1207)</f>
        <v/>
      </c>
      <c r="V1207" s="25">
        <f>IF(N1207="","",IF(N1207&lt;=30,"Fast (&lt;30m)",IF(N1207&lt;=45,"Moderate (30-45m)","Delayed (&gt;45m)")))</f>
        <v/>
      </c>
      <c r="W1207" s="25">
        <f>IF(AND(I1207&gt;600,P1207="Delivered"),"High Value Delivered","Standard")</f>
        <v/>
      </c>
      <c r="X1207" s="25">
        <f>IF(OR(N1207&gt;50,Q1207&lt;=2),"High Risk / Delayed","Normal")</f>
        <v/>
      </c>
      <c r="Y1207" s="25">
        <f>IF(NOT(P1207="Cancelled"),"Fulfilled","Cancelled")</f>
        <v/>
      </c>
      <c r="Z1207" s="25">
        <f>IFERROR(Q1207,0)</f>
        <v/>
      </c>
    </row>
    <row r="1208">
      <c r="A1208" s="17" t="inlineStr">
        <is>
          <t>ORD2207</t>
        </is>
      </c>
      <c r="B1208" s="17" t="inlineStr">
        <is>
          <t>2025-07-04</t>
        </is>
      </c>
      <c r="C1208" s="17" t="inlineStr">
        <is>
          <t>18:33:12</t>
        </is>
      </c>
      <c r="D1208" s="17" t="n">
        <v>1047</v>
      </c>
      <c r="E1208" s="17" t="n">
        <v>111</v>
      </c>
      <c r="F1208" s="17" t="n">
        <v>218</v>
      </c>
      <c r="G1208" s="17" t="inlineStr">
        <is>
          <t>Bangalore</t>
        </is>
      </c>
      <c r="H1208" s="17" t="inlineStr">
        <is>
          <t>South Indian</t>
        </is>
      </c>
      <c r="I1208" s="22" t="n">
        <v>225</v>
      </c>
      <c r="J1208" s="22" t="n">
        <v>5.91</v>
      </c>
      <c r="K1208" s="22" t="n">
        <v>25</v>
      </c>
      <c r="L1208" s="23" t="n">
        <v>0.15</v>
      </c>
      <c r="M1208" s="22" t="n">
        <v>40</v>
      </c>
      <c r="N1208" s="24" t="n">
        <v>2.5</v>
      </c>
      <c r="O1208" s="24" t="n">
        <v>28.8</v>
      </c>
      <c r="P1208" s="17" t="inlineStr">
        <is>
          <t>Debit Card</t>
        </is>
      </c>
      <c r="Q1208" s="17" t="inlineStr">
        <is>
          <t>Delivered</t>
        </is>
      </c>
      <c r="R1208" s="17" t="n">
        <v>3</v>
      </c>
      <c r="S1208" s="17">
        <f>TEXT(B1208,"yyyy-mm")</f>
        <v/>
      </c>
      <c r="T1208" s="17">
        <f>VLOOKUP(D1208,Customers!A:D,4,FALSE)</f>
        <v/>
      </c>
      <c r="U1208" s="17">
        <f>CONCATENATE(A1208,"-",G1208)</f>
        <v/>
      </c>
      <c r="V1208" s="17">
        <f>IF(N1208="","",IF(N1208&lt;=30,"Fast (&lt;30m)",IF(N1208&lt;=45,"Moderate (30-45m)","Delayed (&gt;45m)")))</f>
        <v/>
      </c>
      <c r="W1208" s="17">
        <f>IF(AND(I1208&gt;600,P1208="Delivered"),"High Value Delivered","Standard")</f>
        <v/>
      </c>
      <c r="X1208" s="17">
        <f>IF(OR(N1208&gt;50,Q1208&lt;=2),"High Risk / Delayed","Normal")</f>
        <v/>
      </c>
      <c r="Y1208" s="17">
        <f>IF(NOT(P1208="Cancelled"),"Fulfilled","Cancelled")</f>
        <v/>
      </c>
      <c r="Z1208" s="17">
        <f>IFERROR(Q1208,0)</f>
        <v/>
      </c>
    </row>
    <row r="1209">
      <c r="A1209" s="25" t="inlineStr">
        <is>
          <t>ORD2208</t>
        </is>
      </c>
      <c r="B1209" s="25" t="inlineStr">
        <is>
          <t>2025-11-28</t>
        </is>
      </c>
      <c r="C1209" s="25" t="inlineStr">
        <is>
          <t>15:17:41</t>
        </is>
      </c>
      <c r="D1209" s="25" t="n">
        <v>1299</v>
      </c>
      <c r="E1209" s="25" t="n">
        <v>102</v>
      </c>
      <c r="F1209" s="25" t="n">
        <v>225</v>
      </c>
      <c r="G1209" s="25" t="inlineStr">
        <is>
          <t>Hyderabad</t>
        </is>
      </c>
      <c r="H1209" s="25" t="inlineStr">
        <is>
          <t>Biryani</t>
        </is>
      </c>
      <c r="I1209" s="26" t="n">
        <v>710</v>
      </c>
      <c r="J1209" s="26" t="n">
        <v>55.3</v>
      </c>
      <c r="K1209" s="26" t="n">
        <v>37.5</v>
      </c>
      <c r="L1209" s="27" t="n">
        <v>0.22</v>
      </c>
      <c r="M1209" s="26" t="n">
        <v>165.58</v>
      </c>
      <c r="N1209" s="28" t="n">
        <v>5.5</v>
      </c>
      <c r="O1209" s="28" t="n">
        <v>42.6</v>
      </c>
      <c r="P1209" s="25" t="inlineStr">
        <is>
          <t>Debit Card</t>
        </is>
      </c>
      <c r="Q1209" s="25" t="inlineStr">
        <is>
          <t>Delivered</t>
        </is>
      </c>
      <c r="R1209" s="25" t="n">
        <v>5</v>
      </c>
      <c r="S1209" s="25">
        <f>TEXT(B1209,"yyyy-mm")</f>
        <v/>
      </c>
      <c r="T1209" s="25">
        <f>VLOOKUP(D1209,Customers!A:D,4,FALSE)</f>
        <v/>
      </c>
      <c r="U1209" s="25">
        <f>CONCATENATE(A1209,"-",G1209)</f>
        <v/>
      </c>
      <c r="V1209" s="25">
        <f>IF(N1209="","",IF(N1209&lt;=30,"Fast (&lt;30m)",IF(N1209&lt;=45,"Moderate (30-45m)","Delayed (&gt;45m)")))</f>
        <v/>
      </c>
      <c r="W1209" s="25">
        <f>IF(AND(I1209&gt;600,P1209="Delivered"),"High Value Delivered","Standard")</f>
        <v/>
      </c>
      <c r="X1209" s="25">
        <f>IF(OR(N1209&gt;50,Q1209&lt;=2),"High Risk / Delayed","Normal")</f>
        <v/>
      </c>
      <c r="Y1209" s="25">
        <f>IF(NOT(P1209="Cancelled"),"Fulfilled","Cancelled")</f>
        <v/>
      </c>
      <c r="Z1209" s="25">
        <f>IFERROR(Q1209,0)</f>
        <v/>
      </c>
    </row>
    <row r="1210">
      <c r="A1210" s="17" t="inlineStr">
        <is>
          <t>ORD2209</t>
        </is>
      </c>
      <c r="B1210" s="17" t="inlineStr">
        <is>
          <t>2025-08-30</t>
        </is>
      </c>
      <c r="C1210" s="17" t="inlineStr">
        <is>
          <t>18:38:40</t>
        </is>
      </c>
      <c r="D1210" s="17" t="n">
        <v>1156</v>
      </c>
      <c r="E1210" s="17" t="n">
        <v>116</v>
      </c>
      <c r="F1210" s="17" t="n">
        <v>204</v>
      </c>
      <c r="G1210" s="17" t="inlineStr">
        <is>
          <t>Pune</t>
        </is>
      </c>
      <c r="H1210" s="17" t="inlineStr">
        <is>
          <t>Desserts</t>
        </is>
      </c>
      <c r="I1210" s="22" t="n">
        <v>685</v>
      </c>
      <c r="J1210" s="22" t="n">
        <v>0</v>
      </c>
      <c r="K1210" s="22" t="n">
        <v>42.5</v>
      </c>
      <c r="L1210" s="23" t="n">
        <v>0.25</v>
      </c>
      <c r="M1210" s="22" t="n">
        <v>181.88</v>
      </c>
      <c r="N1210" s="24" t="n">
        <v>6.5</v>
      </c>
      <c r="O1210" s="24" t="n">
        <v>38.5</v>
      </c>
      <c r="P1210" s="17" t="inlineStr">
        <is>
          <t>Digital Wallet</t>
        </is>
      </c>
      <c r="Q1210" s="17" t="inlineStr">
        <is>
          <t>Delivered</t>
        </is>
      </c>
      <c r="R1210" s="17" t="n">
        <v>5</v>
      </c>
      <c r="S1210" s="17">
        <f>TEXT(B1210,"yyyy-mm")</f>
        <v/>
      </c>
      <c r="T1210" s="17">
        <f>VLOOKUP(D1210,Customers!A:D,4,FALSE)</f>
        <v/>
      </c>
      <c r="U1210" s="17">
        <f>CONCATENATE(A1210,"-",G1210)</f>
        <v/>
      </c>
      <c r="V1210" s="17">
        <f>IF(N1210="","",IF(N1210&lt;=30,"Fast (&lt;30m)",IF(N1210&lt;=45,"Moderate (30-45m)","Delayed (&gt;45m)")))</f>
        <v/>
      </c>
      <c r="W1210" s="17">
        <f>IF(AND(I1210&gt;600,P1210="Delivered"),"High Value Delivered","Standard")</f>
        <v/>
      </c>
      <c r="X1210" s="17">
        <f>IF(OR(N1210&gt;50,Q1210&lt;=2),"High Risk / Delayed","Normal")</f>
        <v/>
      </c>
      <c r="Y1210" s="17">
        <f>IF(NOT(P1210="Cancelled"),"Fulfilled","Cancelled")</f>
        <v/>
      </c>
      <c r="Z1210" s="17">
        <f>IFERROR(Q1210,0)</f>
        <v/>
      </c>
    </row>
    <row r="1211">
      <c r="A1211" s="25" t="inlineStr">
        <is>
          <t>ORD2210</t>
        </is>
      </c>
      <c r="B1211" s="25" t="inlineStr">
        <is>
          <t>2025-07-09</t>
        </is>
      </c>
      <c r="C1211" s="25" t="inlineStr">
        <is>
          <t>20:01:39</t>
        </is>
      </c>
      <c r="D1211" s="25" t="n">
        <v>1192</v>
      </c>
      <c r="E1211" s="25" t="n">
        <v>105</v>
      </c>
      <c r="F1211" s="25" t="n">
        <v>210</v>
      </c>
      <c r="G1211" s="25" t="inlineStr">
        <is>
          <t>Bangalore</t>
        </is>
      </c>
      <c r="H1211" s="25" t="inlineStr">
        <is>
          <t>Chinese</t>
        </is>
      </c>
      <c r="I1211" s="26" t="n">
        <v>1089</v>
      </c>
      <c r="J1211" s="26" t="n">
        <v>185.74</v>
      </c>
      <c r="K1211" s="26" t="n">
        <v>0</v>
      </c>
      <c r="L1211" s="27" t="n">
        <v>0.2</v>
      </c>
      <c r="M1211" s="26" t="n">
        <v>217.8</v>
      </c>
      <c r="N1211" s="28" t="n">
        <v>3.2</v>
      </c>
      <c r="O1211" s="28" t="n">
        <v>26.7</v>
      </c>
      <c r="P1211" s="25" t="inlineStr">
        <is>
          <t>Credit Card</t>
        </is>
      </c>
      <c r="Q1211" s="25" t="inlineStr">
        <is>
          <t>Delivered</t>
        </is>
      </c>
      <c r="R1211" s="25" t="n">
        <v>4</v>
      </c>
      <c r="S1211" s="25">
        <f>TEXT(B1211,"yyyy-mm")</f>
        <v/>
      </c>
      <c r="T1211" s="25">
        <f>VLOOKUP(D1211,Customers!A:D,4,FALSE)</f>
        <v/>
      </c>
      <c r="U1211" s="25">
        <f>CONCATENATE(A1211,"-",G1211)</f>
        <v/>
      </c>
      <c r="V1211" s="25">
        <f>IF(N1211="","",IF(N1211&lt;=30,"Fast (&lt;30m)",IF(N1211&lt;=45,"Moderate (30-45m)","Delayed (&gt;45m)")))</f>
        <v/>
      </c>
      <c r="W1211" s="25">
        <f>IF(AND(I1211&gt;600,P1211="Delivered"),"High Value Delivered","Standard")</f>
        <v/>
      </c>
      <c r="X1211" s="25">
        <f>IF(OR(N1211&gt;50,Q1211&lt;=2),"High Risk / Delayed","Normal")</f>
        <v/>
      </c>
      <c r="Y1211" s="25">
        <f>IF(NOT(P1211="Cancelled"),"Fulfilled","Cancelled")</f>
        <v/>
      </c>
      <c r="Z1211" s="25">
        <f>IFERROR(Q1211,0)</f>
        <v/>
      </c>
    </row>
    <row r="1212">
      <c r="A1212" s="17" t="inlineStr">
        <is>
          <t>ORD2211</t>
        </is>
      </c>
      <c r="B1212" s="17" t="inlineStr">
        <is>
          <t>2025-03-03</t>
        </is>
      </c>
      <c r="C1212" s="17" t="inlineStr">
        <is>
          <t>20:03:28</t>
        </is>
      </c>
      <c r="D1212" s="17" t="n">
        <v>1011</v>
      </c>
      <c r="E1212" s="17" t="n">
        <v>114</v>
      </c>
      <c r="F1212" s="17" t="n">
        <v>216</v>
      </c>
      <c r="G1212" s="17" t="inlineStr">
        <is>
          <t>Hyderabad</t>
        </is>
      </c>
      <c r="H1212" s="17" t="inlineStr">
        <is>
          <t>Biryani</t>
        </is>
      </c>
      <c r="I1212" s="22" t="n">
        <v>872</v>
      </c>
      <c r="J1212" s="22" t="n">
        <v>21.92</v>
      </c>
      <c r="K1212" s="22" t="n">
        <v>25</v>
      </c>
      <c r="L1212" s="23" t="n">
        <v>0.22</v>
      </c>
      <c r="M1212" s="22" t="n">
        <v>198.09</v>
      </c>
      <c r="N1212" s="24" t="n">
        <v>2.3</v>
      </c>
      <c r="O1212" s="24" t="n">
        <v>33</v>
      </c>
      <c r="P1212" s="17" t="inlineStr">
        <is>
          <t>Debit Card</t>
        </is>
      </c>
      <c r="Q1212" s="17" t="inlineStr">
        <is>
          <t>Delivered</t>
        </is>
      </c>
      <c r="R1212" s="17" t="n">
        <v>5</v>
      </c>
      <c r="S1212" s="17">
        <f>TEXT(B1212,"yyyy-mm")</f>
        <v/>
      </c>
      <c r="T1212" s="17">
        <f>VLOOKUP(D1212,Customers!A:D,4,FALSE)</f>
        <v/>
      </c>
      <c r="U1212" s="17">
        <f>CONCATENATE(A1212,"-",G1212)</f>
        <v/>
      </c>
      <c r="V1212" s="17">
        <f>IF(N1212="","",IF(N1212&lt;=30,"Fast (&lt;30m)",IF(N1212&lt;=45,"Moderate (30-45m)","Delayed (&gt;45m)")))</f>
        <v/>
      </c>
      <c r="W1212" s="17">
        <f>IF(AND(I1212&gt;600,P1212="Delivered"),"High Value Delivered","Standard")</f>
        <v/>
      </c>
      <c r="X1212" s="17">
        <f>IF(OR(N1212&gt;50,Q1212&lt;=2),"High Risk / Delayed","Normal")</f>
        <v/>
      </c>
      <c r="Y1212" s="17">
        <f>IF(NOT(P1212="Cancelled"),"Fulfilled","Cancelled")</f>
        <v/>
      </c>
      <c r="Z1212" s="17">
        <f>IFERROR(Q1212,0)</f>
        <v/>
      </c>
    </row>
    <row r="1213">
      <c r="A1213" s="25" t="inlineStr">
        <is>
          <t>ORD2212</t>
        </is>
      </c>
      <c r="B1213" s="25" t="inlineStr">
        <is>
          <t>2025-06-20</t>
        </is>
      </c>
      <c r="C1213" s="25" t="inlineStr">
        <is>
          <t>15:53:43</t>
        </is>
      </c>
      <c r="D1213" s="25" t="n">
        <v>1209</v>
      </c>
      <c r="E1213" s="25" t="n">
        <v>116</v>
      </c>
      <c r="F1213" s="25" t="n">
        <v>207</v>
      </c>
      <c r="G1213" s="25" t="inlineStr">
        <is>
          <t>Pune</t>
        </is>
      </c>
      <c r="H1213" s="25" t="inlineStr">
        <is>
          <t>Desserts</t>
        </is>
      </c>
      <c r="I1213" s="26" t="n">
        <v>544</v>
      </c>
      <c r="J1213" s="26" t="n">
        <v>7.36</v>
      </c>
      <c r="K1213" s="26" t="n">
        <v>34</v>
      </c>
      <c r="L1213" s="27" t="n">
        <v>0.25</v>
      </c>
      <c r="M1213" s="26" t="n">
        <v>144.5</v>
      </c>
      <c r="N1213" s="28" t="n">
        <v>4.8</v>
      </c>
      <c r="O1213" s="28" t="n">
        <v>38.1</v>
      </c>
      <c r="P1213" s="25" t="inlineStr">
        <is>
          <t>Debit Card</t>
        </is>
      </c>
      <c r="Q1213" s="25" t="inlineStr">
        <is>
          <t>Delivered</t>
        </is>
      </c>
      <c r="R1213" s="25" t="n">
        <v>4</v>
      </c>
      <c r="S1213" s="25">
        <f>TEXT(B1213,"yyyy-mm")</f>
        <v/>
      </c>
      <c r="T1213" s="25">
        <f>VLOOKUP(D1213,Customers!A:D,4,FALSE)</f>
        <v/>
      </c>
      <c r="U1213" s="25">
        <f>CONCATENATE(A1213,"-",G1213)</f>
        <v/>
      </c>
      <c r="V1213" s="25">
        <f>IF(N1213="","",IF(N1213&lt;=30,"Fast (&lt;30m)",IF(N1213&lt;=45,"Moderate (30-45m)","Delayed (&gt;45m)")))</f>
        <v/>
      </c>
      <c r="W1213" s="25">
        <f>IF(AND(I1213&gt;600,P1213="Delivered"),"High Value Delivered","Standard")</f>
        <v/>
      </c>
      <c r="X1213" s="25">
        <f>IF(OR(N1213&gt;50,Q1213&lt;=2),"High Risk / Delayed","Normal")</f>
        <v/>
      </c>
      <c r="Y1213" s="25">
        <f>IF(NOT(P1213="Cancelled"),"Fulfilled","Cancelled")</f>
        <v/>
      </c>
      <c r="Z1213" s="25">
        <f>IFERROR(Q1213,0)</f>
        <v/>
      </c>
    </row>
    <row r="1214">
      <c r="A1214" s="17" t="inlineStr">
        <is>
          <t>ORD2213</t>
        </is>
      </c>
      <c r="B1214" s="17" t="inlineStr">
        <is>
          <t>2025-12-08</t>
        </is>
      </c>
      <c r="C1214" s="17" t="inlineStr">
        <is>
          <t>11:42:03</t>
        </is>
      </c>
      <c r="D1214" s="17" t="n">
        <v>1018</v>
      </c>
      <c r="E1214" s="17" t="n">
        <v>112</v>
      </c>
      <c r="F1214" s="17" t="n">
        <v>211</v>
      </c>
      <c r="G1214" s="17" t="inlineStr">
        <is>
          <t>Delhi NCR</t>
        </is>
      </c>
      <c r="H1214" s="17" t="inlineStr">
        <is>
          <t>North Indian</t>
        </is>
      </c>
      <c r="I1214" s="22" t="n">
        <v>286</v>
      </c>
      <c r="J1214" s="22" t="n">
        <v>0</v>
      </c>
      <c r="K1214" s="22" t="n">
        <v>30.5</v>
      </c>
      <c r="L1214" s="23" t="n">
        <v>0.22</v>
      </c>
      <c r="M1214" s="22" t="n">
        <v>70.54000000000001</v>
      </c>
      <c r="N1214" s="24" t="n">
        <v>4.1</v>
      </c>
      <c r="O1214" s="24" t="n">
        <v>31.4</v>
      </c>
      <c r="P1214" s="17" t="inlineStr">
        <is>
          <t>Credit Card</t>
        </is>
      </c>
      <c r="Q1214" s="17" t="inlineStr">
        <is>
          <t>Delivered</t>
        </is>
      </c>
      <c r="R1214" s="17" t="n">
        <v>3</v>
      </c>
      <c r="S1214" s="17">
        <f>TEXT(B1214,"yyyy-mm")</f>
        <v/>
      </c>
      <c r="T1214" s="17">
        <f>VLOOKUP(D1214,Customers!A:D,4,FALSE)</f>
        <v/>
      </c>
      <c r="U1214" s="17">
        <f>CONCATENATE(A1214,"-",G1214)</f>
        <v/>
      </c>
      <c r="V1214" s="17">
        <f>IF(N1214="","",IF(N1214&lt;=30,"Fast (&lt;30m)",IF(N1214&lt;=45,"Moderate (30-45m)","Delayed (&gt;45m)")))</f>
        <v/>
      </c>
      <c r="W1214" s="17">
        <f>IF(AND(I1214&gt;600,P1214="Delivered"),"High Value Delivered","Standard")</f>
        <v/>
      </c>
      <c r="X1214" s="17">
        <f>IF(OR(N1214&gt;50,Q1214&lt;=2),"High Risk / Delayed","Normal")</f>
        <v/>
      </c>
      <c r="Y1214" s="17">
        <f>IF(NOT(P1214="Cancelled"),"Fulfilled","Cancelled")</f>
        <v/>
      </c>
      <c r="Z1214" s="17">
        <f>IFERROR(Q1214,0)</f>
        <v/>
      </c>
    </row>
    <row r="1215">
      <c r="A1215" s="25" t="inlineStr">
        <is>
          <t>ORD2214</t>
        </is>
      </c>
      <c r="B1215" s="25" t="inlineStr">
        <is>
          <t>2025-08-16</t>
        </is>
      </c>
      <c r="C1215" s="25" t="inlineStr">
        <is>
          <t>07:02:17</t>
        </is>
      </c>
      <c r="D1215" s="25" t="n">
        <v>1178</v>
      </c>
      <c r="E1215" s="25" t="n">
        <v>116</v>
      </c>
      <c r="F1215" s="25" t="n">
        <v>214</v>
      </c>
      <c r="G1215" s="25" t="inlineStr">
        <is>
          <t>Pune</t>
        </is>
      </c>
      <c r="H1215" s="25" t="inlineStr">
        <is>
          <t>Desserts</t>
        </is>
      </c>
      <c r="I1215" s="26" t="n">
        <v>843</v>
      </c>
      <c r="J1215" s="26" t="n">
        <v>0</v>
      </c>
      <c r="K1215" s="26" t="n">
        <v>54</v>
      </c>
      <c r="L1215" s="27" t="n">
        <v>0.25</v>
      </c>
      <c r="M1215" s="26" t="n">
        <v>224.25</v>
      </c>
      <c r="N1215" s="28" t="n">
        <v>8.800000000000001</v>
      </c>
      <c r="O1215" s="28" t="n">
        <v>43.1</v>
      </c>
      <c r="P1215" s="25" t="inlineStr">
        <is>
          <t>Credit Card</t>
        </is>
      </c>
      <c r="Q1215" s="25" t="inlineStr">
        <is>
          <t>Delivered</t>
        </is>
      </c>
      <c r="R1215" s="25" t="n">
        <v>2</v>
      </c>
      <c r="S1215" s="25">
        <f>TEXT(B1215,"yyyy-mm")</f>
        <v/>
      </c>
      <c r="T1215" s="25">
        <f>VLOOKUP(D1215,Customers!A:D,4,FALSE)</f>
        <v/>
      </c>
      <c r="U1215" s="25">
        <f>CONCATENATE(A1215,"-",G1215)</f>
        <v/>
      </c>
      <c r="V1215" s="25">
        <f>IF(N1215="","",IF(N1215&lt;=30,"Fast (&lt;30m)",IF(N1215&lt;=45,"Moderate (30-45m)","Delayed (&gt;45m)")))</f>
        <v/>
      </c>
      <c r="W1215" s="25">
        <f>IF(AND(I1215&gt;600,P1215="Delivered"),"High Value Delivered","Standard")</f>
        <v/>
      </c>
      <c r="X1215" s="25">
        <f>IF(OR(N1215&gt;50,Q1215&lt;=2),"High Risk / Delayed","Normal")</f>
        <v/>
      </c>
      <c r="Y1215" s="25">
        <f>IF(NOT(P1215="Cancelled"),"Fulfilled","Cancelled")</f>
        <v/>
      </c>
      <c r="Z1215" s="25">
        <f>IFERROR(Q1215,0)</f>
        <v/>
      </c>
    </row>
    <row r="1216">
      <c r="A1216" s="17" t="inlineStr">
        <is>
          <t>ORD2215</t>
        </is>
      </c>
      <c r="B1216" s="17" t="inlineStr">
        <is>
          <t>2025-10-15</t>
        </is>
      </c>
      <c r="C1216" s="17" t="inlineStr">
        <is>
          <t>13:22:07</t>
        </is>
      </c>
      <c r="D1216" s="17" t="n">
        <v>1062</v>
      </c>
      <c r="E1216" s="17" t="n">
        <v>107</v>
      </c>
      <c r="F1216" s="17" t="n">
        <v>206</v>
      </c>
      <c r="G1216" s="17" t="inlineStr">
        <is>
          <t>Mumbai</t>
        </is>
      </c>
      <c r="H1216" s="17" t="inlineStr">
        <is>
          <t>Desserts</t>
        </is>
      </c>
      <c r="I1216" s="22" t="n">
        <v>569</v>
      </c>
      <c r="J1216" s="22" t="n">
        <v>0</v>
      </c>
      <c r="K1216" s="22" t="n">
        <v>34</v>
      </c>
      <c r="L1216" s="23" t="n">
        <v>0.25</v>
      </c>
      <c r="M1216" s="22" t="n">
        <v>150.75</v>
      </c>
      <c r="N1216" s="24" t="n">
        <v>4.8</v>
      </c>
      <c r="O1216" s="24" t="n">
        <v>39.7</v>
      </c>
      <c r="P1216" s="17" t="inlineStr">
        <is>
          <t>UPI</t>
        </is>
      </c>
      <c r="Q1216" s="17" t="inlineStr">
        <is>
          <t>Delivered</t>
        </is>
      </c>
      <c r="R1216" s="17" t="n">
        <v>5</v>
      </c>
      <c r="S1216" s="17">
        <f>TEXT(B1216,"yyyy-mm")</f>
        <v/>
      </c>
      <c r="T1216" s="17">
        <f>VLOOKUP(D1216,Customers!A:D,4,FALSE)</f>
        <v/>
      </c>
      <c r="U1216" s="17">
        <f>CONCATENATE(A1216,"-",G1216)</f>
        <v/>
      </c>
      <c r="V1216" s="17">
        <f>IF(N1216="","",IF(N1216&lt;=30,"Fast (&lt;30m)",IF(N1216&lt;=45,"Moderate (30-45m)","Delayed (&gt;45m)")))</f>
        <v/>
      </c>
      <c r="W1216" s="17">
        <f>IF(AND(I1216&gt;600,P1216="Delivered"),"High Value Delivered","Standard")</f>
        <v/>
      </c>
      <c r="X1216" s="17">
        <f>IF(OR(N1216&gt;50,Q1216&lt;=2),"High Risk / Delayed","Normal")</f>
        <v/>
      </c>
      <c r="Y1216" s="17">
        <f>IF(NOT(P1216="Cancelled"),"Fulfilled","Cancelled")</f>
        <v/>
      </c>
      <c r="Z1216" s="17">
        <f>IFERROR(Q1216,0)</f>
        <v/>
      </c>
    </row>
    <row r="1217">
      <c r="A1217" s="25" t="inlineStr">
        <is>
          <t>ORD2216</t>
        </is>
      </c>
      <c r="B1217" s="25" t="inlineStr">
        <is>
          <t>2025-02-16</t>
        </is>
      </c>
      <c r="C1217" s="25" t="inlineStr">
        <is>
          <t>13:11:46</t>
        </is>
      </c>
      <c r="D1217" s="25" t="n">
        <v>1056</v>
      </c>
      <c r="E1217" s="25" t="n">
        <v>109</v>
      </c>
      <c r="F1217" s="25" t="n">
        <v>216</v>
      </c>
      <c r="G1217" s="25" t="inlineStr">
        <is>
          <t>Hyderabad</t>
        </is>
      </c>
      <c r="H1217" s="25" t="inlineStr">
        <is>
          <t>Biryani</t>
        </is>
      </c>
      <c r="I1217" s="26" t="n">
        <v>455</v>
      </c>
      <c r="J1217" s="26" t="n">
        <v>59.95</v>
      </c>
      <c r="K1217" s="26" t="n">
        <v>26.5</v>
      </c>
      <c r="L1217" s="27" t="n">
        <v>0.2</v>
      </c>
      <c r="M1217" s="26" t="n">
        <v>97.62</v>
      </c>
      <c r="N1217" s="28" t="n">
        <v>3.3</v>
      </c>
      <c r="O1217" s="28" t="n">
        <v>32</v>
      </c>
      <c r="P1217" s="25" t="inlineStr">
        <is>
          <t>UPI</t>
        </is>
      </c>
      <c r="Q1217" s="25" t="inlineStr">
        <is>
          <t>Delivered</t>
        </is>
      </c>
      <c r="R1217" s="25" t="n">
        <v>4</v>
      </c>
      <c r="S1217" s="25">
        <f>TEXT(B1217,"yyyy-mm")</f>
        <v/>
      </c>
      <c r="T1217" s="25">
        <f>VLOOKUP(D1217,Customers!A:D,4,FALSE)</f>
        <v/>
      </c>
      <c r="U1217" s="25">
        <f>CONCATENATE(A1217,"-",G1217)</f>
        <v/>
      </c>
      <c r="V1217" s="25">
        <f>IF(N1217="","",IF(N1217&lt;=30,"Fast (&lt;30m)",IF(N1217&lt;=45,"Moderate (30-45m)","Delayed (&gt;45m)")))</f>
        <v/>
      </c>
      <c r="W1217" s="25">
        <f>IF(AND(I1217&gt;600,P1217="Delivered"),"High Value Delivered","Standard")</f>
        <v/>
      </c>
      <c r="X1217" s="25">
        <f>IF(OR(N1217&gt;50,Q1217&lt;=2),"High Risk / Delayed","Normal")</f>
        <v/>
      </c>
      <c r="Y1217" s="25">
        <f>IF(NOT(P1217="Cancelled"),"Fulfilled","Cancelled")</f>
        <v/>
      </c>
      <c r="Z1217" s="25">
        <f>IFERROR(Q1217,0)</f>
        <v/>
      </c>
    </row>
    <row r="1218">
      <c r="A1218" s="17" t="inlineStr">
        <is>
          <t>ORD2217</t>
        </is>
      </c>
      <c r="B1218" s="17" t="inlineStr">
        <is>
          <t>2025-04-22</t>
        </is>
      </c>
      <c r="C1218" s="17" t="inlineStr">
        <is>
          <t>22:40:23</t>
        </is>
      </c>
      <c r="D1218" s="17" t="n">
        <v>1100</v>
      </c>
      <c r="E1218" s="17" t="n">
        <v>114</v>
      </c>
      <c r="F1218" s="17" t="n">
        <v>215</v>
      </c>
      <c r="G1218" s="17" t="inlineStr">
        <is>
          <t>Hyderabad</t>
        </is>
      </c>
      <c r="H1218" s="17" t="inlineStr">
        <is>
          <t>Biryani</t>
        </is>
      </c>
      <c r="I1218" s="22" t="n">
        <v>691</v>
      </c>
      <c r="J1218" s="22" t="n">
        <v>0</v>
      </c>
      <c r="K1218" s="22" t="n">
        <v>28</v>
      </c>
      <c r="L1218" s="23" t="n">
        <v>0.22</v>
      </c>
      <c r="M1218" s="22" t="n">
        <v>159.02</v>
      </c>
      <c r="N1218" s="24" t="n">
        <v>3.6</v>
      </c>
      <c r="O1218" s="24" t="n">
        <v>37.1</v>
      </c>
      <c r="P1218" s="17" t="inlineStr">
        <is>
          <t>Credit Card</t>
        </is>
      </c>
      <c r="Q1218" s="17" t="inlineStr">
        <is>
          <t>Delivered</t>
        </is>
      </c>
      <c r="R1218" s="17" t="n">
        <v>3</v>
      </c>
      <c r="S1218" s="17">
        <f>TEXT(B1218,"yyyy-mm")</f>
        <v/>
      </c>
      <c r="T1218" s="17">
        <f>VLOOKUP(D1218,Customers!A:D,4,FALSE)</f>
        <v/>
      </c>
      <c r="U1218" s="17">
        <f>CONCATENATE(A1218,"-",G1218)</f>
        <v/>
      </c>
      <c r="V1218" s="17">
        <f>IF(N1218="","",IF(N1218&lt;=30,"Fast (&lt;30m)",IF(N1218&lt;=45,"Moderate (30-45m)","Delayed (&gt;45m)")))</f>
        <v/>
      </c>
      <c r="W1218" s="17">
        <f>IF(AND(I1218&gt;600,P1218="Delivered"),"High Value Delivered","Standard")</f>
        <v/>
      </c>
      <c r="X1218" s="17">
        <f>IF(OR(N1218&gt;50,Q1218&lt;=2),"High Risk / Delayed","Normal")</f>
        <v/>
      </c>
      <c r="Y1218" s="17">
        <f>IF(NOT(P1218="Cancelled"),"Fulfilled","Cancelled")</f>
        <v/>
      </c>
      <c r="Z1218" s="17">
        <f>IFERROR(Q1218,0)</f>
        <v/>
      </c>
    </row>
    <row r="1219">
      <c r="A1219" s="25" t="inlineStr">
        <is>
          <t>ORD2218</t>
        </is>
      </c>
      <c r="B1219" s="25" t="inlineStr">
        <is>
          <t>2025-06-08</t>
        </is>
      </c>
      <c r="C1219" s="25" t="inlineStr">
        <is>
          <t>14:03:24</t>
        </is>
      </c>
      <c r="D1219" s="25" t="n">
        <v>1111</v>
      </c>
      <c r="E1219" s="25" t="n">
        <v>103</v>
      </c>
      <c r="F1219" s="25" t="n">
        <v>222</v>
      </c>
      <c r="G1219" s="25" t="inlineStr">
        <is>
          <t>Mumbai</t>
        </is>
      </c>
      <c r="H1219" s="25" t="inlineStr">
        <is>
          <t>Italian</t>
        </is>
      </c>
      <c r="I1219" s="26" t="n">
        <v>942</v>
      </c>
      <c r="J1219" s="26" t="n">
        <v>0</v>
      </c>
      <c r="K1219" s="26" t="n">
        <v>25</v>
      </c>
      <c r="L1219" s="27" t="n">
        <v>0.18</v>
      </c>
      <c r="M1219" s="26" t="n">
        <v>175.81</v>
      </c>
      <c r="N1219" s="28" t="n">
        <v>2.8</v>
      </c>
      <c r="O1219" s="28" t="n">
        <v>25.6</v>
      </c>
      <c r="P1219" s="25" t="inlineStr">
        <is>
          <t>Digital Wallet</t>
        </is>
      </c>
      <c r="Q1219" s="25" t="inlineStr">
        <is>
          <t>Delivered</t>
        </is>
      </c>
      <c r="R1219" s="25" t="n">
        <v>5</v>
      </c>
      <c r="S1219" s="25">
        <f>TEXT(B1219,"yyyy-mm")</f>
        <v/>
      </c>
      <c r="T1219" s="25">
        <f>VLOOKUP(D1219,Customers!A:D,4,FALSE)</f>
        <v/>
      </c>
      <c r="U1219" s="25">
        <f>CONCATENATE(A1219,"-",G1219)</f>
        <v/>
      </c>
      <c r="V1219" s="25">
        <f>IF(N1219="","",IF(N1219&lt;=30,"Fast (&lt;30m)",IF(N1219&lt;=45,"Moderate (30-45m)","Delayed (&gt;45m)")))</f>
        <v/>
      </c>
      <c r="W1219" s="25">
        <f>IF(AND(I1219&gt;600,P1219="Delivered"),"High Value Delivered","Standard")</f>
        <v/>
      </c>
      <c r="X1219" s="25">
        <f>IF(OR(N1219&gt;50,Q1219&lt;=2),"High Risk / Delayed","Normal")</f>
        <v/>
      </c>
      <c r="Y1219" s="25">
        <f>IF(NOT(P1219="Cancelled"),"Fulfilled","Cancelled")</f>
        <v/>
      </c>
      <c r="Z1219" s="25">
        <f>IFERROR(Q1219,0)</f>
        <v/>
      </c>
    </row>
    <row r="1220">
      <c r="A1220" s="17" t="inlineStr">
        <is>
          <t>ORD2219</t>
        </is>
      </c>
      <c r="B1220" s="17" t="inlineStr">
        <is>
          <t>2025-04-07</t>
        </is>
      </c>
      <c r="C1220" s="17" t="inlineStr">
        <is>
          <t>21:17:56</t>
        </is>
      </c>
      <c r="D1220" s="17" t="n">
        <v>1271</v>
      </c>
      <c r="E1220" s="17" t="n">
        <v>108</v>
      </c>
      <c r="F1220" s="17" t="n">
        <v>219</v>
      </c>
      <c r="G1220" s="17" t="inlineStr">
        <is>
          <t>Delhi NCR</t>
        </is>
      </c>
      <c r="H1220" s="17" t="inlineStr">
        <is>
          <t>Fast Food</t>
        </is>
      </c>
      <c r="I1220" s="22" t="n">
        <v>424</v>
      </c>
      <c r="J1220" s="22" t="n">
        <v>26.46</v>
      </c>
      <c r="K1220" s="22" t="n">
        <v>33.5</v>
      </c>
      <c r="L1220" s="23" t="n">
        <v>0.18</v>
      </c>
      <c r="M1220" s="22" t="n">
        <v>84.7</v>
      </c>
      <c r="N1220" s="24" t="n">
        <v>4.7</v>
      </c>
      <c r="O1220" s="24" t="n">
        <v>33.9</v>
      </c>
      <c r="P1220" s="17" t="inlineStr">
        <is>
          <t>Cash on Delivery</t>
        </is>
      </c>
      <c r="Q1220" s="17" t="inlineStr">
        <is>
          <t>Delivered</t>
        </is>
      </c>
      <c r="R1220" s="17" t="n">
        <v>5</v>
      </c>
      <c r="S1220" s="17">
        <f>TEXT(B1220,"yyyy-mm")</f>
        <v/>
      </c>
      <c r="T1220" s="17">
        <f>VLOOKUP(D1220,Customers!A:D,4,FALSE)</f>
        <v/>
      </c>
      <c r="U1220" s="17">
        <f>CONCATENATE(A1220,"-",G1220)</f>
        <v/>
      </c>
      <c r="V1220" s="17">
        <f>IF(N1220="","",IF(N1220&lt;=30,"Fast (&lt;30m)",IF(N1220&lt;=45,"Moderate (30-45m)","Delayed (&gt;45m)")))</f>
        <v/>
      </c>
      <c r="W1220" s="17">
        <f>IF(AND(I1220&gt;600,P1220="Delivered"),"High Value Delivered","Standard")</f>
        <v/>
      </c>
      <c r="X1220" s="17">
        <f>IF(OR(N1220&gt;50,Q1220&lt;=2),"High Risk / Delayed","Normal")</f>
        <v/>
      </c>
      <c r="Y1220" s="17">
        <f>IF(NOT(P1220="Cancelled"),"Fulfilled","Cancelled")</f>
        <v/>
      </c>
      <c r="Z1220" s="17">
        <f>IFERROR(Q1220,0)</f>
        <v/>
      </c>
    </row>
    <row r="1221">
      <c r="A1221" s="25" t="inlineStr">
        <is>
          <t>ORD2220</t>
        </is>
      </c>
      <c r="B1221" s="25" t="inlineStr">
        <is>
          <t>2025-07-01</t>
        </is>
      </c>
      <c r="C1221" s="25" t="inlineStr">
        <is>
          <t>12:37:23</t>
        </is>
      </c>
      <c r="D1221" s="25" t="n">
        <v>1045</v>
      </c>
      <c r="E1221" s="25" t="n">
        <v>111</v>
      </c>
      <c r="F1221" s="25" t="n">
        <v>220</v>
      </c>
      <c r="G1221" s="25" t="inlineStr">
        <is>
          <t>Bangalore</t>
        </is>
      </c>
      <c r="H1221" s="25" t="inlineStr">
        <is>
          <t>South Indian</t>
        </is>
      </c>
      <c r="I1221" s="26" t="n">
        <v>577</v>
      </c>
      <c r="J1221" s="26" t="n">
        <v>24.14</v>
      </c>
      <c r="K1221" s="26" t="n">
        <v>26</v>
      </c>
      <c r="L1221" s="27" t="n">
        <v>0.15</v>
      </c>
      <c r="M1221" s="26" t="n">
        <v>93.05</v>
      </c>
      <c r="N1221" s="28" t="n">
        <v>3.2</v>
      </c>
      <c r="O1221" s="28" t="n">
        <v/>
      </c>
      <c r="P1221" s="25" t="inlineStr">
        <is>
          <t>Credit Card</t>
        </is>
      </c>
      <c r="Q1221" s="25" t="inlineStr">
        <is>
          <t>Cancelled</t>
        </is>
      </c>
      <c r="R1221" s="25" t="n">
        <v/>
      </c>
      <c r="S1221" s="25">
        <f>TEXT(B1221,"yyyy-mm")</f>
        <v/>
      </c>
      <c r="T1221" s="25">
        <f>VLOOKUP(D1221,Customers!A:D,4,FALSE)</f>
        <v/>
      </c>
      <c r="U1221" s="25">
        <f>CONCATENATE(A1221,"-",G1221)</f>
        <v/>
      </c>
      <c r="V1221" s="25">
        <f>IF(N1221="","",IF(N1221&lt;=30,"Fast (&lt;30m)",IF(N1221&lt;=45,"Moderate (30-45m)","Delayed (&gt;45m)")))</f>
        <v/>
      </c>
      <c r="W1221" s="25">
        <f>IF(AND(I1221&gt;600,P1221="Delivered"),"High Value Delivered","Standard")</f>
        <v/>
      </c>
      <c r="X1221" s="25">
        <f>IF(OR(N1221&gt;50,Q1221&lt;=2),"High Risk / Delayed","Normal")</f>
        <v/>
      </c>
      <c r="Y1221" s="25">
        <f>IF(NOT(P1221="Cancelled"),"Fulfilled","Cancelled")</f>
        <v/>
      </c>
      <c r="Z1221" s="25">
        <f>IFERROR(Q1221,0)</f>
        <v/>
      </c>
    </row>
    <row r="1222">
      <c r="A1222" s="17" t="inlineStr">
        <is>
          <t>ORD2221</t>
        </is>
      </c>
      <c r="B1222" s="17" t="inlineStr">
        <is>
          <t>2025-03-21</t>
        </is>
      </c>
      <c r="C1222" s="17" t="inlineStr">
        <is>
          <t>17:34:36</t>
        </is>
      </c>
      <c r="D1222" s="17" t="n">
        <v>1033</v>
      </c>
      <c r="E1222" s="17" t="n">
        <v>102</v>
      </c>
      <c r="F1222" s="17" t="n">
        <v>216</v>
      </c>
      <c r="G1222" s="17" t="inlineStr">
        <is>
          <t>Hyderabad</t>
        </is>
      </c>
      <c r="H1222" s="17" t="inlineStr">
        <is>
          <t>Biryani</t>
        </is>
      </c>
      <c r="I1222" s="22" t="n">
        <v>435</v>
      </c>
      <c r="J1222" s="22" t="n">
        <v>15.1</v>
      </c>
      <c r="K1222" s="22" t="n">
        <v>25</v>
      </c>
      <c r="L1222" s="23" t="n">
        <v>0.22</v>
      </c>
      <c r="M1222" s="22" t="n">
        <v>101.95</v>
      </c>
      <c r="N1222" s="24" t="n">
        <v>2</v>
      </c>
      <c r="O1222" s="24" t="n">
        <v>31.3</v>
      </c>
      <c r="P1222" s="17" t="inlineStr">
        <is>
          <t>Debit Card</t>
        </is>
      </c>
      <c r="Q1222" s="17" t="inlineStr">
        <is>
          <t>Delivered</t>
        </is>
      </c>
      <c r="R1222" s="17" t="n">
        <v>5</v>
      </c>
      <c r="S1222" s="17">
        <f>TEXT(B1222,"yyyy-mm")</f>
        <v/>
      </c>
      <c r="T1222" s="17">
        <f>VLOOKUP(D1222,Customers!A:D,4,FALSE)</f>
        <v/>
      </c>
      <c r="U1222" s="17">
        <f>CONCATENATE(A1222,"-",G1222)</f>
        <v/>
      </c>
      <c r="V1222" s="17">
        <f>IF(N1222="","",IF(N1222&lt;=30,"Fast (&lt;30m)",IF(N1222&lt;=45,"Moderate (30-45m)","Delayed (&gt;45m)")))</f>
        <v/>
      </c>
      <c r="W1222" s="17">
        <f>IF(AND(I1222&gt;600,P1222="Delivered"),"High Value Delivered","Standard")</f>
        <v/>
      </c>
      <c r="X1222" s="17">
        <f>IF(OR(N1222&gt;50,Q1222&lt;=2),"High Risk / Delayed","Normal")</f>
        <v/>
      </c>
      <c r="Y1222" s="17">
        <f>IF(NOT(P1222="Cancelled"),"Fulfilled","Cancelled")</f>
        <v/>
      </c>
      <c r="Z1222" s="17">
        <f>IFERROR(Q1222,0)</f>
        <v/>
      </c>
    </row>
    <row r="1223">
      <c r="A1223" s="25" t="inlineStr">
        <is>
          <t>ORD2222</t>
        </is>
      </c>
      <c r="B1223" s="25" t="inlineStr">
        <is>
          <t>2025-12-25</t>
        </is>
      </c>
      <c r="C1223" s="25" t="inlineStr">
        <is>
          <t>22:32:35</t>
        </is>
      </c>
      <c r="D1223" s="25" t="n">
        <v>1050</v>
      </c>
      <c r="E1223" s="25" t="n">
        <v>116</v>
      </c>
      <c r="F1223" s="25" t="n">
        <v>204</v>
      </c>
      <c r="G1223" s="25" t="inlineStr">
        <is>
          <t>Pune</t>
        </is>
      </c>
      <c r="H1223" s="25" t="inlineStr">
        <is>
          <t>Desserts</t>
        </is>
      </c>
      <c r="I1223" s="26" t="n">
        <v>495</v>
      </c>
      <c r="J1223" s="26" t="n">
        <v>0</v>
      </c>
      <c r="K1223" s="26" t="n">
        <v>32</v>
      </c>
      <c r="L1223" s="27" t="n">
        <v>0.25</v>
      </c>
      <c r="M1223" s="26" t="n">
        <v>131.75</v>
      </c>
      <c r="N1223" s="28" t="n">
        <v>4.4</v>
      </c>
      <c r="O1223" s="28" t="n">
        <v>34.3</v>
      </c>
      <c r="P1223" s="25" t="inlineStr">
        <is>
          <t>Debit Card</t>
        </is>
      </c>
      <c r="Q1223" s="25" t="inlineStr">
        <is>
          <t>Delivered</t>
        </is>
      </c>
      <c r="R1223" s="25" t="n">
        <v>4</v>
      </c>
      <c r="S1223" s="25">
        <f>TEXT(B1223,"yyyy-mm")</f>
        <v/>
      </c>
      <c r="T1223" s="25">
        <f>VLOOKUP(D1223,Customers!A:D,4,FALSE)</f>
        <v/>
      </c>
      <c r="U1223" s="25">
        <f>CONCATENATE(A1223,"-",G1223)</f>
        <v/>
      </c>
      <c r="V1223" s="25">
        <f>IF(N1223="","",IF(N1223&lt;=30,"Fast (&lt;30m)",IF(N1223&lt;=45,"Moderate (30-45m)","Delayed (&gt;45m)")))</f>
        <v/>
      </c>
      <c r="W1223" s="25">
        <f>IF(AND(I1223&gt;600,P1223="Delivered"),"High Value Delivered","Standard")</f>
        <v/>
      </c>
      <c r="X1223" s="25">
        <f>IF(OR(N1223&gt;50,Q1223&lt;=2),"High Risk / Delayed","Normal")</f>
        <v/>
      </c>
      <c r="Y1223" s="25">
        <f>IF(NOT(P1223="Cancelled"),"Fulfilled","Cancelled")</f>
        <v/>
      </c>
      <c r="Z1223" s="25">
        <f>IFERROR(Q1223,0)</f>
        <v/>
      </c>
    </row>
    <row r="1224">
      <c r="A1224" s="17" t="inlineStr">
        <is>
          <t>ORD2223</t>
        </is>
      </c>
      <c r="B1224" s="17" t="inlineStr">
        <is>
          <t>2025-05-14</t>
        </is>
      </c>
      <c r="C1224" s="17" t="inlineStr">
        <is>
          <t>23:02:59</t>
        </is>
      </c>
      <c r="D1224" s="17" t="n">
        <v>1234</v>
      </c>
      <c r="E1224" s="17" t="n">
        <v>106</v>
      </c>
      <c r="F1224" s="17" t="n">
        <v>224</v>
      </c>
      <c r="G1224" s="17" t="inlineStr">
        <is>
          <t>Pune</t>
        </is>
      </c>
      <c r="H1224" s="17" t="inlineStr">
        <is>
          <t>South Indian</t>
        </is>
      </c>
      <c r="I1224" s="22" t="n">
        <v>338</v>
      </c>
      <c r="J1224" s="22" t="n">
        <v>17.07</v>
      </c>
      <c r="K1224" s="22" t="n">
        <v>25</v>
      </c>
      <c r="L1224" s="23" t="n">
        <v>0.15</v>
      </c>
      <c r="M1224" s="22" t="n">
        <v>56.95</v>
      </c>
      <c r="N1224" s="24" t="n">
        <v>2.9</v>
      </c>
      <c r="O1224" s="24" t="n">
        <v>31.3</v>
      </c>
      <c r="P1224" s="17" t="inlineStr">
        <is>
          <t>Cash on Delivery</t>
        </is>
      </c>
      <c r="Q1224" s="17" t="inlineStr">
        <is>
          <t>Delivered</t>
        </is>
      </c>
      <c r="R1224" s="17" t="n">
        <v>5</v>
      </c>
      <c r="S1224" s="17">
        <f>TEXT(B1224,"yyyy-mm")</f>
        <v/>
      </c>
      <c r="T1224" s="17">
        <f>VLOOKUP(D1224,Customers!A:D,4,FALSE)</f>
        <v/>
      </c>
      <c r="U1224" s="17">
        <f>CONCATENATE(A1224,"-",G1224)</f>
        <v/>
      </c>
      <c r="V1224" s="17">
        <f>IF(N1224="","",IF(N1224&lt;=30,"Fast (&lt;30m)",IF(N1224&lt;=45,"Moderate (30-45m)","Delayed (&gt;45m)")))</f>
        <v/>
      </c>
      <c r="W1224" s="17">
        <f>IF(AND(I1224&gt;600,P1224="Delivered"),"High Value Delivered","Standard")</f>
        <v/>
      </c>
      <c r="X1224" s="17">
        <f>IF(OR(N1224&gt;50,Q1224&lt;=2),"High Risk / Delayed","Normal")</f>
        <v/>
      </c>
      <c r="Y1224" s="17">
        <f>IF(NOT(P1224="Cancelled"),"Fulfilled","Cancelled")</f>
        <v/>
      </c>
      <c r="Z1224" s="17">
        <f>IFERROR(Q1224,0)</f>
        <v/>
      </c>
    </row>
    <row r="1225">
      <c r="A1225" s="25" t="inlineStr">
        <is>
          <t>ORD2224</t>
        </is>
      </c>
      <c r="B1225" s="25" t="inlineStr">
        <is>
          <t>2025-12-04</t>
        </is>
      </c>
      <c r="C1225" s="25" t="inlineStr">
        <is>
          <t>10:37:57</t>
        </is>
      </c>
      <c r="D1225" s="25" t="n">
        <v>1165</v>
      </c>
      <c r="E1225" s="25" t="n">
        <v>103</v>
      </c>
      <c r="F1225" s="25" t="n">
        <v>229</v>
      </c>
      <c r="G1225" s="25" t="inlineStr">
        <is>
          <t>Mumbai</t>
        </is>
      </c>
      <c r="H1225" s="25" t="inlineStr">
        <is>
          <t>Italian</t>
        </is>
      </c>
      <c r="I1225" s="26" t="n">
        <v>254</v>
      </c>
      <c r="J1225" s="26" t="n">
        <v>0</v>
      </c>
      <c r="K1225" s="26" t="n">
        <v>27</v>
      </c>
      <c r="L1225" s="27" t="n">
        <v>0.18</v>
      </c>
      <c r="M1225" s="26" t="n">
        <v>52.47</v>
      </c>
      <c r="N1225" s="28" t="n">
        <v>3.4</v>
      </c>
      <c r="O1225" s="28" t="n">
        <v>23.2</v>
      </c>
      <c r="P1225" s="25" t="inlineStr">
        <is>
          <t>Debit Card</t>
        </is>
      </c>
      <c r="Q1225" s="25" t="inlineStr">
        <is>
          <t>Delivered</t>
        </is>
      </c>
      <c r="R1225" s="25" t="n">
        <v>3</v>
      </c>
      <c r="S1225" s="25">
        <f>TEXT(B1225,"yyyy-mm")</f>
        <v/>
      </c>
      <c r="T1225" s="25">
        <f>VLOOKUP(D1225,Customers!A:D,4,FALSE)</f>
        <v/>
      </c>
      <c r="U1225" s="25">
        <f>CONCATENATE(A1225,"-",G1225)</f>
        <v/>
      </c>
      <c r="V1225" s="25">
        <f>IF(N1225="","",IF(N1225&lt;=30,"Fast (&lt;30m)",IF(N1225&lt;=45,"Moderate (30-45m)","Delayed (&gt;45m)")))</f>
        <v/>
      </c>
      <c r="W1225" s="25">
        <f>IF(AND(I1225&gt;600,P1225="Delivered"),"High Value Delivered","Standard")</f>
        <v/>
      </c>
      <c r="X1225" s="25">
        <f>IF(OR(N1225&gt;50,Q1225&lt;=2),"High Risk / Delayed","Normal")</f>
        <v/>
      </c>
      <c r="Y1225" s="25">
        <f>IF(NOT(P1225="Cancelled"),"Fulfilled","Cancelled")</f>
        <v/>
      </c>
      <c r="Z1225" s="25">
        <f>IFERROR(Q1225,0)</f>
        <v/>
      </c>
    </row>
    <row r="1226">
      <c r="A1226" s="17" t="inlineStr">
        <is>
          <t>ORD2225</t>
        </is>
      </c>
      <c r="B1226" s="17" t="inlineStr">
        <is>
          <t>2025-08-04</t>
        </is>
      </c>
      <c r="C1226" s="17" t="inlineStr">
        <is>
          <t>12:30:21</t>
        </is>
      </c>
      <c r="D1226" s="17" t="n">
        <v>1271</v>
      </c>
      <c r="E1226" s="17" t="n">
        <v>104</v>
      </c>
      <c r="F1226" s="17" t="n">
        <v>228</v>
      </c>
      <c r="G1226" s="17" t="inlineStr">
        <is>
          <t>Delhi NCR</t>
        </is>
      </c>
      <c r="H1226" s="17" t="inlineStr">
        <is>
          <t>Fast Food</t>
        </is>
      </c>
      <c r="I1226" s="22" t="n">
        <v>564</v>
      </c>
      <c r="J1226" s="22" t="n">
        <v>53.78</v>
      </c>
      <c r="K1226" s="22" t="n">
        <v>41.5</v>
      </c>
      <c r="L1226" s="23" t="n">
        <v>0.18</v>
      </c>
      <c r="M1226" s="22" t="n">
        <v>111.9</v>
      </c>
      <c r="N1226" s="24" t="n">
        <v>6.3</v>
      </c>
      <c r="O1226" s="24" t="n">
        <v>46.4</v>
      </c>
      <c r="P1226" s="17" t="inlineStr">
        <is>
          <t>Debit Card</t>
        </is>
      </c>
      <c r="Q1226" s="17" t="inlineStr">
        <is>
          <t>Delivered</t>
        </is>
      </c>
      <c r="R1226" s="17" t="n">
        <v>4</v>
      </c>
      <c r="S1226" s="17">
        <f>TEXT(B1226,"yyyy-mm")</f>
        <v/>
      </c>
      <c r="T1226" s="17">
        <f>VLOOKUP(D1226,Customers!A:D,4,FALSE)</f>
        <v/>
      </c>
      <c r="U1226" s="17">
        <f>CONCATENATE(A1226,"-",G1226)</f>
        <v/>
      </c>
      <c r="V1226" s="17">
        <f>IF(N1226="","",IF(N1226&lt;=30,"Fast (&lt;30m)",IF(N1226&lt;=45,"Moderate (30-45m)","Delayed (&gt;45m)")))</f>
        <v/>
      </c>
      <c r="W1226" s="17">
        <f>IF(AND(I1226&gt;600,P1226="Delivered"),"High Value Delivered","Standard")</f>
        <v/>
      </c>
      <c r="X1226" s="17">
        <f>IF(OR(N1226&gt;50,Q1226&lt;=2),"High Risk / Delayed","Normal")</f>
        <v/>
      </c>
      <c r="Y1226" s="17">
        <f>IF(NOT(P1226="Cancelled"),"Fulfilled","Cancelled")</f>
        <v/>
      </c>
      <c r="Z1226" s="17">
        <f>IFERROR(Q1226,0)</f>
        <v/>
      </c>
    </row>
    <row r="1227">
      <c r="A1227" s="25" t="inlineStr">
        <is>
          <t>ORD2226</t>
        </is>
      </c>
      <c r="B1227" s="25" t="inlineStr">
        <is>
          <t>2025-10-07</t>
        </is>
      </c>
      <c r="C1227" s="25" t="inlineStr">
        <is>
          <t>21:11:48</t>
        </is>
      </c>
      <c r="D1227" s="25" t="n">
        <v>1067</v>
      </c>
      <c r="E1227" s="25" t="n">
        <v>116</v>
      </c>
      <c r="F1227" s="25" t="n">
        <v>204</v>
      </c>
      <c r="G1227" s="25" t="inlineStr">
        <is>
          <t>Pune</t>
        </is>
      </c>
      <c r="H1227" s="25" t="inlineStr">
        <is>
          <t>Desserts</t>
        </is>
      </c>
      <c r="I1227" s="26" t="n">
        <v>242</v>
      </c>
      <c r="J1227" s="26" t="n">
        <v>0</v>
      </c>
      <c r="K1227" s="26" t="n">
        <v>29.5</v>
      </c>
      <c r="L1227" s="27" t="n">
        <v>0.25</v>
      </c>
      <c r="M1227" s="26" t="n">
        <v>67.88</v>
      </c>
      <c r="N1227" s="28" t="n">
        <v>3.9</v>
      </c>
      <c r="O1227" s="28" t="n">
        <v>33.6</v>
      </c>
      <c r="P1227" s="25" t="inlineStr">
        <is>
          <t>Digital Wallet</t>
        </is>
      </c>
      <c r="Q1227" s="25" t="inlineStr">
        <is>
          <t>Delivered</t>
        </is>
      </c>
      <c r="R1227" s="25" t="n">
        <v>5</v>
      </c>
      <c r="S1227" s="25">
        <f>TEXT(B1227,"yyyy-mm")</f>
        <v/>
      </c>
      <c r="T1227" s="25">
        <f>VLOOKUP(D1227,Customers!A:D,4,FALSE)</f>
        <v/>
      </c>
      <c r="U1227" s="25">
        <f>CONCATENATE(A1227,"-",G1227)</f>
        <v/>
      </c>
      <c r="V1227" s="25">
        <f>IF(N1227="","",IF(N1227&lt;=30,"Fast (&lt;30m)",IF(N1227&lt;=45,"Moderate (30-45m)","Delayed (&gt;45m)")))</f>
        <v/>
      </c>
      <c r="W1227" s="25">
        <f>IF(AND(I1227&gt;600,P1227="Delivered"),"High Value Delivered","Standard")</f>
        <v/>
      </c>
      <c r="X1227" s="25">
        <f>IF(OR(N1227&gt;50,Q1227&lt;=2),"High Risk / Delayed","Normal")</f>
        <v/>
      </c>
      <c r="Y1227" s="25">
        <f>IF(NOT(P1227="Cancelled"),"Fulfilled","Cancelled")</f>
        <v/>
      </c>
      <c r="Z1227" s="25">
        <f>IFERROR(Q1227,0)</f>
        <v/>
      </c>
    </row>
    <row r="1228">
      <c r="A1228" s="17" t="inlineStr">
        <is>
          <t>ORD2227</t>
        </is>
      </c>
      <c r="B1228" s="17" t="inlineStr">
        <is>
          <t>2025-05-05</t>
        </is>
      </c>
      <c r="C1228" s="17" t="inlineStr">
        <is>
          <t>22:16:46</t>
        </is>
      </c>
      <c r="D1228" s="17" t="n">
        <v>1044</v>
      </c>
      <c r="E1228" s="17" t="n">
        <v>102</v>
      </c>
      <c r="F1228" s="17" t="n">
        <v>215</v>
      </c>
      <c r="G1228" s="17" t="inlineStr">
        <is>
          <t>Hyderabad</t>
        </is>
      </c>
      <c r="H1228" s="17" t="inlineStr">
        <is>
          <t>Biryani</t>
        </is>
      </c>
      <c r="I1228" s="22" t="n">
        <v>855</v>
      </c>
      <c r="J1228" s="22" t="n">
        <v>114.39</v>
      </c>
      <c r="K1228" s="22" t="n">
        <v>0</v>
      </c>
      <c r="L1228" s="23" t="n">
        <v>0.22</v>
      </c>
      <c r="M1228" s="22" t="n">
        <v>188.1</v>
      </c>
      <c r="N1228" s="24" t="n">
        <v>2.8</v>
      </c>
      <c r="O1228" s="24" t="n">
        <v>31.9</v>
      </c>
      <c r="P1228" s="17" t="inlineStr">
        <is>
          <t>Debit Card</t>
        </is>
      </c>
      <c r="Q1228" s="17" t="inlineStr">
        <is>
          <t>Delivered</t>
        </is>
      </c>
      <c r="R1228" s="17" t="n">
        <v>5</v>
      </c>
      <c r="S1228" s="17">
        <f>TEXT(B1228,"yyyy-mm")</f>
        <v/>
      </c>
      <c r="T1228" s="17">
        <f>VLOOKUP(D1228,Customers!A:D,4,FALSE)</f>
        <v/>
      </c>
      <c r="U1228" s="17">
        <f>CONCATENATE(A1228,"-",G1228)</f>
        <v/>
      </c>
      <c r="V1228" s="17">
        <f>IF(N1228="","",IF(N1228&lt;=30,"Fast (&lt;30m)",IF(N1228&lt;=45,"Moderate (30-45m)","Delayed (&gt;45m)")))</f>
        <v/>
      </c>
      <c r="W1228" s="17">
        <f>IF(AND(I1228&gt;600,P1228="Delivered"),"High Value Delivered","Standard")</f>
        <v/>
      </c>
      <c r="X1228" s="17">
        <f>IF(OR(N1228&gt;50,Q1228&lt;=2),"High Risk / Delayed","Normal")</f>
        <v/>
      </c>
      <c r="Y1228" s="17">
        <f>IF(NOT(P1228="Cancelled"),"Fulfilled","Cancelled")</f>
        <v/>
      </c>
      <c r="Z1228" s="17">
        <f>IFERROR(Q1228,0)</f>
        <v/>
      </c>
    </row>
    <row r="1229">
      <c r="A1229" s="25" t="inlineStr">
        <is>
          <t>ORD2228</t>
        </is>
      </c>
      <c r="B1229" s="25" t="inlineStr">
        <is>
          <t>2025-09-17</t>
        </is>
      </c>
      <c r="C1229" s="25" t="inlineStr">
        <is>
          <t>17:06:26</t>
        </is>
      </c>
      <c r="D1229" s="25" t="n">
        <v>1134</v>
      </c>
      <c r="E1229" s="25" t="n">
        <v>119</v>
      </c>
      <c r="F1229" s="25" t="n">
        <v>215</v>
      </c>
      <c r="G1229" s="25" t="inlineStr">
        <is>
          <t>Hyderabad</t>
        </is>
      </c>
      <c r="H1229" s="25" t="inlineStr">
        <is>
          <t>Biryani</t>
        </is>
      </c>
      <c r="I1229" s="26" t="n">
        <v>656</v>
      </c>
      <c r="J1229" s="26" t="n">
        <v>50.06</v>
      </c>
      <c r="K1229" s="26" t="n">
        <v>25</v>
      </c>
      <c r="L1229" s="27" t="n">
        <v>0.2</v>
      </c>
      <c r="M1229" s="26" t="n">
        <v>137.45</v>
      </c>
      <c r="N1229" s="28" t="n">
        <v>2.1</v>
      </c>
      <c r="O1229" s="28" t="n">
        <v>28.6</v>
      </c>
      <c r="P1229" s="25" t="inlineStr">
        <is>
          <t>UPI</t>
        </is>
      </c>
      <c r="Q1229" s="25" t="inlineStr">
        <is>
          <t>Delivered</t>
        </is>
      </c>
      <c r="R1229" s="25" t="n">
        <v>5</v>
      </c>
      <c r="S1229" s="25">
        <f>TEXT(B1229,"yyyy-mm")</f>
        <v/>
      </c>
      <c r="T1229" s="25">
        <f>VLOOKUP(D1229,Customers!A:D,4,FALSE)</f>
        <v/>
      </c>
      <c r="U1229" s="25">
        <f>CONCATENATE(A1229,"-",G1229)</f>
        <v/>
      </c>
      <c r="V1229" s="25">
        <f>IF(N1229="","",IF(N1229&lt;=30,"Fast (&lt;30m)",IF(N1229&lt;=45,"Moderate (30-45m)","Delayed (&gt;45m)")))</f>
        <v/>
      </c>
      <c r="W1229" s="25">
        <f>IF(AND(I1229&gt;600,P1229="Delivered"),"High Value Delivered","Standard")</f>
        <v/>
      </c>
      <c r="X1229" s="25">
        <f>IF(OR(N1229&gt;50,Q1229&lt;=2),"High Risk / Delayed","Normal")</f>
        <v/>
      </c>
      <c r="Y1229" s="25">
        <f>IF(NOT(P1229="Cancelled"),"Fulfilled","Cancelled")</f>
        <v/>
      </c>
      <c r="Z1229" s="25">
        <f>IFERROR(Q1229,0)</f>
        <v/>
      </c>
    </row>
    <row r="1230">
      <c r="A1230" s="17" t="inlineStr">
        <is>
          <t>ORD2229</t>
        </is>
      </c>
      <c r="B1230" s="17" t="inlineStr">
        <is>
          <t>2025-06-03</t>
        </is>
      </c>
      <c r="C1230" s="17" t="inlineStr">
        <is>
          <t>15:56:38</t>
        </is>
      </c>
      <c r="D1230" s="17" t="n">
        <v>1296</v>
      </c>
      <c r="E1230" s="17" t="n">
        <v>118</v>
      </c>
      <c r="F1230" s="17" t="n">
        <v>212</v>
      </c>
      <c r="G1230" s="17" t="inlineStr">
        <is>
          <t>Delhi NCR</t>
        </is>
      </c>
      <c r="H1230" s="17" t="inlineStr">
        <is>
          <t>North Indian</t>
        </is>
      </c>
      <c r="I1230" s="22" t="n">
        <v>934</v>
      </c>
      <c r="J1230" s="22" t="n">
        <v>14.83</v>
      </c>
      <c r="K1230" s="22" t="n">
        <v>25</v>
      </c>
      <c r="L1230" s="23" t="n">
        <v>0.2</v>
      </c>
      <c r="M1230" s="22" t="n">
        <v>193.05</v>
      </c>
      <c r="N1230" s="24" t="n">
        <v>2.9</v>
      </c>
      <c r="O1230" s="24" t="n">
        <v>30.7</v>
      </c>
      <c r="P1230" s="17" t="inlineStr">
        <is>
          <t>Credit Card</t>
        </is>
      </c>
      <c r="Q1230" s="17" t="inlineStr">
        <is>
          <t>Delivered</t>
        </is>
      </c>
      <c r="R1230" s="17" t="n">
        <v>4</v>
      </c>
      <c r="S1230" s="17">
        <f>TEXT(B1230,"yyyy-mm")</f>
        <v/>
      </c>
      <c r="T1230" s="17">
        <f>VLOOKUP(D1230,Customers!A:D,4,FALSE)</f>
        <v/>
      </c>
      <c r="U1230" s="17">
        <f>CONCATENATE(A1230,"-",G1230)</f>
        <v/>
      </c>
      <c r="V1230" s="17">
        <f>IF(N1230="","",IF(N1230&lt;=30,"Fast (&lt;30m)",IF(N1230&lt;=45,"Moderate (30-45m)","Delayed (&gt;45m)")))</f>
        <v/>
      </c>
      <c r="W1230" s="17">
        <f>IF(AND(I1230&gt;600,P1230="Delivered"),"High Value Delivered","Standard")</f>
        <v/>
      </c>
      <c r="X1230" s="17">
        <f>IF(OR(N1230&gt;50,Q1230&lt;=2),"High Risk / Delayed","Normal")</f>
        <v/>
      </c>
      <c r="Y1230" s="17">
        <f>IF(NOT(P1230="Cancelled"),"Fulfilled","Cancelled")</f>
        <v/>
      </c>
      <c r="Z1230" s="17">
        <f>IFERROR(Q1230,0)</f>
        <v/>
      </c>
    </row>
    <row r="1231">
      <c r="A1231" s="25" t="inlineStr">
        <is>
          <t>ORD2230</t>
        </is>
      </c>
      <c r="B1231" s="25" t="inlineStr">
        <is>
          <t>2025-01-28</t>
        </is>
      </c>
      <c r="C1231" s="25" t="inlineStr">
        <is>
          <t>19:05:19</t>
        </is>
      </c>
      <c r="D1231" s="25" t="n">
        <v>1177</v>
      </c>
      <c r="E1231" s="25" t="n">
        <v>112</v>
      </c>
      <c r="F1231" s="25" t="n">
        <v>219</v>
      </c>
      <c r="G1231" s="25" t="inlineStr">
        <is>
          <t>Delhi NCR</t>
        </is>
      </c>
      <c r="H1231" s="25" t="inlineStr">
        <is>
          <t>North Indian</t>
        </is>
      </c>
      <c r="I1231" s="26" t="n">
        <v>364</v>
      </c>
      <c r="J1231" s="26" t="n">
        <v>38.62</v>
      </c>
      <c r="K1231" s="26" t="n">
        <v>25</v>
      </c>
      <c r="L1231" s="27" t="n">
        <v>0.22</v>
      </c>
      <c r="M1231" s="26" t="n">
        <v>86.33</v>
      </c>
      <c r="N1231" s="28" t="n">
        <v>1.6</v>
      </c>
      <c r="O1231" s="28" t="n">
        <v>23.6</v>
      </c>
      <c r="P1231" s="25" t="inlineStr">
        <is>
          <t>Credit Card</t>
        </is>
      </c>
      <c r="Q1231" s="25" t="inlineStr">
        <is>
          <t>Delivered</t>
        </is>
      </c>
      <c r="R1231" s="25" t="n">
        <v>4</v>
      </c>
      <c r="S1231" s="25">
        <f>TEXT(B1231,"yyyy-mm")</f>
        <v/>
      </c>
      <c r="T1231" s="25">
        <f>VLOOKUP(D1231,Customers!A:D,4,FALSE)</f>
        <v/>
      </c>
      <c r="U1231" s="25">
        <f>CONCATENATE(A1231,"-",G1231)</f>
        <v/>
      </c>
      <c r="V1231" s="25">
        <f>IF(N1231="","",IF(N1231&lt;=30,"Fast (&lt;30m)",IF(N1231&lt;=45,"Moderate (30-45m)","Delayed (&gt;45m)")))</f>
        <v/>
      </c>
      <c r="W1231" s="25">
        <f>IF(AND(I1231&gt;600,P1231="Delivered"),"High Value Delivered","Standard")</f>
        <v/>
      </c>
      <c r="X1231" s="25">
        <f>IF(OR(N1231&gt;50,Q1231&lt;=2),"High Risk / Delayed","Normal")</f>
        <v/>
      </c>
      <c r="Y1231" s="25">
        <f>IF(NOT(P1231="Cancelled"),"Fulfilled","Cancelled")</f>
        <v/>
      </c>
      <c r="Z1231" s="25">
        <f>IFERROR(Q1231,0)</f>
        <v/>
      </c>
    </row>
    <row r="1232">
      <c r="A1232" s="17" t="inlineStr">
        <is>
          <t>ORD2231</t>
        </is>
      </c>
      <c r="B1232" s="17" t="inlineStr">
        <is>
          <t>2025-04-13</t>
        </is>
      </c>
      <c r="C1232" s="17" t="inlineStr">
        <is>
          <t>12:56:11</t>
        </is>
      </c>
      <c r="D1232" s="17" t="n">
        <v>1021</v>
      </c>
      <c r="E1232" s="17" t="n">
        <v>120</v>
      </c>
      <c r="F1232" s="17" t="n">
        <v>209</v>
      </c>
      <c r="G1232" s="17" t="inlineStr">
        <is>
          <t>Pune</t>
        </is>
      </c>
      <c r="H1232" s="17" t="inlineStr">
        <is>
          <t>Fast Food</t>
        </is>
      </c>
      <c r="I1232" s="22" t="n">
        <v>528</v>
      </c>
      <c r="J1232" s="22" t="n">
        <v>37.77</v>
      </c>
      <c r="K1232" s="22" t="n">
        <v>37.5</v>
      </c>
      <c r="L1232" s="23" t="n">
        <v>0.18</v>
      </c>
      <c r="M1232" s="22" t="n">
        <v>104.42</v>
      </c>
      <c r="N1232" s="24" t="n">
        <v>5.5</v>
      </c>
      <c r="O1232" s="24" t="n">
        <v>43</v>
      </c>
      <c r="P1232" s="17" t="inlineStr">
        <is>
          <t>Credit Card</t>
        </is>
      </c>
      <c r="Q1232" s="17" t="inlineStr">
        <is>
          <t>Delivered</t>
        </is>
      </c>
      <c r="R1232" s="17" t="n">
        <v>3</v>
      </c>
      <c r="S1232" s="17">
        <f>TEXT(B1232,"yyyy-mm")</f>
        <v/>
      </c>
      <c r="T1232" s="17">
        <f>VLOOKUP(D1232,Customers!A:D,4,FALSE)</f>
        <v/>
      </c>
      <c r="U1232" s="17">
        <f>CONCATENATE(A1232,"-",G1232)</f>
        <v/>
      </c>
      <c r="V1232" s="17">
        <f>IF(N1232="","",IF(N1232&lt;=30,"Fast (&lt;30m)",IF(N1232&lt;=45,"Moderate (30-45m)","Delayed (&gt;45m)")))</f>
        <v/>
      </c>
      <c r="W1232" s="17">
        <f>IF(AND(I1232&gt;600,P1232="Delivered"),"High Value Delivered","Standard")</f>
        <v/>
      </c>
      <c r="X1232" s="17">
        <f>IF(OR(N1232&gt;50,Q1232&lt;=2),"High Risk / Delayed","Normal")</f>
        <v/>
      </c>
      <c r="Y1232" s="17">
        <f>IF(NOT(P1232="Cancelled"),"Fulfilled","Cancelled")</f>
        <v/>
      </c>
      <c r="Z1232" s="17">
        <f>IFERROR(Q1232,0)</f>
        <v/>
      </c>
    </row>
    <row r="1233">
      <c r="A1233" s="25" t="inlineStr">
        <is>
          <t>ORD2232</t>
        </is>
      </c>
      <c r="B1233" s="25" t="inlineStr">
        <is>
          <t>2025-03-20</t>
        </is>
      </c>
      <c r="C1233" s="25" t="inlineStr">
        <is>
          <t>00:43:35</t>
        </is>
      </c>
      <c r="D1233" s="25" t="n">
        <v>1270</v>
      </c>
      <c r="E1233" s="25" t="n">
        <v>114</v>
      </c>
      <c r="F1233" s="25" t="n">
        <v>216</v>
      </c>
      <c r="G1233" s="25" t="inlineStr">
        <is>
          <t>Hyderabad</t>
        </is>
      </c>
      <c r="H1233" s="25" t="inlineStr">
        <is>
          <t>Biryani</t>
        </is>
      </c>
      <c r="I1233" s="26" t="n">
        <v>603</v>
      </c>
      <c r="J1233" s="26" t="n">
        <v>0</v>
      </c>
      <c r="K1233" s="26" t="n">
        <v>29.5</v>
      </c>
      <c r="L1233" s="27" t="n">
        <v>0.22</v>
      </c>
      <c r="M1233" s="26" t="n">
        <v>140.04</v>
      </c>
      <c r="N1233" s="28" t="n">
        <v>3.9</v>
      </c>
      <c r="O1233" s="28" t="n">
        <v>26.5</v>
      </c>
      <c r="P1233" s="25" t="inlineStr">
        <is>
          <t>UPI</t>
        </is>
      </c>
      <c r="Q1233" s="25" t="inlineStr">
        <is>
          <t>Delivered</t>
        </is>
      </c>
      <c r="R1233" s="25" t="n">
        <v>4</v>
      </c>
      <c r="S1233" s="25">
        <f>TEXT(B1233,"yyyy-mm")</f>
        <v/>
      </c>
      <c r="T1233" s="25">
        <f>VLOOKUP(D1233,Customers!A:D,4,FALSE)</f>
        <v/>
      </c>
      <c r="U1233" s="25">
        <f>CONCATENATE(A1233,"-",G1233)</f>
        <v/>
      </c>
      <c r="V1233" s="25">
        <f>IF(N1233="","",IF(N1233&lt;=30,"Fast (&lt;30m)",IF(N1233&lt;=45,"Moderate (30-45m)","Delayed (&gt;45m)")))</f>
        <v/>
      </c>
      <c r="W1233" s="25">
        <f>IF(AND(I1233&gt;600,P1233="Delivered"),"High Value Delivered","Standard")</f>
        <v/>
      </c>
      <c r="X1233" s="25">
        <f>IF(OR(N1233&gt;50,Q1233&lt;=2),"High Risk / Delayed","Normal")</f>
        <v/>
      </c>
      <c r="Y1233" s="25">
        <f>IF(NOT(P1233="Cancelled"),"Fulfilled","Cancelled")</f>
        <v/>
      </c>
      <c r="Z1233" s="25">
        <f>IFERROR(Q1233,0)</f>
        <v/>
      </c>
    </row>
    <row r="1234">
      <c r="A1234" s="17" t="inlineStr">
        <is>
          <t>ORD2233</t>
        </is>
      </c>
      <c r="B1234" s="17" t="inlineStr">
        <is>
          <t>2025-08-30</t>
        </is>
      </c>
      <c r="C1234" s="17" t="inlineStr">
        <is>
          <t>22:42:24</t>
        </is>
      </c>
      <c r="D1234" s="17" t="n">
        <v>1241</v>
      </c>
      <c r="E1234" s="17" t="n">
        <v>102</v>
      </c>
      <c r="F1234" s="17" t="n">
        <v>215</v>
      </c>
      <c r="G1234" s="17" t="inlineStr">
        <is>
          <t>Hyderabad</t>
        </is>
      </c>
      <c r="H1234" s="17" t="inlineStr">
        <is>
          <t>Biryani</t>
        </is>
      </c>
      <c r="I1234" s="22" t="n">
        <v>974</v>
      </c>
      <c r="J1234" s="22" t="n">
        <v>121.04</v>
      </c>
      <c r="K1234" s="22" t="n">
        <v>0</v>
      </c>
      <c r="L1234" s="23" t="n">
        <v>0.22</v>
      </c>
      <c r="M1234" s="22" t="n">
        <v>214.28</v>
      </c>
      <c r="N1234" s="24" t="n">
        <v>4.2</v>
      </c>
      <c r="O1234" s="24" t="n">
        <v>44.8</v>
      </c>
      <c r="P1234" s="17" t="inlineStr">
        <is>
          <t>Cash on Delivery</t>
        </is>
      </c>
      <c r="Q1234" s="17" t="inlineStr">
        <is>
          <t>Delivered</t>
        </is>
      </c>
      <c r="R1234" s="17" t="n">
        <v>3</v>
      </c>
      <c r="S1234" s="17">
        <f>TEXT(B1234,"yyyy-mm")</f>
        <v/>
      </c>
      <c r="T1234" s="17">
        <f>VLOOKUP(D1234,Customers!A:D,4,FALSE)</f>
        <v/>
      </c>
      <c r="U1234" s="17">
        <f>CONCATENATE(A1234,"-",G1234)</f>
        <v/>
      </c>
      <c r="V1234" s="17">
        <f>IF(N1234="","",IF(N1234&lt;=30,"Fast (&lt;30m)",IF(N1234&lt;=45,"Moderate (30-45m)","Delayed (&gt;45m)")))</f>
        <v/>
      </c>
      <c r="W1234" s="17">
        <f>IF(AND(I1234&gt;600,P1234="Delivered"),"High Value Delivered","Standard")</f>
        <v/>
      </c>
      <c r="X1234" s="17">
        <f>IF(OR(N1234&gt;50,Q1234&lt;=2),"High Risk / Delayed","Normal")</f>
        <v/>
      </c>
      <c r="Y1234" s="17">
        <f>IF(NOT(P1234="Cancelled"),"Fulfilled","Cancelled")</f>
        <v/>
      </c>
      <c r="Z1234" s="17">
        <f>IFERROR(Q1234,0)</f>
        <v/>
      </c>
    </row>
    <row r="1235">
      <c r="A1235" s="25" t="inlineStr">
        <is>
          <t>ORD2234</t>
        </is>
      </c>
      <c r="B1235" s="25" t="inlineStr">
        <is>
          <t>2025-03-10</t>
        </is>
      </c>
      <c r="C1235" s="25" t="inlineStr">
        <is>
          <t>14:25:49</t>
        </is>
      </c>
      <c r="D1235" s="25" t="n">
        <v>1093</v>
      </c>
      <c r="E1235" s="25" t="n">
        <v>112</v>
      </c>
      <c r="F1235" s="25" t="n">
        <v>221</v>
      </c>
      <c r="G1235" s="25" t="inlineStr">
        <is>
          <t>Delhi NCR</t>
        </is>
      </c>
      <c r="H1235" s="25" t="inlineStr">
        <is>
          <t>North Indian</t>
        </is>
      </c>
      <c r="I1235" s="26" t="n">
        <v>554</v>
      </c>
      <c r="J1235" s="26" t="n">
        <v>62.53</v>
      </c>
      <c r="K1235" s="26" t="n">
        <v>25</v>
      </c>
      <c r="L1235" s="27" t="n">
        <v>0.22</v>
      </c>
      <c r="M1235" s="26" t="n">
        <v>128.13</v>
      </c>
      <c r="N1235" s="28" t="n">
        <v>2.7</v>
      </c>
      <c r="O1235" s="28" t="n">
        <v/>
      </c>
      <c r="P1235" s="25" t="inlineStr">
        <is>
          <t>Cash on Delivery</t>
        </is>
      </c>
      <c r="Q1235" s="25" t="inlineStr">
        <is>
          <t>Cancelled</t>
        </is>
      </c>
      <c r="R1235" s="25" t="n">
        <v/>
      </c>
      <c r="S1235" s="25">
        <f>TEXT(B1235,"yyyy-mm")</f>
        <v/>
      </c>
      <c r="T1235" s="25">
        <f>VLOOKUP(D1235,Customers!A:D,4,FALSE)</f>
        <v/>
      </c>
      <c r="U1235" s="25">
        <f>CONCATENATE(A1235,"-",G1235)</f>
        <v/>
      </c>
      <c r="V1235" s="25">
        <f>IF(N1235="","",IF(N1235&lt;=30,"Fast (&lt;30m)",IF(N1235&lt;=45,"Moderate (30-45m)","Delayed (&gt;45m)")))</f>
        <v/>
      </c>
      <c r="W1235" s="25">
        <f>IF(AND(I1235&gt;600,P1235="Delivered"),"High Value Delivered","Standard")</f>
        <v/>
      </c>
      <c r="X1235" s="25">
        <f>IF(OR(N1235&gt;50,Q1235&lt;=2),"High Risk / Delayed","Normal")</f>
        <v/>
      </c>
      <c r="Y1235" s="25">
        <f>IF(NOT(P1235="Cancelled"),"Fulfilled","Cancelled")</f>
        <v/>
      </c>
      <c r="Z1235" s="25">
        <f>IFERROR(Q1235,0)</f>
        <v/>
      </c>
    </row>
    <row r="1236">
      <c r="A1236" s="17" t="inlineStr">
        <is>
          <t>ORD2235</t>
        </is>
      </c>
      <c r="B1236" s="17" t="inlineStr">
        <is>
          <t>2025-09-08</t>
        </is>
      </c>
      <c r="C1236" s="17" t="inlineStr">
        <is>
          <t>13:42:47</t>
        </is>
      </c>
      <c r="D1236" s="17" t="n">
        <v>1069</v>
      </c>
      <c r="E1236" s="17" t="n">
        <v>115</v>
      </c>
      <c r="F1236" s="17" t="n">
        <v>203</v>
      </c>
      <c r="G1236" s="17" t="inlineStr">
        <is>
          <t>Bangalore</t>
        </is>
      </c>
      <c r="H1236" s="17" t="inlineStr">
        <is>
          <t>Italian</t>
        </is>
      </c>
      <c r="I1236" s="22" t="n">
        <v>820</v>
      </c>
      <c r="J1236" s="22" t="n">
        <v>0</v>
      </c>
      <c r="K1236" s="22" t="n">
        <v>25</v>
      </c>
      <c r="L1236" s="23" t="n">
        <v>0.2</v>
      </c>
      <c r="M1236" s="22" t="n">
        <v>170.25</v>
      </c>
      <c r="N1236" s="24" t="n">
        <v>2.6</v>
      </c>
      <c r="O1236" s="24" t="n">
        <v>31.1</v>
      </c>
      <c r="P1236" s="17" t="inlineStr">
        <is>
          <t>Credit Card</t>
        </is>
      </c>
      <c r="Q1236" s="17" t="inlineStr">
        <is>
          <t>Delivered</t>
        </is>
      </c>
      <c r="R1236" s="17" t="n">
        <v>4</v>
      </c>
      <c r="S1236" s="17">
        <f>TEXT(B1236,"yyyy-mm")</f>
        <v/>
      </c>
      <c r="T1236" s="17">
        <f>VLOOKUP(D1236,Customers!A:D,4,FALSE)</f>
        <v/>
      </c>
      <c r="U1236" s="17">
        <f>CONCATENATE(A1236,"-",G1236)</f>
        <v/>
      </c>
      <c r="V1236" s="17">
        <f>IF(N1236="","",IF(N1236&lt;=30,"Fast (&lt;30m)",IF(N1236&lt;=45,"Moderate (30-45m)","Delayed (&gt;45m)")))</f>
        <v/>
      </c>
      <c r="W1236" s="17">
        <f>IF(AND(I1236&gt;600,P1236="Delivered"),"High Value Delivered","Standard")</f>
        <v/>
      </c>
      <c r="X1236" s="17">
        <f>IF(OR(N1236&gt;50,Q1236&lt;=2),"High Risk / Delayed","Normal")</f>
        <v/>
      </c>
      <c r="Y1236" s="17">
        <f>IF(NOT(P1236="Cancelled"),"Fulfilled","Cancelled")</f>
        <v/>
      </c>
      <c r="Z1236" s="17">
        <f>IFERROR(Q1236,0)</f>
        <v/>
      </c>
    </row>
    <row r="1237">
      <c r="A1237" s="25" t="inlineStr">
        <is>
          <t>ORD2236</t>
        </is>
      </c>
      <c r="B1237" s="25" t="inlineStr">
        <is>
          <t>2025-07-05</t>
        </is>
      </c>
      <c r="C1237" s="25" t="inlineStr">
        <is>
          <t>13:21:32</t>
        </is>
      </c>
      <c r="D1237" s="25" t="n">
        <v>1281</v>
      </c>
      <c r="E1237" s="25" t="n">
        <v>115</v>
      </c>
      <c r="F1237" s="25" t="n">
        <v>210</v>
      </c>
      <c r="G1237" s="25" t="inlineStr">
        <is>
          <t>Bangalore</t>
        </is>
      </c>
      <c r="H1237" s="25" t="inlineStr">
        <is>
          <t>Italian</t>
        </is>
      </c>
      <c r="I1237" s="26" t="n">
        <v>477</v>
      </c>
      <c r="J1237" s="26" t="n">
        <v>76.28</v>
      </c>
      <c r="K1237" s="26" t="n">
        <v>26.5</v>
      </c>
      <c r="L1237" s="27" t="n">
        <v>0.2</v>
      </c>
      <c r="M1237" s="26" t="n">
        <v>102.02</v>
      </c>
      <c r="N1237" s="28" t="n">
        <v>3.3</v>
      </c>
      <c r="O1237" s="28" t="n">
        <v>29</v>
      </c>
      <c r="P1237" s="25" t="inlineStr">
        <is>
          <t>UPI</t>
        </is>
      </c>
      <c r="Q1237" s="25" t="inlineStr">
        <is>
          <t>Delivered</t>
        </is>
      </c>
      <c r="R1237" s="25" t="n">
        <v>5</v>
      </c>
      <c r="S1237" s="25">
        <f>TEXT(B1237,"yyyy-mm")</f>
        <v/>
      </c>
      <c r="T1237" s="25">
        <f>VLOOKUP(D1237,Customers!A:D,4,FALSE)</f>
        <v/>
      </c>
      <c r="U1237" s="25">
        <f>CONCATENATE(A1237,"-",G1237)</f>
        <v/>
      </c>
      <c r="V1237" s="25">
        <f>IF(N1237="","",IF(N1237&lt;=30,"Fast (&lt;30m)",IF(N1237&lt;=45,"Moderate (30-45m)","Delayed (&gt;45m)")))</f>
        <v/>
      </c>
      <c r="W1237" s="25">
        <f>IF(AND(I1237&gt;600,P1237="Delivered"),"High Value Delivered","Standard")</f>
        <v/>
      </c>
      <c r="X1237" s="25">
        <f>IF(OR(N1237&gt;50,Q1237&lt;=2),"High Risk / Delayed","Normal")</f>
        <v/>
      </c>
      <c r="Y1237" s="25">
        <f>IF(NOT(P1237="Cancelled"),"Fulfilled","Cancelled")</f>
        <v/>
      </c>
      <c r="Z1237" s="25">
        <f>IFERROR(Q1237,0)</f>
        <v/>
      </c>
    </row>
    <row r="1238">
      <c r="A1238" s="17" t="inlineStr">
        <is>
          <t>ORD2237</t>
        </is>
      </c>
      <c r="B1238" s="17" t="inlineStr">
        <is>
          <t>2025-04-07</t>
        </is>
      </c>
      <c r="C1238" s="17" t="inlineStr">
        <is>
          <t>21:02:13</t>
        </is>
      </c>
      <c r="D1238" s="17" t="n">
        <v>1097</v>
      </c>
      <c r="E1238" s="17" t="n">
        <v>105</v>
      </c>
      <c r="F1238" s="17" t="n">
        <v>213</v>
      </c>
      <c r="G1238" s="17" t="inlineStr">
        <is>
          <t>Bangalore</t>
        </is>
      </c>
      <c r="H1238" s="17" t="inlineStr">
        <is>
          <t>Chinese</t>
        </is>
      </c>
      <c r="I1238" s="22" t="n">
        <v>529</v>
      </c>
      <c r="J1238" s="22" t="n">
        <v>0</v>
      </c>
      <c r="K1238" s="22" t="n">
        <v>33.5</v>
      </c>
      <c r="L1238" s="23" t="n">
        <v>0.2</v>
      </c>
      <c r="M1238" s="22" t="n">
        <v>114.18</v>
      </c>
      <c r="N1238" s="24" t="n">
        <v>4.7</v>
      </c>
      <c r="O1238" s="24" t="n">
        <v>34.9</v>
      </c>
      <c r="P1238" s="17" t="inlineStr">
        <is>
          <t>Credit Card</t>
        </is>
      </c>
      <c r="Q1238" s="17" t="inlineStr">
        <is>
          <t>Delivered</t>
        </is>
      </c>
      <c r="R1238" s="17" t="n">
        <v>5</v>
      </c>
      <c r="S1238" s="17">
        <f>TEXT(B1238,"yyyy-mm")</f>
        <v/>
      </c>
      <c r="T1238" s="17">
        <f>VLOOKUP(D1238,Customers!A:D,4,FALSE)</f>
        <v/>
      </c>
      <c r="U1238" s="17">
        <f>CONCATENATE(A1238,"-",G1238)</f>
        <v/>
      </c>
      <c r="V1238" s="17">
        <f>IF(N1238="","",IF(N1238&lt;=30,"Fast (&lt;30m)",IF(N1238&lt;=45,"Moderate (30-45m)","Delayed (&gt;45m)")))</f>
        <v/>
      </c>
      <c r="W1238" s="17">
        <f>IF(AND(I1238&gt;600,P1238="Delivered"),"High Value Delivered","Standard")</f>
        <v/>
      </c>
      <c r="X1238" s="17">
        <f>IF(OR(N1238&gt;50,Q1238&lt;=2),"High Risk / Delayed","Normal")</f>
        <v/>
      </c>
      <c r="Y1238" s="17">
        <f>IF(NOT(P1238="Cancelled"),"Fulfilled","Cancelled")</f>
        <v/>
      </c>
      <c r="Z1238" s="17">
        <f>IFERROR(Q1238,0)</f>
        <v/>
      </c>
    </row>
    <row r="1239">
      <c r="A1239" s="25" t="inlineStr">
        <is>
          <t>ORD2238</t>
        </is>
      </c>
      <c r="B1239" s="25" t="inlineStr">
        <is>
          <t>2025-06-09</t>
        </is>
      </c>
      <c r="C1239" s="25" t="inlineStr">
        <is>
          <t>12:24:43</t>
        </is>
      </c>
      <c r="D1239" s="25" t="n">
        <v>1045</v>
      </c>
      <c r="E1239" s="25" t="n">
        <v>101</v>
      </c>
      <c r="F1239" s="25" t="n">
        <v>220</v>
      </c>
      <c r="G1239" s="25" t="inlineStr">
        <is>
          <t>Bangalore</t>
        </is>
      </c>
      <c r="H1239" s="25" t="inlineStr">
        <is>
          <t>North Indian</t>
        </is>
      </c>
      <c r="I1239" s="26" t="n">
        <v>712</v>
      </c>
      <c r="J1239" s="26" t="n">
        <v>0</v>
      </c>
      <c r="K1239" s="26" t="n">
        <v>37.5</v>
      </c>
      <c r="L1239" s="27" t="n">
        <v>0.2</v>
      </c>
      <c r="M1239" s="26" t="n">
        <v>151.78</v>
      </c>
      <c r="N1239" s="28" t="n">
        <v>5.5</v>
      </c>
      <c r="O1239" s="28" t="n">
        <v>52.6</v>
      </c>
      <c r="P1239" s="25" t="inlineStr">
        <is>
          <t>Cash on Delivery</t>
        </is>
      </c>
      <c r="Q1239" s="25" t="inlineStr">
        <is>
          <t>Delivered</t>
        </is>
      </c>
      <c r="R1239" s="25" t="n">
        <v>1</v>
      </c>
      <c r="S1239" s="25">
        <f>TEXT(B1239,"yyyy-mm")</f>
        <v/>
      </c>
      <c r="T1239" s="25">
        <f>VLOOKUP(D1239,Customers!A:D,4,FALSE)</f>
        <v/>
      </c>
      <c r="U1239" s="25">
        <f>CONCATENATE(A1239,"-",G1239)</f>
        <v/>
      </c>
      <c r="V1239" s="25">
        <f>IF(N1239="","",IF(N1239&lt;=30,"Fast (&lt;30m)",IF(N1239&lt;=45,"Moderate (30-45m)","Delayed (&gt;45m)")))</f>
        <v/>
      </c>
      <c r="W1239" s="25">
        <f>IF(AND(I1239&gt;600,P1239="Delivered"),"High Value Delivered","Standard")</f>
        <v/>
      </c>
      <c r="X1239" s="25">
        <f>IF(OR(N1239&gt;50,Q1239&lt;=2),"High Risk / Delayed","Normal")</f>
        <v/>
      </c>
      <c r="Y1239" s="25">
        <f>IF(NOT(P1239="Cancelled"),"Fulfilled","Cancelled")</f>
        <v/>
      </c>
      <c r="Z1239" s="25">
        <f>IFERROR(Q1239,0)</f>
        <v/>
      </c>
    </row>
    <row r="1240">
      <c r="A1240" s="17" t="inlineStr">
        <is>
          <t>ORD2239</t>
        </is>
      </c>
      <c r="B1240" s="17" t="inlineStr">
        <is>
          <t>2025-07-23</t>
        </is>
      </c>
      <c r="C1240" s="17" t="inlineStr">
        <is>
          <t>16:43:33</t>
        </is>
      </c>
      <c r="D1240" s="17" t="n">
        <v>1016</v>
      </c>
      <c r="E1240" s="17" t="n">
        <v>111</v>
      </c>
      <c r="F1240" s="17" t="n">
        <v>205</v>
      </c>
      <c r="G1240" s="17" t="inlineStr">
        <is>
          <t>Bangalore</t>
        </is>
      </c>
      <c r="H1240" s="17" t="inlineStr">
        <is>
          <t>South Indian</t>
        </is>
      </c>
      <c r="I1240" s="22" t="n">
        <v>328</v>
      </c>
      <c r="J1240" s="22" t="n">
        <v>0</v>
      </c>
      <c r="K1240" s="22" t="n">
        <v>26</v>
      </c>
      <c r="L1240" s="23" t="n">
        <v>0.15</v>
      </c>
      <c r="M1240" s="22" t="n">
        <v>55.7</v>
      </c>
      <c r="N1240" s="24" t="n">
        <v>3.2</v>
      </c>
      <c r="O1240" s="24" t="n">
        <v>26.4</v>
      </c>
      <c r="P1240" s="17" t="inlineStr">
        <is>
          <t>UPI</t>
        </is>
      </c>
      <c r="Q1240" s="17" t="inlineStr">
        <is>
          <t>Delivered</t>
        </is>
      </c>
      <c r="R1240" s="17" t="n">
        <v>4</v>
      </c>
      <c r="S1240" s="17">
        <f>TEXT(B1240,"yyyy-mm")</f>
        <v/>
      </c>
      <c r="T1240" s="17">
        <f>VLOOKUP(D1240,Customers!A:D,4,FALSE)</f>
        <v/>
      </c>
      <c r="U1240" s="17">
        <f>CONCATENATE(A1240,"-",G1240)</f>
        <v/>
      </c>
      <c r="V1240" s="17">
        <f>IF(N1240="","",IF(N1240&lt;=30,"Fast (&lt;30m)",IF(N1240&lt;=45,"Moderate (30-45m)","Delayed (&gt;45m)")))</f>
        <v/>
      </c>
      <c r="W1240" s="17">
        <f>IF(AND(I1240&gt;600,P1240="Delivered"),"High Value Delivered","Standard")</f>
        <v/>
      </c>
      <c r="X1240" s="17">
        <f>IF(OR(N1240&gt;50,Q1240&lt;=2),"High Risk / Delayed","Normal")</f>
        <v/>
      </c>
      <c r="Y1240" s="17">
        <f>IF(NOT(P1240="Cancelled"),"Fulfilled","Cancelled")</f>
        <v/>
      </c>
      <c r="Z1240" s="17">
        <f>IFERROR(Q1240,0)</f>
        <v/>
      </c>
    </row>
    <row r="1241">
      <c r="A1241" s="25" t="inlineStr">
        <is>
          <t>ORD2240</t>
        </is>
      </c>
      <c r="B1241" s="25" t="inlineStr">
        <is>
          <t>2025-06-13</t>
        </is>
      </c>
      <c r="C1241" s="25" t="inlineStr">
        <is>
          <t>18:08:36</t>
        </is>
      </c>
      <c r="D1241" s="25" t="n">
        <v>1203</v>
      </c>
      <c r="E1241" s="25" t="n">
        <v>108</v>
      </c>
      <c r="F1241" s="25" t="n">
        <v>212</v>
      </c>
      <c r="G1241" s="25" t="inlineStr">
        <is>
          <t>Delhi NCR</t>
        </is>
      </c>
      <c r="H1241" s="25" t="inlineStr">
        <is>
          <t>Fast Food</t>
        </is>
      </c>
      <c r="I1241" s="26" t="n">
        <v>739</v>
      </c>
      <c r="J1241" s="26" t="n">
        <v>0</v>
      </c>
      <c r="K1241" s="26" t="n">
        <v>25</v>
      </c>
      <c r="L1241" s="27" t="n">
        <v>0.18</v>
      </c>
      <c r="M1241" s="26" t="n">
        <v>139.27</v>
      </c>
      <c r="N1241" s="28" t="n">
        <v>2.5</v>
      </c>
      <c r="O1241" s="28" t="n">
        <v>23.9</v>
      </c>
      <c r="P1241" s="25" t="inlineStr">
        <is>
          <t>Cash on Delivery</t>
        </is>
      </c>
      <c r="Q1241" s="25" t="inlineStr">
        <is>
          <t>Delivered</t>
        </is>
      </c>
      <c r="R1241" s="25" t="n">
        <v>3</v>
      </c>
      <c r="S1241" s="25">
        <f>TEXT(B1241,"yyyy-mm")</f>
        <v/>
      </c>
      <c r="T1241" s="25">
        <f>VLOOKUP(D1241,Customers!A:D,4,FALSE)</f>
        <v/>
      </c>
      <c r="U1241" s="25">
        <f>CONCATENATE(A1241,"-",G1241)</f>
        <v/>
      </c>
      <c r="V1241" s="25">
        <f>IF(N1241="","",IF(N1241&lt;=30,"Fast (&lt;30m)",IF(N1241&lt;=45,"Moderate (30-45m)","Delayed (&gt;45m)")))</f>
        <v/>
      </c>
      <c r="W1241" s="25">
        <f>IF(AND(I1241&gt;600,P1241="Delivered"),"High Value Delivered","Standard")</f>
        <v/>
      </c>
      <c r="X1241" s="25">
        <f>IF(OR(N1241&gt;50,Q1241&lt;=2),"High Risk / Delayed","Normal")</f>
        <v/>
      </c>
      <c r="Y1241" s="25">
        <f>IF(NOT(P1241="Cancelled"),"Fulfilled","Cancelled")</f>
        <v/>
      </c>
      <c r="Z1241" s="25">
        <f>IFERROR(Q1241,0)</f>
        <v/>
      </c>
    </row>
    <row r="1242">
      <c r="A1242" s="17" t="inlineStr">
        <is>
          <t>ORD2241</t>
        </is>
      </c>
      <c r="B1242" s="17" t="inlineStr">
        <is>
          <t>2025-06-05</t>
        </is>
      </c>
      <c r="C1242" s="17" t="inlineStr">
        <is>
          <t>14:27:16</t>
        </is>
      </c>
      <c r="D1242" s="17" t="n">
        <v>1182</v>
      </c>
      <c r="E1242" s="17" t="n">
        <v>102</v>
      </c>
      <c r="F1242" s="17" t="n">
        <v>215</v>
      </c>
      <c r="G1242" s="17" t="inlineStr">
        <is>
          <t>Hyderabad</t>
        </is>
      </c>
      <c r="H1242" s="17" t="inlineStr">
        <is>
          <t>Biryani</t>
        </is>
      </c>
      <c r="I1242" s="22" t="n">
        <v>869</v>
      </c>
      <c r="J1242" s="22" t="n">
        <v>0</v>
      </c>
      <c r="K1242" s="22" t="n">
        <v>31.5</v>
      </c>
      <c r="L1242" s="23" t="n">
        <v>0.22</v>
      </c>
      <c r="M1242" s="22" t="n">
        <v>199.06</v>
      </c>
      <c r="N1242" s="24" t="n">
        <v>4.3</v>
      </c>
      <c r="O1242" s="24" t="n">
        <v>40.1</v>
      </c>
      <c r="P1242" s="17" t="inlineStr">
        <is>
          <t>Cash on Delivery</t>
        </is>
      </c>
      <c r="Q1242" s="17" t="inlineStr">
        <is>
          <t>Delivered</t>
        </is>
      </c>
      <c r="R1242" s="17" t="n">
        <v>2</v>
      </c>
      <c r="S1242" s="17">
        <f>TEXT(B1242,"yyyy-mm")</f>
        <v/>
      </c>
      <c r="T1242" s="17">
        <f>VLOOKUP(D1242,Customers!A:D,4,FALSE)</f>
        <v/>
      </c>
      <c r="U1242" s="17">
        <f>CONCATENATE(A1242,"-",G1242)</f>
        <v/>
      </c>
      <c r="V1242" s="17">
        <f>IF(N1242="","",IF(N1242&lt;=30,"Fast (&lt;30m)",IF(N1242&lt;=45,"Moderate (30-45m)","Delayed (&gt;45m)")))</f>
        <v/>
      </c>
      <c r="W1242" s="17">
        <f>IF(AND(I1242&gt;600,P1242="Delivered"),"High Value Delivered","Standard")</f>
        <v/>
      </c>
      <c r="X1242" s="17">
        <f>IF(OR(N1242&gt;50,Q1242&lt;=2),"High Risk / Delayed","Normal")</f>
        <v/>
      </c>
      <c r="Y1242" s="17">
        <f>IF(NOT(P1242="Cancelled"),"Fulfilled","Cancelled")</f>
        <v/>
      </c>
      <c r="Z1242" s="17">
        <f>IFERROR(Q1242,0)</f>
        <v/>
      </c>
    </row>
    <row r="1243">
      <c r="A1243" s="25" t="inlineStr">
        <is>
          <t>ORD2242</t>
        </is>
      </c>
      <c r="B1243" s="25" t="inlineStr">
        <is>
          <t>2025-10-01</t>
        </is>
      </c>
      <c r="C1243" s="25" t="inlineStr">
        <is>
          <t>21:23:07</t>
        </is>
      </c>
      <c r="D1243" s="25" t="n">
        <v>1027</v>
      </c>
      <c r="E1243" s="25" t="n">
        <v>103</v>
      </c>
      <c r="F1243" s="25" t="n">
        <v>206</v>
      </c>
      <c r="G1243" s="25" t="inlineStr">
        <is>
          <t>Mumbai</t>
        </is>
      </c>
      <c r="H1243" s="25" t="inlineStr">
        <is>
          <t>Italian</t>
        </is>
      </c>
      <c r="I1243" s="26" t="n">
        <v>403</v>
      </c>
      <c r="J1243" s="26" t="n">
        <v>17.14</v>
      </c>
      <c r="K1243" s="26" t="n">
        <v>25</v>
      </c>
      <c r="L1243" s="27" t="n">
        <v>0.18</v>
      </c>
      <c r="M1243" s="26" t="n">
        <v>78.79000000000001</v>
      </c>
      <c r="N1243" s="28" t="n">
        <v>2.5</v>
      </c>
      <c r="O1243" s="28" t="n">
        <v>26.5</v>
      </c>
      <c r="P1243" s="25" t="inlineStr">
        <is>
          <t>UPI</t>
        </is>
      </c>
      <c r="Q1243" s="25" t="inlineStr">
        <is>
          <t>Delivered</t>
        </is>
      </c>
      <c r="R1243" s="25" t="n">
        <v>4</v>
      </c>
      <c r="S1243" s="25">
        <f>TEXT(B1243,"yyyy-mm")</f>
        <v/>
      </c>
      <c r="T1243" s="25">
        <f>VLOOKUP(D1243,Customers!A:D,4,FALSE)</f>
        <v/>
      </c>
      <c r="U1243" s="25">
        <f>CONCATENATE(A1243,"-",G1243)</f>
        <v/>
      </c>
      <c r="V1243" s="25">
        <f>IF(N1243="","",IF(N1243&lt;=30,"Fast (&lt;30m)",IF(N1243&lt;=45,"Moderate (30-45m)","Delayed (&gt;45m)")))</f>
        <v/>
      </c>
      <c r="W1243" s="25">
        <f>IF(AND(I1243&gt;600,P1243="Delivered"),"High Value Delivered","Standard")</f>
        <v/>
      </c>
      <c r="X1243" s="25">
        <f>IF(OR(N1243&gt;50,Q1243&lt;=2),"High Risk / Delayed","Normal")</f>
        <v/>
      </c>
      <c r="Y1243" s="25">
        <f>IF(NOT(P1243="Cancelled"),"Fulfilled","Cancelled")</f>
        <v/>
      </c>
      <c r="Z1243" s="25">
        <f>IFERROR(Q1243,0)</f>
        <v/>
      </c>
    </row>
    <row r="1244">
      <c r="A1244" s="17" t="inlineStr">
        <is>
          <t>ORD2243</t>
        </is>
      </c>
      <c r="B1244" s="17" t="inlineStr">
        <is>
          <t>2025-06-22</t>
        </is>
      </c>
      <c r="C1244" s="17" t="inlineStr">
        <is>
          <t>09:59:45</t>
        </is>
      </c>
      <c r="D1244" s="17" t="n">
        <v>1133</v>
      </c>
      <c r="E1244" s="17" t="n">
        <v>104</v>
      </c>
      <c r="F1244" s="17" t="n">
        <v>221</v>
      </c>
      <c r="G1244" s="17" t="inlineStr">
        <is>
          <t>Delhi NCR</t>
        </is>
      </c>
      <c r="H1244" s="17" t="inlineStr">
        <is>
          <t>Fast Food</t>
        </is>
      </c>
      <c r="I1244" s="22" t="n">
        <v>824</v>
      </c>
      <c r="J1244" s="22" t="n">
        <v>0</v>
      </c>
      <c r="K1244" s="22" t="n">
        <v>38</v>
      </c>
      <c r="L1244" s="23" t="n">
        <v>0.18</v>
      </c>
      <c r="M1244" s="22" t="n">
        <v>157.82</v>
      </c>
      <c r="N1244" s="24" t="n">
        <v>5.6</v>
      </c>
      <c r="O1244" s="24" t="n">
        <v>32.9</v>
      </c>
      <c r="P1244" s="17" t="inlineStr">
        <is>
          <t>Digital Wallet</t>
        </is>
      </c>
      <c r="Q1244" s="17" t="inlineStr">
        <is>
          <t>Delivered</t>
        </is>
      </c>
      <c r="R1244" s="17" t="n">
        <v>4</v>
      </c>
      <c r="S1244" s="17">
        <f>TEXT(B1244,"yyyy-mm")</f>
        <v/>
      </c>
      <c r="T1244" s="17">
        <f>VLOOKUP(D1244,Customers!A:D,4,FALSE)</f>
        <v/>
      </c>
      <c r="U1244" s="17">
        <f>CONCATENATE(A1244,"-",G1244)</f>
        <v/>
      </c>
      <c r="V1244" s="17">
        <f>IF(N1244="","",IF(N1244&lt;=30,"Fast (&lt;30m)",IF(N1244&lt;=45,"Moderate (30-45m)","Delayed (&gt;45m)")))</f>
        <v/>
      </c>
      <c r="W1244" s="17">
        <f>IF(AND(I1244&gt;600,P1244="Delivered"),"High Value Delivered","Standard")</f>
        <v/>
      </c>
      <c r="X1244" s="17">
        <f>IF(OR(N1244&gt;50,Q1244&lt;=2),"High Risk / Delayed","Normal")</f>
        <v/>
      </c>
      <c r="Y1244" s="17">
        <f>IF(NOT(P1244="Cancelled"),"Fulfilled","Cancelled")</f>
        <v/>
      </c>
      <c r="Z1244" s="17">
        <f>IFERROR(Q1244,0)</f>
        <v/>
      </c>
    </row>
    <row r="1245">
      <c r="A1245" s="25" t="inlineStr">
        <is>
          <t>ORD2244</t>
        </is>
      </c>
      <c r="B1245" s="25" t="inlineStr">
        <is>
          <t>2025-08-26</t>
        </is>
      </c>
      <c r="C1245" s="25" t="inlineStr">
        <is>
          <t>08:18:02</t>
        </is>
      </c>
      <c r="D1245" s="25" t="n">
        <v>1172</v>
      </c>
      <c r="E1245" s="25" t="n">
        <v>110</v>
      </c>
      <c r="F1245" s="25" t="n">
        <v>207</v>
      </c>
      <c r="G1245" s="25" t="inlineStr">
        <is>
          <t>Pune</t>
        </is>
      </c>
      <c r="H1245" s="25" t="inlineStr">
        <is>
          <t>North Indian</t>
        </is>
      </c>
      <c r="I1245" s="26" t="n">
        <v>344</v>
      </c>
      <c r="J1245" s="26" t="n">
        <v>12.67</v>
      </c>
      <c r="K1245" s="26" t="n">
        <v>25</v>
      </c>
      <c r="L1245" s="27" t="n">
        <v>0.18</v>
      </c>
      <c r="M1245" s="26" t="n">
        <v>68.17</v>
      </c>
      <c r="N1245" s="28" t="n">
        <v>2.8</v>
      </c>
      <c r="O1245" s="28" t="n">
        <v/>
      </c>
      <c r="P1245" s="25" t="inlineStr">
        <is>
          <t>Digital Wallet</t>
        </is>
      </c>
      <c r="Q1245" s="25" t="inlineStr">
        <is>
          <t>Cancelled</t>
        </is>
      </c>
      <c r="R1245" s="25" t="n">
        <v/>
      </c>
      <c r="S1245" s="25">
        <f>TEXT(B1245,"yyyy-mm")</f>
        <v/>
      </c>
      <c r="T1245" s="25">
        <f>VLOOKUP(D1245,Customers!A:D,4,FALSE)</f>
        <v/>
      </c>
      <c r="U1245" s="25">
        <f>CONCATENATE(A1245,"-",G1245)</f>
        <v/>
      </c>
      <c r="V1245" s="25">
        <f>IF(N1245="","",IF(N1245&lt;=30,"Fast (&lt;30m)",IF(N1245&lt;=45,"Moderate (30-45m)","Delayed (&gt;45m)")))</f>
        <v/>
      </c>
      <c r="W1245" s="25">
        <f>IF(AND(I1245&gt;600,P1245="Delivered"),"High Value Delivered","Standard")</f>
        <v/>
      </c>
      <c r="X1245" s="25">
        <f>IF(OR(N1245&gt;50,Q1245&lt;=2),"High Risk / Delayed","Normal")</f>
        <v/>
      </c>
      <c r="Y1245" s="25">
        <f>IF(NOT(P1245="Cancelled"),"Fulfilled","Cancelled")</f>
        <v/>
      </c>
      <c r="Z1245" s="25">
        <f>IFERROR(Q1245,0)</f>
        <v/>
      </c>
    </row>
    <row r="1246">
      <c r="A1246" s="17" t="inlineStr">
        <is>
          <t>ORD2245</t>
        </is>
      </c>
      <c r="B1246" s="17" t="inlineStr">
        <is>
          <t>2025-06-22</t>
        </is>
      </c>
      <c r="C1246" s="17" t="inlineStr">
        <is>
          <t>20:43:18</t>
        </is>
      </c>
      <c r="D1246" s="17" t="n">
        <v>1164</v>
      </c>
      <c r="E1246" s="17" t="n">
        <v>116</v>
      </c>
      <c r="F1246" s="17" t="n">
        <v>209</v>
      </c>
      <c r="G1246" s="17" t="inlineStr">
        <is>
          <t>Pune</t>
        </is>
      </c>
      <c r="H1246" s="17" t="inlineStr">
        <is>
          <t>Desserts</t>
        </is>
      </c>
      <c r="I1246" s="22" t="n">
        <v>244</v>
      </c>
      <c r="J1246" s="22" t="n">
        <v>3.49</v>
      </c>
      <c r="K1246" s="22" t="n">
        <v>25</v>
      </c>
      <c r="L1246" s="23" t="n">
        <v>0.25</v>
      </c>
      <c r="M1246" s="22" t="n">
        <v>67.25</v>
      </c>
      <c r="N1246" s="24" t="n">
        <v>2.8</v>
      </c>
      <c r="O1246" s="24" t="n">
        <v>31.8</v>
      </c>
      <c r="P1246" s="17" t="inlineStr">
        <is>
          <t>UPI</t>
        </is>
      </c>
      <c r="Q1246" s="17" t="inlineStr">
        <is>
          <t>Delivered</t>
        </is>
      </c>
      <c r="R1246" s="17" t="n">
        <v>5</v>
      </c>
      <c r="S1246" s="17">
        <f>TEXT(B1246,"yyyy-mm")</f>
        <v/>
      </c>
      <c r="T1246" s="17">
        <f>VLOOKUP(D1246,Customers!A:D,4,FALSE)</f>
        <v/>
      </c>
      <c r="U1246" s="17">
        <f>CONCATENATE(A1246,"-",G1246)</f>
        <v/>
      </c>
      <c r="V1246" s="17">
        <f>IF(N1246="","",IF(N1246&lt;=30,"Fast (&lt;30m)",IF(N1246&lt;=45,"Moderate (30-45m)","Delayed (&gt;45m)")))</f>
        <v/>
      </c>
      <c r="W1246" s="17">
        <f>IF(AND(I1246&gt;600,P1246="Delivered"),"High Value Delivered","Standard")</f>
        <v/>
      </c>
      <c r="X1246" s="17">
        <f>IF(OR(N1246&gt;50,Q1246&lt;=2),"High Risk / Delayed","Normal")</f>
        <v/>
      </c>
      <c r="Y1246" s="17">
        <f>IF(NOT(P1246="Cancelled"),"Fulfilled","Cancelled")</f>
        <v/>
      </c>
      <c r="Z1246" s="17">
        <f>IFERROR(Q1246,0)</f>
        <v/>
      </c>
    </row>
    <row r="1247">
      <c r="A1247" s="25" t="inlineStr">
        <is>
          <t>ORD2246</t>
        </is>
      </c>
      <c r="B1247" s="25" t="inlineStr">
        <is>
          <t>2025-11-22</t>
        </is>
      </c>
      <c r="C1247" s="25" t="inlineStr">
        <is>
          <t>21:02:38</t>
        </is>
      </c>
      <c r="D1247" s="25" t="n">
        <v>1264</v>
      </c>
      <c r="E1247" s="25" t="n">
        <v>105</v>
      </c>
      <c r="F1247" s="25" t="n">
        <v>220</v>
      </c>
      <c r="G1247" s="25" t="inlineStr">
        <is>
          <t>Bangalore</t>
        </is>
      </c>
      <c r="H1247" s="25" t="inlineStr">
        <is>
          <t>Chinese</t>
        </is>
      </c>
      <c r="I1247" s="26" t="n">
        <v>334</v>
      </c>
      <c r="J1247" s="26" t="n">
        <v>0</v>
      </c>
      <c r="K1247" s="26" t="n">
        <v>53.5</v>
      </c>
      <c r="L1247" s="27" t="n">
        <v>0.2</v>
      </c>
      <c r="M1247" s="26" t="n">
        <v>80.18000000000001</v>
      </c>
      <c r="N1247" s="28" t="n">
        <v>8.699999999999999</v>
      </c>
      <c r="O1247" s="28" t="n">
        <v>45.3</v>
      </c>
      <c r="P1247" s="25" t="inlineStr">
        <is>
          <t>Cash on Delivery</t>
        </is>
      </c>
      <c r="Q1247" s="25" t="inlineStr">
        <is>
          <t>Delivered</t>
        </is>
      </c>
      <c r="R1247" s="25" t="n">
        <v>3</v>
      </c>
      <c r="S1247" s="25">
        <f>TEXT(B1247,"yyyy-mm")</f>
        <v/>
      </c>
      <c r="T1247" s="25">
        <f>VLOOKUP(D1247,Customers!A:D,4,FALSE)</f>
        <v/>
      </c>
      <c r="U1247" s="25">
        <f>CONCATENATE(A1247,"-",G1247)</f>
        <v/>
      </c>
      <c r="V1247" s="25">
        <f>IF(N1247="","",IF(N1247&lt;=30,"Fast (&lt;30m)",IF(N1247&lt;=45,"Moderate (30-45m)","Delayed (&gt;45m)")))</f>
        <v/>
      </c>
      <c r="W1247" s="25">
        <f>IF(AND(I1247&gt;600,P1247="Delivered"),"High Value Delivered","Standard")</f>
        <v/>
      </c>
      <c r="X1247" s="25">
        <f>IF(OR(N1247&gt;50,Q1247&lt;=2),"High Risk / Delayed","Normal")</f>
        <v/>
      </c>
      <c r="Y1247" s="25">
        <f>IF(NOT(P1247="Cancelled"),"Fulfilled","Cancelled")</f>
        <v/>
      </c>
      <c r="Z1247" s="25">
        <f>IFERROR(Q1247,0)</f>
        <v/>
      </c>
    </row>
    <row r="1248">
      <c r="A1248" s="17" t="inlineStr">
        <is>
          <t>ORD2247</t>
        </is>
      </c>
      <c r="B1248" s="17" t="inlineStr">
        <is>
          <t>2025-02-13</t>
        </is>
      </c>
      <c r="C1248" s="17" t="inlineStr">
        <is>
          <t>20:34:06</t>
        </is>
      </c>
      <c r="D1248" s="17" t="n">
        <v>1067</v>
      </c>
      <c r="E1248" s="17" t="n">
        <v>106</v>
      </c>
      <c r="F1248" s="17" t="n">
        <v>208</v>
      </c>
      <c r="G1248" s="17" t="inlineStr">
        <is>
          <t>Pune</t>
        </is>
      </c>
      <c r="H1248" s="17" t="inlineStr">
        <is>
          <t>South Indian</t>
        </is>
      </c>
      <c r="I1248" s="22" t="n">
        <v>349</v>
      </c>
      <c r="J1248" s="22" t="n">
        <v>17.67</v>
      </c>
      <c r="K1248" s="22" t="n">
        <v>25</v>
      </c>
      <c r="L1248" s="23" t="n">
        <v>0.15</v>
      </c>
      <c r="M1248" s="22" t="n">
        <v>58.6</v>
      </c>
      <c r="N1248" s="24" t="n">
        <v>2.4</v>
      </c>
      <c r="O1248" s="24" t="n">
        <v/>
      </c>
      <c r="P1248" s="17" t="inlineStr">
        <is>
          <t>Debit Card</t>
        </is>
      </c>
      <c r="Q1248" s="17" t="inlineStr">
        <is>
          <t>Cancelled</t>
        </is>
      </c>
      <c r="R1248" s="17" t="n">
        <v/>
      </c>
      <c r="S1248" s="17">
        <f>TEXT(B1248,"yyyy-mm")</f>
        <v/>
      </c>
      <c r="T1248" s="17">
        <f>VLOOKUP(D1248,Customers!A:D,4,FALSE)</f>
        <v/>
      </c>
      <c r="U1248" s="17">
        <f>CONCATENATE(A1248,"-",G1248)</f>
        <v/>
      </c>
      <c r="V1248" s="17">
        <f>IF(N1248="","",IF(N1248&lt;=30,"Fast (&lt;30m)",IF(N1248&lt;=45,"Moderate (30-45m)","Delayed (&gt;45m)")))</f>
        <v/>
      </c>
      <c r="W1248" s="17">
        <f>IF(AND(I1248&gt;600,P1248="Delivered"),"High Value Delivered","Standard")</f>
        <v/>
      </c>
      <c r="X1248" s="17">
        <f>IF(OR(N1248&gt;50,Q1248&lt;=2),"High Risk / Delayed","Normal")</f>
        <v/>
      </c>
      <c r="Y1248" s="17">
        <f>IF(NOT(P1248="Cancelled"),"Fulfilled","Cancelled")</f>
        <v/>
      </c>
      <c r="Z1248" s="17">
        <f>IFERROR(Q1248,0)</f>
        <v/>
      </c>
    </row>
    <row r="1249">
      <c r="A1249" s="25" t="inlineStr">
        <is>
          <t>ORD2248</t>
        </is>
      </c>
      <c r="B1249" s="25" t="inlineStr">
        <is>
          <t>2025-09-26</t>
        </is>
      </c>
      <c r="C1249" s="25" t="inlineStr">
        <is>
          <t>18:36:29</t>
        </is>
      </c>
      <c r="D1249" s="25" t="n">
        <v>1108</v>
      </c>
      <c r="E1249" s="25" t="n">
        <v>116</v>
      </c>
      <c r="F1249" s="25" t="n">
        <v>204</v>
      </c>
      <c r="G1249" s="25" t="inlineStr">
        <is>
          <t>Pune</t>
        </is>
      </c>
      <c r="H1249" s="25" t="inlineStr">
        <is>
          <t>Desserts</t>
        </is>
      </c>
      <c r="I1249" s="26" t="n">
        <v>261</v>
      </c>
      <c r="J1249" s="26" t="n">
        <v>14.45</v>
      </c>
      <c r="K1249" s="26" t="n">
        <v>30</v>
      </c>
      <c r="L1249" s="27" t="n">
        <v>0.25</v>
      </c>
      <c r="M1249" s="26" t="n">
        <v>72.75</v>
      </c>
      <c r="N1249" s="28" t="n">
        <v>4</v>
      </c>
      <c r="O1249" s="28" t="n">
        <v>34</v>
      </c>
      <c r="P1249" s="25" t="inlineStr">
        <is>
          <t>Credit Card</t>
        </is>
      </c>
      <c r="Q1249" s="25" t="inlineStr">
        <is>
          <t>Delivered</t>
        </is>
      </c>
      <c r="R1249" s="25" t="n">
        <v>4</v>
      </c>
      <c r="S1249" s="25">
        <f>TEXT(B1249,"yyyy-mm")</f>
        <v/>
      </c>
      <c r="T1249" s="25">
        <f>VLOOKUP(D1249,Customers!A:D,4,FALSE)</f>
        <v/>
      </c>
      <c r="U1249" s="25">
        <f>CONCATENATE(A1249,"-",G1249)</f>
        <v/>
      </c>
      <c r="V1249" s="25">
        <f>IF(N1249="","",IF(N1249&lt;=30,"Fast (&lt;30m)",IF(N1249&lt;=45,"Moderate (30-45m)","Delayed (&gt;45m)")))</f>
        <v/>
      </c>
      <c r="W1249" s="25">
        <f>IF(AND(I1249&gt;600,P1249="Delivered"),"High Value Delivered","Standard")</f>
        <v/>
      </c>
      <c r="X1249" s="25">
        <f>IF(OR(N1249&gt;50,Q1249&lt;=2),"High Risk / Delayed","Normal")</f>
        <v/>
      </c>
      <c r="Y1249" s="25">
        <f>IF(NOT(P1249="Cancelled"),"Fulfilled","Cancelled")</f>
        <v/>
      </c>
      <c r="Z1249" s="25">
        <f>IFERROR(Q1249,0)</f>
        <v/>
      </c>
    </row>
    <row r="1250">
      <c r="A1250" s="17" t="inlineStr">
        <is>
          <t>ORD2249</t>
        </is>
      </c>
      <c r="B1250" s="17" t="inlineStr">
        <is>
          <t>2025-06-22</t>
        </is>
      </c>
      <c r="C1250" s="17" t="inlineStr">
        <is>
          <t>16:59:40</t>
        </is>
      </c>
      <c r="D1250" s="17" t="n">
        <v>1032</v>
      </c>
      <c r="E1250" s="17" t="n">
        <v>108</v>
      </c>
      <c r="F1250" s="17" t="n">
        <v>228</v>
      </c>
      <c r="G1250" s="17" t="inlineStr">
        <is>
          <t>Delhi NCR</t>
        </is>
      </c>
      <c r="H1250" s="17" t="inlineStr">
        <is>
          <t>Fast Food</t>
        </is>
      </c>
      <c r="I1250" s="22" t="n">
        <v>529</v>
      </c>
      <c r="J1250" s="22" t="n">
        <v>0</v>
      </c>
      <c r="K1250" s="22" t="n">
        <v>29</v>
      </c>
      <c r="L1250" s="23" t="n">
        <v>0.18</v>
      </c>
      <c r="M1250" s="22" t="n">
        <v>102.47</v>
      </c>
      <c r="N1250" s="24" t="n">
        <v>3.8</v>
      </c>
      <c r="O1250" s="24" t="n">
        <v>26.8</v>
      </c>
      <c r="P1250" s="17" t="inlineStr">
        <is>
          <t>Debit Card</t>
        </is>
      </c>
      <c r="Q1250" s="17" t="inlineStr">
        <is>
          <t>Delivered</t>
        </is>
      </c>
      <c r="R1250" s="17" t="n">
        <v>4</v>
      </c>
      <c r="S1250" s="17">
        <f>TEXT(B1250,"yyyy-mm")</f>
        <v/>
      </c>
      <c r="T1250" s="17">
        <f>VLOOKUP(D1250,Customers!A:D,4,FALSE)</f>
        <v/>
      </c>
      <c r="U1250" s="17">
        <f>CONCATENATE(A1250,"-",G1250)</f>
        <v/>
      </c>
      <c r="V1250" s="17">
        <f>IF(N1250="","",IF(N1250&lt;=30,"Fast (&lt;30m)",IF(N1250&lt;=45,"Moderate (30-45m)","Delayed (&gt;45m)")))</f>
        <v/>
      </c>
      <c r="W1250" s="17">
        <f>IF(AND(I1250&gt;600,P1250="Delivered"),"High Value Delivered","Standard")</f>
        <v/>
      </c>
      <c r="X1250" s="17">
        <f>IF(OR(N1250&gt;50,Q1250&lt;=2),"High Risk / Delayed","Normal")</f>
        <v/>
      </c>
      <c r="Y1250" s="17">
        <f>IF(NOT(P1250="Cancelled"),"Fulfilled","Cancelled")</f>
        <v/>
      </c>
      <c r="Z1250" s="17">
        <f>IFERROR(Q1250,0)</f>
        <v/>
      </c>
    </row>
    <row r="1251">
      <c r="A1251" s="25" t="inlineStr">
        <is>
          <t>ORD2250</t>
        </is>
      </c>
      <c r="B1251" s="25" t="inlineStr">
        <is>
          <t>2025-04-09</t>
        </is>
      </c>
      <c r="C1251" s="25" t="inlineStr">
        <is>
          <t>20:36:16</t>
        </is>
      </c>
      <c r="D1251" s="25" t="n">
        <v>1222</v>
      </c>
      <c r="E1251" s="25" t="n">
        <v>109</v>
      </c>
      <c r="F1251" s="25" t="n">
        <v>216</v>
      </c>
      <c r="G1251" s="25" t="inlineStr">
        <is>
          <t>Hyderabad</t>
        </is>
      </c>
      <c r="H1251" s="25" t="inlineStr">
        <is>
          <t>Biryani</t>
        </is>
      </c>
      <c r="I1251" s="26" t="n">
        <v>530</v>
      </c>
      <c r="J1251" s="26" t="n">
        <v>22.86</v>
      </c>
      <c r="K1251" s="26" t="n">
        <v>74.5</v>
      </c>
      <c r="L1251" s="27" t="n">
        <v>0.2</v>
      </c>
      <c r="M1251" s="26" t="n">
        <v>124.62</v>
      </c>
      <c r="N1251" s="28" t="n">
        <v>12.9</v>
      </c>
      <c r="O1251" s="28" t="n">
        <v>73.3</v>
      </c>
      <c r="P1251" s="25" t="inlineStr">
        <is>
          <t>UPI</t>
        </is>
      </c>
      <c r="Q1251" s="25" t="inlineStr">
        <is>
          <t>Delivered</t>
        </is>
      </c>
      <c r="R1251" s="25" t="n">
        <v>2</v>
      </c>
      <c r="S1251" s="25">
        <f>TEXT(B1251,"yyyy-mm")</f>
        <v/>
      </c>
      <c r="T1251" s="25">
        <f>VLOOKUP(D1251,Customers!A:D,4,FALSE)</f>
        <v/>
      </c>
      <c r="U1251" s="25">
        <f>CONCATENATE(A1251,"-",G1251)</f>
        <v/>
      </c>
      <c r="V1251" s="25">
        <f>IF(N1251="","",IF(N1251&lt;=30,"Fast (&lt;30m)",IF(N1251&lt;=45,"Moderate (30-45m)","Delayed (&gt;45m)")))</f>
        <v/>
      </c>
      <c r="W1251" s="25">
        <f>IF(AND(I1251&gt;600,P1251="Delivered"),"High Value Delivered","Standard")</f>
        <v/>
      </c>
      <c r="X1251" s="25">
        <f>IF(OR(N1251&gt;50,Q1251&lt;=2),"High Risk / Delayed","Normal")</f>
        <v/>
      </c>
      <c r="Y1251" s="25">
        <f>IF(NOT(P1251="Cancelled"),"Fulfilled","Cancelled")</f>
        <v/>
      </c>
      <c r="Z1251" s="25">
        <f>IFERROR(Q1251,0)</f>
        <v/>
      </c>
    </row>
    <row r="1252">
      <c r="A1252" s="17" t="inlineStr">
        <is>
          <t>ORD2251</t>
        </is>
      </c>
      <c r="B1252" s="17" t="inlineStr">
        <is>
          <t>2025-08-12</t>
        </is>
      </c>
      <c r="C1252" s="17" t="inlineStr">
        <is>
          <t>20:17:47</t>
        </is>
      </c>
      <c r="D1252" s="17" t="n">
        <v>1084</v>
      </c>
      <c r="E1252" s="17" t="n">
        <v>104</v>
      </c>
      <c r="F1252" s="17" t="n">
        <v>230</v>
      </c>
      <c r="G1252" s="17" t="inlineStr">
        <is>
          <t>Delhi NCR</t>
        </is>
      </c>
      <c r="H1252" s="17" t="inlineStr">
        <is>
          <t>Fast Food</t>
        </is>
      </c>
      <c r="I1252" s="22" t="n">
        <v>925</v>
      </c>
      <c r="J1252" s="22" t="n">
        <v>20.49</v>
      </c>
      <c r="K1252" s="22" t="n">
        <v>28</v>
      </c>
      <c r="L1252" s="23" t="n">
        <v>0.18</v>
      </c>
      <c r="M1252" s="22" t="n">
        <v>173.5</v>
      </c>
      <c r="N1252" s="24" t="n">
        <v>3.6</v>
      </c>
      <c r="O1252" s="24" t="n">
        <v>35.3</v>
      </c>
      <c r="P1252" s="17" t="inlineStr">
        <is>
          <t>Digital Wallet</t>
        </is>
      </c>
      <c r="Q1252" s="17" t="inlineStr">
        <is>
          <t>Delivered</t>
        </is>
      </c>
      <c r="R1252" s="17" t="n">
        <v>4</v>
      </c>
      <c r="S1252" s="17">
        <f>TEXT(B1252,"yyyy-mm")</f>
        <v/>
      </c>
      <c r="T1252" s="17">
        <f>VLOOKUP(D1252,Customers!A:D,4,FALSE)</f>
        <v/>
      </c>
      <c r="U1252" s="17">
        <f>CONCATENATE(A1252,"-",G1252)</f>
        <v/>
      </c>
      <c r="V1252" s="17">
        <f>IF(N1252="","",IF(N1252&lt;=30,"Fast (&lt;30m)",IF(N1252&lt;=45,"Moderate (30-45m)","Delayed (&gt;45m)")))</f>
        <v/>
      </c>
      <c r="W1252" s="17">
        <f>IF(AND(I1252&gt;600,P1252="Delivered"),"High Value Delivered","Standard")</f>
        <v/>
      </c>
      <c r="X1252" s="17">
        <f>IF(OR(N1252&gt;50,Q1252&lt;=2),"High Risk / Delayed","Normal")</f>
        <v/>
      </c>
      <c r="Y1252" s="17">
        <f>IF(NOT(P1252="Cancelled"),"Fulfilled","Cancelled")</f>
        <v/>
      </c>
      <c r="Z1252" s="17">
        <f>IFERROR(Q1252,0)</f>
        <v/>
      </c>
    </row>
    <row r="1253">
      <c r="A1253" s="25" t="inlineStr">
        <is>
          <t>ORD2252</t>
        </is>
      </c>
      <c r="B1253" s="25" t="inlineStr">
        <is>
          <t>2025-05-20</t>
        </is>
      </c>
      <c r="C1253" s="25" t="inlineStr">
        <is>
          <t>12:00:26</t>
        </is>
      </c>
      <c r="D1253" s="25" t="n">
        <v>1002</v>
      </c>
      <c r="E1253" s="25" t="n">
        <v>104</v>
      </c>
      <c r="F1253" s="25" t="n">
        <v>228</v>
      </c>
      <c r="G1253" s="25" t="inlineStr">
        <is>
          <t>Delhi NCR</t>
        </is>
      </c>
      <c r="H1253" s="25" t="inlineStr">
        <is>
          <t>Fast Food</t>
        </is>
      </c>
      <c r="I1253" s="26" t="n">
        <v>536</v>
      </c>
      <c r="J1253" s="26" t="n">
        <v>95.52</v>
      </c>
      <c r="K1253" s="26" t="n">
        <v>0</v>
      </c>
      <c r="L1253" s="27" t="n">
        <v>0.18</v>
      </c>
      <c r="M1253" s="26" t="n">
        <v>96.48</v>
      </c>
      <c r="N1253" s="28" t="n">
        <v>9.6</v>
      </c>
      <c r="O1253" s="28" t="n">
        <v>60.1</v>
      </c>
      <c r="P1253" s="25" t="inlineStr">
        <is>
          <t>Debit Card</t>
        </is>
      </c>
      <c r="Q1253" s="25" t="inlineStr">
        <is>
          <t>Delivered</t>
        </is>
      </c>
      <c r="R1253" s="25" t="n">
        <v>1</v>
      </c>
      <c r="S1253" s="25">
        <f>TEXT(B1253,"yyyy-mm")</f>
        <v/>
      </c>
      <c r="T1253" s="25">
        <f>VLOOKUP(D1253,Customers!A:D,4,FALSE)</f>
        <v/>
      </c>
      <c r="U1253" s="25">
        <f>CONCATENATE(A1253,"-",G1253)</f>
        <v/>
      </c>
      <c r="V1253" s="25">
        <f>IF(N1253="","",IF(N1253&lt;=30,"Fast (&lt;30m)",IF(N1253&lt;=45,"Moderate (30-45m)","Delayed (&gt;45m)")))</f>
        <v/>
      </c>
      <c r="W1253" s="25">
        <f>IF(AND(I1253&gt;600,P1253="Delivered"),"High Value Delivered","Standard")</f>
        <v/>
      </c>
      <c r="X1253" s="25">
        <f>IF(OR(N1253&gt;50,Q1253&lt;=2),"High Risk / Delayed","Normal")</f>
        <v/>
      </c>
      <c r="Y1253" s="25">
        <f>IF(NOT(P1253="Cancelled"),"Fulfilled","Cancelled")</f>
        <v/>
      </c>
      <c r="Z1253" s="25">
        <f>IFERROR(Q1253,0)</f>
        <v/>
      </c>
    </row>
    <row r="1254">
      <c r="A1254" s="17" t="inlineStr">
        <is>
          <t>ORD2253</t>
        </is>
      </c>
      <c r="B1254" s="17" t="inlineStr">
        <is>
          <t>2025-02-19</t>
        </is>
      </c>
      <c r="C1254" s="17" t="inlineStr">
        <is>
          <t>19:14:14</t>
        </is>
      </c>
      <c r="D1254" s="17" t="n">
        <v>1160</v>
      </c>
      <c r="E1254" s="17" t="n">
        <v>110</v>
      </c>
      <c r="F1254" s="17" t="n">
        <v>217</v>
      </c>
      <c r="G1254" s="17" t="inlineStr">
        <is>
          <t>Pune</t>
        </is>
      </c>
      <c r="H1254" s="17" t="inlineStr">
        <is>
          <t>North Indian</t>
        </is>
      </c>
      <c r="I1254" s="22" t="n">
        <v>238</v>
      </c>
      <c r="J1254" s="22" t="n">
        <v>23.71</v>
      </c>
      <c r="K1254" s="22" t="n">
        <v>39.5</v>
      </c>
      <c r="L1254" s="23" t="n">
        <v>0.18</v>
      </c>
      <c r="M1254" s="22" t="n">
        <v>52.72</v>
      </c>
      <c r="N1254" s="24" t="n">
        <v>5.9</v>
      </c>
      <c r="O1254" s="24" t="n">
        <v>36.5</v>
      </c>
      <c r="P1254" s="17" t="inlineStr">
        <is>
          <t>Digital Wallet</t>
        </is>
      </c>
      <c r="Q1254" s="17" t="inlineStr">
        <is>
          <t>Delivered</t>
        </is>
      </c>
      <c r="R1254" s="17" t="n">
        <v>3</v>
      </c>
      <c r="S1254" s="17">
        <f>TEXT(B1254,"yyyy-mm")</f>
        <v/>
      </c>
      <c r="T1254" s="17">
        <f>VLOOKUP(D1254,Customers!A:D,4,FALSE)</f>
        <v/>
      </c>
      <c r="U1254" s="17">
        <f>CONCATENATE(A1254,"-",G1254)</f>
        <v/>
      </c>
      <c r="V1254" s="17">
        <f>IF(N1254="","",IF(N1254&lt;=30,"Fast (&lt;30m)",IF(N1254&lt;=45,"Moderate (30-45m)","Delayed (&gt;45m)")))</f>
        <v/>
      </c>
      <c r="W1254" s="17">
        <f>IF(AND(I1254&gt;600,P1254="Delivered"),"High Value Delivered","Standard")</f>
        <v/>
      </c>
      <c r="X1254" s="17">
        <f>IF(OR(N1254&gt;50,Q1254&lt;=2),"High Risk / Delayed","Normal")</f>
        <v/>
      </c>
      <c r="Y1254" s="17">
        <f>IF(NOT(P1254="Cancelled"),"Fulfilled","Cancelled")</f>
        <v/>
      </c>
      <c r="Z1254" s="17">
        <f>IFERROR(Q1254,0)</f>
        <v/>
      </c>
    </row>
    <row r="1255">
      <c r="A1255" s="25" t="inlineStr">
        <is>
          <t>ORD2254</t>
        </is>
      </c>
      <c r="B1255" s="25" t="inlineStr">
        <is>
          <t>2025-11-22</t>
        </is>
      </c>
      <c r="C1255" s="25" t="inlineStr">
        <is>
          <t>19:38:21</t>
        </is>
      </c>
      <c r="D1255" s="25" t="n">
        <v>1207</v>
      </c>
      <c r="E1255" s="25" t="n">
        <v>112</v>
      </c>
      <c r="F1255" s="25" t="n">
        <v>219</v>
      </c>
      <c r="G1255" s="25" t="inlineStr">
        <is>
          <t>Delhi NCR</t>
        </is>
      </c>
      <c r="H1255" s="25" t="inlineStr">
        <is>
          <t>North Indian</t>
        </is>
      </c>
      <c r="I1255" s="26" t="n">
        <v>774</v>
      </c>
      <c r="J1255" s="26" t="n">
        <v>0</v>
      </c>
      <c r="K1255" s="26" t="n">
        <v>25</v>
      </c>
      <c r="L1255" s="27" t="n">
        <v>0.22</v>
      </c>
      <c r="M1255" s="26" t="n">
        <v>176.53</v>
      </c>
      <c r="N1255" s="28" t="n">
        <v>2.7</v>
      </c>
      <c r="O1255" s="28" t="n">
        <v>32.6</v>
      </c>
      <c r="P1255" s="25" t="inlineStr">
        <is>
          <t>UPI</t>
        </is>
      </c>
      <c r="Q1255" s="25" t="inlineStr">
        <is>
          <t>Delivered</t>
        </is>
      </c>
      <c r="R1255" s="25" t="n">
        <v>4</v>
      </c>
      <c r="S1255" s="25">
        <f>TEXT(B1255,"yyyy-mm")</f>
        <v/>
      </c>
      <c r="T1255" s="25">
        <f>VLOOKUP(D1255,Customers!A:D,4,FALSE)</f>
        <v/>
      </c>
      <c r="U1255" s="25">
        <f>CONCATENATE(A1255,"-",G1255)</f>
        <v/>
      </c>
      <c r="V1255" s="25">
        <f>IF(N1255="","",IF(N1255&lt;=30,"Fast (&lt;30m)",IF(N1255&lt;=45,"Moderate (30-45m)","Delayed (&gt;45m)")))</f>
        <v/>
      </c>
      <c r="W1255" s="25">
        <f>IF(AND(I1255&gt;600,P1255="Delivered"),"High Value Delivered","Standard")</f>
        <v/>
      </c>
      <c r="X1255" s="25">
        <f>IF(OR(N1255&gt;50,Q1255&lt;=2),"High Risk / Delayed","Normal")</f>
        <v/>
      </c>
      <c r="Y1255" s="25">
        <f>IF(NOT(P1255="Cancelled"),"Fulfilled","Cancelled")</f>
        <v/>
      </c>
      <c r="Z1255" s="25">
        <f>IFERROR(Q1255,0)</f>
        <v/>
      </c>
    </row>
    <row r="1256">
      <c r="A1256" s="17" t="inlineStr">
        <is>
          <t>ORD2255</t>
        </is>
      </c>
      <c r="B1256" s="17" t="inlineStr">
        <is>
          <t>2025-06-27</t>
        </is>
      </c>
      <c r="C1256" s="17" t="inlineStr">
        <is>
          <t>19:52:28</t>
        </is>
      </c>
      <c r="D1256" s="17" t="n">
        <v>1211</v>
      </c>
      <c r="E1256" s="17" t="n">
        <v>118</v>
      </c>
      <c r="F1256" s="17" t="n">
        <v>228</v>
      </c>
      <c r="G1256" s="17" t="inlineStr">
        <is>
          <t>Delhi NCR</t>
        </is>
      </c>
      <c r="H1256" s="17" t="inlineStr">
        <is>
          <t>North Indian</t>
        </is>
      </c>
      <c r="I1256" s="22" t="n">
        <v>375</v>
      </c>
      <c r="J1256" s="22" t="n">
        <v>0</v>
      </c>
      <c r="K1256" s="22" t="n">
        <v>28</v>
      </c>
      <c r="L1256" s="23" t="n">
        <v>0.2</v>
      </c>
      <c r="M1256" s="22" t="n">
        <v>82</v>
      </c>
      <c r="N1256" s="24" t="n">
        <v>3.6</v>
      </c>
      <c r="O1256" s="24" t="n">
        <v>36.4</v>
      </c>
      <c r="P1256" s="17" t="inlineStr">
        <is>
          <t>Credit Card</t>
        </is>
      </c>
      <c r="Q1256" s="17" t="inlineStr">
        <is>
          <t>Delivered</t>
        </is>
      </c>
      <c r="R1256" s="17" t="n">
        <v>1</v>
      </c>
      <c r="S1256" s="17">
        <f>TEXT(B1256,"yyyy-mm")</f>
        <v/>
      </c>
      <c r="T1256" s="17">
        <f>VLOOKUP(D1256,Customers!A:D,4,FALSE)</f>
        <v/>
      </c>
      <c r="U1256" s="17">
        <f>CONCATENATE(A1256,"-",G1256)</f>
        <v/>
      </c>
      <c r="V1256" s="17">
        <f>IF(N1256="","",IF(N1256&lt;=30,"Fast (&lt;30m)",IF(N1256&lt;=45,"Moderate (30-45m)","Delayed (&gt;45m)")))</f>
        <v/>
      </c>
      <c r="W1256" s="17">
        <f>IF(AND(I1256&gt;600,P1256="Delivered"),"High Value Delivered","Standard")</f>
        <v/>
      </c>
      <c r="X1256" s="17">
        <f>IF(OR(N1256&gt;50,Q1256&lt;=2),"High Risk / Delayed","Normal")</f>
        <v/>
      </c>
      <c r="Y1256" s="17">
        <f>IF(NOT(P1256="Cancelled"),"Fulfilled","Cancelled")</f>
        <v/>
      </c>
      <c r="Z1256" s="17">
        <f>IFERROR(Q1256,0)</f>
        <v/>
      </c>
    </row>
    <row r="1257">
      <c r="A1257" s="25" t="inlineStr">
        <is>
          <t>ORD2256</t>
        </is>
      </c>
      <c r="B1257" s="25" t="inlineStr">
        <is>
          <t>2025-07-26</t>
        </is>
      </c>
      <c r="C1257" s="25" t="inlineStr">
        <is>
          <t>21:02:42</t>
        </is>
      </c>
      <c r="D1257" s="25" t="n">
        <v>1003</v>
      </c>
      <c r="E1257" s="25" t="n">
        <v>116</v>
      </c>
      <c r="F1257" s="25" t="n">
        <v>204</v>
      </c>
      <c r="G1257" s="25" t="inlineStr">
        <is>
          <t>Pune</t>
        </is>
      </c>
      <c r="H1257" s="25" t="inlineStr">
        <is>
          <t>Desserts</t>
        </is>
      </c>
      <c r="I1257" s="26" t="n">
        <v>805</v>
      </c>
      <c r="J1257" s="26" t="n">
        <v>94.78</v>
      </c>
      <c r="K1257" s="26" t="n">
        <v>25</v>
      </c>
      <c r="L1257" s="27" t="n">
        <v>0.25</v>
      </c>
      <c r="M1257" s="26" t="n">
        <v>207.5</v>
      </c>
      <c r="N1257" s="28" t="n">
        <v>2.7</v>
      </c>
      <c r="O1257" s="28" t="n">
        <v>34.3</v>
      </c>
      <c r="P1257" s="25" t="inlineStr">
        <is>
          <t>Digital Wallet</t>
        </is>
      </c>
      <c r="Q1257" s="25" t="inlineStr">
        <is>
          <t>Delivered</t>
        </is>
      </c>
      <c r="R1257" s="25" t="n">
        <v>3</v>
      </c>
      <c r="S1257" s="25">
        <f>TEXT(B1257,"yyyy-mm")</f>
        <v/>
      </c>
      <c r="T1257" s="25">
        <f>VLOOKUP(D1257,Customers!A:D,4,FALSE)</f>
        <v/>
      </c>
      <c r="U1257" s="25">
        <f>CONCATENATE(A1257,"-",G1257)</f>
        <v/>
      </c>
      <c r="V1257" s="25">
        <f>IF(N1257="","",IF(N1257&lt;=30,"Fast (&lt;30m)",IF(N1257&lt;=45,"Moderate (30-45m)","Delayed (&gt;45m)")))</f>
        <v/>
      </c>
      <c r="W1257" s="25">
        <f>IF(AND(I1257&gt;600,P1257="Delivered"),"High Value Delivered","Standard")</f>
        <v/>
      </c>
      <c r="X1257" s="25">
        <f>IF(OR(N1257&gt;50,Q1257&lt;=2),"High Risk / Delayed","Normal")</f>
        <v/>
      </c>
      <c r="Y1257" s="25">
        <f>IF(NOT(P1257="Cancelled"),"Fulfilled","Cancelled")</f>
        <v/>
      </c>
      <c r="Z1257" s="25">
        <f>IFERROR(Q1257,0)</f>
        <v/>
      </c>
    </row>
    <row r="1258">
      <c r="A1258" s="17" t="inlineStr">
        <is>
          <t>ORD2257</t>
        </is>
      </c>
      <c r="B1258" s="17" t="inlineStr">
        <is>
          <t>2025-09-29</t>
        </is>
      </c>
      <c r="C1258" s="17" t="inlineStr">
        <is>
          <t>22:23:19</t>
        </is>
      </c>
      <c r="D1258" s="17" t="n">
        <v>1274</v>
      </c>
      <c r="E1258" s="17" t="n">
        <v>113</v>
      </c>
      <c r="F1258" s="17" t="n">
        <v>202</v>
      </c>
      <c r="G1258" s="17" t="inlineStr">
        <is>
          <t>Mumbai</t>
        </is>
      </c>
      <c r="H1258" s="17" t="inlineStr">
        <is>
          <t>Fast Food</t>
        </is>
      </c>
      <c r="I1258" s="22" t="n">
        <v>810</v>
      </c>
      <c r="J1258" s="22" t="n">
        <v>106.54</v>
      </c>
      <c r="K1258" s="22" t="n">
        <v>0</v>
      </c>
      <c r="L1258" s="23" t="n">
        <v>0.18</v>
      </c>
      <c r="M1258" s="22" t="n">
        <v>145.8</v>
      </c>
      <c r="N1258" s="24" t="n">
        <v>2.1</v>
      </c>
      <c r="O1258" s="24" t="n">
        <v>26.5</v>
      </c>
      <c r="P1258" s="17" t="inlineStr">
        <is>
          <t>UPI</t>
        </is>
      </c>
      <c r="Q1258" s="17" t="inlineStr">
        <is>
          <t>Delivered</t>
        </is>
      </c>
      <c r="R1258" s="17" t="n">
        <v>4</v>
      </c>
      <c r="S1258" s="17">
        <f>TEXT(B1258,"yyyy-mm")</f>
        <v/>
      </c>
      <c r="T1258" s="17">
        <f>VLOOKUP(D1258,Customers!A:D,4,FALSE)</f>
        <v/>
      </c>
      <c r="U1258" s="17">
        <f>CONCATENATE(A1258,"-",G1258)</f>
        <v/>
      </c>
      <c r="V1258" s="17">
        <f>IF(N1258="","",IF(N1258&lt;=30,"Fast (&lt;30m)",IF(N1258&lt;=45,"Moderate (30-45m)","Delayed (&gt;45m)")))</f>
        <v/>
      </c>
      <c r="W1258" s="17">
        <f>IF(AND(I1258&gt;600,P1258="Delivered"),"High Value Delivered","Standard")</f>
        <v/>
      </c>
      <c r="X1258" s="17">
        <f>IF(OR(N1258&gt;50,Q1258&lt;=2),"High Risk / Delayed","Normal")</f>
        <v/>
      </c>
      <c r="Y1258" s="17">
        <f>IF(NOT(P1258="Cancelled"),"Fulfilled","Cancelled")</f>
        <v/>
      </c>
      <c r="Z1258" s="17">
        <f>IFERROR(Q1258,0)</f>
        <v/>
      </c>
    </row>
    <row r="1259">
      <c r="A1259" s="25" t="inlineStr">
        <is>
          <t>ORD2258</t>
        </is>
      </c>
      <c r="B1259" s="25" t="inlineStr">
        <is>
          <t>2025-11-16</t>
        </is>
      </c>
      <c r="C1259" s="25" t="inlineStr">
        <is>
          <t>21:22:36</t>
        </is>
      </c>
      <c r="D1259" s="25" t="n">
        <v>1250</v>
      </c>
      <c r="E1259" s="25" t="n">
        <v>120</v>
      </c>
      <c r="F1259" s="25" t="n">
        <v>217</v>
      </c>
      <c r="G1259" s="25" t="inlineStr">
        <is>
          <t>Pune</t>
        </is>
      </c>
      <c r="H1259" s="25" t="inlineStr">
        <is>
          <t>Fast Food</t>
        </is>
      </c>
      <c r="I1259" s="26" t="n">
        <v>867</v>
      </c>
      <c r="J1259" s="26" t="n">
        <v>173.04</v>
      </c>
      <c r="K1259" s="26" t="n">
        <v>0</v>
      </c>
      <c r="L1259" s="27" t="n">
        <v>0.18</v>
      </c>
      <c r="M1259" s="26" t="n">
        <v>156.06</v>
      </c>
      <c r="N1259" s="28" t="n">
        <v>1.9</v>
      </c>
      <c r="O1259" s="28" t="n">
        <v>23.7</v>
      </c>
      <c r="P1259" s="25" t="inlineStr">
        <is>
          <t>Debit Card</t>
        </is>
      </c>
      <c r="Q1259" s="25" t="inlineStr">
        <is>
          <t>Delivered</t>
        </is>
      </c>
      <c r="R1259" s="25" t="n">
        <v>5</v>
      </c>
      <c r="S1259" s="25">
        <f>TEXT(B1259,"yyyy-mm")</f>
        <v/>
      </c>
      <c r="T1259" s="25">
        <f>VLOOKUP(D1259,Customers!A:D,4,FALSE)</f>
        <v/>
      </c>
      <c r="U1259" s="25">
        <f>CONCATENATE(A1259,"-",G1259)</f>
        <v/>
      </c>
      <c r="V1259" s="25">
        <f>IF(N1259="","",IF(N1259&lt;=30,"Fast (&lt;30m)",IF(N1259&lt;=45,"Moderate (30-45m)","Delayed (&gt;45m)")))</f>
        <v/>
      </c>
      <c r="W1259" s="25">
        <f>IF(AND(I1259&gt;600,P1259="Delivered"),"High Value Delivered","Standard")</f>
        <v/>
      </c>
      <c r="X1259" s="25">
        <f>IF(OR(N1259&gt;50,Q1259&lt;=2),"High Risk / Delayed","Normal")</f>
        <v/>
      </c>
      <c r="Y1259" s="25">
        <f>IF(NOT(P1259="Cancelled"),"Fulfilled","Cancelled")</f>
        <v/>
      </c>
      <c r="Z1259" s="25">
        <f>IFERROR(Q1259,0)</f>
        <v/>
      </c>
    </row>
    <row r="1260">
      <c r="A1260" s="17" t="inlineStr">
        <is>
          <t>ORD2259</t>
        </is>
      </c>
      <c r="B1260" s="17" t="inlineStr">
        <is>
          <t>2025-10-03</t>
        </is>
      </c>
      <c r="C1260" s="17" t="inlineStr">
        <is>
          <t>17:08:24</t>
        </is>
      </c>
      <c r="D1260" s="17" t="n">
        <v>1187</v>
      </c>
      <c r="E1260" s="17" t="n">
        <v>113</v>
      </c>
      <c r="F1260" s="17" t="n">
        <v>206</v>
      </c>
      <c r="G1260" s="17" t="inlineStr">
        <is>
          <t>Mumbai</t>
        </is>
      </c>
      <c r="H1260" s="17" t="inlineStr">
        <is>
          <t>Fast Food</t>
        </is>
      </c>
      <c r="I1260" s="22" t="n">
        <v>841</v>
      </c>
      <c r="J1260" s="22" t="n">
        <v>97.91</v>
      </c>
      <c r="K1260" s="22" t="n">
        <v>25</v>
      </c>
      <c r="L1260" s="23" t="n">
        <v>0.18</v>
      </c>
      <c r="M1260" s="22" t="n">
        <v>157.63</v>
      </c>
      <c r="N1260" s="24" t="n">
        <v>2.2</v>
      </c>
      <c r="O1260" s="24" t="n">
        <v>22</v>
      </c>
      <c r="P1260" s="17" t="inlineStr">
        <is>
          <t>Cash on Delivery</t>
        </is>
      </c>
      <c r="Q1260" s="17" t="inlineStr">
        <is>
          <t>Delivered</t>
        </is>
      </c>
      <c r="R1260" s="17" t="n">
        <v>4</v>
      </c>
      <c r="S1260" s="17">
        <f>TEXT(B1260,"yyyy-mm")</f>
        <v/>
      </c>
      <c r="T1260" s="17">
        <f>VLOOKUP(D1260,Customers!A:D,4,FALSE)</f>
        <v/>
      </c>
      <c r="U1260" s="17">
        <f>CONCATENATE(A1260,"-",G1260)</f>
        <v/>
      </c>
      <c r="V1260" s="17">
        <f>IF(N1260="","",IF(N1260&lt;=30,"Fast (&lt;30m)",IF(N1260&lt;=45,"Moderate (30-45m)","Delayed (&gt;45m)")))</f>
        <v/>
      </c>
      <c r="W1260" s="17">
        <f>IF(AND(I1260&gt;600,P1260="Delivered"),"High Value Delivered","Standard")</f>
        <v/>
      </c>
      <c r="X1260" s="17">
        <f>IF(OR(N1260&gt;50,Q1260&lt;=2),"High Risk / Delayed","Normal")</f>
        <v/>
      </c>
      <c r="Y1260" s="17">
        <f>IF(NOT(P1260="Cancelled"),"Fulfilled","Cancelled")</f>
        <v/>
      </c>
      <c r="Z1260" s="17">
        <f>IFERROR(Q1260,0)</f>
        <v/>
      </c>
    </row>
    <row r="1261">
      <c r="A1261" s="25" t="inlineStr">
        <is>
          <t>ORD2260</t>
        </is>
      </c>
      <c r="B1261" s="25" t="inlineStr">
        <is>
          <t>2025-02-26</t>
        </is>
      </c>
      <c r="C1261" s="25" t="inlineStr">
        <is>
          <t>20:36:18</t>
        </is>
      </c>
      <c r="D1261" s="25" t="n">
        <v>1191</v>
      </c>
      <c r="E1261" s="25" t="n">
        <v>108</v>
      </c>
      <c r="F1261" s="25" t="n">
        <v>230</v>
      </c>
      <c r="G1261" s="25" t="inlineStr">
        <is>
          <t>Delhi NCR</t>
        </is>
      </c>
      <c r="H1261" s="25" t="inlineStr">
        <is>
          <t>Fast Food</t>
        </is>
      </c>
      <c r="I1261" s="26" t="n">
        <v>402</v>
      </c>
      <c r="J1261" s="26" t="n">
        <v>24.66</v>
      </c>
      <c r="K1261" s="26" t="n">
        <v>25</v>
      </c>
      <c r="L1261" s="27" t="n">
        <v>0.18</v>
      </c>
      <c r="M1261" s="26" t="n">
        <v>78.61</v>
      </c>
      <c r="N1261" s="28" t="n">
        <v>2.9</v>
      </c>
      <c r="O1261" s="28" t="n">
        <v>39.6</v>
      </c>
      <c r="P1261" s="25" t="inlineStr">
        <is>
          <t>Cash on Delivery</t>
        </is>
      </c>
      <c r="Q1261" s="25" t="inlineStr">
        <is>
          <t>Delivered</t>
        </is>
      </c>
      <c r="R1261" s="25" t="n">
        <v>1</v>
      </c>
      <c r="S1261" s="25">
        <f>TEXT(B1261,"yyyy-mm")</f>
        <v/>
      </c>
      <c r="T1261" s="25">
        <f>VLOOKUP(D1261,Customers!A:D,4,FALSE)</f>
        <v/>
      </c>
      <c r="U1261" s="25">
        <f>CONCATENATE(A1261,"-",G1261)</f>
        <v/>
      </c>
      <c r="V1261" s="25">
        <f>IF(N1261="","",IF(N1261&lt;=30,"Fast (&lt;30m)",IF(N1261&lt;=45,"Moderate (30-45m)","Delayed (&gt;45m)")))</f>
        <v/>
      </c>
      <c r="W1261" s="25">
        <f>IF(AND(I1261&gt;600,P1261="Delivered"),"High Value Delivered","Standard")</f>
        <v/>
      </c>
      <c r="X1261" s="25">
        <f>IF(OR(N1261&gt;50,Q1261&lt;=2),"High Risk / Delayed","Normal")</f>
        <v/>
      </c>
      <c r="Y1261" s="25">
        <f>IF(NOT(P1261="Cancelled"),"Fulfilled","Cancelled")</f>
        <v/>
      </c>
      <c r="Z1261" s="25">
        <f>IFERROR(Q1261,0)</f>
        <v/>
      </c>
    </row>
    <row r="1262">
      <c r="A1262" s="17" t="inlineStr">
        <is>
          <t>ORD2261</t>
        </is>
      </c>
      <c r="B1262" s="17" t="inlineStr">
        <is>
          <t>2025-08-03</t>
        </is>
      </c>
      <c r="C1262" s="17" t="inlineStr">
        <is>
          <t>08:57:38</t>
        </is>
      </c>
      <c r="D1262" s="17" t="n">
        <v>1207</v>
      </c>
      <c r="E1262" s="17" t="n">
        <v>104</v>
      </c>
      <c r="F1262" s="17" t="n">
        <v>219</v>
      </c>
      <c r="G1262" s="17" t="inlineStr">
        <is>
          <t>Delhi NCR</t>
        </is>
      </c>
      <c r="H1262" s="17" t="inlineStr">
        <is>
          <t>Fast Food</t>
        </is>
      </c>
      <c r="I1262" s="22" t="n">
        <v>505</v>
      </c>
      <c r="J1262" s="22" t="n">
        <v>0</v>
      </c>
      <c r="K1262" s="22" t="n">
        <v>25</v>
      </c>
      <c r="L1262" s="23" t="n">
        <v>0.18</v>
      </c>
      <c r="M1262" s="22" t="n">
        <v>97.15000000000001</v>
      </c>
      <c r="N1262" s="24" t="n">
        <v>3</v>
      </c>
      <c r="O1262" s="24" t="n">
        <v>24.8</v>
      </c>
      <c r="P1262" s="17" t="inlineStr">
        <is>
          <t>UPI</t>
        </is>
      </c>
      <c r="Q1262" s="17" t="inlineStr">
        <is>
          <t>Delivered</t>
        </is>
      </c>
      <c r="R1262" s="17" t="n">
        <v>5</v>
      </c>
      <c r="S1262" s="17">
        <f>TEXT(B1262,"yyyy-mm")</f>
        <v/>
      </c>
      <c r="T1262" s="17">
        <f>VLOOKUP(D1262,Customers!A:D,4,FALSE)</f>
        <v/>
      </c>
      <c r="U1262" s="17">
        <f>CONCATENATE(A1262,"-",G1262)</f>
        <v/>
      </c>
      <c r="V1262" s="17">
        <f>IF(N1262="","",IF(N1262&lt;=30,"Fast (&lt;30m)",IF(N1262&lt;=45,"Moderate (30-45m)","Delayed (&gt;45m)")))</f>
        <v/>
      </c>
      <c r="W1262" s="17">
        <f>IF(AND(I1262&gt;600,P1262="Delivered"),"High Value Delivered","Standard")</f>
        <v/>
      </c>
      <c r="X1262" s="17">
        <f>IF(OR(N1262&gt;50,Q1262&lt;=2),"High Risk / Delayed","Normal")</f>
        <v/>
      </c>
      <c r="Y1262" s="17">
        <f>IF(NOT(P1262="Cancelled"),"Fulfilled","Cancelled")</f>
        <v/>
      </c>
      <c r="Z1262" s="17">
        <f>IFERROR(Q1262,0)</f>
        <v/>
      </c>
    </row>
    <row r="1263">
      <c r="A1263" s="25" t="inlineStr">
        <is>
          <t>ORD2262</t>
        </is>
      </c>
      <c r="B1263" s="25" t="inlineStr">
        <is>
          <t>2025-07-26</t>
        </is>
      </c>
      <c r="C1263" s="25" t="inlineStr">
        <is>
          <t>22:31:48</t>
        </is>
      </c>
      <c r="D1263" s="25" t="n">
        <v>1091</v>
      </c>
      <c r="E1263" s="25" t="n">
        <v>116</v>
      </c>
      <c r="F1263" s="25" t="n">
        <v>204</v>
      </c>
      <c r="G1263" s="25" t="inlineStr">
        <is>
          <t>Pune</t>
        </is>
      </c>
      <c r="H1263" s="25" t="inlineStr">
        <is>
          <t>Desserts</t>
        </is>
      </c>
      <c r="I1263" s="26" t="n">
        <v>695</v>
      </c>
      <c r="J1263" s="26" t="n">
        <v>0</v>
      </c>
      <c r="K1263" s="26" t="n">
        <v>53.5</v>
      </c>
      <c r="L1263" s="27" t="n">
        <v>0.25</v>
      </c>
      <c r="M1263" s="26" t="n">
        <v>187.12</v>
      </c>
      <c r="N1263" s="28" t="n">
        <v>8.699999999999999</v>
      </c>
      <c r="O1263" s="28" t="n">
        <v/>
      </c>
      <c r="P1263" s="25" t="inlineStr">
        <is>
          <t>Credit Card</t>
        </is>
      </c>
      <c r="Q1263" s="25" t="inlineStr">
        <is>
          <t>Cancelled</t>
        </is>
      </c>
      <c r="R1263" s="25" t="n">
        <v/>
      </c>
      <c r="S1263" s="25">
        <f>TEXT(B1263,"yyyy-mm")</f>
        <v/>
      </c>
      <c r="T1263" s="25">
        <f>VLOOKUP(D1263,Customers!A:D,4,FALSE)</f>
        <v/>
      </c>
      <c r="U1263" s="25">
        <f>CONCATENATE(A1263,"-",G1263)</f>
        <v/>
      </c>
      <c r="V1263" s="25">
        <f>IF(N1263="","",IF(N1263&lt;=30,"Fast (&lt;30m)",IF(N1263&lt;=45,"Moderate (30-45m)","Delayed (&gt;45m)")))</f>
        <v/>
      </c>
      <c r="W1263" s="25">
        <f>IF(AND(I1263&gt;600,P1263="Delivered"),"High Value Delivered","Standard")</f>
        <v/>
      </c>
      <c r="X1263" s="25">
        <f>IF(OR(N1263&gt;50,Q1263&lt;=2),"High Risk / Delayed","Normal")</f>
        <v/>
      </c>
      <c r="Y1263" s="25">
        <f>IF(NOT(P1263="Cancelled"),"Fulfilled","Cancelled")</f>
        <v/>
      </c>
      <c r="Z1263" s="25">
        <f>IFERROR(Q1263,0)</f>
        <v/>
      </c>
    </row>
    <row r="1264">
      <c r="A1264" s="17" t="inlineStr">
        <is>
          <t>ORD2263</t>
        </is>
      </c>
      <c r="B1264" s="17" t="inlineStr">
        <is>
          <t>2025-05-28</t>
        </is>
      </c>
      <c r="C1264" s="17" t="inlineStr">
        <is>
          <t>23:00:34</t>
        </is>
      </c>
      <c r="D1264" s="17" t="n">
        <v>1145</v>
      </c>
      <c r="E1264" s="17" t="n">
        <v>106</v>
      </c>
      <c r="F1264" s="17" t="n">
        <v>208</v>
      </c>
      <c r="G1264" s="17" t="inlineStr">
        <is>
          <t>Pune</t>
        </is>
      </c>
      <c r="H1264" s="17" t="inlineStr">
        <is>
          <t>South Indian</t>
        </is>
      </c>
      <c r="I1264" s="22" t="n">
        <v>562</v>
      </c>
      <c r="J1264" s="22" t="n">
        <v>29.5</v>
      </c>
      <c r="K1264" s="22" t="n">
        <v>26</v>
      </c>
      <c r="L1264" s="23" t="n">
        <v>0.15</v>
      </c>
      <c r="M1264" s="22" t="n">
        <v>90.8</v>
      </c>
      <c r="N1264" s="24" t="n">
        <v>3.2</v>
      </c>
      <c r="O1264" s="24" t="n">
        <v>30.5</v>
      </c>
      <c r="P1264" s="17" t="inlineStr">
        <is>
          <t>UPI</t>
        </is>
      </c>
      <c r="Q1264" s="17" t="inlineStr">
        <is>
          <t>Delivered</t>
        </is>
      </c>
      <c r="R1264" s="17" t="n">
        <v>3</v>
      </c>
      <c r="S1264" s="17">
        <f>TEXT(B1264,"yyyy-mm")</f>
        <v/>
      </c>
      <c r="T1264" s="17">
        <f>VLOOKUP(D1264,Customers!A:D,4,FALSE)</f>
        <v/>
      </c>
      <c r="U1264" s="17">
        <f>CONCATENATE(A1264,"-",G1264)</f>
        <v/>
      </c>
      <c r="V1264" s="17">
        <f>IF(N1264="","",IF(N1264&lt;=30,"Fast (&lt;30m)",IF(N1264&lt;=45,"Moderate (30-45m)","Delayed (&gt;45m)")))</f>
        <v/>
      </c>
      <c r="W1264" s="17">
        <f>IF(AND(I1264&gt;600,P1264="Delivered"),"High Value Delivered","Standard")</f>
        <v/>
      </c>
      <c r="X1264" s="17">
        <f>IF(OR(N1264&gt;50,Q1264&lt;=2),"High Risk / Delayed","Normal")</f>
        <v/>
      </c>
      <c r="Y1264" s="17">
        <f>IF(NOT(P1264="Cancelled"),"Fulfilled","Cancelled")</f>
        <v/>
      </c>
      <c r="Z1264" s="17">
        <f>IFERROR(Q1264,0)</f>
        <v/>
      </c>
    </row>
    <row r="1265">
      <c r="A1265" s="25" t="inlineStr">
        <is>
          <t>ORD2264</t>
        </is>
      </c>
      <c r="B1265" s="25" t="inlineStr">
        <is>
          <t>2025-07-30</t>
        </is>
      </c>
      <c r="C1265" s="25" t="inlineStr">
        <is>
          <t>10:12:40</t>
        </is>
      </c>
      <c r="D1265" s="25" t="n">
        <v>1145</v>
      </c>
      <c r="E1265" s="25" t="n">
        <v>120</v>
      </c>
      <c r="F1265" s="25" t="n">
        <v>226</v>
      </c>
      <c r="G1265" s="25" t="inlineStr">
        <is>
          <t>Pune</t>
        </is>
      </c>
      <c r="H1265" s="25" t="inlineStr">
        <is>
          <t>Fast Food</t>
        </is>
      </c>
      <c r="I1265" s="26" t="n">
        <v>249</v>
      </c>
      <c r="J1265" s="26" t="n">
        <v>2.76</v>
      </c>
      <c r="K1265" s="26" t="n">
        <v>26</v>
      </c>
      <c r="L1265" s="27" t="n">
        <v>0.18</v>
      </c>
      <c r="M1265" s="26" t="n">
        <v>51.32</v>
      </c>
      <c r="N1265" s="28" t="n">
        <v>3.2</v>
      </c>
      <c r="O1265" s="28" t="n">
        <v>31.1</v>
      </c>
      <c r="P1265" s="25" t="inlineStr">
        <is>
          <t>UPI</t>
        </is>
      </c>
      <c r="Q1265" s="25" t="inlineStr">
        <is>
          <t>Delivered</t>
        </is>
      </c>
      <c r="R1265" s="25" t="n">
        <v>5</v>
      </c>
      <c r="S1265" s="25">
        <f>TEXT(B1265,"yyyy-mm")</f>
        <v/>
      </c>
      <c r="T1265" s="25">
        <f>VLOOKUP(D1265,Customers!A:D,4,FALSE)</f>
        <v/>
      </c>
      <c r="U1265" s="25">
        <f>CONCATENATE(A1265,"-",G1265)</f>
        <v/>
      </c>
      <c r="V1265" s="25">
        <f>IF(N1265="","",IF(N1265&lt;=30,"Fast (&lt;30m)",IF(N1265&lt;=45,"Moderate (30-45m)","Delayed (&gt;45m)")))</f>
        <v/>
      </c>
      <c r="W1265" s="25">
        <f>IF(AND(I1265&gt;600,P1265="Delivered"),"High Value Delivered","Standard")</f>
        <v/>
      </c>
      <c r="X1265" s="25">
        <f>IF(OR(N1265&gt;50,Q1265&lt;=2),"High Risk / Delayed","Normal")</f>
        <v/>
      </c>
      <c r="Y1265" s="25">
        <f>IF(NOT(P1265="Cancelled"),"Fulfilled","Cancelled")</f>
        <v/>
      </c>
      <c r="Z1265" s="25">
        <f>IFERROR(Q1265,0)</f>
        <v/>
      </c>
    </row>
    <row r="1266">
      <c r="A1266" s="17" t="inlineStr">
        <is>
          <t>ORD2265</t>
        </is>
      </c>
      <c r="B1266" s="17" t="inlineStr">
        <is>
          <t>2025-11-09</t>
        </is>
      </c>
      <c r="C1266" s="17" t="inlineStr">
        <is>
          <t>14:15:10</t>
        </is>
      </c>
      <c r="D1266" s="17" t="n">
        <v>1186</v>
      </c>
      <c r="E1266" s="17" t="n">
        <v>102</v>
      </c>
      <c r="F1266" s="17" t="n">
        <v>215</v>
      </c>
      <c r="G1266" s="17" t="inlineStr">
        <is>
          <t>Hyderabad</t>
        </is>
      </c>
      <c r="H1266" s="17" t="inlineStr">
        <is>
          <t>Biryani</t>
        </is>
      </c>
      <c r="I1266" s="22" t="n">
        <v>802</v>
      </c>
      <c r="J1266" s="22" t="n">
        <v>75.22</v>
      </c>
      <c r="K1266" s="22" t="n">
        <v>27</v>
      </c>
      <c r="L1266" s="23" t="n">
        <v>0.22</v>
      </c>
      <c r="M1266" s="22" t="n">
        <v>183.19</v>
      </c>
      <c r="N1266" s="24" t="n">
        <v>3.4</v>
      </c>
      <c r="O1266" s="24" t="n">
        <v>32.7</v>
      </c>
      <c r="P1266" s="17" t="inlineStr">
        <is>
          <t>Debit Card</t>
        </is>
      </c>
      <c r="Q1266" s="17" t="inlineStr">
        <is>
          <t>Delivered</t>
        </is>
      </c>
      <c r="R1266" s="17" t="n">
        <v>5</v>
      </c>
      <c r="S1266" s="17">
        <f>TEXT(B1266,"yyyy-mm")</f>
        <v/>
      </c>
      <c r="T1266" s="17">
        <f>VLOOKUP(D1266,Customers!A:D,4,FALSE)</f>
        <v/>
      </c>
      <c r="U1266" s="17">
        <f>CONCATENATE(A1266,"-",G1266)</f>
        <v/>
      </c>
      <c r="V1266" s="17">
        <f>IF(N1266="","",IF(N1266&lt;=30,"Fast (&lt;30m)",IF(N1266&lt;=45,"Moderate (30-45m)","Delayed (&gt;45m)")))</f>
        <v/>
      </c>
      <c r="W1266" s="17">
        <f>IF(AND(I1266&gt;600,P1266="Delivered"),"High Value Delivered","Standard")</f>
        <v/>
      </c>
      <c r="X1266" s="17">
        <f>IF(OR(N1266&gt;50,Q1266&lt;=2),"High Risk / Delayed","Normal")</f>
        <v/>
      </c>
      <c r="Y1266" s="17">
        <f>IF(NOT(P1266="Cancelled"),"Fulfilled","Cancelled")</f>
        <v/>
      </c>
      <c r="Z1266" s="17">
        <f>IFERROR(Q1266,0)</f>
        <v/>
      </c>
    </row>
    <row r="1267">
      <c r="A1267" s="25" t="inlineStr">
        <is>
          <t>ORD2266</t>
        </is>
      </c>
      <c r="B1267" s="25" t="inlineStr">
        <is>
          <t>2025-10-10</t>
        </is>
      </c>
      <c r="C1267" s="25" t="inlineStr">
        <is>
          <t>21:32:55</t>
        </is>
      </c>
      <c r="D1267" s="25" t="n">
        <v>1078</v>
      </c>
      <c r="E1267" s="25" t="n">
        <v>112</v>
      </c>
      <c r="F1267" s="25" t="n">
        <v>221</v>
      </c>
      <c r="G1267" s="25" t="inlineStr">
        <is>
          <t>Delhi NCR</t>
        </is>
      </c>
      <c r="H1267" s="25" t="inlineStr">
        <is>
          <t>North Indian</t>
        </is>
      </c>
      <c r="I1267" s="26" t="n">
        <v>417</v>
      </c>
      <c r="J1267" s="26" t="n">
        <v>5.38</v>
      </c>
      <c r="K1267" s="26" t="n">
        <v>25</v>
      </c>
      <c r="L1267" s="27" t="n">
        <v>0.22</v>
      </c>
      <c r="M1267" s="26" t="n">
        <v>97.98999999999999</v>
      </c>
      <c r="N1267" s="28" t="n">
        <v>1.2</v>
      </c>
      <c r="O1267" s="28" t="n">
        <v>23.7</v>
      </c>
      <c r="P1267" s="25" t="inlineStr">
        <is>
          <t>Credit Card</t>
        </is>
      </c>
      <c r="Q1267" s="25" t="inlineStr">
        <is>
          <t>Delivered</t>
        </is>
      </c>
      <c r="R1267" s="25" t="n">
        <v>4</v>
      </c>
      <c r="S1267" s="25">
        <f>TEXT(B1267,"yyyy-mm")</f>
        <v/>
      </c>
      <c r="T1267" s="25">
        <f>VLOOKUP(D1267,Customers!A:D,4,FALSE)</f>
        <v/>
      </c>
      <c r="U1267" s="25">
        <f>CONCATENATE(A1267,"-",G1267)</f>
        <v/>
      </c>
      <c r="V1267" s="25">
        <f>IF(N1267="","",IF(N1267&lt;=30,"Fast (&lt;30m)",IF(N1267&lt;=45,"Moderate (30-45m)","Delayed (&gt;45m)")))</f>
        <v/>
      </c>
      <c r="W1267" s="25">
        <f>IF(AND(I1267&gt;600,P1267="Delivered"),"High Value Delivered","Standard")</f>
        <v/>
      </c>
      <c r="X1267" s="25">
        <f>IF(OR(N1267&gt;50,Q1267&lt;=2),"High Risk / Delayed","Normal")</f>
        <v/>
      </c>
      <c r="Y1267" s="25">
        <f>IF(NOT(P1267="Cancelled"),"Fulfilled","Cancelled")</f>
        <v/>
      </c>
      <c r="Z1267" s="25">
        <f>IFERROR(Q1267,0)</f>
        <v/>
      </c>
    </row>
    <row r="1268">
      <c r="A1268" s="17" t="inlineStr">
        <is>
          <t>ORD2267</t>
        </is>
      </c>
      <c r="B1268" s="17" t="inlineStr">
        <is>
          <t>2025-12-31</t>
        </is>
      </c>
      <c r="C1268" s="17" t="inlineStr">
        <is>
          <t>21:58:12</t>
        </is>
      </c>
      <c r="D1268" s="17" t="n">
        <v>1156</v>
      </c>
      <c r="E1268" s="17" t="n">
        <v>120</v>
      </c>
      <c r="F1268" s="17" t="n">
        <v>217</v>
      </c>
      <c r="G1268" s="17" t="inlineStr">
        <is>
          <t>Pune</t>
        </is>
      </c>
      <c r="H1268" s="17" t="inlineStr">
        <is>
          <t>Fast Food</t>
        </is>
      </c>
      <c r="I1268" s="22" t="n">
        <v>550</v>
      </c>
      <c r="J1268" s="22" t="n">
        <v>0</v>
      </c>
      <c r="K1268" s="22" t="n">
        <v>61</v>
      </c>
      <c r="L1268" s="23" t="n">
        <v>0.18</v>
      </c>
      <c r="M1268" s="22" t="n">
        <v>114.25</v>
      </c>
      <c r="N1268" s="24" t="n">
        <v>10.2</v>
      </c>
      <c r="O1268" s="24" t="n">
        <v>54</v>
      </c>
      <c r="P1268" s="17" t="inlineStr">
        <is>
          <t>UPI</t>
        </is>
      </c>
      <c r="Q1268" s="17" t="inlineStr">
        <is>
          <t>Delivered</t>
        </is>
      </c>
      <c r="R1268" s="17" t="n">
        <v>1</v>
      </c>
      <c r="S1268" s="17">
        <f>TEXT(B1268,"yyyy-mm")</f>
        <v/>
      </c>
      <c r="T1268" s="17">
        <f>VLOOKUP(D1268,Customers!A:D,4,FALSE)</f>
        <v/>
      </c>
      <c r="U1268" s="17">
        <f>CONCATENATE(A1268,"-",G1268)</f>
        <v/>
      </c>
      <c r="V1268" s="17">
        <f>IF(N1268="","",IF(N1268&lt;=30,"Fast (&lt;30m)",IF(N1268&lt;=45,"Moderate (30-45m)","Delayed (&gt;45m)")))</f>
        <v/>
      </c>
      <c r="W1268" s="17">
        <f>IF(AND(I1268&gt;600,P1268="Delivered"),"High Value Delivered","Standard")</f>
        <v/>
      </c>
      <c r="X1268" s="17">
        <f>IF(OR(N1268&gt;50,Q1268&lt;=2),"High Risk / Delayed","Normal")</f>
        <v/>
      </c>
      <c r="Y1268" s="17">
        <f>IF(NOT(P1268="Cancelled"),"Fulfilled","Cancelled")</f>
        <v/>
      </c>
      <c r="Z1268" s="17">
        <f>IFERROR(Q1268,0)</f>
        <v/>
      </c>
    </row>
    <row r="1269">
      <c r="A1269" s="25" t="inlineStr">
        <is>
          <t>ORD2268</t>
        </is>
      </c>
      <c r="B1269" s="25" t="inlineStr">
        <is>
          <t>2025-08-24</t>
        </is>
      </c>
      <c r="C1269" s="25" t="inlineStr">
        <is>
          <t>21:15:43</t>
        </is>
      </c>
      <c r="D1269" s="25" t="n">
        <v>1206</v>
      </c>
      <c r="E1269" s="25" t="n">
        <v>113</v>
      </c>
      <c r="F1269" s="25" t="n">
        <v>202</v>
      </c>
      <c r="G1269" s="25" t="inlineStr">
        <is>
          <t>Mumbai</t>
        </is>
      </c>
      <c r="H1269" s="25" t="inlineStr">
        <is>
          <t>Fast Food</t>
        </is>
      </c>
      <c r="I1269" s="26" t="n">
        <v>837</v>
      </c>
      <c r="J1269" s="26" t="n">
        <v>0</v>
      </c>
      <c r="K1269" s="26" t="n">
        <v>58</v>
      </c>
      <c r="L1269" s="27" t="n">
        <v>0.18</v>
      </c>
      <c r="M1269" s="26" t="n">
        <v>165.16</v>
      </c>
      <c r="N1269" s="28" t="n">
        <v>9.6</v>
      </c>
      <c r="O1269" s="28" t="n">
        <v>55.8</v>
      </c>
      <c r="P1269" s="25" t="inlineStr">
        <is>
          <t>Credit Card</t>
        </is>
      </c>
      <c r="Q1269" s="25" t="inlineStr">
        <is>
          <t>Delivered</t>
        </is>
      </c>
      <c r="R1269" s="25" t="n">
        <v>3</v>
      </c>
      <c r="S1269" s="25">
        <f>TEXT(B1269,"yyyy-mm")</f>
        <v/>
      </c>
      <c r="T1269" s="25">
        <f>VLOOKUP(D1269,Customers!A:D,4,FALSE)</f>
        <v/>
      </c>
      <c r="U1269" s="25">
        <f>CONCATENATE(A1269,"-",G1269)</f>
        <v/>
      </c>
      <c r="V1269" s="25">
        <f>IF(N1269="","",IF(N1269&lt;=30,"Fast (&lt;30m)",IF(N1269&lt;=45,"Moderate (30-45m)","Delayed (&gt;45m)")))</f>
        <v/>
      </c>
      <c r="W1269" s="25">
        <f>IF(AND(I1269&gt;600,P1269="Delivered"),"High Value Delivered","Standard")</f>
        <v/>
      </c>
      <c r="X1269" s="25">
        <f>IF(OR(N1269&gt;50,Q1269&lt;=2),"High Risk / Delayed","Normal")</f>
        <v/>
      </c>
      <c r="Y1269" s="25">
        <f>IF(NOT(P1269="Cancelled"),"Fulfilled","Cancelled")</f>
        <v/>
      </c>
      <c r="Z1269" s="25">
        <f>IFERROR(Q1269,0)</f>
        <v/>
      </c>
    </row>
    <row r="1270">
      <c r="A1270" s="17" t="inlineStr">
        <is>
          <t>ORD2269</t>
        </is>
      </c>
      <c r="B1270" s="17" t="inlineStr">
        <is>
          <t>2025-03-23</t>
        </is>
      </c>
      <c r="C1270" s="17" t="inlineStr">
        <is>
          <t>18:15:29</t>
        </is>
      </c>
      <c r="D1270" s="17" t="n">
        <v>1247</v>
      </c>
      <c r="E1270" s="17" t="n">
        <v>101</v>
      </c>
      <c r="F1270" s="17" t="n">
        <v>203</v>
      </c>
      <c r="G1270" s="17" t="inlineStr">
        <is>
          <t>Bangalore</t>
        </is>
      </c>
      <c r="H1270" s="17" t="inlineStr">
        <is>
          <t>North Indian</t>
        </is>
      </c>
      <c r="I1270" s="22" t="n">
        <v>291</v>
      </c>
      <c r="J1270" s="22" t="n">
        <v>0</v>
      </c>
      <c r="K1270" s="22" t="n">
        <v>35</v>
      </c>
      <c r="L1270" s="23" t="n">
        <v>0.2</v>
      </c>
      <c r="M1270" s="22" t="n">
        <v>66.95</v>
      </c>
      <c r="N1270" s="24" t="n">
        <v>5</v>
      </c>
      <c r="O1270" s="24" t="n">
        <v>29.9</v>
      </c>
      <c r="P1270" s="17" t="inlineStr">
        <is>
          <t>Cash on Delivery</t>
        </is>
      </c>
      <c r="Q1270" s="17" t="inlineStr">
        <is>
          <t>Delivered</t>
        </is>
      </c>
      <c r="R1270" s="17" t="n">
        <v>5</v>
      </c>
      <c r="S1270" s="17">
        <f>TEXT(B1270,"yyyy-mm")</f>
        <v/>
      </c>
      <c r="T1270" s="17">
        <f>VLOOKUP(D1270,Customers!A:D,4,FALSE)</f>
        <v/>
      </c>
      <c r="U1270" s="17">
        <f>CONCATENATE(A1270,"-",G1270)</f>
        <v/>
      </c>
      <c r="V1270" s="17">
        <f>IF(N1270="","",IF(N1270&lt;=30,"Fast (&lt;30m)",IF(N1270&lt;=45,"Moderate (30-45m)","Delayed (&gt;45m)")))</f>
        <v/>
      </c>
      <c r="W1270" s="17">
        <f>IF(AND(I1270&gt;600,P1270="Delivered"),"High Value Delivered","Standard")</f>
        <v/>
      </c>
      <c r="X1270" s="17">
        <f>IF(OR(N1270&gt;50,Q1270&lt;=2),"High Risk / Delayed","Normal")</f>
        <v/>
      </c>
      <c r="Y1270" s="17">
        <f>IF(NOT(P1270="Cancelled"),"Fulfilled","Cancelled")</f>
        <v/>
      </c>
      <c r="Z1270" s="17">
        <f>IFERROR(Q1270,0)</f>
        <v/>
      </c>
    </row>
    <row r="1271">
      <c r="A1271" s="25" t="inlineStr">
        <is>
          <t>ORD2270</t>
        </is>
      </c>
      <c r="B1271" s="25" t="inlineStr">
        <is>
          <t>2025-08-02</t>
        </is>
      </c>
      <c r="C1271" s="25" t="inlineStr">
        <is>
          <t>07:16:56</t>
        </is>
      </c>
      <c r="D1271" s="25" t="n">
        <v>1259</v>
      </c>
      <c r="E1271" s="25" t="n">
        <v>114</v>
      </c>
      <c r="F1271" s="25" t="n">
        <v>216</v>
      </c>
      <c r="G1271" s="25" t="inlineStr">
        <is>
          <t>Hyderabad</t>
        </is>
      </c>
      <c r="H1271" s="25" t="inlineStr">
        <is>
          <t>Biryani</t>
        </is>
      </c>
      <c r="I1271" s="26" t="n">
        <v>770</v>
      </c>
      <c r="J1271" s="26" t="n">
        <v>0</v>
      </c>
      <c r="K1271" s="26" t="n">
        <v>49</v>
      </c>
      <c r="L1271" s="27" t="n">
        <v>0.22</v>
      </c>
      <c r="M1271" s="26" t="n">
        <v>181.65</v>
      </c>
      <c r="N1271" s="28" t="n">
        <v>7.8</v>
      </c>
      <c r="O1271" s="28" t="n">
        <v>46</v>
      </c>
      <c r="P1271" s="25" t="inlineStr">
        <is>
          <t>Digital Wallet</t>
        </is>
      </c>
      <c r="Q1271" s="25" t="inlineStr">
        <is>
          <t>Delivered</t>
        </is>
      </c>
      <c r="R1271" s="25" t="n">
        <v>4</v>
      </c>
      <c r="S1271" s="25">
        <f>TEXT(B1271,"yyyy-mm")</f>
        <v/>
      </c>
      <c r="T1271" s="25">
        <f>VLOOKUP(D1271,Customers!A:D,4,FALSE)</f>
        <v/>
      </c>
      <c r="U1271" s="25">
        <f>CONCATENATE(A1271,"-",G1271)</f>
        <v/>
      </c>
      <c r="V1271" s="25">
        <f>IF(N1271="","",IF(N1271&lt;=30,"Fast (&lt;30m)",IF(N1271&lt;=45,"Moderate (30-45m)","Delayed (&gt;45m)")))</f>
        <v/>
      </c>
      <c r="W1271" s="25">
        <f>IF(AND(I1271&gt;600,P1271="Delivered"),"High Value Delivered","Standard")</f>
        <v/>
      </c>
      <c r="X1271" s="25">
        <f>IF(OR(N1271&gt;50,Q1271&lt;=2),"High Risk / Delayed","Normal")</f>
        <v/>
      </c>
      <c r="Y1271" s="25">
        <f>IF(NOT(P1271="Cancelled"),"Fulfilled","Cancelled")</f>
        <v/>
      </c>
      <c r="Z1271" s="25">
        <f>IFERROR(Q1271,0)</f>
        <v/>
      </c>
    </row>
    <row r="1272">
      <c r="A1272" s="17" t="inlineStr">
        <is>
          <t>ORD2271</t>
        </is>
      </c>
      <c r="B1272" s="17" t="inlineStr">
        <is>
          <t>2025-01-31</t>
        </is>
      </c>
      <c r="C1272" s="17" t="inlineStr">
        <is>
          <t>10:18:51</t>
        </is>
      </c>
      <c r="D1272" s="17" t="n">
        <v>1012</v>
      </c>
      <c r="E1272" s="17" t="n">
        <v>120</v>
      </c>
      <c r="F1272" s="17" t="n">
        <v>217</v>
      </c>
      <c r="G1272" s="17" t="inlineStr">
        <is>
          <t>Pune</t>
        </is>
      </c>
      <c r="H1272" s="17" t="inlineStr">
        <is>
          <t>Fast Food</t>
        </is>
      </c>
      <c r="I1272" s="22" t="n">
        <v>939</v>
      </c>
      <c r="J1272" s="22" t="n">
        <v>171.12</v>
      </c>
      <c r="K1272" s="22" t="n">
        <v>0</v>
      </c>
      <c r="L1272" s="23" t="n">
        <v>0.18</v>
      </c>
      <c r="M1272" s="22" t="n">
        <v>169.02</v>
      </c>
      <c r="N1272" s="24" t="n">
        <v>5.9</v>
      </c>
      <c r="O1272" s="24" t="n">
        <v>48.3</v>
      </c>
      <c r="P1272" s="17" t="inlineStr">
        <is>
          <t>Debit Card</t>
        </is>
      </c>
      <c r="Q1272" s="17" t="inlineStr">
        <is>
          <t>Delivered</t>
        </is>
      </c>
      <c r="R1272" s="17" t="n">
        <v>4</v>
      </c>
      <c r="S1272" s="17">
        <f>TEXT(B1272,"yyyy-mm")</f>
        <v/>
      </c>
      <c r="T1272" s="17">
        <f>VLOOKUP(D1272,Customers!A:D,4,FALSE)</f>
        <v/>
      </c>
      <c r="U1272" s="17">
        <f>CONCATENATE(A1272,"-",G1272)</f>
        <v/>
      </c>
      <c r="V1272" s="17">
        <f>IF(N1272="","",IF(N1272&lt;=30,"Fast (&lt;30m)",IF(N1272&lt;=45,"Moderate (30-45m)","Delayed (&gt;45m)")))</f>
        <v/>
      </c>
      <c r="W1272" s="17">
        <f>IF(AND(I1272&gt;600,P1272="Delivered"),"High Value Delivered","Standard")</f>
        <v/>
      </c>
      <c r="X1272" s="17">
        <f>IF(OR(N1272&gt;50,Q1272&lt;=2),"High Risk / Delayed","Normal")</f>
        <v/>
      </c>
      <c r="Y1272" s="17">
        <f>IF(NOT(P1272="Cancelled"),"Fulfilled","Cancelled")</f>
        <v/>
      </c>
      <c r="Z1272" s="17">
        <f>IFERROR(Q1272,0)</f>
        <v/>
      </c>
    </row>
    <row r="1273">
      <c r="A1273" s="25" t="inlineStr">
        <is>
          <t>ORD2272</t>
        </is>
      </c>
      <c r="B1273" s="25" t="inlineStr">
        <is>
          <t>2025-03-05</t>
        </is>
      </c>
      <c r="C1273" s="25" t="inlineStr">
        <is>
          <t>18:06:09</t>
        </is>
      </c>
      <c r="D1273" s="25" t="n">
        <v>1087</v>
      </c>
      <c r="E1273" s="25" t="n">
        <v>110</v>
      </c>
      <c r="F1273" s="25" t="n">
        <v>226</v>
      </c>
      <c r="G1273" s="25" t="inlineStr">
        <is>
          <t>Pune</t>
        </is>
      </c>
      <c r="H1273" s="25" t="inlineStr">
        <is>
          <t>North Indian</t>
        </is>
      </c>
      <c r="I1273" s="26" t="n">
        <v>488</v>
      </c>
      <c r="J1273" s="26" t="n">
        <v>50.29</v>
      </c>
      <c r="K1273" s="26" t="n">
        <v>27.5</v>
      </c>
      <c r="L1273" s="27" t="n">
        <v>0.18</v>
      </c>
      <c r="M1273" s="26" t="n">
        <v>94.72</v>
      </c>
      <c r="N1273" s="28" t="n">
        <v>3.5</v>
      </c>
      <c r="O1273" s="28" t="n">
        <v>31.4</v>
      </c>
      <c r="P1273" s="25" t="inlineStr">
        <is>
          <t>UPI</t>
        </is>
      </c>
      <c r="Q1273" s="25" t="inlineStr">
        <is>
          <t>Delivered</t>
        </is>
      </c>
      <c r="R1273" s="25" t="n">
        <v>4</v>
      </c>
      <c r="S1273" s="25">
        <f>TEXT(B1273,"yyyy-mm")</f>
        <v/>
      </c>
      <c r="T1273" s="25">
        <f>VLOOKUP(D1273,Customers!A:D,4,FALSE)</f>
        <v/>
      </c>
      <c r="U1273" s="25">
        <f>CONCATENATE(A1273,"-",G1273)</f>
        <v/>
      </c>
      <c r="V1273" s="25">
        <f>IF(N1273="","",IF(N1273&lt;=30,"Fast (&lt;30m)",IF(N1273&lt;=45,"Moderate (30-45m)","Delayed (&gt;45m)")))</f>
        <v/>
      </c>
      <c r="W1273" s="25">
        <f>IF(AND(I1273&gt;600,P1273="Delivered"),"High Value Delivered","Standard")</f>
        <v/>
      </c>
      <c r="X1273" s="25">
        <f>IF(OR(N1273&gt;50,Q1273&lt;=2),"High Risk / Delayed","Normal")</f>
        <v/>
      </c>
      <c r="Y1273" s="25">
        <f>IF(NOT(P1273="Cancelled"),"Fulfilled","Cancelled")</f>
        <v/>
      </c>
      <c r="Z1273" s="25">
        <f>IFERROR(Q1273,0)</f>
        <v/>
      </c>
    </row>
    <row r="1274">
      <c r="A1274" s="17" t="inlineStr">
        <is>
          <t>ORD2273</t>
        </is>
      </c>
      <c r="B1274" s="17" t="inlineStr">
        <is>
          <t>2025-12-03</t>
        </is>
      </c>
      <c r="C1274" s="17" t="inlineStr">
        <is>
          <t>18:21:09</t>
        </is>
      </c>
      <c r="D1274" s="17" t="n">
        <v>1058</v>
      </c>
      <c r="E1274" s="17" t="n">
        <v>113</v>
      </c>
      <c r="F1274" s="17" t="n">
        <v>202</v>
      </c>
      <c r="G1274" s="17" t="inlineStr">
        <is>
          <t>Mumbai</t>
        </is>
      </c>
      <c r="H1274" s="17" t="inlineStr">
        <is>
          <t>Fast Food</t>
        </is>
      </c>
      <c r="I1274" s="22" t="n">
        <v>468</v>
      </c>
      <c r="J1274" s="22" t="n">
        <v>7.87</v>
      </c>
      <c r="K1274" s="22" t="n">
        <v>35</v>
      </c>
      <c r="L1274" s="23" t="n">
        <v>0.18</v>
      </c>
      <c r="M1274" s="22" t="n">
        <v>92.98999999999999</v>
      </c>
      <c r="N1274" s="24" t="n">
        <v>5</v>
      </c>
      <c r="O1274" s="24" t="n">
        <v>37.5</v>
      </c>
      <c r="P1274" s="17" t="inlineStr">
        <is>
          <t>UPI</t>
        </is>
      </c>
      <c r="Q1274" s="17" t="inlineStr">
        <is>
          <t>Delivered</t>
        </is>
      </c>
      <c r="R1274" s="17" t="n">
        <v>5</v>
      </c>
      <c r="S1274" s="17">
        <f>TEXT(B1274,"yyyy-mm")</f>
        <v/>
      </c>
      <c r="T1274" s="17">
        <f>VLOOKUP(D1274,Customers!A:D,4,FALSE)</f>
        <v/>
      </c>
      <c r="U1274" s="17">
        <f>CONCATENATE(A1274,"-",G1274)</f>
        <v/>
      </c>
      <c r="V1274" s="17">
        <f>IF(N1274="","",IF(N1274&lt;=30,"Fast (&lt;30m)",IF(N1274&lt;=45,"Moderate (30-45m)","Delayed (&gt;45m)")))</f>
        <v/>
      </c>
      <c r="W1274" s="17">
        <f>IF(AND(I1274&gt;600,P1274="Delivered"),"High Value Delivered","Standard")</f>
        <v/>
      </c>
      <c r="X1274" s="17">
        <f>IF(OR(N1274&gt;50,Q1274&lt;=2),"High Risk / Delayed","Normal")</f>
        <v/>
      </c>
      <c r="Y1274" s="17">
        <f>IF(NOT(P1274="Cancelled"),"Fulfilled","Cancelled")</f>
        <v/>
      </c>
      <c r="Z1274" s="17">
        <f>IFERROR(Q1274,0)</f>
        <v/>
      </c>
    </row>
    <row r="1275">
      <c r="A1275" s="25" t="inlineStr">
        <is>
          <t>ORD2274</t>
        </is>
      </c>
      <c r="B1275" s="25" t="inlineStr">
        <is>
          <t>2025-05-14</t>
        </is>
      </c>
      <c r="C1275" s="25" t="inlineStr">
        <is>
          <t>11:21:18</t>
        </is>
      </c>
      <c r="D1275" s="25" t="n">
        <v>1235</v>
      </c>
      <c r="E1275" s="25" t="n">
        <v>119</v>
      </c>
      <c r="F1275" s="25" t="n">
        <v>225</v>
      </c>
      <c r="G1275" s="25" t="inlineStr">
        <is>
          <t>Hyderabad</t>
        </is>
      </c>
      <c r="H1275" s="25" t="inlineStr">
        <is>
          <t>Biryani</t>
        </is>
      </c>
      <c r="I1275" s="26" t="n">
        <v>925</v>
      </c>
      <c r="J1275" s="26" t="n">
        <v>0</v>
      </c>
      <c r="K1275" s="26" t="n">
        <v>29.5</v>
      </c>
      <c r="L1275" s="27" t="n">
        <v>0.2</v>
      </c>
      <c r="M1275" s="26" t="n">
        <v>192.38</v>
      </c>
      <c r="N1275" s="28" t="n">
        <v>3.9</v>
      </c>
      <c r="O1275" s="28" t="n">
        <v>33.2</v>
      </c>
      <c r="P1275" s="25" t="inlineStr">
        <is>
          <t>Debit Card</t>
        </is>
      </c>
      <c r="Q1275" s="25" t="inlineStr">
        <is>
          <t>Delivered</t>
        </is>
      </c>
      <c r="R1275" s="25" t="n">
        <v>4</v>
      </c>
      <c r="S1275" s="25">
        <f>TEXT(B1275,"yyyy-mm")</f>
        <v/>
      </c>
      <c r="T1275" s="25">
        <f>VLOOKUP(D1275,Customers!A:D,4,FALSE)</f>
        <v/>
      </c>
      <c r="U1275" s="25">
        <f>CONCATENATE(A1275,"-",G1275)</f>
        <v/>
      </c>
      <c r="V1275" s="25">
        <f>IF(N1275="","",IF(N1275&lt;=30,"Fast (&lt;30m)",IF(N1275&lt;=45,"Moderate (30-45m)","Delayed (&gt;45m)")))</f>
        <v/>
      </c>
      <c r="W1275" s="25">
        <f>IF(AND(I1275&gt;600,P1275="Delivered"),"High Value Delivered","Standard")</f>
        <v/>
      </c>
      <c r="X1275" s="25">
        <f>IF(OR(N1275&gt;50,Q1275&lt;=2),"High Risk / Delayed","Normal")</f>
        <v/>
      </c>
      <c r="Y1275" s="25">
        <f>IF(NOT(P1275="Cancelled"),"Fulfilled","Cancelled")</f>
        <v/>
      </c>
      <c r="Z1275" s="25">
        <f>IFERROR(Q1275,0)</f>
        <v/>
      </c>
    </row>
    <row r="1276">
      <c r="A1276" s="17" t="inlineStr">
        <is>
          <t>ORD2275</t>
        </is>
      </c>
      <c r="B1276" s="17" t="inlineStr">
        <is>
          <t>2025-03-17</t>
        </is>
      </c>
      <c r="C1276" s="17" t="inlineStr">
        <is>
          <t>10:33:18</t>
        </is>
      </c>
      <c r="D1276" s="17" t="n">
        <v>1164</v>
      </c>
      <c r="E1276" s="17" t="n">
        <v>110</v>
      </c>
      <c r="F1276" s="17" t="n">
        <v>208</v>
      </c>
      <c r="G1276" s="17" t="inlineStr">
        <is>
          <t>Pune</t>
        </is>
      </c>
      <c r="H1276" s="17" t="inlineStr">
        <is>
          <t>North Indian</t>
        </is>
      </c>
      <c r="I1276" s="22" t="n">
        <v>246</v>
      </c>
      <c r="J1276" s="22" t="n">
        <v>0</v>
      </c>
      <c r="K1276" s="22" t="n">
        <v>25</v>
      </c>
      <c r="L1276" s="23" t="n">
        <v>0.18</v>
      </c>
      <c r="M1276" s="22" t="n">
        <v>50.53</v>
      </c>
      <c r="N1276" s="24" t="n">
        <v>2.3</v>
      </c>
      <c r="O1276" s="24" t="n">
        <v>23.9</v>
      </c>
      <c r="P1276" s="17" t="inlineStr">
        <is>
          <t>Debit Card</t>
        </is>
      </c>
      <c r="Q1276" s="17" t="inlineStr">
        <is>
          <t>Delivered</t>
        </is>
      </c>
      <c r="R1276" s="17" t="n">
        <v>5</v>
      </c>
      <c r="S1276" s="17">
        <f>TEXT(B1276,"yyyy-mm")</f>
        <v/>
      </c>
      <c r="T1276" s="17">
        <f>VLOOKUP(D1276,Customers!A:D,4,FALSE)</f>
        <v/>
      </c>
      <c r="U1276" s="17">
        <f>CONCATENATE(A1276,"-",G1276)</f>
        <v/>
      </c>
      <c r="V1276" s="17">
        <f>IF(N1276="","",IF(N1276&lt;=30,"Fast (&lt;30m)",IF(N1276&lt;=45,"Moderate (30-45m)","Delayed (&gt;45m)")))</f>
        <v/>
      </c>
      <c r="W1276" s="17">
        <f>IF(AND(I1276&gt;600,P1276="Delivered"),"High Value Delivered","Standard")</f>
        <v/>
      </c>
      <c r="X1276" s="17">
        <f>IF(OR(N1276&gt;50,Q1276&lt;=2),"High Risk / Delayed","Normal")</f>
        <v/>
      </c>
      <c r="Y1276" s="17">
        <f>IF(NOT(P1276="Cancelled"),"Fulfilled","Cancelled")</f>
        <v/>
      </c>
      <c r="Z1276" s="17">
        <f>IFERROR(Q1276,0)</f>
        <v/>
      </c>
    </row>
    <row r="1277">
      <c r="A1277" s="25" t="inlineStr">
        <is>
          <t>ORD2276</t>
        </is>
      </c>
      <c r="B1277" s="25" t="inlineStr">
        <is>
          <t>2025-10-18</t>
        </is>
      </c>
      <c r="C1277" s="25" t="inlineStr">
        <is>
          <t>21:40:19</t>
        </is>
      </c>
      <c r="D1277" s="25" t="n">
        <v>1193</v>
      </c>
      <c r="E1277" s="25" t="n">
        <v>104</v>
      </c>
      <c r="F1277" s="25" t="n">
        <v>230</v>
      </c>
      <c r="G1277" s="25" t="inlineStr">
        <is>
          <t>Delhi NCR</t>
        </is>
      </c>
      <c r="H1277" s="25" t="inlineStr">
        <is>
          <t>Fast Food</t>
        </is>
      </c>
      <c r="I1277" s="26" t="n">
        <v>988</v>
      </c>
      <c r="J1277" s="26" t="n">
        <v>142.26</v>
      </c>
      <c r="K1277" s="26" t="n">
        <v>0</v>
      </c>
      <c r="L1277" s="27" t="n">
        <v>0.18</v>
      </c>
      <c r="M1277" s="26" t="n">
        <v>177.84</v>
      </c>
      <c r="N1277" s="28" t="n">
        <v>6.7</v>
      </c>
      <c r="O1277" s="28" t="n">
        <v>41.1</v>
      </c>
      <c r="P1277" s="25" t="inlineStr">
        <is>
          <t>Credit Card</t>
        </is>
      </c>
      <c r="Q1277" s="25" t="inlineStr">
        <is>
          <t>Delivered</t>
        </is>
      </c>
      <c r="R1277" s="25" t="n">
        <v>2</v>
      </c>
      <c r="S1277" s="25">
        <f>TEXT(B1277,"yyyy-mm")</f>
        <v/>
      </c>
      <c r="T1277" s="25">
        <f>VLOOKUP(D1277,Customers!A:D,4,FALSE)</f>
        <v/>
      </c>
      <c r="U1277" s="25">
        <f>CONCATENATE(A1277,"-",G1277)</f>
        <v/>
      </c>
      <c r="V1277" s="25">
        <f>IF(N1277="","",IF(N1277&lt;=30,"Fast (&lt;30m)",IF(N1277&lt;=45,"Moderate (30-45m)","Delayed (&gt;45m)")))</f>
        <v/>
      </c>
      <c r="W1277" s="25">
        <f>IF(AND(I1277&gt;600,P1277="Delivered"),"High Value Delivered","Standard")</f>
        <v/>
      </c>
      <c r="X1277" s="25">
        <f>IF(OR(N1277&gt;50,Q1277&lt;=2),"High Risk / Delayed","Normal")</f>
        <v/>
      </c>
      <c r="Y1277" s="25">
        <f>IF(NOT(P1277="Cancelled"),"Fulfilled","Cancelled")</f>
        <v/>
      </c>
      <c r="Z1277" s="25">
        <f>IFERROR(Q1277,0)</f>
        <v/>
      </c>
    </row>
    <row r="1278">
      <c r="A1278" s="17" t="inlineStr">
        <is>
          <t>ORD2277</t>
        </is>
      </c>
      <c r="B1278" s="17" t="inlineStr">
        <is>
          <t>2025-07-16</t>
        </is>
      </c>
      <c r="C1278" s="17" t="inlineStr">
        <is>
          <t>12:16:40</t>
        </is>
      </c>
      <c r="D1278" s="17" t="n">
        <v>1291</v>
      </c>
      <c r="E1278" s="17" t="n">
        <v>114</v>
      </c>
      <c r="F1278" s="17" t="n">
        <v>216</v>
      </c>
      <c r="G1278" s="17" t="inlineStr">
        <is>
          <t>Hyderabad</t>
        </is>
      </c>
      <c r="H1278" s="17" t="inlineStr">
        <is>
          <t>Biryani</t>
        </is>
      </c>
      <c r="I1278" s="22" t="n">
        <v>453</v>
      </c>
      <c r="J1278" s="22" t="n">
        <v>0</v>
      </c>
      <c r="K1278" s="22" t="n">
        <v>35.5</v>
      </c>
      <c r="L1278" s="23" t="n">
        <v>0.22</v>
      </c>
      <c r="M1278" s="22" t="n">
        <v>108.54</v>
      </c>
      <c r="N1278" s="24" t="n">
        <v>5.1</v>
      </c>
      <c r="O1278" s="24" t="n">
        <v>37.4</v>
      </c>
      <c r="P1278" s="17" t="inlineStr">
        <is>
          <t>Debit Card</t>
        </is>
      </c>
      <c r="Q1278" s="17" t="inlineStr">
        <is>
          <t>Delivered</t>
        </is>
      </c>
      <c r="R1278" s="17" t="n">
        <v>3</v>
      </c>
      <c r="S1278" s="17">
        <f>TEXT(B1278,"yyyy-mm")</f>
        <v/>
      </c>
      <c r="T1278" s="17">
        <f>VLOOKUP(D1278,Customers!A:D,4,FALSE)</f>
        <v/>
      </c>
      <c r="U1278" s="17">
        <f>CONCATENATE(A1278,"-",G1278)</f>
        <v/>
      </c>
      <c r="V1278" s="17">
        <f>IF(N1278="","",IF(N1278&lt;=30,"Fast (&lt;30m)",IF(N1278&lt;=45,"Moderate (30-45m)","Delayed (&gt;45m)")))</f>
        <v/>
      </c>
      <c r="W1278" s="17">
        <f>IF(AND(I1278&gt;600,P1278="Delivered"),"High Value Delivered","Standard")</f>
        <v/>
      </c>
      <c r="X1278" s="17">
        <f>IF(OR(N1278&gt;50,Q1278&lt;=2),"High Risk / Delayed","Normal")</f>
        <v/>
      </c>
      <c r="Y1278" s="17">
        <f>IF(NOT(P1278="Cancelled"),"Fulfilled","Cancelled")</f>
        <v/>
      </c>
      <c r="Z1278" s="17">
        <f>IFERROR(Q1278,0)</f>
        <v/>
      </c>
    </row>
    <row r="1279">
      <c r="A1279" s="25" t="inlineStr">
        <is>
          <t>ORD2278</t>
        </is>
      </c>
      <c r="B1279" s="25" t="inlineStr">
        <is>
          <t>2025-05-13</t>
        </is>
      </c>
      <c r="C1279" s="25" t="inlineStr">
        <is>
          <t>12:23:46</t>
        </is>
      </c>
      <c r="D1279" s="25" t="n">
        <v>1226</v>
      </c>
      <c r="E1279" s="25" t="n">
        <v>111</v>
      </c>
      <c r="F1279" s="25" t="n">
        <v>223</v>
      </c>
      <c r="G1279" s="25" t="inlineStr">
        <is>
          <t>Bangalore</t>
        </is>
      </c>
      <c r="H1279" s="25" t="inlineStr">
        <is>
          <t>South Indian</t>
        </is>
      </c>
      <c r="I1279" s="26" t="n">
        <v>740</v>
      </c>
      <c r="J1279" s="26" t="n">
        <v>58.97</v>
      </c>
      <c r="K1279" s="26" t="n">
        <v>53</v>
      </c>
      <c r="L1279" s="27" t="n">
        <v>0.15</v>
      </c>
      <c r="M1279" s="26" t="n">
        <v>124.25</v>
      </c>
      <c r="N1279" s="28" t="n">
        <v>8.6</v>
      </c>
      <c r="O1279" s="28" t="n">
        <v>52.5</v>
      </c>
      <c r="P1279" s="25" t="inlineStr">
        <is>
          <t>Digital Wallet</t>
        </is>
      </c>
      <c r="Q1279" s="25" t="inlineStr">
        <is>
          <t>Returned</t>
        </is>
      </c>
      <c r="R1279" s="25" t="n">
        <v>4</v>
      </c>
      <c r="S1279" s="25">
        <f>TEXT(B1279,"yyyy-mm")</f>
        <v/>
      </c>
      <c r="T1279" s="25">
        <f>VLOOKUP(D1279,Customers!A:D,4,FALSE)</f>
        <v/>
      </c>
      <c r="U1279" s="25">
        <f>CONCATENATE(A1279,"-",G1279)</f>
        <v/>
      </c>
      <c r="V1279" s="25">
        <f>IF(N1279="","",IF(N1279&lt;=30,"Fast (&lt;30m)",IF(N1279&lt;=45,"Moderate (30-45m)","Delayed (&gt;45m)")))</f>
        <v/>
      </c>
      <c r="W1279" s="25">
        <f>IF(AND(I1279&gt;600,P1279="Delivered"),"High Value Delivered","Standard")</f>
        <v/>
      </c>
      <c r="X1279" s="25">
        <f>IF(OR(N1279&gt;50,Q1279&lt;=2),"High Risk / Delayed","Normal")</f>
        <v/>
      </c>
      <c r="Y1279" s="25">
        <f>IF(NOT(P1279="Cancelled"),"Fulfilled","Cancelled")</f>
        <v/>
      </c>
      <c r="Z1279" s="25">
        <f>IFERROR(Q1279,0)</f>
        <v/>
      </c>
    </row>
    <row r="1280">
      <c r="A1280" s="17" t="inlineStr">
        <is>
          <t>ORD2279</t>
        </is>
      </c>
      <c r="B1280" s="17" t="inlineStr">
        <is>
          <t>2025-11-26</t>
        </is>
      </c>
      <c r="C1280" s="17" t="inlineStr">
        <is>
          <t>23:09:37</t>
        </is>
      </c>
      <c r="D1280" s="17" t="n">
        <v>1007</v>
      </c>
      <c r="E1280" s="17" t="n">
        <v>115</v>
      </c>
      <c r="F1280" s="17" t="n">
        <v>203</v>
      </c>
      <c r="G1280" s="17" t="inlineStr">
        <is>
          <t>Bangalore</t>
        </is>
      </c>
      <c r="H1280" s="17" t="inlineStr">
        <is>
          <t>Italian</t>
        </is>
      </c>
      <c r="I1280" s="22" t="n">
        <v>733</v>
      </c>
      <c r="J1280" s="22" t="n">
        <v>0</v>
      </c>
      <c r="K1280" s="22" t="n">
        <v>25</v>
      </c>
      <c r="L1280" s="23" t="n">
        <v>0.2</v>
      </c>
      <c r="M1280" s="22" t="n">
        <v>152.85</v>
      </c>
      <c r="N1280" s="24" t="n">
        <v>2.4</v>
      </c>
      <c r="O1280" s="24" t="n">
        <v>36.4</v>
      </c>
      <c r="P1280" s="17" t="inlineStr">
        <is>
          <t>Cash on Delivery</t>
        </is>
      </c>
      <c r="Q1280" s="17" t="inlineStr">
        <is>
          <t>Delivered</t>
        </is>
      </c>
      <c r="R1280" s="17" t="n">
        <v>4</v>
      </c>
      <c r="S1280" s="17">
        <f>TEXT(B1280,"yyyy-mm")</f>
        <v/>
      </c>
      <c r="T1280" s="17">
        <f>VLOOKUP(D1280,Customers!A:D,4,FALSE)</f>
        <v/>
      </c>
      <c r="U1280" s="17">
        <f>CONCATENATE(A1280,"-",G1280)</f>
        <v/>
      </c>
      <c r="V1280" s="17">
        <f>IF(N1280="","",IF(N1280&lt;=30,"Fast (&lt;30m)",IF(N1280&lt;=45,"Moderate (30-45m)","Delayed (&gt;45m)")))</f>
        <v/>
      </c>
      <c r="W1280" s="17">
        <f>IF(AND(I1280&gt;600,P1280="Delivered"),"High Value Delivered","Standard")</f>
        <v/>
      </c>
      <c r="X1280" s="17">
        <f>IF(OR(N1280&gt;50,Q1280&lt;=2),"High Risk / Delayed","Normal")</f>
        <v/>
      </c>
      <c r="Y1280" s="17">
        <f>IF(NOT(P1280="Cancelled"),"Fulfilled","Cancelled")</f>
        <v/>
      </c>
      <c r="Z1280" s="17">
        <f>IFERROR(Q1280,0)</f>
        <v/>
      </c>
    </row>
    <row r="1281">
      <c r="A1281" s="25" t="inlineStr">
        <is>
          <t>ORD2280</t>
        </is>
      </c>
      <c r="B1281" s="25" t="inlineStr">
        <is>
          <t>2025-09-05</t>
        </is>
      </c>
      <c r="C1281" s="25" t="inlineStr">
        <is>
          <t>18:57:24</t>
        </is>
      </c>
      <c r="D1281" s="25" t="n">
        <v>1077</v>
      </c>
      <c r="E1281" s="25" t="n">
        <v>109</v>
      </c>
      <c r="F1281" s="25" t="n">
        <v>216</v>
      </c>
      <c r="G1281" s="25" t="inlineStr">
        <is>
          <t>Hyderabad</t>
        </is>
      </c>
      <c r="H1281" s="25" t="inlineStr">
        <is>
          <t>Biryani</t>
        </is>
      </c>
      <c r="I1281" s="26" t="n">
        <v>234</v>
      </c>
      <c r="J1281" s="26" t="n">
        <v>22.65</v>
      </c>
      <c r="K1281" s="26" t="n">
        <v>50</v>
      </c>
      <c r="L1281" s="27" t="n">
        <v>0.2</v>
      </c>
      <c r="M1281" s="26" t="n">
        <v>59.3</v>
      </c>
      <c r="N1281" s="28" t="n">
        <v>8</v>
      </c>
      <c r="O1281" s="28" t="n">
        <v>35.7</v>
      </c>
      <c r="P1281" s="25" t="inlineStr">
        <is>
          <t>Credit Card</t>
        </is>
      </c>
      <c r="Q1281" s="25" t="inlineStr">
        <is>
          <t>Delivered</t>
        </is>
      </c>
      <c r="R1281" s="25" t="n">
        <v>4</v>
      </c>
      <c r="S1281" s="25">
        <f>TEXT(B1281,"yyyy-mm")</f>
        <v/>
      </c>
      <c r="T1281" s="25">
        <f>VLOOKUP(D1281,Customers!A:D,4,FALSE)</f>
        <v/>
      </c>
      <c r="U1281" s="25">
        <f>CONCATENATE(A1281,"-",G1281)</f>
        <v/>
      </c>
      <c r="V1281" s="25">
        <f>IF(N1281="","",IF(N1281&lt;=30,"Fast (&lt;30m)",IF(N1281&lt;=45,"Moderate (30-45m)","Delayed (&gt;45m)")))</f>
        <v/>
      </c>
      <c r="W1281" s="25">
        <f>IF(AND(I1281&gt;600,P1281="Delivered"),"High Value Delivered","Standard")</f>
        <v/>
      </c>
      <c r="X1281" s="25">
        <f>IF(OR(N1281&gt;50,Q1281&lt;=2),"High Risk / Delayed","Normal")</f>
        <v/>
      </c>
      <c r="Y1281" s="25">
        <f>IF(NOT(P1281="Cancelled"),"Fulfilled","Cancelled")</f>
        <v/>
      </c>
      <c r="Z1281" s="25">
        <f>IFERROR(Q1281,0)</f>
        <v/>
      </c>
    </row>
    <row r="1282">
      <c r="A1282" s="17" t="inlineStr">
        <is>
          <t>ORD2281</t>
        </is>
      </c>
      <c r="B1282" s="17" t="inlineStr">
        <is>
          <t>2025-03-18</t>
        </is>
      </c>
      <c r="C1282" s="17" t="inlineStr">
        <is>
          <t>19:17:38</t>
        </is>
      </c>
      <c r="D1282" s="17" t="n">
        <v>1076</v>
      </c>
      <c r="E1282" s="17" t="n">
        <v>108</v>
      </c>
      <c r="F1282" s="17" t="n">
        <v>228</v>
      </c>
      <c r="G1282" s="17" t="inlineStr">
        <is>
          <t>Delhi NCR</t>
        </is>
      </c>
      <c r="H1282" s="17" t="inlineStr">
        <is>
          <t>Fast Food</t>
        </is>
      </c>
      <c r="I1282" s="22" t="n">
        <v>342</v>
      </c>
      <c r="J1282" s="22" t="n">
        <v>32.66</v>
      </c>
      <c r="K1282" s="22" t="n">
        <v>30.5</v>
      </c>
      <c r="L1282" s="23" t="n">
        <v>0.18</v>
      </c>
      <c r="M1282" s="22" t="n">
        <v>69.18000000000001</v>
      </c>
      <c r="N1282" s="24" t="n">
        <v>4.1</v>
      </c>
      <c r="O1282" s="24" t="n">
        <v>31.2</v>
      </c>
      <c r="P1282" s="17" t="inlineStr">
        <is>
          <t>Cash on Delivery</t>
        </is>
      </c>
      <c r="Q1282" s="17" t="inlineStr">
        <is>
          <t>Delivered</t>
        </is>
      </c>
      <c r="R1282" s="17" t="n">
        <v>5</v>
      </c>
      <c r="S1282" s="17">
        <f>TEXT(B1282,"yyyy-mm")</f>
        <v/>
      </c>
      <c r="T1282" s="17">
        <f>VLOOKUP(D1282,Customers!A:D,4,FALSE)</f>
        <v/>
      </c>
      <c r="U1282" s="17">
        <f>CONCATENATE(A1282,"-",G1282)</f>
        <v/>
      </c>
      <c r="V1282" s="17">
        <f>IF(N1282="","",IF(N1282&lt;=30,"Fast (&lt;30m)",IF(N1282&lt;=45,"Moderate (30-45m)","Delayed (&gt;45m)")))</f>
        <v/>
      </c>
      <c r="W1282" s="17">
        <f>IF(AND(I1282&gt;600,P1282="Delivered"),"High Value Delivered","Standard")</f>
        <v/>
      </c>
      <c r="X1282" s="17">
        <f>IF(OR(N1282&gt;50,Q1282&lt;=2),"High Risk / Delayed","Normal")</f>
        <v/>
      </c>
      <c r="Y1282" s="17">
        <f>IF(NOT(P1282="Cancelled"),"Fulfilled","Cancelled")</f>
        <v/>
      </c>
      <c r="Z1282" s="17">
        <f>IFERROR(Q1282,0)</f>
        <v/>
      </c>
    </row>
    <row r="1283">
      <c r="A1283" s="25" t="inlineStr">
        <is>
          <t>ORD2282</t>
        </is>
      </c>
      <c r="B1283" s="25" t="inlineStr">
        <is>
          <t>2025-07-06</t>
        </is>
      </c>
      <c r="C1283" s="25" t="inlineStr">
        <is>
          <t>06:42:02</t>
        </is>
      </c>
      <c r="D1283" s="25" t="n">
        <v>1203</v>
      </c>
      <c r="E1283" s="25" t="n">
        <v>108</v>
      </c>
      <c r="F1283" s="25" t="n">
        <v>221</v>
      </c>
      <c r="G1283" s="25" t="inlineStr">
        <is>
          <t>Delhi NCR</t>
        </is>
      </c>
      <c r="H1283" s="25" t="inlineStr">
        <is>
          <t>Fast Food</t>
        </is>
      </c>
      <c r="I1283" s="26" t="n">
        <v>628</v>
      </c>
      <c r="J1283" s="26" t="n">
        <v>47.83</v>
      </c>
      <c r="K1283" s="26" t="n">
        <v>25</v>
      </c>
      <c r="L1283" s="27" t="n">
        <v>0.18</v>
      </c>
      <c r="M1283" s="26" t="n">
        <v>119.29</v>
      </c>
      <c r="N1283" s="28" t="n">
        <v>2.3</v>
      </c>
      <c r="O1283" s="28" t="n">
        <v>23.7</v>
      </c>
      <c r="P1283" s="25" t="inlineStr">
        <is>
          <t>Debit Card</t>
        </is>
      </c>
      <c r="Q1283" s="25" t="inlineStr">
        <is>
          <t>Delivered</t>
        </is>
      </c>
      <c r="R1283" s="25" t="n">
        <v>5</v>
      </c>
      <c r="S1283" s="25">
        <f>TEXT(B1283,"yyyy-mm")</f>
        <v/>
      </c>
      <c r="T1283" s="25">
        <f>VLOOKUP(D1283,Customers!A:D,4,FALSE)</f>
        <v/>
      </c>
      <c r="U1283" s="25">
        <f>CONCATENATE(A1283,"-",G1283)</f>
        <v/>
      </c>
      <c r="V1283" s="25">
        <f>IF(N1283="","",IF(N1283&lt;=30,"Fast (&lt;30m)",IF(N1283&lt;=45,"Moderate (30-45m)","Delayed (&gt;45m)")))</f>
        <v/>
      </c>
      <c r="W1283" s="25">
        <f>IF(AND(I1283&gt;600,P1283="Delivered"),"High Value Delivered","Standard")</f>
        <v/>
      </c>
      <c r="X1283" s="25">
        <f>IF(OR(N1283&gt;50,Q1283&lt;=2),"High Risk / Delayed","Normal")</f>
        <v/>
      </c>
      <c r="Y1283" s="25">
        <f>IF(NOT(P1283="Cancelled"),"Fulfilled","Cancelled")</f>
        <v/>
      </c>
      <c r="Z1283" s="25">
        <f>IFERROR(Q1283,0)</f>
        <v/>
      </c>
    </row>
    <row r="1284">
      <c r="A1284" s="17" t="inlineStr">
        <is>
          <t>ORD2283</t>
        </is>
      </c>
      <c r="B1284" s="17" t="inlineStr">
        <is>
          <t>2025-10-18</t>
        </is>
      </c>
      <c r="C1284" s="17" t="inlineStr">
        <is>
          <t>13:33:15</t>
        </is>
      </c>
      <c r="D1284" s="17" t="n">
        <v>1248</v>
      </c>
      <c r="E1284" s="17" t="n">
        <v>108</v>
      </c>
      <c r="F1284" s="17" t="n">
        <v>211</v>
      </c>
      <c r="G1284" s="17" t="inlineStr">
        <is>
          <t>Delhi NCR</t>
        </is>
      </c>
      <c r="H1284" s="17" t="inlineStr">
        <is>
          <t>Fast Food</t>
        </is>
      </c>
      <c r="I1284" s="22" t="n">
        <v>635</v>
      </c>
      <c r="J1284" s="22" t="n">
        <v>114.13</v>
      </c>
      <c r="K1284" s="22" t="n">
        <v>0</v>
      </c>
      <c r="L1284" s="23" t="n">
        <v>0.18</v>
      </c>
      <c r="M1284" s="22" t="n">
        <v>114.3</v>
      </c>
      <c r="N1284" s="24" t="n">
        <v>5.3</v>
      </c>
      <c r="O1284" s="24" t="n">
        <v>40</v>
      </c>
      <c r="P1284" s="17" t="inlineStr">
        <is>
          <t>Credit Card</t>
        </is>
      </c>
      <c r="Q1284" s="17" t="inlineStr">
        <is>
          <t>Delivered</t>
        </is>
      </c>
      <c r="R1284" s="17" t="n">
        <v>5</v>
      </c>
      <c r="S1284" s="17">
        <f>TEXT(B1284,"yyyy-mm")</f>
        <v/>
      </c>
      <c r="T1284" s="17">
        <f>VLOOKUP(D1284,Customers!A:D,4,FALSE)</f>
        <v/>
      </c>
      <c r="U1284" s="17">
        <f>CONCATENATE(A1284,"-",G1284)</f>
        <v/>
      </c>
      <c r="V1284" s="17">
        <f>IF(N1284="","",IF(N1284&lt;=30,"Fast (&lt;30m)",IF(N1284&lt;=45,"Moderate (30-45m)","Delayed (&gt;45m)")))</f>
        <v/>
      </c>
      <c r="W1284" s="17">
        <f>IF(AND(I1284&gt;600,P1284="Delivered"),"High Value Delivered","Standard")</f>
        <v/>
      </c>
      <c r="X1284" s="17">
        <f>IF(OR(N1284&gt;50,Q1284&lt;=2),"High Risk / Delayed","Normal")</f>
        <v/>
      </c>
      <c r="Y1284" s="17">
        <f>IF(NOT(P1284="Cancelled"),"Fulfilled","Cancelled")</f>
        <v/>
      </c>
      <c r="Z1284" s="17">
        <f>IFERROR(Q1284,0)</f>
        <v/>
      </c>
    </row>
    <row r="1285">
      <c r="A1285" s="25" t="inlineStr">
        <is>
          <t>ORD2284</t>
        </is>
      </c>
      <c r="B1285" s="25" t="inlineStr">
        <is>
          <t>2025-04-01</t>
        </is>
      </c>
      <c r="C1285" s="25" t="inlineStr">
        <is>
          <t>12:02:38</t>
        </is>
      </c>
      <c r="D1285" s="25" t="n">
        <v>1286</v>
      </c>
      <c r="E1285" s="25" t="n">
        <v>118</v>
      </c>
      <c r="F1285" s="25" t="n">
        <v>211</v>
      </c>
      <c r="G1285" s="25" t="inlineStr">
        <is>
          <t>Delhi NCR</t>
        </is>
      </c>
      <c r="H1285" s="25" t="inlineStr">
        <is>
          <t>North Indian</t>
        </is>
      </c>
      <c r="I1285" s="26" t="n">
        <v>492</v>
      </c>
      <c r="J1285" s="26" t="n">
        <v>3.6</v>
      </c>
      <c r="K1285" s="26" t="n">
        <v>38.5</v>
      </c>
      <c r="L1285" s="27" t="n">
        <v>0.2</v>
      </c>
      <c r="M1285" s="26" t="n">
        <v>108.02</v>
      </c>
      <c r="N1285" s="28" t="n">
        <v>5.7</v>
      </c>
      <c r="O1285" s="28" t="n">
        <v>40.2</v>
      </c>
      <c r="P1285" s="25" t="inlineStr">
        <is>
          <t>UPI</t>
        </is>
      </c>
      <c r="Q1285" s="25" t="inlineStr">
        <is>
          <t>Delivered</t>
        </is>
      </c>
      <c r="R1285" s="25" t="n">
        <v>1</v>
      </c>
      <c r="S1285" s="25">
        <f>TEXT(B1285,"yyyy-mm")</f>
        <v/>
      </c>
      <c r="T1285" s="25">
        <f>VLOOKUP(D1285,Customers!A:D,4,FALSE)</f>
        <v/>
      </c>
      <c r="U1285" s="25">
        <f>CONCATENATE(A1285,"-",G1285)</f>
        <v/>
      </c>
      <c r="V1285" s="25">
        <f>IF(N1285="","",IF(N1285&lt;=30,"Fast (&lt;30m)",IF(N1285&lt;=45,"Moderate (30-45m)","Delayed (&gt;45m)")))</f>
        <v/>
      </c>
      <c r="W1285" s="25">
        <f>IF(AND(I1285&gt;600,P1285="Delivered"),"High Value Delivered","Standard")</f>
        <v/>
      </c>
      <c r="X1285" s="25">
        <f>IF(OR(N1285&gt;50,Q1285&lt;=2),"High Risk / Delayed","Normal")</f>
        <v/>
      </c>
      <c r="Y1285" s="25">
        <f>IF(NOT(P1285="Cancelled"),"Fulfilled","Cancelled")</f>
        <v/>
      </c>
      <c r="Z1285" s="25">
        <f>IFERROR(Q1285,0)</f>
        <v/>
      </c>
    </row>
    <row r="1286">
      <c r="A1286" s="17" t="inlineStr">
        <is>
          <t>ORD2285</t>
        </is>
      </c>
      <c r="B1286" s="17" t="inlineStr">
        <is>
          <t>2025-02-01</t>
        </is>
      </c>
      <c r="C1286" s="17" t="inlineStr">
        <is>
          <t>23:13:14</t>
        </is>
      </c>
      <c r="D1286" s="17" t="n">
        <v>1076</v>
      </c>
      <c r="E1286" s="17" t="n">
        <v>112</v>
      </c>
      <c r="F1286" s="17" t="n">
        <v>221</v>
      </c>
      <c r="G1286" s="17" t="inlineStr">
        <is>
          <t>Delhi NCR</t>
        </is>
      </c>
      <c r="H1286" s="17" t="inlineStr">
        <is>
          <t>North Indian</t>
        </is>
      </c>
      <c r="I1286" s="22" t="n">
        <v>469</v>
      </c>
      <c r="J1286" s="22" t="n">
        <v>42.68</v>
      </c>
      <c r="K1286" s="22" t="n">
        <v>36.5</v>
      </c>
      <c r="L1286" s="23" t="n">
        <v>0.22</v>
      </c>
      <c r="M1286" s="22" t="n">
        <v>112.3</v>
      </c>
      <c r="N1286" s="24" t="n">
        <v>5.3</v>
      </c>
      <c r="O1286" s="24" t="n">
        <v>33.6</v>
      </c>
      <c r="P1286" s="17" t="inlineStr">
        <is>
          <t>Cash on Delivery</t>
        </is>
      </c>
      <c r="Q1286" s="17" t="inlineStr">
        <is>
          <t>Delivered</t>
        </is>
      </c>
      <c r="R1286" s="17" t="n">
        <v>5</v>
      </c>
      <c r="S1286" s="17">
        <f>TEXT(B1286,"yyyy-mm")</f>
        <v/>
      </c>
      <c r="T1286" s="17">
        <f>VLOOKUP(D1286,Customers!A:D,4,FALSE)</f>
        <v/>
      </c>
      <c r="U1286" s="17">
        <f>CONCATENATE(A1286,"-",G1286)</f>
        <v/>
      </c>
      <c r="V1286" s="17">
        <f>IF(N1286="","",IF(N1286&lt;=30,"Fast (&lt;30m)",IF(N1286&lt;=45,"Moderate (30-45m)","Delayed (&gt;45m)")))</f>
        <v/>
      </c>
      <c r="W1286" s="17">
        <f>IF(AND(I1286&gt;600,P1286="Delivered"),"High Value Delivered","Standard")</f>
        <v/>
      </c>
      <c r="X1286" s="17">
        <f>IF(OR(N1286&gt;50,Q1286&lt;=2),"High Risk / Delayed","Normal")</f>
        <v/>
      </c>
      <c r="Y1286" s="17">
        <f>IF(NOT(P1286="Cancelled"),"Fulfilled","Cancelled")</f>
        <v/>
      </c>
      <c r="Z1286" s="17">
        <f>IFERROR(Q1286,0)</f>
        <v/>
      </c>
    </row>
    <row r="1287">
      <c r="A1287" s="25" t="inlineStr">
        <is>
          <t>ORD2286</t>
        </is>
      </c>
      <c r="B1287" s="25" t="inlineStr">
        <is>
          <t>2025-06-13</t>
        </is>
      </c>
      <c r="C1287" s="25" t="inlineStr">
        <is>
          <t>07:50:40</t>
        </is>
      </c>
      <c r="D1287" s="25" t="n">
        <v>1190</v>
      </c>
      <c r="E1287" s="25" t="n">
        <v>102</v>
      </c>
      <c r="F1287" s="25" t="n">
        <v>215</v>
      </c>
      <c r="G1287" s="25" t="inlineStr">
        <is>
          <t>Hyderabad</t>
        </is>
      </c>
      <c r="H1287" s="25" t="inlineStr">
        <is>
          <t>Biryani</t>
        </is>
      </c>
      <c r="I1287" s="26" t="n">
        <v>294</v>
      </c>
      <c r="J1287" s="26" t="n">
        <v>0</v>
      </c>
      <c r="K1287" s="26" t="n">
        <v>41.5</v>
      </c>
      <c r="L1287" s="27" t="n">
        <v>0.22</v>
      </c>
      <c r="M1287" s="26" t="n">
        <v>75.06</v>
      </c>
      <c r="N1287" s="28" t="n">
        <v>6.3</v>
      </c>
      <c r="O1287" s="28" t="n">
        <v>31.6</v>
      </c>
      <c r="P1287" s="25" t="inlineStr">
        <is>
          <t>UPI</t>
        </is>
      </c>
      <c r="Q1287" s="25" t="inlineStr">
        <is>
          <t>Delivered</t>
        </is>
      </c>
      <c r="R1287" s="25" t="n">
        <v>4</v>
      </c>
      <c r="S1287" s="25">
        <f>TEXT(B1287,"yyyy-mm")</f>
        <v/>
      </c>
      <c r="T1287" s="25">
        <f>VLOOKUP(D1287,Customers!A:D,4,FALSE)</f>
        <v/>
      </c>
      <c r="U1287" s="25">
        <f>CONCATENATE(A1287,"-",G1287)</f>
        <v/>
      </c>
      <c r="V1287" s="25">
        <f>IF(N1287="","",IF(N1287&lt;=30,"Fast (&lt;30m)",IF(N1287&lt;=45,"Moderate (30-45m)","Delayed (&gt;45m)")))</f>
        <v/>
      </c>
      <c r="W1287" s="25">
        <f>IF(AND(I1287&gt;600,P1287="Delivered"),"High Value Delivered","Standard")</f>
        <v/>
      </c>
      <c r="X1287" s="25">
        <f>IF(OR(N1287&gt;50,Q1287&lt;=2),"High Risk / Delayed","Normal")</f>
        <v/>
      </c>
      <c r="Y1287" s="25">
        <f>IF(NOT(P1287="Cancelled"),"Fulfilled","Cancelled")</f>
        <v/>
      </c>
      <c r="Z1287" s="25">
        <f>IFERROR(Q1287,0)</f>
        <v/>
      </c>
    </row>
    <row r="1288">
      <c r="A1288" s="17" t="inlineStr">
        <is>
          <t>ORD2287</t>
        </is>
      </c>
      <c r="B1288" s="17" t="inlineStr">
        <is>
          <t>2025-10-05</t>
        </is>
      </c>
      <c r="C1288" s="17" t="inlineStr">
        <is>
          <t>21:37:13</t>
        </is>
      </c>
      <c r="D1288" s="17" t="n">
        <v>1163</v>
      </c>
      <c r="E1288" s="17" t="n">
        <v>107</v>
      </c>
      <c r="F1288" s="17" t="n">
        <v>222</v>
      </c>
      <c r="G1288" s="17" t="inlineStr">
        <is>
          <t>Mumbai</t>
        </is>
      </c>
      <c r="H1288" s="17" t="inlineStr">
        <is>
          <t>Desserts</t>
        </is>
      </c>
      <c r="I1288" s="22" t="n">
        <v>832</v>
      </c>
      <c r="J1288" s="22" t="n">
        <v>69.98</v>
      </c>
      <c r="K1288" s="22" t="n">
        <v>39.5</v>
      </c>
      <c r="L1288" s="23" t="n">
        <v>0.25</v>
      </c>
      <c r="M1288" s="22" t="n">
        <v>217.88</v>
      </c>
      <c r="N1288" s="24" t="n">
        <v>5.9</v>
      </c>
      <c r="O1288" s="24" t="n">
        <v>43.1</v>
      </c>
      <c r="P1288" s="17" t="inlineStr">
        <is>
          <t>Digital Wallet</t>
        </is>
      </c>
      <c r="Q1288" s="17" t="inlineStr">
        <is>
          <t>Delivered</t>
        </is>
      </c>
      <c r="R1288" s="17" t="n">
        <v>1</v>
      </c>
      <c r="S1288" s="17">
        <f>TEXT(B1288,"yyyy-mm")</f>
        <v/>
      </c>
      <c r="T1288" s="17">
        <f>VLOOKUP(D1288,Customers!A:D,4,FALSE)</f>
        <v/>
      </c>
      <c r="U1288" s="17">
        <f>CONCATENATE(A1288,"-",G1288)</f>
        <v/>
      </c>
      <c r="V1288" s="17">
        <f>IF(N1288="","",IF(N1288&lt;=30,"Fast (&lt;30m)",IF(N1288&lt;=45,"Moderate (30-45m)","Delayed (&gt;45m)")))</f>
        <v/>
      </c>
      <c r="W1288" s="17">
        <f>IF(AND(I1288&gt;600,P1288="Delivered"),"High Value Delivered","Standard")</f>
        <v/>
      </c>
      <c r="X1288" s="17">
        <f>IF(OR(N1288&gt;50,Q1288&lt;=2),"High Risk / Delayed","Normal")</f>
        <v/>
      </c>
      <c r="Y1288" s="17">
        <f>IF(NOT(P1288="Cancelled"),"Fulfilled","Cancelled")</f>
        <v/>
      </c>
      <c r="Z1288" s="17">
        <f>IFERROR(Q1288,0)</f>
        <v/>
      </c>
    </row>
    <row r="1289">
      <c r="A1289" s="25" t="inlineStr">
        <is>
          <t>ORD2288</t>
        </is>
      </c>
      <c r="B1289" s="25" t="inlineStr">
        <is>
          <t>2025-11-26</t>
        </is>
      </c>
      <c r="C1289" s="25" t="inlineStr">
        <is>
          <t>20:12:37</t>
        </is>
      </c>
      <c r="D1289" s="25" t="n">
        <v>1040</v>
      </c>
      <c r="E1289" s="25" t="n">
        <v>116</v>
      </c>
      <c r="F1289" s="25" t="n">
        <v>209</v>
      </c>
      <c r="G1289" s="25" t="inlineStr">
        <is>
          <t>Pune</t>
        </is>
      </c>
      <c r="H1289" s="25" t="inlineStr">
        <is>
          <t>Desserts</t>
        </is>
      </c>
      <c r="I1289" s="26" t="n">
        <v>870</v>
      </c>
      <c r="J1289" s="26" t="n">
        <v>31.76</v>
      </c>
      <c r="K1289" s="26" t="n">
        <v>25</v>
      </c>
      <c r="L1289" s="27" t="n">
        <v>0.25</v>
      </c>
      <c r="M1289" s="26" t="n">
        <v>223.75</v>
      </c>
      <c r="N1289" s="28" t="n">
        <v>2.2</v>
      </c>
      <c r="O1289" s="28" t="n">
        <v>20.9</v>
      </c>
      <c r="P1289" s="25" t="inlineStr">
        <is>
          <t>Cash on Delivery</t>
        </is>
      </c>
      <c r="Q1289" s="25" t="inlineStr">
        <is>
          <t>Delivered</t>
        </is>
      </c>
      <c r="R1289" s="25" t="n">
        <v>2</v>
      </c>
      <c r="S1289" s="25">
        <f>TEXT(B1289,"yyyy-mm")</f>
        <v/>
      </c>
      <c r="T1289" s="25">
        <f>VLOOKUP(D1289,Customers!A:D,4,FALSE)</f>
        <v/>
      </c>
      <c r="U1289" s="25">
        <f>CONCATENATE(A1289,"-",G1289)</f>
        <v/>
      </c>
      <c r="V1289" s="25">
        <f>IF(N1289="","",IF(N1289&lt;=30,"Fast (&lt;30m)",IF(N1289&lt;=45,"Moderate (30-45m)","Delayed (&gt;45m)")))</f>
        <v/>
      </c>
      <c r="W1289" s="25">
        <f>IF(AND(I1289&gt;600,P1289="Delivered"),"High Value Delivered","Standard")</f>
        <v/>
      </c>
      <c r="X1289" s="25">
        <f>IF(OR(N1289&gt;50,Q1289&lt;=2),"High Risk / Delayed","Normal")</f>
        <v/>
      </c>
      <c r="Y1289" s="25">
        <f>IF(NOT(P1289="Cancelled"),"Fulfilled","Cancelled")</f>
        <v/>
      </c>
      <c r="Z1289" s="25">
        <f>IFERROR(Q1289,0)</f>
        <v/>
      </c>
    </row>
    <row r="1290">
      <c r="A1290" s="17" t="inlineStr">
        <is>
          <t>ORD2289</t>
        </is>
      </c>
      <c r="B1290" s="17" t="inlineStr">
        <is>
          <t>2025-06-18</t>
        </is>
      </c>
      <c r="C1290" s="17" t="inlineStr">
        <is>
          <t>18:32:30</t>
        </is>
      </c>
      <c r="D1290" s="17" t="n">
        <v>1134</v>
      </c>
      <c r="E1290" s="17" t="n">
        <v>114</v>
      </c>
      <c r="F1290" s="17" t="n">
        <v>225</v>
      </c>
      <c r="G1290" s="17" t="inlineStr">
        <is>
          <t>Hyderabad</t>
        </is>
      </c>
      <c r="H1290" s="17" t="inlineStr">
        <is>
          <t>Biryani</t>
        </is>
      </c>
      <c r="I1290" s="22" t="n">
        <v>746</v>
      </c>
      <c r="J1290" s="22" t="n">
        <v>0</v>
      </c>
      <c r="K1290" s="22" t="n">
        <v>27.5</v>
      </c>
      <c r="L1290" s="23" t="n">
        <v>0.22</v>
      </c>
      <c r="M1290" s="22" t="n">
        <v>171</v>
      </c>
      <c r="N1290" s="24" t="n">
        <v>3.5</v>
      </c>
      <c r="O1290" s="24" t="n">
        <v>28.4</v>
      </c>
      <c r="P1290" s="17" t="inlineStr">
        <is>
          <t>Debit Card</t>
        </is>
      </c>
      <c r="Q1290" s="17" t="inlineStr">
        <is>
          <t>Delivered</t>
        </is>
      </c>
      <c r="R1290" s="17" t="n">
        <v>4</v>
      </c>
      <c r="S1290" s="17">
        <f>TEXT(B1290,"yyyy-mm")</f>
        <v/>
      </c>
      <c r="T1290" s="17">
        <f>VLOOKUP(D1290,Customers!A:D,4,FALSE)</f>
        <v/>
      </c>
      <c r="U1290" s="17">
        <f>CONCATENATE(A1290,"-",G1290)</f>
        <v/>
      </c>
      <c r="V1290" s="17">
        <f>IF(N1290="","",IF(N1290&lt;=30,"Fast (&lt;30m)",IF(N1290&lt;=45,"Moderate (30-45m)","Delayed (&gt;45m)")))</f>
        <v/>
      </c>
      <c r="W1290" s="17">
        <f>IF(AND(I1290&gt;600,P1290="Delivered"),"High Value Delivered","Standard")</f>
        <v/>
      </c>
      <c r="X1290" s="17">
        <f>IF(OR(N1290&gt;50,Q1290&lt;=2),"High Risk / Delayed","Normal")</f>
        <v/>
      </c>
      <c r="Y1290" s="17">
        <f>IF(NOT(P1290="Cancelled"),"Fulfilled","Cancelled")</f>
        <v/>
      </c>
      <c r="Z1290" s="17">
        <f>IFERROR(Q1290,0)</f>
        <v/>
      </c>
    </row>
    <row r="1291">
      <c r="A1291" s="25" t="inlineStr">
        <is>
          <t>ORD2290</t>
        </is>
      </c>
      <c r="B1291" s="25" t="inlineStr">
        <is>
          <t>2025-12-14</t>
        </is>
      </c>
      <c r="C1291" s="25" t="inlineStr">
        <is>
          <t>14:35:32</t>
        </is>
      </c>
      <c r="D1291" s="25" t="n">
        <v>1256</v>
      </c>
      <c r="E1291" s="25" t="n">
        <v>111</v>
      </c>
      <c r="F1291" s="25" t="n">
        <v>218</v>
      </c>
      <c r="G1291" s="25" t="inlineStr">
        <is>
          <t>Bangalore</t>
        </is>
      </c>
      <c r="H1291" s="25" t="inlineStr">
        <is>
          <t>South Indian</t>
        </is>
      </c>
      <c r="I1291" s="26" t="n">
        <v>536</v>
      </c>
      <c r="J1291" s="26" t="n">
        <v>4.78</v>
      </c>
      <c r="K1291" s="26" t="n">
        <v>34</v>
      </c>
      <c r="L1291" s="27" t="n">
        <v>0.15</v>
      </c>
      <c r="M1291" s="26" t="n">
        <v>88.90000000000001</v>
      </c>
      <c r="N1291" s="28" t="n">
        <v>4.8</v>
      </c>
      <c r="O1291" s="28" t="n">
        <v>43.8</v>
      </c>
      <c r="P1291" s="25" t="inlineStr">
        <is>
          <t>Credit Card</t>
        </is>
      </c>
      <c r="Q1291" s="25" t="inlineStr">
        <is>
          <t>Delivered</t>
        </is>
      </c>
      <c r="R1291" s="25" t="n">
        <v>4</v>
      </c>
      <c r="S1291" s="25">
        <f>TEXT(B1291,"yyyy-mm")</f>
        <v/>
      </c>
      <c r="T1291" s="25">
        <f>VLOOKUP(D1291,Customers!A:D,4,FALSE)</f>
        <v/>
      </c>
      <c r="U1291" s="25">
        <f>CONCATENATE(A1291,"-",G1291)</f>
        <v/>
      </c>
      <c r="V1291" s="25">
        <f>IF(N1291="","",IF(N1291&lt;=30,"Fast (&lt;30m)",IF(N1291&lt;=45,"Moderate (30-45m)","Delayed (&gt;45m)")))</f>
        <v/>
      </c>
      <c r="W1291" s="25">
        <f>IF(AND(I1291&gt;600,P1291="Delivered"),"High Value Delivered","Standard")</f>
        <v/>
      </c>
      <c r="X1291" s="25">
        <f>IF(OR(N1291&gt;50,Q1291&lt;=2),"High Risk / Delayed","Normal")</f>
        <v/>
      </c>
      <c r="Y1291" s="25">
        <f>IF(NOT(P1291="Cancelled"),"Fulfilled","Cancelled")</f>
        <v/>
      </c>
      <c r="Z1291" s="25">
        <f>IFERROR(Q1291,0)</f>
        <v/>
      </c>
    </row>
    <row r="1292">
      <c r="A1292" s="17" t="inlineStr">
        <is>
          <t>ORD2291</t>
        </is>
      </c>
      <c r="B1292" s="17" t="inlineStr">
        <is>
          <t>2025-09-18</t>
        </is>
      </c>
      <c r="C1292" s="17" t="inlineStr">
        <is>
          <t>13:30:31</t>
        </is>
      </c>
      <c r="D1292" s="17" t="n">
        <v>1249</v>
      </c>
      <c r="E1292" s="17" t="n">
        <v>119</v>
      </c>
      <c r="F1292" s="17" t="n">
        <v>216</v>
      </c>
      <c r="G1292" s="17" t="inlineStr">
        <is>
          <t>Hyderabad</t>
        </is>
      </c>
      <c r="H1292" s="17" t="inlineStr">
        <is>
          <t>Biryani</t>
        </is>
      </c>
      <c r="I1292" s="22" t="n">
        <v>532</v>
      </c>
      <c r="J1292" s="22" t="n">
        <v>56.69</v>
      </c>
      <c r="K1292" s="22" t="n">
        <v>0</v>
      </c>
      <c r="L1292" s="23" t="n">
        <v>0.2</v>
      </c>
      <c r="M1292" s="22" t="n">
        <v>106.4</v>
      </c>
      <c r="N1292" s="24" t="n">
        <v>6.6</v>
      </c>
      <c r="O1292" s="24" t="n">
        <v>50.3</v>
      </c>
      <c r="P1292" s="17" t="inlineStr">
        <is>
          <t>Debit Card</t>
        </is>
      </c>
      <c r="Q1292" s="17" t="inlineStr">
        <is>
          <t>Delivered</t>
        </is>
      </c>
      <c r="R1292" s="17" t="n">
        <v>2</v>
      </c>
      <c r="S1292" s="17">
        <f>TEXT(B1292,"yyyy-mm")</f>
        <v/>
      </c>
      <c r="T1292" s="17">
        <f>VLOOKUP(D1292,Customers!A:D,4,FALSE)</f>
        <v/>
      </c>
      <c r="U1292" s="17">
        <f>CONCATENATE(A1292,"-",G1292)</f>
        <v/>
      </c>
      <c r="V1292" s="17">
        <f>IF(N1292="","",IF(N1292&lt;=30,"Fast (&lt;30m)",IF(N1292&lt;=45,"Moderate (30-45m)","Delayed (&gt;45m)")))</f>
        <v/>
      </c>
      <c r="W1292" s="17">
        <f>IF(AND(I1292&gt;600,P1292="Delivered"),"High Value Delivered","Standard")</f>
        <v/>
      </c>
      <c r="X1292" s="17">
        <f>IF(OR(N1292&gt;50,Q1292&lt;=2),"High Risk / Delayed","Normal")</f>
        <v/>
      </c>
      <c r="Y1292" s="17">
        <f>IF(NOT(P1292="Cancelled"),"Fulfilled","Cancelled")</f>
        <v/>
      </c>
      <c r="Z1292" s="17">
        <f>IFERROR(Q1292,0)</f>
        <v/>
      </c>
    </row>
    <row r="1293">
      <c r="A1293" s="25" t="inlineStr">
        <is>
          <t>ORD2292</t>
        </is>
      </c>
      <c r="B1293" s="25" t="inlineStr">
        <is>
          <t>2025-06-25</t>
        </is>
      </c>
      <c r="C1293" s="25" t="inlineStr">
        <is>
          <t>12:40:43</t>
        </is>
      </c>
      <c r="D1293" s="25" t="n">
        <v>1139</v>
      </c>
      <c r="E1293" s="25" t="n">
        <v>108</v>
      </c>
      <c r="F1293" s="25" t="n">
        <v>219</v>
      </c>
      <c r="G1293" s="25" t="inlineStr">
        <is>
          <t>Delhi NCR</t>
        </is>
      </c>
      <c r="H1293" s="25" t="inlineStr">
        <is>
          <t>Fast Food</t>
        </is>
      </c>
      <c r="I1293" s="26" t="n">
        <v>771</v>
      </c>
      <c r="J1293" s="26" t="n">
        <v>11.94</v>
      </c>
      <c r="K1293" s="26" t="n">
        <v>25.5</v>
      </c>
      <c r="L1293" s="27" t="n">
        <v>0.18</v>
      </c>
      <c r="M1293" s="26" t="n">
        <v>145.16</v>
      </c>
      <c r="N1293" s="28" t="n">
        <v>3.1</v>
      </c>
      <c r="O1293" s="28" t="n">
        <v>25.9</v>
      </c>
      <c r="P1293" s="25" t="inlineStr">
        <is>
          <t>Credit Card</t>
        </is>
      </c>
      <c r="Q1293" s="25" t="inlineStr">
        <is>
          <t>Delivered</t>
        </is>
      </c>
      <c r="R1293" s="25" t="n">
        <v>4</v>
      </c>
      <c r="S1293" s="25">
        <f>TEXT(B1293,"yyyy-mm")</f>
        <v/>
      </c>
      <c r="T1293" s="25">
        <f>VLOOKUP(D1293,Customers!A:D,4,FALSE)</f>
        <v/>
      </c>
      <c r="U1293" s="25">
        <f>CONCATENATE(A1293,"-",G1293)</f>
        <v/>
      </c>
      <c r="V1293" s="25">
        <f>IF(N1293="","",IF(N1293&lt;=30,"Fast (&lt;30m)",IF(N1293&lt;=45,"Moderate (30-45m)","Delayed (&gt;45m)")))</f>
        <v/>
      </c>
      <c r="W1293" s="25">
        <f>IF(AND(I1293&gt;600,P1293="Delivered"),"High Value Delivered","Standard")</f>
        <v/>
      </c>
      <c r="X1293" s="25">
        <f>IF(OR(N1293&gt;50,Q1293&lt;=2),"High Risk / Delayed","Normal")</f>
        <v/>
      </c>
      <c r="Y1293" s="25">
        <f>IF(NOT(P1293="Cancelled"),"Fulfilled","Cancelled")</f>
        <v/>
      </c>
      <c r="Z1293" s="25">
        <f>IFERROR(Q1293,0)</f>
        <v/>
      </c>
    </row>
    <row r="1294">
      <c r="A1294" s="17" t="inlineStr">
        <is>
          <t>ORD2293</t>
        </is>
      </c>
      <c r="B1294" s="17" t="inlineStr">
        <is>
          <t>2025-09-14</t>
        </is>
      </c>
      <c r="C1294" s="17" t="inlineStr">
        <is>
          <t>23:19:20</t>
        </is>
      </c>
      <c r="D1294" s="17" t="n">
        <v>1061</v>
      </c>
      <c r="E1294" s="17" t="n">
        <v>116</v>
      </c>
      <c r="F1294" s="17" t="n">
        <v>204</v>
      </c>
      <c r="G1294" s="17" t="inlineStr">
        <is>
          <t>Pune</t>
        </is>
      </c>
      <c r="H1294" s="17" t="inlineStr">
        <is>
          <t>Desserts</t>
        </is>
      </c>
      <c r="I1294" s="22" t="n">
        <v>763</v>
      </c>
      <c r="J1294" s="22" t="n">
        <v>0</v>
      </c>
      <c r="K1294" s="22" t="n">
        <v>25</v>
      </c>
      <c r="L1294" s="23" t="n">
        <v>0.25</v>
      </c>
      <c r="M1294" s="22" t="n">
        <v>197</v>
      </c>
      <c r="N1294" s="24" t="n">
        <v>2.7</v>
      </c>
      <c r="O1294" s="24" t="n">
        <v>31.1</v>
      </c>
      <c r="P1294" s="17" t="inlineStr">
        <is>
          <t>Digital Wallet</t>
        </is>
      </c>
      <c r="Q1294" s="17" t="inlineStr">
        <is>
          <t>Delivered</t>
        </is>
      </c>
      <c r="R1294" s="17" t="n">
        <v>5</v>
      </c>
      <c r="S1294" s="17">
        <f>TEXT(B1294,"yyyy-mm")</f>
        <v/>
      </c>
      <c r="T1294" s="17">
        <f>VLOOKUP(D1294,Customers!A:D,4,FALSE)</f>
        <v/>
      </c>
      <c r="U1294" s="17">
        <f>CONCATENATE(A1294,"-",G1294)</f>
        <v/>
      </c>
      <c r="V1294" s="17">
        <f>IF(N1294="","",IF(N1294&lt;=30,"Fast (&lt;30m)",IF(N1294&lt;=45,"Moderate (30-45m)","Delayed (&gt;45m)")))</f>
        <v/>
      </c>
      <c r="W1294" s="17">
        <f>IF(AND(I1294&gt;600,P1294="Delivered"),"High Value Delivered","Standard")</f>
        <v/>
      </c>
      <c r="X1294" s="17">
        <f>IF(OR(N1294&gt;50,Q1294&lt;=2),"High Risk / Delayed","Normal")</f>
        <v/>
      </c>
      <c r="Y1294" s="17">
        <f>IF(NOT(P1294="Cancelled"),"Fulfilled","Cancelled")</f>
        <v/>
      </c>
      <c r="Z1294" s="17">
        <f>IFERROR(Q1294,0)</f>
        <v/>
      </c>
    </row>
    <row r="1295">
      <c r="A1295" s="25" t="inlineStr">
        <is>
          <t>ORD2294</t>
        </is>
      </c>
      <c r="B1295" s="25" t="inlineStr">
        <is>
          <t>2025-06-15</t>
        </is>
      </c>
      <c r="C1295" s="25" t="inlineStr">
        <is>
          <t>20:10:12</t>
        </is>
      </c>
      <c r="D1295" s="25" t="n">
        <v>1290</v>
      </c>
      <c r="E1295" s="25" t="n">
        <v>113</v>
      </c>
      <c r="F1295" s="25" t="n">
        <v>222</v>
      </c>
      <c r="G1295" s="25" t="inlineStr">
        <is>
          <t>Mumbai</t>
        </is>
      </c>
      <c r="H1295" s="25" t="inlineStr">
        <is>
          <t>Fast Food</t>
        </is>
      </c>
      <c r="I1295" s="26" t="n">
        <v>625</v>
      </c>
      <c r="J1295" s="26" t="n">
        <v>42.62</v>
      </c>
      <c r="K1295" s="26" t="n">
        <v>40.5</v>
      </c>
      <c r="L1295" s="27" t="n">
        <v>0.18</v>
      </c>
      <c r="M1295" s="26" t="n">
        <v>122.62</v>
      </c>
      <c r="N1295" s="28" t="n">
        <v>6.1</v>
      </c>
      <c r="O1295" s="28" t="n">
        <v>41.9</v>
      </c>
      <c r="P1295" s="25" t="inlineStr">
        <is>
          <t>Credit Card</t>
        </is>
      </c>
      <c r="Q1295" s="25" t="inlineStr">
        <is>
          <t>Delivered</t>
        </is>
      </c>
      <c r="R1295" s="25" t="n">
        <v>2</v>
      </c>
      <c r="S1295" s="25">
        <f>TEXT(B1295,"yyyy-mm")</f>
        <v/>
      </c>
      <c r="T1295" s="25">
        <f>VLOOKUP(D1295,Customers!A:D,4,FALSE)</f>
        <v/>
      </c>
      <c r="U1295" s="25">
        <f>CONCATENATE(A1295,"-",G1295)</f>
        <v/>
      </c>
      <c r="V1295" s="25">
        <f>IF(N1295="","",IF(N1295&lt;=30,"Fast (&lt;30m)",IF(N1295&lt;=45,"Moderate (30-45m)","Delayed (&gt;45m)")))</f>
        <v/>
      </c>
      <c r="W1295" s="25">
        <f>IF(AND(I1295&gt;600,P1295="Delivered"),"High Value Delivered","Standard")</f>
        <v/>
      </c>
      <c r="X1295" s="25">
        <f>IF(OR(N1295&gt;50,Q1295&lt;=2),"High Risk / Delayed","Normal")</f>
        <v/>
      </c>
      <c r="Y1295" s="25">
        <f>IF(NOT(P1295="Cancelled"),"Fulfilled","Cancelled")</f>
        <v/>
      </c>
      <c r="Z1295" s="25">
        <f>IFERROR(Q1295,0)</f>
        <v/>
      </c>
    </row>
    <row r="1296">
      <c r="A1296" s="17" t="inlineStr">
        <is>
          <t>ORD2295</t>
        </is>
      </c>
      <c r="B1296" s="17" t="inlineStr">
        <is>
          <t>2025-05-18</t>
        </is>
      </c>
      <c r="C1296" s="17" t="inlineStr">
        <is>
          <t>10:14:59</t>
        </is>
      </c>
      <c r="D1296" s="17" t="n">
        <v>1020</v>
      </c>
      <c r="E1296" s="17" t="n">
        <v>108</v>
      </c>
      <c r="F1296" s="17" t="n">
        <v>219</v>
      </c>
      <c r="G1296" s="17" t="inlineStr">
        <is>
          <t>Delhi NCR</t>
        </is>
      </c>
      <c r="H1296" s="17" t="inlineStr">
        <is>
          <t>Fast Food</t>
        </is>
      </c>
      <c r="I1296" s="22" t="n">
        <v>489</v>
      </c>
      <c r="J1296" s="22" t="n">
        <v>0</v>
      </c>
      <c r="K1296" s="22" t="n">
        <v>33</v>
      </c>
      <c r="L1296" s="23" t="n">
        <v>0.18</v>
      </c>
      <c r="M1296" s="22" t="n">
        <v>96.27</v>
      </c>
      <c r="N1296" s="24" t="n">
        <v>4.6</v>
      </c>
      <c r="O1296" s="24" t="n">
        <v>34.5</v>
      </c>
      <c r="P1296" s="17" t="inlineStr">
        <is>
          <t>Debit Card</t>
        </is>
      </c>
      <c r="Q1296" s="17" t="inlineStr">
        <is>
          <t>Delivered</t>
        </is>
      </c>
      <c r="R1296" s="17" t="n">
        <v>3</v>
      </c>
      <c r="S1296" s="17">
        <f>TEXT(B1296,"yyyy-mm")</f>
        <v/>
      </c>
      <c r="T1296" s="17">
        <f>VLOOKUP(D1296,Customers!A:D,4,FALSE)</f>
        <v/>
      </c>
      <c r="U1296" s="17">
        <f>CONCATENATE(A1296,"-",G1296)</f>
        <v/>
      </c>
      <c r="V1296" s="17">
        <f>IF(N1296="","",IF(N1296&lt;=30,"Fast (&lt;30m)",IF(N1296&lt;=45,"Moderate (30-45m)","Delayed (&gt;45m)")))</f>
        <v/>
      </c>
      <c r="W1296" s="17">
        <f>IF(AND(I1296&gt;600,P1296="Delivered"),"High Value Delivered","Standard")</f>
        <v/>
      </c>
      <c r="X1296" s="17">
        <f>IF(OR(N1296&gt;50,Q1296&lt;=2),"High Risk / Delayed","Normal")</f>
        <v/>
      </c>
      <c r="Y1296" s="17">
        <f>IF(NOT(P1296="Cancelled"),"Fulfilled","Cancelled")</f>
        <v/>
      </c>
      <c r="Z1296" s="17">
        <f>IFERROR(Q1296,0)</f>
        <v/>
      </c>
    </row>
    <row r="1297">
      <c r="A1297" s="25" t="inlineStr">
        <is>
          <t>ORD2296</t>
        </is>
      </c>
      <c r="B1297" s="25" t="inlineStr">
        <is>
          <t>2025-06-20</t>
        </is>
      </c>
      <c r="C1297" s="25" t="inlineStr">
        <is>
          <t>19:46:22</t>
        </is>
      </c>
      <c r="D1297" s="25" t="n">
        <v>1173</v>
      </c>
      <c r="E1297" s="25" t="n">
        <v>115</v>
      </c>
      <c r="F1297" s="25" t="n">
        <v>213</v>
      </c>
      <c r="G1297" s="25" t="inlineStr">
        <is>
          <t>Bangalore</t>
        </is>
      </c>
      <c r="H1297" s="25" t="inlineStr">
        <is>
          <t>Italian</t>
        </is>
      </c>
      <c r="I1297" s="26" t="n">
        <v>542</v>
      </c>
      <c r="J1297" s="26" t="n">
        <v>0</v>
      </c>
      <c r="K1297" s="26" t="n">
        <v>32</v>
      </c>
      <c r="L1297" s="27" t="n">
        <v>0.2</v>
      </c>
      <c r="M1297" s="26" t="n">
        <v>116.4</v>
      </c>
      <c r="N1297" s="28" t="n">
        <v>4.4</v>
      </c>
      <c r="O1297" s="28" t="n">
        <v/>
      </c>
      <c r="P1297" s="25" t="inlineStr">
        <is>
          <t>Cash on Delivery</t>
        </is>
      </c>
      <c r="Q1297" s="25" t="inlineStr">
        <is>
          <t>Cancelled</t>
        </is>
      </c>
      <c r="R1297" s="25" t="n">
        <v/>
      </c>
      <c r="S1297" s="25">
        <f>TEXT(B1297,"yyyy-mm")</f>
        <v/>
      </c>
      <c r="T1297" s="25">
        <f>VLOOKUP(D1297,Customers!A:D,4,FALSE)</f>
        <v/>
      </c>
      <c r="U1297" s="25">
        <f>CONCATENATE(A1297,"-",G1297)</f>
        <v/>
      </c>
      <c r="V1297" s="25">
        <f>IF(N1297="","",IF(N1297&lt;=30,"Fast (&lt;30m)",IF(N1297&lt;=45,"Moderate (30-45m)","Delayed (&gt;45m)")))</f>
        <v/>
      </c>
      <c r="W1297" s="25">
        <f>IF(AND(I1297&gt;600,P1297="Delivered"),"High Value Delivered","Standard")</f>
        <v/>
      </c>
      <c r="X1297" s="25">
        <f>IF(OR(N1297&gt;50,Q1297&lt;=2),"High Risk / Delayed","Normal")</f>
        <v/>
      </c>
      <c r="Y1297" s="25">
        <f>IF(NOT(P1297="Cancelled"),"Fulfilled","Cancelled")</f>
        <v/>
      </c>
      <c r="Z1297" s="25">
        <f>IFERROR(Q1297,0)</f>
        <v/>
      </c>
    </row>
    <row r="1298">
      <c r="A1298" s="17" t="inlineStr">
        <is>
          <t>ORD2297</t>
        </is>
      </c>
      <c r="B1298" s="17" t="inlineStr">
        <is>
          <t>2025-01-29</t>
        </is>
      </c>
      <c r="C1298" s="17" t="inlineStr">
        <is>
          <t>12:26:22</t>
        </is>
      </c>
      <c r="D1298" s="17" t="n">
        <v>1136</v>
      </c>
      <c r="E1298" s="17" t="n">
        <v>109</v>
      </c>
      <c r="F1298" s="17" t="n">
        <v>225</v>
      </c>
      <c r="G1298" s="17" t="inlineStr">
        <is>
          <t>Hyderabad</t>
        </is>
      </c>
      <c r="H1298" s="17" t="inlineStr">
        <is>
          <t>Biryani</t>
        </is>
      </c>
      <c r="I1298" s="22" t="n">
        <v>881</v>
      </c>
      <c r="J1298" s="22" t="n">
        <v>68.72</v>
      </c>
      <c r="K1298" s="22" t="n">
        <v>35.5</v>
      </c>
      <c r="L1298" s="23" t="n">
        <v>0.2</v>
      </c>
      <c r="M1298" s="22" t="n">
        <v>185.08</v>
      </c>
      <c r="N1298" s="24" t="n">
        <v>5.1</v>
      </c>
      <c r="O1298" s="24" t="n">
        <v>42</v>
      </c>
      <c r="P1298" s="17" t="inlineStr">
        <is>
          <t>UPI</t>
        </is>
      </c>
      <c r="Q1298" s="17" t="inlineStr">
        <is>
          <t>Delivered</t>
        </is>
      </c>
      <c r="R1298" s="17" t="n">
        <v>1</v>
      </c>
      <c r="S1298" s="17">
        <f>TEXT(B1298,"yyyy-mm")</f>
        <v/>
      </c>
      <c r="T1298" s="17">
        <f>VLOOKUP(D1298,Customers!A:D,4,FALSE)</f>
        <v/>
      </c>
      <c r="U1298" s="17">
        <f>CONCATENATE(A1298,"-",G1298)</f>
        <v/>
      </c>
      <c r="V1298" s="17">
        <f>IF(N1298="","",IF(N1298&lt;=30,"Fast (&lt;30m)",IF(N1298&lt;=45,"Moderate (30-45m)","Delayed (&gt;45m)")))</f>
        <v/>
      </c>
      <c r="W1298" s="17">
        <f>IF(AND(I1298&gt;600,P1298="Delivered"),"High Value Delivered","Standard")</f>
        <v/>
      </c>
      <c r="X1298" s="17">
        <f>IF(OR(N1298&gt;50,Q1298&lt;=2),"High Risk / Delayed","Normal")</f>
        <v/>
      </c>
      <c r="Y1298" s="17">
        <f>IF(NOT(P1298="Cancelled"),"Fulfilled","Cancelled")</f>
        <v/>
      </c>
      <c r="Z1298" s="17">
        <f>IFERROR(Q1298,0)</f>
        <v/>
      </c>
    </row>
    <row r="1299">
      <c r="A1299" s="25" t="inlineStr">
        <is>
          <t>ORD2298</t>
        </is>
      </c>
      <c r="B1299" s="25" t="inlineStr">
        <is>
          <t>2025-05-31</t>
        </is>
      </c>
      <c r="C1299" s="25" t="inlineStr">
        <is>
          <t>12:53:23</t>
        </is>
      </c>
      <c r="D1299" s="25" t="n">
        <v>1042</v>
      </c>
      <c r="E1299" s="25" t="n">
        <v>107</v>
      </c>
      <c r="F1299" s="25" t="n">
        <v>222</v>
      </c>
      <c r="G1299" s="25" t="inlineStr">
        <is>
          <t>Mumbai</t>
        </is>
      </c>
      <c r="H1299" s="25" t="inlineStr">
        <is>
          <t>Desserts</t>
        </is>
      </c>
      <c r="I1299" s="26" t="n">
        <v>244</v>
      </c>
      <c r="J1299" s="26" t="n">
        <v>0</v>
      </c>
      <c r="K1299" s="26" t="n">
        <v>35.5</v>
      </c>
      <c r="L1299" s="27" t="n">
        <v>0.25</v>
      </c>
      <c r="M1299" s="26" t="n">
        <v>69.88</v>
      </c>
      <c r="N1299" s="28" t="n">
        <v>5.1</v>
      </c>
      <c r="O1299" s="28" t="n">
        <v>40.6</v>
      </c>
      <c r="P1299" s="25" t="inlineStr">
        <is>
          <t>Debit Card</t>
        </is>
      </c>
      <c r="Q1299" s="25" t="inlineStr">
        <is>
          <t>Delivered</t>
        </is>
      </c>
      <c r="R1299" s="25" t="n">
        <v>4</v>
      </c>
      <c r="S1299" s="25">
        <f>TEXT(B1299,"yyyy-mm")</f>
        <v/>
      </c>
      <c r="T1299" s="25">
        <f>VLOOKUP(D1299,Customers!A:D,4,FALSE)</f>
        <v/>
      </c>
      <c r="U1299" s="25">
        <f>CONCATENATE(A1299,"-",G1299)</f>
        <v/>
      </c>
      <c r="V1299" s="25">
        <f>IF(N1299="","",IF(N1299&lt;=30,"Fast (&lt;30m)",IF(N1299&lt;=45,"Moderate (30-45m)","Delayed (&gt;45m)")))</f>
        <v/>
      </c>
      <c r="W1299" s="25">
        <f>IF(AND(I1299&gt;600,P1299="Delivered"),"High Value Delivered","Standard")</f>
        <v/>
      </c>
      <c r="X1299" s="25">
        <f>IF(OR(N1299&gt;50,Q1299&lt;=2),"High Risk / Delayed","Normal")</f>
        <v/>
      </c>
      <c r="Y1299" s="25">
        <f>IF(NOT(P1299="Cancelled"),"Fulfilled","Cancelled")</f>
        <v/>
      </c>
      <c r="Z1299" s="25">
        <f>IFERROR(Q1299,0)</f>
        <v/>
      </c>
    </row>
    <row r="1300">
      <c r="A1300" s="17" t="inlineStr">
        <is>
          <t>ORD2299</t>
        </is>
      </c>
      <c r="B1300" s="17" t="inlineStr">
        <is>
          <t>2025-05-21</t>
        </is>
      </c>
      <c r="C1300" s="17" t="inlineStr">
        <is>
          <t>11:06:04</t>
        </is>
      </c>
      <c r="D1300" s="17" t="n">
        <v>1296</v>
      </c>
      <c r="E1300" s="17" t="n">
        <v>104</v>
      </c>
      <c r="F1300" s="17" t="n">
        <v>211</v>
      </c>
      <c r="G1300" s="17" t="inlineStr">
        <is>
          <t>Delhi NCR</t>
        </is>
      </c>
      <c r="H1300" s="17" t="inlineStr">
        <is>
          <t>Fast Food</t>
        </is>
      </c>
      <c r="I1300" s="22" t="n">
        <v>468</v>
      </c>
      <c r="J1300" s="22" t="n">
        <v>0</v>
      </c>
      <c r="K1300" s="22" t="n">
        <v>25</v>
      </c>
      <c r="L1300" s="23" t="n">
        <v>0.18</v>
      </c>
      <c r="M1300" s="22" t="n">
        <v>90.48999999999999</v>
      </c>
      <c r="N1300" s="24" t="n">
        <v>2.9</v>
      </c>
      <c r="O1300" s="24" t="n">
        <v>30.3</v>
      </c>
      <c r="P1300" s="17" t="inlineStr">
        <is>
          <t>Digital Wallet</t>
        </is>
      </c>
      <c r="Q1300" s="17" t="inlineStr">
        <is>
          <t>Delivered</t>
        </is>
      </c>
      <c r="R1300" s="17" t="n">
        <v>5</v>
      </c>
      <c r="S1300" s="17">
        <f>TEXT(B1300,"yyyy-mm")</f>
        <v/>
      </c>
      <c r="T1300" s="17">
        <f>VLOOKUP(D1300,Customers!A:D,4,FALSE)</f>
        <v/>
      </c>
      <c r="U1300" s="17">
        <f>CONCATENATE(A1300,"-",G1300)</f>
        <v/>
      </c>
      <c r="V1300" s="17">
        <f>IF(N1300="","",IF(N1300&lt;=30,"Fast (&lt;30m)",IF(N1300&lt;=45,"Moderate (30-45m)","Delayed (&gt;45m)")))</f>
        <v/>
      </c>
      <c r="W1300" s="17">
        <f>IF(AND(I1300&gt;600,P1300="Delivered"),"High Value Delivered","Standard")</f>
        <v/>
      </c>
      <c r="X1300" s="17">
        <f>IF(OR(N1300&gt;50,Q1300&lt;=2),"High Risk / Delayed","Normal")</f>
        <v/>
      </c>
      <c r="Y1300" s="17">
        <f>IF(NOT(P1300="Cancelled"),"Fulfilled","Cancelled")</f>
        <v/>
      </c>
      <c r="Z1300" s="17">
        <f>IFERROR(Q1300,0)</f>
        <v/>
      </c>
    </row>
    <row r="1301">
      <c r="A1301" s="25" t="inlineStr">
        <is>
          <t>ORD2300</t>
        </is>
      </c>
      <c r="B1301" s="25" t="inlineStr">
        <is>
          <t>2025-12-19</t>
        </is>
      </c>
      <c r="C1301" s="25" t="inlineStr">
        <is>
          <t>12:58:45</t>
        </is>
      </c>
      <c r="D1301" s="25" t="n">
        <v>1022</v>
      </c>
      <c r="E1301" s="25" t="n">
        <v>108</v>
      </c>
      <c r="F1301" s="25" t="n">
        <v>221</v>
      </c>
      <c r="G1301" s="25" t="inlineStr">
        <is>
          <t>Delhi NCR</t>
        </is>
      </c>
      <c r="H1301" s="25" t="inlineStr">
        <is>
          <t>Fast Food</t>
        </is>
      </c>
      <c r="I1301" s="26" t="n">
        <v>718</v>
      </c>
      <c r="J1301" s="26" t="n">
        <v>0</v>
      </c>
      <c r="K1301" s="26" t="n">
        <v>32.5</v>
      </c>
      <c r="L1301" s="27" t="n">
        <v>0.18</v>
      </c>
      <c r="M1301" s="26" t="n">
        <v>137.36</v>
      </c>
      <c r="N1301" s="28" t="n">
        <v>4.5</v>
      </c>
      <c r="O1301" s="28" t="n">
        <v>40.2</v>
      </c>
      <c r="P1301" s="25" t="inlineStr">
        <is>
          <t>Digital Wallet</t>
        </is>
      </c>
      <c r="Q1301" s="25" t="inlineStr">
        <is>
          <t>Delivered</t>
        </is>
      </c>
      <c r="R1301" s="25" t="n">
        <v>3</v>
      </c>
      <c r="S1301" s="25">
        <f>TEXT(B1301,"yyyy-mm")</f>
        <v/>
      </c>
      <c r="T1301" s="25">
        <f>VLOOKUP(D1301,Customers!A:D,4,FALSE)</f>
        <v/>
      </c>
      <c r="U1301" s="25">
        <f>CONCATENATE(A1301,"-",G1301)</f>
        <v/>
      </c>
      <c r="V1301" s="25">
        <f>IF(N1301="","",IF(N1301&lt;=30,"Fast (&lt;30m)",IF(N1301&lt;=45,"Moderate (30-45m)","Delayed (&gt;45m)")))</f>
        <v/>
      </c>
      <c r="W1301" s="25">
        <f>IF(AND(I1301&gt;600,P1301="Delivered"),"High Value Delivered","Standard")</f>
        <v/>
      </c>
      <c r="X1301" s="25">
        <f>IF(OR(N1301&gt;50,Q1301&lt;=2),"High Risk / Delayed","Normal")</f>
        <v/>
      </c>
      <c r="Y1301" s="25">
        <f>IF(NOT(P1301="Cancelled"),"Fulfilled","Cancelled")</f>
        <v/>
      </c>
      <c r="Z1301" s="25">
        <f>IFERROR(Q1301,0)</f>
        <v/>
      </c>
    </row>
    <row r="1302">
      <c r="A1302" s="17" t="inlineStr">
        <is>
          <t>ORD2301</t>
        </is>
      </c>
      <c r="B1302" s="17" t="inlineStr">
        <is>
          <t>2025-01-29</t>
        </is>
      </c>
      <c r="C1302" s="17" t="inlineStr">
        <is>
          <t>19:40:21</t>
        </is>
      </c>
      <c r="D1302" s="17" t="n">
        <v>1230</v>
      </c>
      <c r="E1302" s="17" t="n">
        <v>102</v>
      </c>
      <c r="F1302" s="17" t="n">
        <v>215</v>
      </c>
      <c r="G1302" s="17" t="inlineStr">
        <is>
          <t>Hyderabad</t>
        </is>
      </c>
      <c r="H1302" s="17" t="inlineStr">
        <is>
          <t>Biryani</t>
        </is>
      </c>
      <c r="I1302" s="22" t="n">
        <v>502</v>
      </c>
      <c r="J1302" s="22" t="n">
        <v>44</v>
      </c>
      <c r="K1302" s="22" t="n">
        <v>31.5</v>
      </c>
      <c r="L1302" s="23" t="n">
        <v>0.22</v>
      </c>
      <c r="M1302" s="22" t="n">
        <v>118.32</v>
      </c>
      <c r="N1302" s="24" t="n">
        <v>4.3</v>
      </c>
      <c r="O1302" s="24" t="n">
        <v>34.7</v>
      </c>
      <c r="P1302" s="17" t="inlineStr">
        <is>
          <t>Debit Card</t>
        </is>
      </c>
      <c r="Q1302" s="17" t="inlineStr">
        <is>
          <t>Delivered</t>
        </is>
      </c>
      <c r="R1302" s="17" t="n">
        <v>5</v>
      </c>
      <c r="S1302" s="17">
        <f>TEXT(B1302,"yyyy-mm")</f>
        <v/>
      </c>
      <c r="T1302" s="17">
        <f>VLOOKUP(D1302,Customers!A:D,4,FALSE)</f>
        <v/>
      </c>
      <c r="U1302" s="17">
        <f>CONCATENATE(A1302,"-",G1302)</f>
        <v/>
      </c>
      <c r="V1302" s="17">
        <f>IF(N1302="","",IF(N1302&lt;=30,"Fast (&lt;30m)",IF(N1302&lt;=45,"Moderate (30-45m)","Delayed (&gt;45m)")))</f>
        <v/>
      </c>
      <c r="W1302" s="17">
        <f>IF(AND(I1302&gt;600,P1302="Delivered"),"High Value Delivered","Standard")</f>
        <v/>
      </c>
      <c r="X1302" s="17">
        <f>IF(OR(N1302&gt;50,Q1302&lt;=2),"High Risk / Delayed","Normal")</f>
        <v/>
      </c>
      <c r="Y1302" s="17">
        <f>IF(NOT(P1302="Cancelled"),"Fulfilled","Cancelled")</f>
        <v/>
      </c>
      <c r="Z1302" s="17">
        <f>IFERROR(Q1302,0)</f>
        <v/>
      </c>
    </row>
    <row r="1303">
      <c r="A1303" s="25" t="inlineStr">
        <is>
          <t>ORD2302</t>
        </is>
      </c>
      <c r="B1303" s="25" t="inlineStr">
        <is>
          <t>2025-03-10</t>
        </is>
      </c>
      <c r="C1303" s="25" t="inlineStr">
        <is>
          <t>14:56:47</t>
        </is>
      </c>
      <c r="D1303" s="25" t="n">
        <v>1143</v>
      </c>
      <c r="E1303" s="25" t="n">
        <v>114</v>
      </c>
      <c r="F1303" s="25" t="n">
        <v>215</v>
      </c>
      <c r="G1303" s="25" t="inlineStr">
        <is>
          <t>Hyderabad</t>
        </is>
      </c>
      <c r="H1303" s="25" t="inlineStr">
        <is>
          <t>Biryani</t>
        </is>
      </c>
      <c r="I1303" s="26" t="n">
        <v>295</v>
      </c>
      <c r="J1303" s="26" t="n">
        <v>0</v>
      </c>
      <c r="K1303" s="26" t="n">
        <v>25</v>
      </c>
      <c r="L1303" s="27" t="n">
        <v>0.22</v>
      </c>
      <c r="M1303" s="26" t="n">
        <v>71.15000000000001</v>
      </c>
      <c r="N1303" s="28" t="n">
        <v>2.2</v>
      </c>
      <c r="O1303" s="28" t="n">
        <v>30</v>
      </c>
      <c r="P1303" s="25" t="inlineStr">
        <is>
          <t>Cash on Delivery</t>
        </is>
      </c>
      <c r="Q1303" s="25" t="inlineStr">
        <is>
          <t>Delivered</t>
        </is>
      </c>
      <c r="R1303" s="25" t="n">
        <v>3</v>
      </c>
      <c r="S1303" s="25">
        <f>TEXT(B1303,"yyyy-mm")</f>
        <v/>
      </c>
      <c r="T1303" s="25">
        <f>VLOOKUP(D1303,Customers!A:D,4,FALSE)</f>
        <v/>
      </c>
      <c r="U1303" s="25">
        <f>CONCATENATE(A1303,"-",G1303)</f>
        <v/>
      </c>
      <c r="V1303" s="25">
        <f>IF(N1303="","",IF(N1303&lt;=30,"Fast (&lt;30m)",IF(N1303&lt;=45,"Moderate (30-45m)","Delayed (&gt;45m)")))</f>
        <v/>
      </c>
      <c r="W1303" s="25">
        <f>IF(AND(I1303&gt;600,P1303="Delivered"),"High Value Delivered","Standard")</f>
        <v/>
      </c>
      <c r="X1303" s="25">
        <f>IF(OR(N1303&gt;50,Q1303&lt;=2),"High Risk / Delayed","Normal")</f>
        <v/>
      </c>
      <c r="Y1303" s="25">
        <f>IF(NOT(P1303="Cancelled"),"Fulfilled","Cancelled")</f>
        <v/>
      </c>
      <c r="Z1303" s="25">
        <f>IFERROR(Q1303,0)</f>
        <v/>
      </c>
    </row>
    <row r="1304">
      <c r="A1304" s="17" t="inlineStr">
        <is>
          <t>ORD2303</t>
        </is>
      </c>
      <c r="B1304" s="17" t="inlineStr">
        <is>
          <t>2025-10-29</t>
        </is>
      </c>
      <c r="C1304" s="17" t="inlineStr">
        <is>
          <t>19:19:36</t>
        </is>
      </c>
      <c r="D1304" s="17" t="n">
        <v>1065</v>
      </c>
      <c r="E1304" s="17" t="n">
        <v>118</v>
      </c>
      <c r="F1304" s="17" t="n">
        <v>219</v>
      </c>
      <c r="G1304" s="17" t="inlineStr">
        <is>
          <t>Delhi NCR</t>
        </is>
      </c>
      <c r="H1304" s="17" t="inlineStr">
        <is>
          <t>North Indian</t>
        </is>
      </c>
      <c r="I1304" s="22" t="n">
        <v>424</v>
      </c>
      <c r="J1304" s="22" t="n">
        <v>14.87</v>
      </c>
      <c r="K1304" s="22" t="n">
        <v>26.5</v>
      </c>
      <c r="L1304" s="23" t="n">
        <v>0.2</v>
      </c>
      <c r="M1304" s="22" t="n">
        <v>91.43000000000001</v>
      </c>
      <c r="N1304" s="24" t="n">
        <v>3.3</v>
      </c>
      <c r="O1304" s="24" t="n">
        <v>33.4</v>
      </c>
      <c r="P1304" s="17" t="inlineStr">
        <is>
          <t>Digital Wallet</t>
        </is>
      </c>
      <c r="Q1304" s="17" t="inlineStr">
        <is>
          <t>Delivered</t>
        </is>
      </c>
      <c r="R1304" s="17" t="n">
        <v>4</v>
      </c>
      <c r="S1304" s="17">
        <f>TEXT(B1304,"yyyy-mm")</f>
        <v/>
      </c>
      <c r="T1304" s="17">
        <f>VLOOKUP(D1304,Customers!A:D,4,FALSE)</f>
        <v/>
      </c>
      <c r="U1304" s="17">
        <f>CONCATENATE(A1304,"-",G1304)</f>
        <v/>
      </c>
      <c r="V1304" s="17">
        <f>IF(N1304="","",IF(N1304&lt;=30,"Fast (&lt;30m)",IF(N1304&lt;=45,"Moderate (30-45m)","Delayed (&gt;45m)")))</f>
        <v/>
      </c>
      <c r="W1304" s="17">
        <f>IF(AND(I1304&gt;600,P1304="Delivered"),"High Value Delivered","Standard")</f>
        <v/>
      </c>
      <c r="X1304" s="17">
        <f>IF(OR(N1304&gt;50,Q1304&lt;=2),"High Risk / Delayed","Normal")</f>
        <v/>
      </c>
      <c r="Y1304" s="17">
        <f>IF(NOT(P1304="Cancelled"),"Fulfilled","Cancelled")</f>
        <v/>
      </c>
      <c r="Z1304" s="17">
        <f>IFERROR(Q1304,0)</f>
        <v/>
      </c>
    </row>
    <row r="1305">
      <c r="A1305" s="25" t="inlineStr">
        <is>
          <t>ORD2304</t>
        </is>
      </c>
      <c r="B1305" s="25" t="inlineStr">
        <is>
          <t>2025-03-13</t>
        </is>
      </c>
      <c r="C1305" s="25" t="inlineStr">
        <is>
          <t>19:49:49</t>
        </is>
      </c>
      <c r="D1305" s="25" t="n">
        <v>1068</v>
      </c>
      <c r="E1305" s="25" t="n">
        <v>116</v>
      </c>
      <c r="F1305" s="25" t="n">
        <v>207</v>
      </c>
      <c r="G1305" s="25" t="inlineStr">
        <is>
          <t>Pune</t>
        </is>
      </c>
      <c r="H1305" s="25" t="inlineStr">
        <is>
          <t>Desserts</t>
        </is>
      </c>
      <c r="I1305" s="26" t="n">
        <v>289</v>
      </c>
      <c r="J1305" s="26" t="n">
        <v>32.06</v>
      </c>
      <c r="K1305" s="26" t="n">
        <v>27.5</v>
      </c>
      <c r="L1305" s="27" t="n">
        <v>0.25</v>
      </c>
      <c r="M1305" s="26" t="n">
        <v>79.12</v>
      </c>
      <c r="N1305" s="28" t="n">
        <v>3.5</v>
      </c>
      <c r="O1305" s="28" t="n">
        <v>32.8</v>
      </c>
      <c r="P1305" s="25" t="inlineStr">
        <is>
          <t>Debit Card</t>
        </is>
      </c>
      <c r="Q1305" s="25" t="inlineStr">
        <is>
          <t>Delivered</t>
        </is>
      </c>
      <c r="R1305" s="25" t="n">
        <v>4</v>
      </c>
      <c r="S1305" s="25">
        <f>TEXT(B1305,"yyyy-mm")</f>
        <v/>
      </c>
      <c r="T1305" s="25">
        <f>VLOOKUP(D1305,Customers!A:D,4,FALSE)</f>
        <v/>
      </c>
      <c r="U1305" s="25">
        <f>CONCATENATE(A1305,"-",G1305)</f>
        <v/>
      </c>
      <c r="V1305" s="25">
        <f>IF(N1305="","",IF(N1305&lt;=30,"Fast (&lt;30m)",IF(N1305&lt;=45,"Moderate (30-45m)","Delayed (&gt;45m)")))</f>
        <v/>
      </c>
      <c r="W1305" s="25">
        <f>IF(AND(I1305&gt;600,P1305="Delivered"),"High Value Delivered","Standard")</f>
        <v/>
      </c>
      <c r="X1305" s="25">
        <f>IF(OR(N1305&gt;50,Q1305&lt;=2),"High Risk / Delayed","Normal")</f>
        <v/>
      </c>
      <c r="Y1305" s="25">
        <f>IF(NOT(P1305="Cancelled"),"Fulfilled","Cancelled")</f>
        <v/>
      </c>
      <c r="Z1305" s="25">
        <f>IFERROR(Q1305,0)</f>
        <v/>
      </c>
    </row>
    <row r="1306">
      <c r="A1306" s="17" t="inlineStr">
        <is>
          <t>ORD2305</t>
        </is>
      </c>
      <c r="B1306" s="17" t="inlineStr">
        <is>
          <t>2025-04-05</t>
        </is>
      </c>
      <c r="C1306" s="17" t="inlineStr">
        <is>
          <t>12:20:29</t>
        </is>
      </c>
      <c r="D1306" s="17" t="n">
        <v>1199</v>
      </c>
      <c r="E1306" s="17" t="n">
        <v>109</v>
      </c>
      <c r="F1306" s="17" t="n">
        <v>216</v>
      </c>
      <c r="G1306" s="17" t="inlineStr">
        <is>
          <t>Hyderabad</t>
        </is>
      </c>
      <c r="H1306" s="17" t="inlineStr">
        <is>
          <t>Biryani</t>
        </is>
      </c>
      <c r="I1306" s="22" t="n">
        <v>670</v>
      </c>
      <c r="J1306" s="22" t="n">
        <v>91.27</v>
      </c>
      <c r="K1306" s="22" t="n">
        <v>0</v>
      </c>
      <c r="L1306" s="23" t="n">
        <v>0.2</v>
      </c>
      <c r="M1306" s="22" t="n">
        <v>134</v>
      </c>
      <c r="N1306" s="24" t="n">
        <v>1.7</v>
      </c>
      <c r="O1306" s="24" t="n">
        <v>20.6</v>
      </c>
      <c r="P1306" s="17" t="inlineStr">
        <is>
          <t>Debit Card</t>
        </is>
      </c>
      <c r="Q1306" s="17" t="inlineStr">
        <is>
          <t>Delivered</t>
        </is>
      </c>
      <c r="R1306" s="17" t="n">
        <v>4</v>
      </c>
      <c r="S1306" s="17">
        <f>TEXT(B1306,"yyyy-mm")</f>
        <v/>
      </c>
      <c r="T1306" s="17">
        <f>VLOOKUP(D1306,Customers!A:D,4,FALSE)</f>
        <v/>
      </c>
      <c r="U1306" s="17">
        <f>CONCATENATE(A1306,"-",G1306)</f>
        <v/>
      </c>
      <c r="V1306" s="17">
        <f>IF(N1306="","",IF(N1306&lt;=30,"Fast (&lt;30m)",IF(N1306&lt;=45,"Moderate (30-45m)","Delayed (&gt;45m)")))</f>
        <v/>
      </c>
      <c r="W1306" s="17">
        <f>IF(AND(I1306&gt;600,P1306="Delivered"),"High Value Delivered","Standard")</f>
        <v/>
      </c>
      <c r="X1306" s="17">
        <f>IF(OR(N1306&gt;50,Q1306&lt;=2),"High Risk / Delayed","Normal")</f>
        <v/>
      </c>
      <c r="Y1306" s="17">
        <f>IF(NOT(P1306="Cancelled"),"Fulfilled","Cancelled")</f>
        <v/>
      </c>
      <c r="Z1306" s="17">
        <f>IFERROR(Q1306,0)</f>
        <v/>
      </c>
    </row>
    <row r="1307">
      <c r="A1307" s="25" t="inlineStr">
        <is>
          <t>ORD2306</t>
        </is>
      </c>
      <c r="B1307" s="25" t="inlineStr">
        <is>
          <t>2025-03-03</t>
        </is>
      </c>
      <c r="C1307" s="25" t="inlineStr">
        <is>
          <t>20:41:26</t>
        </is>
      </c>
      <c r="D1307" s="25" t="n">
        <v>1008</v>
      </c>
      <c r="E1307" s="25" t="n">
        <v>107</v>
      </c>
      <c r="F1307" s="25" t="n">
        <v>202</v>
      </c>
      <c r="G1307" s="25" t="inlineStr">
        <is>
          <t>Mumbai</t>
        </is>
      </c>
      <c r="H1307" s="25" t="inlineStr">
        <is>
          <t>Desserts</t>
        </is>
      </c>
      <c r="I1307" s="26" t="n">
        <v>858</v>
      </c>
      <c r="J1307" s="26" t="n">
        <v>154.96</v>
      </c>
      <c r="K1307" s="26" t="n">
        <v>0</v>
      </c>
      <c r="L1307" s="27" t="n">
        <v>0.25</v>
      </c>
      <c r="M1307" s="26" t="n">
        <v>214.5</v>
      </c>
      <c r="N1307" s="28" t="n">
        <v>5.6</v>
      </c>
      <c r="O1307" s="28" t="n">
        <v>43.2</v>
      </c>
      <c r="P1307" s="25" t="inlineStr">
        <is>
          <t>Digital Wallet</t>
        </is>
      </c>
      <c r="Q1307" s="25" t="inlineStr">
        <is>
          <t>Delivered</t>
        </is>
      </c>
      <c r="R1307" s="25" t="n">
        <v>3</v>
      </c>
      <c r="S1307" s="25">
        <f>TEXT(B1307,"yyyy-mm")</f>
        <v/>
      </c>
      <c r="T1307" s="25">
        <f>VLOOKUP(D1307,Customers!A:D,4,FALSE)</f>
        <v/>
      </c>
      <c r="U1307" s="25">
        <f>CONCATENATE(A1307,"-",G1307)</f>
        <v/>
      </c>
      <c r="V1307" s="25">
        <f>IF(N1307="","",IF(N1307&lt;=30,"Fast (&lt;30m)",IF(N1307&lt;=45,"Moderate (30-45m)","Delayed (&gt;45m)")))</f>
        <v/>
      </c>
      <c r="W1307" s="25">
        <f>IF(AND(I1307&gt;600,P1307="Delivered"),"High Value Delivered","Standard")</f>
        <v/>
      </c>
      <c r="X1307" s="25">
        <f>IF(OR(N1307&gt;50,Q1307&lt;=2),"High Risk / Delayed","Normal")</f>
        <v/>
      </c>
      <c r="Y1307" s="25">
        <f>IF(NOT(P1307="Cancelled"),"Fulfilled","Cancelled")</f>
        <v/>
      </c>
      <c r="Z1307" s="25">
        <f>IFERROR(Q1307,0)</f>
        <v/>
      </c>
    </row>
    <row r="1308">
      <c r="A1308" s="17" t="inlineStr">
        <is>
          <t>ORD2307</t>
        </is>
      </c>
      <c r="B1308" s="17" t="inlineStr">
        <is>
          <t>2025-01-09</t>
        </is>
      </c>
      <c r="C1308" s="17" t="inlineStr">
        <is>
          <t>10:36:27</t>
        </is>
      </c>
      <c r="D1308" s="17" t="n">
        <v>1183</v>
      </c>
      <c r="E1308" s="17" t="n">
        <v>117</v>
      </c>
      <c r="F1308" s="17" t="n">
        <v>202</v>
      </c>
      <c r="G1308" s="17" t="inlineStr">
        <is>
          <t>Mumbai</t>
        </is>
      </c>
      <c r="H1308" s="17" t="inlineStr">
        <is>
          <t>Chinese</t>
        </is>
      </c>
      <c r="I1308" s="22" t="n">
        <v>597</v>
      </c>
      <c r="J1308" s="22" t="n">
        <v>89.8</v>
      </c>
      <c r="K1308" s="22" t="n">
        <v>0</v>
      </c>
      <c r="L1308" s="23" t="n">
        <v>0.2</v>
      </c>
      <c r="M1308" s="22" t="n">
        <v>119.4</v>
      </c>
      <c r="N1308" s="24" t="n">
        <v>7</v>
      </c>
      <c r="O1308" s="24" t="n">
        <v>46.5</v>
      </c>
      <c r="P1308" s="17" t="inlineStr">
        <is>
          <t>Digital Wallet</t>
        </is>
      </c>
      <c r="Q1308" s="17" t="inlineStr">
        <is>
          <t>Delivered</t>
        </is>
      </c>
      <c r="R1308" s="17" t="n">
        <v>3</v>
      </c>
      <c r="S1308" s="17">
        <f>TEXT(B1308,"yyyy-mm")</f>
        <v/>
      </c>
      <c r="T1308" s="17">
        <f>VLOOKUP(D1308,Customers!A:D,4,FALSE)</f>
        <v/>
      </c>
      <c r="U1308" s="17">
        <f>CONCATENATE(A1308,"-",G1308)</f>
        <v/>
      </c>
      <c r="V1308" s="17">
        <f>IF(N1308="","",IF(N1308&lt;=30,"Fast (&lt;30m)",IF(N1308&lt;=45,"Moderate (30-45m)","Delayed (&gt;45m)")))</f>
        <v/>
      </c>
      <c r="W1308" s="17">
        <f>IF(AND(I1308&gt;600,P1308="Delivered"),"High Value Delivered","Standard")</f>
        <v/>
      </c>
      <c r="X1308" s="17">
        <f>IF(OR(N1308&gt;50,Q1308&lt;=2),"High Risk / Delayed","Normal")</f>
        <v/>
      </c>
      <c r="Y1308" s="17">
        <f>IF(NOT(P1308="Cancelled"),"Fulfilled","Cancelled")</f>
        <v/>
      </c>
      <c r="Z1308" s="17">
        <f>IFERROR(Q1308,0)</f>
        <v/>
      </c>
    </row>
    <row r="1309">
      <c r="A1309" s="25" t="inlineStr">
        <is>
          <t>ORD2308</t>
        </is>
      </c>
      <c r="B1309" s="25" t="inlineStr">
        <is>
          <t>2025-11-21</t>
        </is>
      </c>
      <c r="C1309" s="25" t="inlineStr">
        <is>
          <t>21:04:47</t>
        </is>
      </c>
      <c r="D1309" s="25" t="n">
        <v>1030</v>
      </c>
      <c r="E1309" s="25" t="n">
        <v>119</v>
      </c>
      <c r="F1309" s="25" t="n">
        <v>216</v>
      </c>
      <c r="G1309" s="25" t="inlineStr">
        <is>
          <t>Hyderabad</t>
        </is>
      </c>
      <c r="H1309" s="25" t="inlineStr">
        <is>
          <t>Biryani</t>
        </is>
      </c>
      <c r="I1309" s="26" t="n">
        <v>297</v>
      </c>
      <c r="J1309" s="26" t="n">
        <v>23.15</v>
      </c>
      <c r="K1309" s="26" t="n">
        <v>27</v>
      </c>
      <c r="L1309" s="27" t="n">
        <v>0.2</v>
      </c>
      <c r="M1309" s="26" t="n">
        <v>66.15000000000001</v>
      </c>
      <c r="N1309" s="28" t="n">
        <v>3.4</v>
      </c>
      <c r="O1309" s="28" t="n">
        <v>33.3</v>
      </c>
      <c r="P1309" s="25" t="inlineStr">
        <is>
          <t>Digital Wallet</t>
        </is>
      </c>
      <c r="Q1309" s="25" t="inlineStr">
        <is>
          <t>Delivered</t>
        </is>
      </c>
      <c r="R1309" s="25" t="n">
        <v>4</v>
      </c>
      <c r="S1309" s="25">
        <f>TEXT(B1309,"yyyy-mm")</f>
        <v/>
      </c>
      <c r="T1309" s="25">
        <f>VLOOKUP(D1309,Customers!A:D,4,FALSE)</f>
        <v/>
      </c>
      <c r="U1309" s="25">
        <f>CONCATENATE(A1309,"-",G1309)</f>
        <v/>
      </c>
      <c r="V1309" s="25">
        <f>IF(N1309="","",IF(N1309&lt;=30,"Fast (&lt;30m)",IF(N1309&lt;=45,"Moderate (30-45m)","Delayed (&gt;45m)")))</f>
        <v/>
      </c>
      <c r="W1309" s="25">
        <f>IF(AND(I1309&gt;600,P1309="Delivered"),"High Value Delivered","Standard")</f>
        <v/>
      </c>
      <c r="X1309" s="25">
        <f>IF(OR(N1309&gt;50,Q1309&lt;=2),"High Risk / Delayed","Normal")</f>
        <v/>
      </c>
      <c r="Y1309" s="25">
        <f>IF(NOT(P1309="Cancelled"),"Fulfilled","Cancelled")</f>
        <v/>
      </c>
      <c r="Z1309" s="25">
        <f>IFERROR(Q1309,0)</f>
        <v/>
      </c>
    </row>
    <row r="1310">
      <c r="A1310" s="17" t="inlineStr">
        <is>
          <t>ORD2309</t>
        </is>
      </c>
      <c r="B1310" s="17" t="inlineStr">
        <is>
          <t>2025-10-21</t>
        </is>
      </c>
      <c r="C1310" s="17" t="inlineStr">
        <is>
          <t>20:59:29</t>
        </is>
      </c>
      <c r="D1310" s="17" t="n">
        <v>1090</v>
      </c>
      <c r="E1310" s="17" t="n">
        <v>105</v>
      </c>
      <c r="F1310" s="17" t="n">
        <v>205</v>
      </c>
      <c r="G1310" s="17" t="inlineStr">
        <is>
          <t>Bangalore</t>
        </is>
      </c>
      <c r="H1310" s="17" t="inlineStr">
        <is>
          <t>Chinese</t>
        </is>
      </c>
      <c r="I1310" s="22" t="n">
        <v>844</v>
      </c>
      <c r="J1310" s="22" t="n">
        <v>12.89</v>
      </c>
      <c r="K1310" s="22" t="n">
        <v>43</v>
      </c>
      <c r="L1310" s="23" t="n">
        <v>0.2</v>
      </c>
      <c r="M1310" s="22" t="n">
        <v>179.55</v>
      </c>
      <c r="N1310" s="24" t="n">
        <v>6.6</v>
      </c>
      <c r="O1310" s="24" t="n">
        <v>37.8</v>
      </c>
      <c r="P1310" s="17" t="inlineStr">
        <is>
          <t>Cash on Delivery</t>
        </is>
      </c>
      <c r="Q1310" s="17" t="inlineStr">
        <is>
          <t>Delivered</t>
        </is>
      </c>
      <c r="R1310" s="17" t="n">
        <v>4</v>
      </c>
      <c r="S1310" s="17">
        <f>TEXT(B1310,"yyyy-mm")</f>
        <v/>
      </c>
      <c r="T1310" s="17">
        <f>VLOOKUP(D1310,Customers!A:D,4,FALSE)</f>
        <v/>
      </c>
      <c r="U1310" s="17">
        <f>CONCATENATE(A1310,"-",G1310)</f>
        <v/>
      </c>
      <c r="V1310" s="17">
        <f>IF(N1310="","",IF(N1310&lt;=30,"Fast (&lt;30m)",IF(N1310&lt;=45,"Moderate (30-45m)","Delayed (&gt;45m)")))</f>
        <v/>
      </c>
      <c r="W1310" s="17">
        <f>IF(AND(I1310&gt;600,P1310="Delivered"),"High Value Delivered","Standard")</f>
        <v/>
      </c>
      <c r="X1310" s="17">
        <f>IF(OR(N1310&gt;50,Q1310&lt;=2),"High Risk / Delayed","Normal")</f>
        <v/>
      </c>
      <c r="Y1310" s="17">
        <f>IF(NOT(P1310="Cancelled"),"Fulfilled","Cancelled")</f>
        <v/>
      </c>
      <c r="Z1310" s="17">
        <f>IFERROR(Q1310,0)</f>
        <v/>
      </c>
    </row>
    <row r="1311">
      <c r="A1311" s="25" t="inlineStr">
        <is>
          <t>ORD2310</t>
        </is>
      </c>
      <c r="B1311" s="25" t="inlineStr">
        <is>
          <t>2025-03-19</t>
        </is>
      </c>
      <c r="C1311" s="25" t="inlineStr">
        <is>
          <t>20:41:21</t>
        </is>
      </c>
      <c r="D1311" s="25" t="n">
        <v>1021</v>
      </c>
      <c r="E1311" s="25" t="n">
        <v>116</v>
      </c>
      <c r="F1311" s="25" t="n">
        <v>226</v>
      </c>
      <c r="G1311" s="25" t="inlineStr">
        <is>
          <t>Pune</t>
        </is>
      </c>
      <c r="H1311" s="25" t="inlineStr">
        <is>
          <t>Desserts</t>
        </is>
      </c>
      <c r="I1311" s="26" t="n">
        <v>294</v>
      </c>
      <c r="J1311" s="26" t="n">
        <v>18.44</v>
      </c>
      <c r="K1311" s="26" t="n">
        <v>29.5</v>
      </c>
      <c r="L1311" s="27" t="n">
        <v>0.25</v>
      </c>
      <c r="M1311" s="26" t="n">
        <v>80.88</v>
      </c>
      <c r="N1311" s="28" t="n">
        <v>3.9</v>
      </c>
      <c r="O1311" s="28" t="n">
        <v>37.6</v>
      </c>
      <c r="P1311" s="25" t="inlineStr">
        <is>
          <t>Cash on Delivery</t>
        </is>
      </c>
      <c r="Q1311" s="25" t="inlineStr">
        <is>
          <t>Delivered</t>
        </is>
      </c>
      <c r="R1311" s="25" t="n">
        <v>3</v>
      </c>
      <c r="S1311" s="25">
        <f>TEXT(B1311,"yyyy-mm")</f>
        <v/>
      </c>
      <c r="T1311" s="25">
        <f>VLOOKUP(D1311,Customers!A:D,4,FALSE)</f>
        <v/>
      </c>
      <c r="U1311" s="25">
        <f>CONCATENATE(A1311,"-",G1311)</f>
        <v/>
      </c>
      <c r="V1311" s="25">
        <f>IF(N1311="","",IF(N1311&lt;=30,"Fast (&lt;30m)",IF(N1311&lt;=45,"Moderate (30-45m)","Delayed (&gt;45m)")))</f>
        <v/>
      </c>
      <c r="W1311" s="25">
        <f>IF(AND(I1311&gt;600,P1311="Delivered"),"High Value Delivered","Standard")</f>
        <v/>
      </c>
      <c r="X1311" s="25">
        <f>IF(OR(N1311&gt;50,Q1311&lt;=2),"High Risk / Delayed","Normal")</f>
        <v/>
      </c>
      <c r="Y1311" s="25">
        <f>IF(NOT(P1311="Cancelled"),"Fulfilled","Cancelled")</f>
        <v/>
      </c>
      <c r="Z1311" s="25">
        <f>IFERROR(Q1311,0)</f>
        <v/>
      </c>
    </row>
    <row r="1312">
      <c r="A1312" s="17" t="inlineStr">
        <is>
          <t>ORD2311</t>
        </is>
      </c>
      <c r="B1312" s="17" t="inlineStr">
        <is>
          <t>2025-10-22</t>
        </is>
      </c>
      <c r="C1312" s="17" t="inlineStr">
        <is>
          <t>10:18:00</t>
        </is>
      </c>
      <c r="D1312" s="17" t="n">
        <v>1163</v>
      </c>
      <c r="E1312" s="17" t="n">
        <v>107</v>
      </c>
      <c r="F1312" s="17" t="n">
        <v>222</v>
      </c>
      <c r="G1312" s="17" t="inlineStr">
        <is>
          <t>Mumbai</t>
        </is>
      </c>
      <c r="H1312" s="17" t="inlineStr">
        <is>
          <t>Desserts</t>
        </is>
      </c>
      <c r="I1312" s="22" t="n">
        <v>858</v>
      </c>
      <c r="J1312" s="22" t="n">
        <v>92.64</v>
      </c>
      <c r="K1312" s="22" t="n">
        <v>27</v>
      </c>
      <c r="L1312" s="23" t="n">
        <v>0.25</v>
      </c>
      <c r="M1312" s="22" t="n">
        <v>221.25</v>
      </c>
      <c r="N1312" s="24" t="n">
        <v>3.4</v>
      </c>
      <c r="O1312" s="24" t="n">
        <v/>
      </c>
      <c r="P1312" s="17" t="inlineStr">
        <is>
          <t>Credit Card</t>
        </is>
      </c>
      <c r="Q1312" s="17" t="inlineStr">
        <is>
          <t>Cancelled</t>
        </is>
      </c>
      <c r="R1312" s="17" t="n">
        <v/>
      </c>
      <c r="S1312" s="17">
        <f>TEXT(B1312,"yyyy-mm")</f>
        <v/>
      </c>
      <c r="T1312" s="17">
        <f>VLOOKUP(D1312,Customers!A:D,4,FALSE)</f>
        <v/>
      </c>
      <c r="U1312" s="17">
        <f>CONCATENATE(A1312,"-",G1312)</f>
        <v/>
      </c>
      <c r="V1312" s="17">
        <f>IF(N1312="","",IF(N1312&lt;=30,"Fast (&lt;30m)",IF(N1312&lt;=45,"Moderate (30-45m)","Delayed (&gt;45m)")))</f>
        <v/>
      </c>
      <c r="W1312" s="17">
        <f>IF(AND(I1312&gt;600,P1312="Delivered"),"High Value Delivered","Standard")</f>
        <v/>
      </c>
      <c r="X1312" s="17">
        <f>IF(OR(N1312&gt;50,Q1312&lt;=2),"High Risk / Delayed","Normal")</f>
        <v/>
      </c>
      <c r="Y1312" s="17">
        <f>IF(NOT(P1312="Cancelled"),"Fulfilled","Cancelled")</f>
        <v/>
      </c>
      <c r="Z1312" s="17">
        <f>IFERROR(Q1312,0)</f>
        <v/>
      </c>
    </row>
    <row r="1313">
      <c r="A1313" s="25" t="inlineStr">
        <is>
          <t>ORD2312</t>
        </is>
      </c>
      <c r="B1313" s="25" t="inlineStr">
        <is>
          <t>2025-05-13</t>
        </is>
      </c>
      <c r="C1313" s="25" t="inlineStr">
        <is>
          <t>20:54:14</t>
        </is>
      </c>
      <c r="D1313" s="25" t="n">
        <v>1172</v>
      </c>
      <c r="E1313" s="25" t="n">
        <v>116</v>
      </c>
      <c r="F1313" s="25" t="n">
        <v>214</v>
      </c>
      <c r="G1313" s="25" t="inlineStr">
        <is>
          <t>Pune</t>
        </is>
      </c>
      <c r="H1313" s="25" t="inlineStr">
        <is>
          <t>Desserts</t>
        </is>
      </c>
      <c r="I1313" s="26" t="n">
        <v>818</v>
      </c>
      <c r="J1313" s="26" t="n">
        <v>21.37</v>
      </c>
      <c r="K1313" s="26" t="n">
        <v>40</v>
      </c>
      <c r="L1313" s="27" t="n">
        <v>0.25</v>
      </c>
      <c r="M1313" s="26" t="n">
        <v>214.5</v>
      </c>
      <c r="N1313" s="28" t="n">
        <v>6</v>
      </c>
      <c r="O1313" s="28" t="n">
        <v>47.4</v>
      </c>
      <c r="P1313" s="25" t="inlineStr">
        <is>
          <t>Credit Card</t>
        </is>
      </c>
      <c r="Q1313" s="25" t="inlineStr">
        <is>
          <t>Delivered</t>
        </is>
      </c>
      <c r="R1313" s="25" t="n">
        <v>3</v>
      </c>
      <c r="S1313" s="25">
        <f>TEXT(B1313,"yyyy-mm")</f>
        <v/>
      </c>
      <c r="T1313" s="25">
        <f>VLOOKUP(D1313,Customers!A:D,4,FALSE)</f>
        <v/>
      </c>
      <c r="U1313" s="25">
        <f>CONCATENATE(A1313,"-",G1313)</f>
        <v/>
      </c>
      <c r="V1313" s="25">
        <f>IF(N1313="","",IF(N1313&lt;=30,"Fast (&lt;30m)",IF(N1313&lt;=45,"Moderate (30-45m)","Delayed (&gt;45m)")))</f>
        <v/>
      </c>
      <c r="W1313" s="25">
        <f>IF(AND(I1313&gt;600,P1313="Delivered"),"High Value Delivered","Standard")</f>
        <v/>
      </c>
      <c r="X1313" s="25">
        <f>IF(OR(N1313&gt;50,Q1313&lt;=2),"High Risk / Delayed","Normal")</f>
        <v/>
      </c>
      <c r="Y1313" s="25">
        <f>IF(NOT(P1313="Cancelled"),"Fulfilled","Cancelled")</f>
        <v/>
      </c>
      <c r="Z1313" s="25">
        <f>IFERROR(Q1313,0)</f>
        <v/>
      </c>
    </row>
    <row r="1314">
      <c r="A1314" s="17" t="inlineStr">
        <is>
          <t>ORD2313</t>
        </is>
      </c>
      <c r="B1314" s="17" t="inlineStr">
        <is>
          <t>2025-03-17</t>
        </is>
      </c>
      <c r="C1314" s="17" t="inlineStr">
        <is>
          <t>14:13:19</t>
        </is>
      </c>
      <c r="D1314" s="17" t="n">
        <v>1036</v>
      </c>
      <c r="E1314" s="17" t="n">
        <v>117</v>
      </c>
      <c r="F1314" s="17" t="n">
        <v>222</v>
      </c>
      <c r="G1314" s="17" t="inlineStr">
        <is>
          <t>Mumbai</t>
        </is>
      </c>
      <c r="H1314" s="17" t="inlineStr">
        <is>
          <t>Chinese</t>
        </is>
      </c>
      <c r="I1314" s="22" t="n">
        <v>405</v>
      </c>
      <c r="J1314" s="22" t="n">
        <v>23.11</v>
      </c>
      <c r="K1314" s="22" t="n">
        <v>25</v>
      </c>
      <c r="L1314" s="23" t="n">
        <v>0.2</v>
      </c>
      <c r="M1314" s="22" t="n">
        <v>87.25</v>
      </c>
      <c r="N1314" s="24" t="n">
        <v>2.7</v>
      </c>
      <c r="O1314" s="24" t="n">
        <v>27.7</v>
      </c>
      <c r="P1314" s="17" t="inlineStr">
        <is>
          <t>UPI</t>
        </is>
      </c>
      <c r="Q1314" s="17" t="inlineStr">
        <is>
          <t>Delivered</t>
        </is>
      </c>
      <c r="R1314" s="17" t="n">
        <v>4</v>
      </c>
      <c r="S1314" s="17">
        <f>TEXT(B1314,"yyyy-mm")</f>
        <v/>
      </c>
      <c r="T1314" s="17">
        <f>VLOOKUP(D1314,Customers!A:D,4,FALSE)</f>
        <v/>
      </c>
      <c r="U1314" s="17">
        <f>CONCATENATE(A1314,"-",G1314)</f>
        <v/>
      </c>
      <c r="V1314" s="17">
        <f>IF(N1314="","",IF(N1314&lt;=30,"Fast (&lt;30m)",IF(N1314&lt;=45,"Moderate (30-45m)","Delayed (&gt;45m)")))</f>
        <v/>
      </c>
      <c r="W1314" s="17">
        <f>IF(AND(I1314&gt;600,P1314="Delivered"),"High Value Delivered","Standard")</f>
        <v/>
      </c>
      <c r="X1314" s="17">
        <f>IF(OR(N1314&gt;50,Q1314&lt;=2),"High Risk / Delayed","Normal")</f>
        <v/>
      </c>
      <c r="Y1314" s="17">
        <f>IF(NOT(P1314="Cancelled"),"Fulfilled","Cancelled")</f>
        <v/>
      </c>
      <c r="Z1314" s="17">
        <f>IFERROR(Q1314,0)</f>
        <v/>
      </c>
    </row>
    <row r="1315">
      <c r="A1315" s="25" t="inlineStr">
        <is>
          <t>ORD2314</t>
        </is>
      </c>
      <c r="B1315" s="25" t="inlineStr">
        <is>
          <t>2025-02-05</t>
        </is>
      </c>
      <c r="C1315" s="25" t="inlineStr">
        <is>
          <t>07:20:55</t>
        </is>
      </c>
      <c r="D1315" s="25" t="n">
        <v>1061</v>
      </c>
      <c r="E1315" s="25" t="n">
        <v>116</v>
      </c>
      <c r="F1315" s="25" t="n">
        <v>214</v>
      </c>
      <c r="G1315" s="25" t="inlineStr">
        <is>
          <t>Pune</t>
        </is>
      </c>
      <c r="H1315" s="25" t="inlineStr">
        <is>
          <t>Desserts</t>
        </is>
      </c>
      <c r="I1315" s="26" t="n">
        <v>542</v>
      </c>
      <c r="J1315" s="26" t="n">
        <v>28.54</v>
      </c>
      <c r="K1315" s="26" t="n">
        <v>40</v>
      </c>
      <c r="L1315" s="27" t="n">
        <v>0.25</v>
      </c>
      <c r="M1315" s="26" t="n">
        <v>145.5</v>
      </c>
      <c r="N1315" s="28" t="n">
        <v>6</v>
      </c>
      <c r="O1315" s="28" t="n">
        <v>35.1</v>
      </c>
      <c r="P1315" s="25" t="inlineStr">
        <is>
          <t>Credit Card</t>
        </is>
      </c>
      <c r="Q1315" s="25" t="inlineStr">
        <is>
          <t>Delivered</t>
        </is>
      </c>
      <c r="R1315" s="25" t="n">
        <v>4</v>
      </c>
      <c r="S1315" s="25">
        <f>TEXT(B1315,"yyyy-mm")</f>
        <v/>
      </c>
      <c r="T1315" s="25">
        <f>VLOOKUP(D1315,Customers!A:D,4,FALSE)</f>
        <v/>
      </c>
      <c r="U1315" s="25">
        <f>CONCATENATE(A1315,"-",G1315)</f>
        <v/>
      </c>
      <c r="V1315" s="25">
        <f>IF(N1315="","",IF(N1315&lt;=30,"Fast (&lt;30m)",IF(N1315&lt;=45,"Moderate (30-45m)","Delayed (&gt;45m)")))</f>
        <v/>
      </c>
      <c r="W1315" s="25">
        <f>IF(AND(I1315&gt;600,P1315="Delivered"),"High Value Delivered","Standard")</f>
        <v/>
      </c>
      <c r="X1315" s="25">
        <f>IF(OR(N1315&gt;50,Q1315&lt;=2),"High Risk / Delayed","Normal")</f>
        <v/>
      </c>
      <c r="Y1315" s="25">
        <f>IF(NOT(P1315="Cancelled"),"Fulfilled","Cancelled")</f>
        <v/>
      </c>
      <c r="Z1315" s="25">
        <f>IFERROR(Q1315,0)</f>
        <v/>
      </c>
    </row>
    <row r="1316">
      <c r="A1316" s="17" t="inlineStr">
        <is>
          <t>ORD2315</t>
        </is>
      </c>
      <c r="B1316" s="17" t="inlineStr">
        <is>
          <t>2025-04-22</t>
        </is>
      </c>
      <c r="C1316" s="17" t="inlineStr">
        <is>
          <t>12:49:22</t>
        </is>
      </c>
      <c r="D1316" s="17" t="n">
        <v>1009</v>
      </c>
      <c r="E1316" s="17" t="n">
        <v>102</v>
      </c>
      <c r="F1316" s="17" t="n">
        <v>216</v>
      </c>
      <c r="G1316" s="17" t="inlineStr">
        <is>
          <t>Hyderabad</t>
        </is>
      </c>
      <c r="H1316" s="17" t="inlineStr">
        <is>
          <t>Biryani</t>
        </is>
      </c>
      <c r="I1316" s="22" t="n">
        <v>247</v>
      </c>
      <c r="J1316" s="22" t="n">
        <v>14.72</v>
      </c>
      <c r="K1316" s="22" t="n">
        <v>29.5</v>
      </c>
      <c r="L1316" s="23" t="n">
        <v>0.22</v>
      </c>
      <c r="M1316" s="22" t="n">
        <v>61.72</v>
      </c>
      <c r="N1316" s="24" t="n">
        <v>3.9</v>
      </c>
      <c r="O1316" s="24" t="n">
        <v>40.7</v>
      </c>
      <c r="P1316" s="17" t="inlineStr">
        <is>
          <t>Cash on Delivery</t>
        </is>
      </c>
      <c r="Q1316" s="17" t="inlineStr">
        <is>
          <t>Delivered</t>
        </is>
      </c>
      <c r="R1316" s="17" t="n">
        <v>2</v>
      </c>
      <c r="S1316" s="17">
        <f>TEXT(B1316,"yyyy-mm")</f>
        <v/>
      </c>
      <c r="T1316" s="17">
        <f>VLOOKUP(D1316,Customers!A:D,4,FALSE)</f>
        <v/>
      </c>
      <c r="U1316" s="17">
        <f>CONCATENATE(A1316,"-",G1316)</f>
        <v/>
      </c>
      <c r="V1316" s="17">
        <f>IF(N1316="","",IF(N1316&lt;=30,"Fast (&lt;30m)",IF(N1316&lt;=45,"Moderate (30-45m)","Delayed (&gt;45m)")))</f>
        <v/>
      </c>
      <c r="W1316" s="17">
        <f>IF(AND(I1316&gt;600,P1316="Delivered"),"High Value Delivered","Standard")</f>
        <v/>
      </c>
      <c r="X1316" s="17">
        <f>IF(OR(N1316&gt;50,Q1316&lt;=2),"High Risk / Delayed","Normal")</f>
        <v/>
      </c>
      <c r="Y1316" s="17">
        <f>IF(NOT(P1316="Cancelled"),"Fulfilled","Cancelled")</f>
        <v/>
      </c>
      <c r="Z1316" s="17">
        <f>IFERROR(Q1316,0)</f>
        <v/>
      </c>
    </row>
    <row r="1317">
      <c r="A1317" s="25" t="inlineStr">
        <is>
          <t>ORD2316</t>
        </is>
      </c>
      <c r="B1317" s="25" t="inlineStr">
        <is>
          <t>2025-01-14</t>
        </is>
      </c>
      <c r="C1317" s="25" t="inlineStr">
        <is>
          <t>20:28:55</t>
        </is>
      </c>
      <c r="D1317" s="25" t="n">
        <v>1183</v>
      </c>
      <c r="E1317" s="25" t="n">
        <v>107</v>
      </c>
      <c r="F1317" s="25" t="n">
        <v>229</v>
      </c>
      <c r="G1317" s="25" t="inlineStr">
        <is>
          <t>Mumbai</t>
        </is>
      </c>
      <c r="H1317" s="25" t="inlineStr">
        <is>
          <t>Desserts</t>
        </is>
      </c>
      <c r="I1317" s="26" t="n">
        <v>630</v>
      </c>
      <c r="J1317" s="26" t="n">
        <v>66.09999999999999</v>
      </c>
      <c r="K1317" s="26" t="n">
        <v>0</v>
      </c>
      <c r="L1317" s="27" t="n">
        <v>0.25</v>
      </c>
      <c r="M1317" s="26" t="n">
        <v>157.5</v>
      </c>
      <c r="N1317" s="28" t="n">
        <v>4.5</v>
      </c>
      <c r="O1317" s="28" t="n">
        <v>35.3</v>
      </c>
      <c r="P1317" s="25" t="inlineStr">
        <is>
          <t>Credit Card</t>
        </is>
      </c>
      <c r="Q1317" s="25" t="inlineStr">
        <is>
          <t>Delivered</t>
        </is>
      </c>
      <c r="R1317" s="25" t="n">
        <v>4</v>
      </c>
      <c r="S1317" s="25">
        <f>TEXT(B1317,"yyyy-mm")</f>
        <v/>
      </c>
      <c r="T1317" s="25">
        <f>VLOOKUP(D1317,Customers!A:D,4,FALSE)</f>
        <v/>
      </c>
      <c r="U1317" s="25">
        <f>CONCATENATE(A1317,"-",G1317)</f>
        <v/>
      </c>
      <c r="V1317" s="25">
        <f>IF(N1317="","",IF(N1317&lt;=30,"Fast (&lt;30m)",IF(N1317&lt;=45,"Moderate (30-45m)","Delayed (&gt;45m)")))</f>
        <v/>
      </c>
      <c r="W1317" s="25">
        <f>IF(AND(I1317&gt;600,P1317="Delivered"),"High Value Delivered","Standard")</f>
        <v/>
      </c>
      <c r="X1317" s="25">
        <f>IF(OR(N1317&gt;50,Q1317&lt;=2),"High Risk / Delayed","Normal")</f>
        <v/>
      </c>
      <c r="Y1317" s="25">
        <f>IF(NOT(P1317="Cancelled"),"Fulfilled","Cancelled")</f>
        <v/>
      </c>
      <c r="Z1317" s="25">
        <f>IFERROR(Q1317,0)</f>
        <v/>
      </c>
    </row>
    <row r="1318">
      <c r="A1318" s="17" t="inlineStr">
        <is>
          <t>ORD2317</t>
        </is>
      </c>
      <c r="B1318" s="17" t="inlineStr">
        <is>
          <t>2025-10-30</t>
        </is>
      </c>
      <c r="C1318" s="17" t="inlineStr">
        <is>
          <t>13:52:07</t>
        </is>
      </c>
      <c r="D1318" s="17" t="n">
        <v>1282</v>
      </c>
      <c r="E1318" s="17" t="n">
        <v>112</v>
      </c>
      <c r="F1318" s="17" t="n">
        <v>211</v>
      </c>
      <c r="G1318" s="17" t="inlineStr">
        <is>
          <t>Delhi NCR</t>
        </is>
      </c>
      <c r="H1318" s="17" t="inlineStr">
        <is>
          <t>North Indian</t>
        </is>
      </c>
      <c r="I1318" s="22" t="n">
        <v>315</v>
      </c>
      <c r="J1318" s="22" t="n">
        <v>12.77</v>
      </c>
      <c r="K1318" s="22" t="n">
        <v>42</v>
      </c>
      <c r="L1318" s="23" t="n">
        <v>0.22</v>
      </c>
      <c r="M1318" s="22" t="n">
        <v>79.8</v>
      </c>
      <c r="N1318" s="24" t="n">
        <v>6.4</v>
      </c>
      <c r="O1318" s="24" t="n">
        <v>44.6</v>
      </c>
      <c r="P1318" s="17" t="inlineStr">
        <is>
          <t>Digital Wallet</t>
        </is>
      </c>
      <c r="Q1318" s="17" t="inlineStr">
        <is>
          <t>Delivered</t>
        </is>
      </c>
      <c r="R1318" s="17" t="n">
        <v>2</v>
      </c>
      <c r="S1318" s="17">
        <f>TEXT(B1318,"yyyy-mm")</f>
        <v/>
      </c>
      <c r="T1318" s="17">
        <f>VLOOKUP(D1318,Customers!A:D,4,FALSE)</f>
        <v/>
      </c>
      <c r="U1318" s="17">
        <f>CONCATENATE(A1318,"-",G1318)</f>
        <v/>
      </c>
      <c r="V1318" s="17">
        <f>IF(N1318="","",IF(N1318&lt;=30,"Fast (&lt;30m)",IF(N1318&lt;=45,"Moderate (30-45m)","Delayed (&gt;45m)")))</f>
        <v/>
      </c>
      <c r="W1318" s="17">
        <f>IF(AND(I1318&gt;600,P1318="Delivered"),"High Value Delivered","Standard")</f>
        <v/>
      </c>
      <c r="X1318" s="17">
        <f>IF(OR(N1318&gt;50,Q1318&lt;=2),"High Risk / Delayed","Normal")</f>
        <v/>
      </c>
      <c r="Y1318" s="17">
        <f>IF(NOT(P1318="Cancelled"),"Fulfilled","Cancelled")</f>
        <v/>
      </c>
      <c r="Z1318" s="17">
        <f>IFERROR(Q1318,0)</f>
        <v/>
      </c>
    </row>
    <row r="1319">
      <c r="A1319" s="25" t="inlineStr">
        <is>
          <t>ORD2318</t>
        </is>
      </c>
      <c r="B1319" s="25" t="inlineStr">
        <is>
          <t>2025-04-18</t>
        </is>
      </c>
      <c r="C1319" s="25" t="inlineStr">
        <is>
          <t>20:07:31</t>
        </is>
      </c>
      <c r="D1319" s="25" t="n">
        <v>1199</v>
      </c>
      <c r="E1319" s="25" t="n">
        <v>114</v>
      </c>
      <c r="F1319" s="25" t="n">
        <v>215</v>
      </c>
      <c r="G1319" s="25" t="inlineStr">
        <is>
          <t>Hyderabad</t>
        </is>
      </c>
      <c r="H1319" s="25" t="inlineStr">
        <is>
          <t>Biryani</t>
        </is>
      </c>
      <c r="I1319" s="26" t="n">
        <v>1030</v>
      </c>
      <c r="J1319" s="26" t="n">
        <v>180.22</v>
      </c>
      <c r="K1319" s="26" t="n">
        <v>0</v>
      </c>
      <c r="L1319" s="27" t="n">
        <v>0.22</v>
      </c>
      <c r="M1319" s="26" t="n">
        <v>226.6</v>
      </c>
      <c r="N1319" s="28" t="n">
        <v>5.9</v>
      </c>
      <c r="O1319" s="28" t="n">
        <v>42.4</v>
      </c>
      <c r="P1319" s="25" t="inlineStr">
        <is>
          <t>Credit Card</t>
        </is>
      </c>
      <c r="Q1319" s="25" t="inlineStr">
        <is>
          <t>Delivered</t>
        </is>
      </c>
      <c r="R1319" s="25" t="n">
        <v>3</v>
      </c>
      <c r="S1319" s="25">
        <f>TEXT(B1319,"yyyy-mm")</f>
        <v/>
      </c>
      <c r="T1319" s="25">
        <f>VLOOKUP(D1319,Customers!A:D,4,FALSE)</f>
        <v/>
      </c>
      <c r="U1319" s="25">
        <f>CONCATENATE(A1319,"-",G1319)</f>
        <v/>
      </c>
      <c r="V1319" s="25">
        <f>IF(N1319="","",IF(N1319&lt;=30,"Fast (&lt;30m)",IF(N1319&lt;=45,"Moderate (30-45m)","Delayed (&gt;45m)")))</f>
        <v/>
      </c>
      <c r="W1319" s="25">
        <f>IF(AND(I1319&gt;600,P1319="Delivered"),"High Value Delivered","Standard")</f>
        <v/>
      </c>
      <c r="X1319" s="25">
        <f>IF(OR(N1319&gt;50,Q1319&lt;=2),"High Risk / Delayed","Normal")</f>
        <v/>
      </c>
      <c r="Y1319" s="25">
        <f>IF(NOT(P1319="Cancelled"),"Fulfilled","Cancelled")</f>
        <v/>
      </c>
      <c r="Z1319" s="25">
        <f>IFERROR(Q1319,0)</f>
        <v/>
      </c>
    </row>
    <row r="1320">
      <c r="A1320" s="17" t="inlineStr">
        <is>
          <t>ORD2319</t>
        </is>
      </c>
      <c r="B1320" s="17" t="inlineStr">
        <is>
          <t>2025-09-17</t>
        </is>
      </c>
      <c r="C1320" s="17" t="inlineStr">
        <is>
          <t>12:23:30</t>
        </is>
      </c>
      <c r="D1320" s="17" t="n">
        <v>1108</v>
      </c>
      <c r="E1320" s="17" t="n">
        <v>120</v>
      </c>
      <c r="F1320" s="17" t="n">
        <v>204</v>
      </c>
      <c r="G1320" s="17" t="inlineStr">
        <is>
          <t>Pune</t>
        </is>
      </c>
      <c r="H1320" s="17" t="inlineStr">
        <is>
          <t>Fast Food</t>
        </is>
      </c>
      <c r="I1320" s="22" t="n">
        <v>481</v>
      </c>
      <c r="J1320" s="22" t="n">
        <v>41.18</v>
      </c>
      <c r="K1320" s="22" t="n">
        <v>29</v>
      </c>
      <c r="L1320" s="23" t="n">
        <v>0.18</v>
      </c>
      <c r="M1320" s="22" t="n">
        <v>93.83</v>
      </c>
      <c r="N1320" s="24" t="n">
        <v>3.8</v>
      </c>
      <c r="O1320" s="24" t="n">
        <v>36.1</v>
      </c>
      <c r="P1320" s="17" t="inlineStr">
        <is>
          <t>UPI</t>
        </is>
      </c>
      <c r="Q1320" s="17" t="inlineStr">
        <is>
          <t>Delivered</t>
        </is>
      </c>
      <c r="R1320" s="17" t="n">
        <v>4</v>
      </c>
      <c r="S1320" s="17">
        <f>TEXT(B1320,"yyyy-mm")</f>
        <v/>
      </c>
      <c r="T1320" s="17">
        <f>VLOOKUP(D1320,Customers!A:D,4,FALSE)</f>
        <v/>
      </c>
      <c r="U1320" s="17">
        <f>CONCATENATE(A1320,"-",G1320)</f>
        <v/>
      </c>
      <c r="V1320" s="17">
        <f>IF(N1320="","",IF(N1320&lt;=30,"Fast (&lt;30m)",IF(N1320&lt;=45,"Moderate (30-45m)","Delayed (&gt;45m)")))</f>
        <v/>
      </c>
      <c r="W1320" s="17">
        <f>IF(AND(I1320&gt;600,P1320="Delivered"),"High Value Delivered","Standard")</f>
        <v/>
      </c>
      <c r="X1320" s="17">
        <f>IF(OR(N1320&gt;50,Q1320&lt;=2),"High Risk / Delayed","Normal")</f>
        <v/>
      </c>
      <c r="Y1320" s="17">
        <f>IF(NOT(P1320="Cancelled"),"Fulfilled","Cancelled")</f>
        <v/>
      </c>
      <c r="Z1320" s="17">
        <f>IFERROR(Q1320,0)</f>
        <v/>
      </c>
    </row>
    <row r="1321">
      <c r="A1321" s="25" t="inlineStr">
        <is>
          <t>ORD2320</t>
        </is>
      </c>
      <c r="B1321" s="25" t="inlineStr">
        <is>
          <t>2025-08-04</t>
        </is>
      </c>
      <c r="C1321" s="25" t="inlineStr">
        <is>
          <t>08:25:54</t>
        </is>
      </c>
      <c r="D1321" s="25" t="n">
        <v>1073</v>
      </c>
      <c r="E1321" s="25" t="n">
        <v>101</v>
      </c>
      <c r="F1321" s="25" t="n">
        <v>227</v>
      </c>
      <c r="G1321" s="25" t="inlineStr">
        <is>
          <t>Bangalore</t>
        </is>
      </c>
      <c r="H1321" s="25" t="inlineStr">
        <is>
          <t>North Indian</t>
        </is>
      </c>
      <c r="I1321" s="26" t="n">
        <v>322</v>
      </c>
      <c r="J1321" s="26" t="n">
        <v>0</v>
      </c>
      <c r="K1321" s="26" t="n">
        <v>25</v>
      </c>
      <c r="L1321" s="27" t="n">
        <v>0.2</v>
      </c>
      <c r="M1321" s="26" t="n">
        <v>70.65000000000001</v>
      </c>
      <c r="N1321" s="28" t="n">
        <v>2.4</v>
      </c>
      <c r="O1321" s="28" t="n">
        <v>29.6</v>
      </c>
      <c r="P1321" s="25" t="inlineStr">
        <is>
          <t>UPI</t>
        </is>
      </c>
      <c r="Q1321" s="25" t="inlineStr">
        <is>
          <t>Delivered</t>
        </is>
      </c>
      <c r="R1321" s="25" t="n">
        <v>4</v>
      </c>
      <c r="S1321" s="25">
        <f>TEXT(B1321,"yyyy-mm")</f>
        <v/>
      </c>
      <c r="T1321" s="25">
        <f>VLOOKUP(D1321,Customers!A:D,4,FALSE)</f>
        <v/>
      </c>
      <c r="U1321" s="25">
        <f>CONCATENATE(A1321,"-",G1321)</f>
        <v/>
      </c>
      <c r="V1321" s="25">
        <f>IF(N1321="","",IF(N1321&lt;=30,"Fast (&lt;30m)",IF(N1321&lt;=45,"Moderate (30-45m)","Delayed (&gt;45m)")))</f>
        <v/>
      </c>
      <c r="W1321" s="25">
        <f>IF(AND(I1321&gt;600,P1321="Delivered"),"High Value Delivered","Standard")</f>
        <v/>
      </c>
      <c r="X1321" s="25">
        <f>IF(OR(N1321&gt;50,Q1321&lt;=2),"High Risk / Delayed","Normal")</f>
        <v/>
      </c>
      <c r="Y1321" s="25">
        <f>IF(NOT(P1321="Cancelled"),"Fulfilled","Cancelled")</f>
        <v/>
      </c>
      <c r="Z1321" s="25">
        <f>IFERROR(Q1321,0)</f>
        <v/>
      </c>
    </row>
    <row r="1322">
      <c r="A1322" s="17" t="inlineStr">
        <is>
          <t>ORD2321</t>
        </is>
      </c>
      <c r="B1322" s="17" t="inlineStr">
        <is>
          <t>2025-12-26</t>
        </is>
      </c>
      <c r="C1322" s="17" t="inlineStr">
        <is>
          <t>20:05:41</t>
        </is>
      </c>
      <c r="D1322" s="17" t="n">
        <v>1230</v>
      </c>
      <c r="E1322" s="17" t="n">
        <v>119</v>
      </c>
      <c r="F1322" s="17" t="n">
        <v>215</v>
      </c>
      <c r="G1322" s="17" t="inlineStr">
        <is>
          <t>Hyderabad</t>
        </is>
      </c>
      <c r="H1322" s="17" t="inlineStr">
        <is>
          <t>Biryani</t>
        </is>
      </c>
      <c r="I1322" s="22" t="n">
        <v>879</v>
      </c>
      <c r="J1322" s="22" t="n">
        <v>93.8</v>
      </c>
      <c r="K1322" s="22" t="n">
        <v>25</v>
      </c>
      <c r="L1322" s="23" t="n">
        <v>0.2</v>
      </c>
      <c r="M1322" s="22" t="n">
        <v>182.05</v>
      </c>
      <c r="N1322" s="24" t="n">
        <v>2.6</v>
      </c>
      <c r="O1322" s="24" t="n">
        <v>33.2</v>
      </c>
      <c r="P1322" s="17" t="inlineStr">
        <is>
          <t>UPI</t>
        </is>
      </c>
      <c r="Q1322" s="17" t="inlineStr">
        <is>
          <t>Delivered</t>
        </is>
      </c>
      <c r="R1322" s="17" t="n">
        <v>5</v>
      </c>
      <c r="S1322" s="17">
        <f>TEXT(B1322,"yyyy-mm")</f>
        <v/>
      </c>
      <c r="T1322" s="17">
        <f>VLOOKUP(D1322,Customers!A:D,4,FALSE)</f>
        <v/>
      </c>
      <c r="U1322" s="17">
        <f>CONCATENATE(A1322,"-",G1322)</f>
        <v/>
      </c>
      <c r="V1322" s="17">
        <f>IF(N1322="","",IF(N1322&lt;=30,"Fast (&lt;30m)",IF(N1322&lt;=45,"Moderate (30-45m)","Delayed (&gt;45m)")))</f>
        <v/>
      </c>
      <c r="W1322" s="17">
        <f>IF(AND(I1322&gt;600,P1322="Delivered"),"High Value Delivered","Standard")</f>
        <v/>
      </c>
      <c r="X1322" s="17">
        <f>IF(OR(N1322&gt;50,Q1322&lt;=2),"High Risk / Delayed","Normal")</f>
        <v/>
      </c>
      <c r="Y1322" s="17">
        <f>IF(NOT(P1322="Cancelled"),"Fulfilled","Cancelled")</f>
        <v/>
      </c>
      <c r="Z1322" s="17">
        <f>IFERROR(Q1322,0)</f>
        <v/>
      </c>
    </row>
    <row r="1323">
      <c r="A1323" s="25" t="inlineStr">
        <is>
          <t>ORD2322</t>
        </is>
      </c>
      <c r="B1323" s="25" t="inlineStr">
        <is>
          <t>2025-03-14</t>
        </is>
      </c>
      <c r="C1323" s="25" t="inlineStr">
        <is>
          <t>22:54:15</t>
        </is>
      </c>
      <c r="D1323" s="25" t="n">
        <v>1164</v>
      </c>
      <c r="E1323" s="25" t="n">
        <v>110</v>
      </c>
      <c r="F1323" s="25" t="n">
        <v>217</v>
      </c>
      <c r="G1323" s="25" t="inlineStr">
        <is>
          <t>Pune</t>
        </is>
      </c>
      <c r="H1323" s="25" t="inlineStr">
        <is>
          <t>North Indian</t>
        </is>
      </c>
      <c r="I1323" s="26" t="n">
        <v>401</v>
      </c>
      <c r="J1323" s="26" t="n">
        <v>4.1</v>
      </c>
      <c r="K1323" s="26" t="n">
        <v>37</v>
      </c>
      <c r="L1323" s="27" t="n">
        <v>0.18</v>
      </c>
      <c r="M1323" s="26" t="n">
        <v>81.43000000000001</v>
      </c>
      <c r="N1323" s="28" t="n">
        <v>5.4</v>
      </c>
      <c r="O1323" s="28" t="n">
        <v>30.4</v>
      </c>
      <c r="P1323" s="25" t="inlineStr">
        <is>
          <t>Cash on Delivery</t>
        </is>
      </c>
      <c r="Q1323" s="25" t="inlineStr">
        <is>
          <t>Delivered</t>
        </is>
      </c>
      <c r="R1323" s="25" t="n">
        <v>4</v>
      </c>
      <c r="S1323" s="25">
        <f>TEXT(B1323,"yyyy-mm")</f>
        <v/>
      </c>
      <c r="T1323" s="25">
        <f>VLOOKUP(D1323,Customers!A:D,4,FALSE)</f>
        <v/>
      </c>
      <c r="U1323" s="25">
        <f>CONCATENATE(A1323,"-",G1323)</f>
        <v/>
      </c>
      <c r="V1323" s="25">
        <f>IF(N1323="","",IF(N1323&lt;=30,"Fast (&lt;30m)",IF(N1323&lt;=45,"Moderate (30-45m)","Delayed (&gt;45m)")))</f>
        <v/>
      </c>
      <c r="W1323" s="25">
        <f>IF(AND(I1323&gt;600,P1323="Delivered"),"High Value Delivered","Standard")</f>
        <v/>
      </c>
      <c r="X1323" s="25">
        <f>IF(OR(N1323&gt;50,Q1323&lt;=2),"High Risk / Delayed","Normal")</f>
        <v/>
      </c>
      <c r="Y1323" s="25">
        <f>IF(NOT(P1323="Cancelled"),"Fulfilled","Cancelled")</f>
        <v/>
      </c>
      <c r="Z1323" s="25">
        <f>IFERROR(Q1323,0)</f>
        <v/>
      </c>
    </row>
    <row r="1324">
      <c r="A1324" s="17" t="inlineStr">
        <is>
          <t>ORD2323</t>
        </is>
      </c>
      <c r="B1324" s="17" t="inlineStr">
        <is>
          <t>2025-11-02</t>
        </is>
      </c>
      <c r="C1324" s="17" t="inlineStr">
        <is>
          <t>20:51:13</t>
        </is>
      </c>
      <c r="D1324" s="17" t="n">
        <v>1158</v>
      </c>
      <c r="E1324" s="17" t="n">
        <v>120</v>
      </c>
      <c r="F1324" s="17" t="n">
        <v>224</v>
      </c>
      <c r="G1324" s="17" t="inlineStr">
        <is>
          <t>Pune</t>
        </is>
      </c>
      <c r="H1324" s="17" t="inlineStr">
        <is>
          <t>Fast Food</t>
        </is>
      </c>
      <c r="I1324" s="22" t="n">
        <v>896</v>
      </c>
      <c r="J1324" s="22" t="n">
        <v>63.18</v>
      </c>
      <c r="K1324" s="22" t="n">
        <v>29</v>
      </c>
      <c r="L1324" s="23" t="n">
        <v>0.18</v>
      </c>
      <c r="M1324" s="22" t="n">
        <v>168.53</v>
      </c>
      <c r="N1324" s="24" t="n">
        <v>3.8</v>
      </c>
      <c r="O1324" s="24" t="n">
        <v>33.5</v>
      </c>
      <c r="P1324" s="17" t="inlineStr">
        <is>
          <t>Credit Card</t>
        </is>
      </c>
      <c r="Q1324" s="17" t="inlineStr">
        <is>
          <t>Delivered</t>
        </is>
      </c>
      <c r="R1324" s="17" t="n">
        <v>5</v>
      </c>
      <c r="S1324" s="17">
        <f>TEXT(B1324,"yyyy-mm")</f>
        <v/>
      </c>
      <c r="T1324" s="17">
        <f>VLOOKUP(D1324,Customers!A:D,4,FALSE)</f>
        <v/>
      </c>
      <c r="U1324" s="17">
        <f>CONCATENATE(A1324,"-",G1324)</f>
        <v/>
      </c>
      <c r="V1324" s="17">
        <f>IF(N1324="","",IF(N1324&lt;=30,"Fast (&lt;30m)",IF(N1324&lt;=45,"Moderate (30-45m)","Delayed (&gt;45m)")))</f>
        <v/>
      </c>
      <c r="W1324" s="17">
        <f>IF(AND(I1324&gt;600,P1324="Delivered"),"High Value Delivered","Standard")</f>
        <v/>
      </c>
      <c r="X1324" s="17">
        <f>IF(OR(N1324&gt;50,Q1324&lt;=2),"High Risk / Delayed","Normal")</f>
        <v/>
      </c>
      <c r="Y1324" s="17">
        <f>IF(NOT(P1324="Cancelled"),"Fulfilled","Cancelled")</f>
        <v/>
      </c>
      <c r="Z1324" s="17">
        <f>IFERROR(Q1324,0)</f>
        <v/>
      </c>
    </row>
    <row r="1325">
      <c r="A1325" s="25" t="inlineStr">
        <is>
          <t>ORD2324</t>
        </is>
      </c>
      <c r="B1325" s="25" t="inlineStr">
        <is>
          <t>2025-09-23</t>
        </is>
      </c>
      <c r="C1325" s="25" t="inlineStr">
        <is>
          <t>19:09:47</t>
        </is>
      </c>
      <c r="D1325" s="25" t="n">
        <v>1248</v>
      </c>
      <c r="E1325" s="25" t="n">
        <v>104</v>
      </c>
      <c r="F1325" s="25" t="n">
        <v>230</v>
      </c>
      <c r="G1325" s="25" t="inlineStr">
        <is>
          <t>Delhi NCR</t>
        </is>
      </c>
      <c r="H1325" s="25" t="inlineStr">
        <is>
          <t>Fast Food</t>
        </is>
      </c>
      <c r="I1325" s="26" t="n">
        <v>1050</v>
      </c>
      <c r="J1325" s="26" t="n">
        <v>143.33</v>
      </c>
      <c r="K1325" s="26" t="n">
        <v>0</v>
      </c>
      <c r="L1325" s="27" t="n">
        <v>0.18</v>
      </c>
      <c r="M1325" s="26" t="n">
        <v>189</v>
      </c>
      <c r="N1325" s="28" t="n">
        <v>2.9</v>
      </c>
      <c r="O1325" s="28" t="n">
        <v>39.5</v>
      </c>
      <c r="P1325" s="25" t="inlineStr">
        <is>
          <t>Credit Card</t>
        </is>
      </c>
      <c r="Q1325" s="25" t="inlineStr">
        <is>
          <t>Delivered</t>
        </is>
      </c>
      <c r="R1325" s="25" t="n">
        <v>5</v>
      </c>
      <c r="S1325" s="25">
        <f>TEXT(B1325,"yyyy-mm")</f>
        <v/>
      </c>
      <c r="T1325" s="25">
        <f>VLOOKUP(D1325,Customers!A:D,4,FALSE)</f>
        <v/>
      </c>
      <c r="U1325" s="25">
        <f>CONCATENATE(A1325,"-",G1325)</f>
        <v/>
      </c>
      <c r="V1325" s="25">
        <f>IF(N1325="","",IF(N1325&lt;=30,"Fast (&lt;30m)",IF(N1325&lt;=45,"Moderate (30-45m)","Delayed (&gt;45m)")))</f>
        <v/>
      </c>
      <c r="W1325" s="25">
        <f>IF(AND(I1325&gt;600,P1325="Delivered"),"High Value Delivered","Standard")</f>
        <v/>
      </c>
      <c r="X1325" s="25">
        <f>IF(OR(N1325&gt;50,Q1325&lt;=2),"High Risk / Delayed","Normal")</f>
        <v/>
      </c>
      <c r="Y1325" s="25">
        <f>IF(NOT(P1325="Cancelled"),"Fulfilled","Cancelled")</f>
        <v/>
      </c>
      <c r="Z1325" s="25">
        <f>IFERROR(Q1325,0)</f>
        <v/>
      </c>
    </row>
    <row r="1326">
      <c r="A1326" s="17" t="inlineStr">
        <is>
          <t>ORD2325</t>
        </is>
      </c>
      <c r="B1326" s="17" t="inlineStr">
        <is>
          <t>2025-04-15</t>
        </is>
      </c>
      <c r="C1326" s="17" t="inlineStr">
        <is>
          <t>16:19:25</t>
        </is>
      </c>
      <c r="D1326" s="17" t="n">
        <v>1152</v>
      </c>
      <c r="E1326" s="17" t="n">
        <v>114</v>
      </c>
      <c r="F1326" s="17" t="n">
        <v>216</v>
      </c>
      <c r="G1326" s="17" t="inlineStr">
        <is>
          <t>Hyderabad</t>
        </is>
      </c>
      <c r="H1326" s="17" t="inlineStr">
        <is>
          <t>Biryani</t>
        </is>
      </c>
      <c r="I1326" s="22" t="n">
        <v>860</v>
      </c>
      <c r="J1326" s="22" t="n">
        <v>0</v>
      </c>
      <c r="K1326" s="22" t="n">
        <v>25</v>
      </c>
      <c r="L1326" s="23" t="n">
        <v>0.22</v>
      </c>
      <c r="M1326" s="22" t="n">
        <v>195.45</v>
      </c>
      <c r="N1326" s="24" t="n">
        <v>2.3</v>
      </c>
      <c r="O1326" s="24" t="n">
        <v>30.5</v>
      </c>
      <c r="P1326" s="17" t="inlineStr">
        <is>
          <t>Digital Wallet</t>
        </is>
      </c>
      <c r="Q1326" s="17" t="inlineStr">
        <is>
          <t>Delivered</t>
        </is>
      </c>
      <c r="R1326" s="17" t="n">
        <v>5</v>
      </c>
      <c r="S1326" s="17">
        <f>TEXT(B1326,"yyyy-mm")</f>
        <v/>
      </c>
      <c r="T1326" s="17">
        <f>VLOOKUP(D1326,Customers!A:D,4,FALSE)</f>
        <v/>
      </c>
      <c r="U1326" s="17">
        <f>CONCATENATE(A1326,"-",G1326)</f>
        <v/>
      </c>
      <c r="V1326" s="17">
        <f>IF(N1326="","",IF(N1326&lt;=30,"Fast (&lt;30m)",IF(N1326&lt;=45,"Moderate (30-45m)","Delayed (&gt;45m)")))</f>
        <v/>
      </c>
      <c r="W1326" s="17">
        <f>IF(AND(I1326&gt;600,P1326="Delivered"),"High Value Delivered","Standard")</f>
        <v/>
      </c>
      <c r="X1326" s="17">
        <f>IF(OR(N1326&gt;50,Q1326&lt;=2),"High Risk / Delayed","Normal")</f>
        <v/>
      </c>
      <c r="Y1326" s="17">
        <f>IF(NOT(P1326="Cancelled"),"Fulfilled","Cancelled")</f>
        <v/>
      </c>
      <c r="Z1326" s="17">
        <f>IFERROR(Q1326,0)</f>
        <v/>
      </c>
    </row>
    <row r="1327">
      <c r="A1327" s="25" t="inlineStr">
        <is>
          <t>ORD2326</t>
        </is>
      </c>
      <c r="B1327" s="25" t="inlineStr">
        <is>
          <t>2025-06-19</t>
        </is>
      </c>
      <c r="C1327" s="25" t="inlineStr">
        <is>
          <t>20:01:56</t>
        </is>
      </c>
      <c r="D1327" s="25" t="n">
        <v>1237</v>
      </c>
      <c r="E1327" s="25" t="n">
        <v>112</v>
      </c>
      <c r="F1327" s="25" t="n">
        <v>228</v>
      </c>
      <c r="G1327" s="25" t="inlineStr">
        <is>
          <t>Delhi NCR</t>
        </is>
      </c>
      <c r="H1327" s="25" t="inlineStr">
        <is>
          <t>North Indian</t>
        </is>
      </c>
      <c r="I1327" s="26" t="n">
        <v>701</v>
      </c>
      <c r="J1327" s="26" t="n">
        <v>0</v>
      </c>
      <c r="K1327" s="26" t="n">
        <v>27</v>
      </c>
      <c r="L1327" s="27" t="n">
        <v>0.22</v>
      </c>
      <c r="M1327" s="26" t="n">
        <v>160.97</v>
      </c>
      <c r="N1327" s="28" t="n">
        <v>3.4</v>
      </c>
      <c r="O1327" s="28" t="n">
        <v>34.7</v>
      </c>
      <c r="P1327" s="25" t="inlineStr">
        <is>
          <t>Cash on Delivery</t>
        </is>
      </c>
      <c r="Q1327" s="25" t="inlineStr">
        <is>
          <t>Delivered</t>
        </is>
      </c>
      <c r="R1327" s="25" t="n">
        <v>4</v>
      </c>
      <c r="S1327" s="25">
        <f>TEXT(B1327,"yyyy-mm")</f>
        <v/>
      </c>
      <c r="T1327" s="25">
        <f>VLOOKUP(D1327,Customers!A:D,4,FALSE)</f>
        <v/>
      </c>
      <c r="U1327" s="25">
        <f>CONCATENATE(A1327,"-",G1327)</f>
        <v/>
      </c>
      <c r="V1327" s="25">
        <f>IF(N1327="","",IF(N1327&lt;=30,"Fast (&lt;30m)",IF(N1327&lt;=45,"Moderate (30-45m)","Delayed (&gt;45m)")))</f>
        <v/>
      </c>
      <c r="W1327" s="25">
        <f>IF(AND(I1327&gt;600,P1327="Delivered"),"High Value Delivered","Standard")</f>
        <v/>
      </c>
      <c r="X1327" s="25">
        <f>IF(OR(N1327&gt;50,Q1327&lt;=2),"High Risk / Delayed","Normal")</f>
        <v/>
      </c>
      <c r="Y1327" s="25">
        <f>IF(NOT(P1327="Cancelled"),"Fulfilled","Cancelled")</f>
        <v/>
      </c>
      <c r="Z1327" s="25">
        <f>IFERROR(Q1327,0)</f>
        <v/>
      </c>
    </row>
    <row r="1328">
      <c r="A1328" s="17" t="inlineStr">
        <is>
          <t>ORD2327</t>
        </is>
      </c>
      <c r="B1328" s="17" t="inlineStr">
        <is>
          <t>2025-11-03</t>
        </is>
      </c>
      <c r="C1328" s="17" t="inlineStr">
        <is>
          <t>18:46:33</t>
        </is>
      </c>
      <c r="D1328" s="17" t="n">
        <v>1298</v>
      </c>
      <c r="E1328" s="17" t="n">
        <v>102</v>
      </c>
      <c r="F1328" s="17" t="n">
        <v>215</v>
      </c>
      <c r="G1328" s="17" t="inlineStr">
        <is>
          <t>Hyderabad</t>
        </is>
      </c>
      <c r="H1328" s="17" t="inlineStr">
        <is>
          <t>Biryani</t>
        </is>
      </c>
      <c r="I1328" s="22" t="n">
        <v>393</v>
      </c>
      <c r="J1328" s="22" t="n">
        <v>0</v>
      </c>
      <c r="K1328" s="22" t="n">
        <v>29.5</v>
      </c>
      <c r="L1328" s="23" t="n">
        <v>0.22</v>
      </c>
      <c r="M1328" s="22" t="n">
        <v>93.84</v>
      </c>
      <c r="N1328" s="24" t="n">
        <v>3.9</v>
      </c>
      <c r="O1328" s="24" t="n">
        <v>35.5</v>
      </c>
      <c r="P1328" s="17" t="inlineStr">
        <is>
          <t>Credit Card</t>
        </is>
      </c>
      <c r="Q1328" s="17" t="inlineStr">
        <is>
          <t>Delivered</t>
        </is>
      </c>
      <c r="R1328" s="17" t="n">
        <v>2</v>
      </c>
      <c r="S1328" s="17">
        <f>TEXT(B1328,"yyyy-mm")</f>
        <v/>
      </c>
      <c r="T1328" s="17">
        <f>VLOOKUP(D1328,Customers!A:D,4,FALSE)</f>
        <v/>
      </c>
      <c r="U1328" s="17">
        <f>CONCATENATE(A1328,"-",G1328)</f>
        <v/>
      </c>
      <c r="V1328" s="17">
        <f>IF(N1328="","",IF(N1328&lt;=30,"Fast (&lt;30m)",IF(N1328&lt;=45,"Moderate (30-45m)","Delayed (&gt;45m)")))</f>
        <v/>
      </c>
      <c r="W1328" s="17">
        <f>IF(AND(I1328&gt;600,P1328="Delivered"),"High Value Delivered","Standard")</f>
        <v/>
      </c>
      <c r="X1328" s="17">
        <f>IF(OR(N1328&gt;50,Q1328&lt;=2),"High Risk / Delayed","Normal")</f>
        <v/>
      </c>
      <c r="Y1328" s="17">
        <f>IF(NOT(P1328="Cancelled"),"Fulfilled","Cancelled")</f>
        <v/>
      </c>
      <c r="Z1328" s="17">
        <f>IFERROR(Q1328,0)</f>
        <v/>
      </c>
    </row>
    <row r="1329">
      <c r="A1329" s="25" t="inlineStr">
        <is>
          <t>ORD2328</t>
        </is>
      </c>
      <c r="B1329" s="25" t="inlineStr">
        <is>
          <t>2025-02-03</t>
        </is>
      </c>
      <c r="C1329" s="25" t="inlineStr">
        <is>
          <t>22:07:30</t>
        </is>
      </c>
      <c r="D1329" s="25" t="n">
        <v>1253</v>
      </c>
      <c r="E1329" s="25" t="n">
        <v>114</v>
      </c>
      <c r="F1329" s="25" t="n">
        <v>216</v>
      </c>
      <c r="G1329" s="25" t="inlineStr">
        <is>
          <t>Hyderabad</t>
        </is>
      </c>
      <c r="H1329" s="25" t="inlineStr">
        <is>
          <t>Biryani</t>
        </is>
      </c>
      <c r="I1329" s="26" t="n">
        <v>901</v>
      </c>
      <c r="J1329" s="26" t="n">
        <v>167.24</v>
      </c>
      <c r="K1329" s="26" t="n">
        <v>0</v>
      </c>
      <c r="L1329" s="27" t="n">
        <v>0.22</v>
      </c>
      <c r="M1329" s="26" t="n">
        <v>198.22</v>
      </c>
      <c r="N1329" s="28" t="n">
        <v>3.5</v>
      </c>
      <c r="O1329" s="28" t="n">
        <v>27.4</v>
      </c>
      <c r="P1329" s="25" t="inlineStr">
        <is>
          <t>Credit Card</t>
        </is>
      </c>
      <c r="Q1329" s="25" t="inlineStr">
        <is>
          <t>Delivered</t>
        </is>
      </c>
      <c r="R1329" s="25" t="n">
        <v>2</v>
      </c>
      <c r="S1329" s="25">
        <f>TEXT(B1329,"yyyy-mm")</f>
        <v/>
      </c>
      <c r="T1329" s="25">
        <f>VLOOKUP(D1329,Customers!A:D,4,FALSE)</f>
        <v/>
      </c>
      <c r="U1329" s="25">
        <f>CONCATENATE(A1329,"-",G1329)</f>
        <v/>
      </c>
      <c r="V1329" s="25">
        <f>IF(N1329="","",IF(N1329&lt;=30,"Fast (&lt;30m)",IF(N1329&lt;=45,"Moderate (30-45m)","Delayed (&gt;45m)")))</f>
        <v/>
      </c>
      <c r="W1329" s="25">
        <f>IF(AND(I1329&gt;600,P1329="Delivered"),"High Value Delivered","Standard")</f>
        <v/>
      </c>
      <c r="X1329" s="25">
        <f>IF(OR(N1329&gt;50,Q1329&lt;=2),"High Risk / Delayed","Normal")</f>
        <v/>
      </c>
      <c r="Y1329" s="25">
        <f>IF(NOT(P1329="Cancelled"),"Fulfilled","Cancelled")</f>
        <v/>
      </c>
      <c r="Z1329" s="25">
        <f>IFERROR(Q1329,0)</f>
        <v/>
      </c>
    </row>
    <row r="1330">
      <c r="A1330" s="17" t="inlineStr">
        <is>
          <t>ORD2329</t>
        </is>
      </c>
      <c r="B1330" s="17" t="inlineStr">
        <is>
          <t>2025-08-29</t>
        </is>
      </c>
      <c r="C1330" s="17" t="inlineStr">
        <is>
          <t>12:57:57</t>
        </is>
      </c>
      <c r="D1330" s="17" t="n">
        <v>1092</v>
      </c>
      <c r="E1330" s="17" t="n">
        <v>104</v>
      </c>
      <c r="F1330" s="17" t="n">
        <v>221</v>
      </c>
      <c r="G1330" s="17" t="inlineStr">
        <is>
          <t>Delhi NCR</t>
        </is>
      </c>
      <c r="H1330" s="17" t="inlineStr">
        <is>
          <t>Fast Food</t>
        </is>
      </c>
      <c r="I1330" s="22" t="n">
        <v>483</v>
      </c>
      <c r="J1330" s="22" t="n">
        <v>28.48</v>
      </c>
      <c r="K1330" s="22" t="n">
        <v>26.5</v>
      </c>
      <c r="L1330" s="23" t="n">
        <v>0.18</v>
      </c>
      <c r="M1330" s="22" t="n">
        <v>93.56</v>
      </c>
      <c r="N1330" s="24" t="n">
        <v>3.3</v>
      </c>
      <c r="O1330" s="24" t="n">
        <v>31.1</v>
      </c>
      <c r="P1330" s="17" t="inlineStr">
        <is>
          <t>Debit Card</t>
        </is>
      </c>
      <c r="Q1330" s="17" t="inlineStr">
        <is>
          <t>Delivered</t>
        </is>
      </c>
      <c r="R1330" s="17" t="n">
        <v>4</v>
      </c>
      <c r="S1330" s="17">
        <f>TEXT(B1330,"yyyy-mm")</f>
        <v/>
      </c>
      <c r="T1330" s="17">
        <f>VLOOKUP(D1330,Customers!A:D,4,FALSE)</f>
        <v/>
      </c>
      <c r="U1330" s="17">
        <f>CONCATENATE(A1330,"-",G1330)</f>
        <v/>
      </c>
      <c r="V1330" s="17">
        <f>IF(N1330="","",IF(N1330&lt;=30,"Fast (&lt;30m)",IF(N1330&lt;=45,"Moderate (30-45m)","Delayed (&gt;45m)")))</f>
        <v/>
      </c>
      <c r="W1330" s="17">
        <f>IF(AND(I1330&gt;600,P1330="Delivered"),"High Value Delivered","Standard")</f>
        <v/>
      </c>
      <c r="X1330" s="17">
        <f>IF(OR(N1330&gt;50,Q1330&lt;=2),"High Risk / Delayed","Normal")</f>
        <v/>
      </c>
      <c r="Y1330" s="17">
        <f>IF(NOT(P1330="Cancelled"),"Fulfilled","Cancelled")</f>
        <v/>
      </c>
      <c r="Z1330" s="17">
        <f>IFERROR(Q1330,0)</f>
        <v/>
      </c>
    </row>
    <row r="1331">
      <c r="A1331" s="25" t="inlineStr">
        <is>
          <t>ORD2330</t>
        </is>
      </c>
      <c r="B1331" s="25" t="inlineStr">
        <is>
          <t>2025-10-20</t>
        </is>
      </c>
      <c r="C1331" s="25" t="inlineStr">
        <is>
          <t>16:12:08</t>
        </is>
      </c>
      <c r="D1331" s="25" t="n">
        <v>1191</v>
      </c>
      <c r="E1331" s="25" t="n">
        <v>104</v>
      </c>
      <c r="F1331" s="25" t="n">
        <v>219</v>
      </c>
      <c r="G1331" s="25" t="inlineStr">
        <is>
          <t>Delhi NCR</t>
        </is>
      </c>
      <c r="H1331" s="25" t="inlineStr">
        <is>
          <t>Fast Food</t>
        </is>
      </c>
      <c r="I1331" s="26" t="n">
        <v>444</v>
      </c>
      <c r="J1331" s="26" t="n">
        <v>28.61</v>
      </c>
      <c r="K1331" s="26" t="n">
        <v>41</v>
      </c>
      <c r="L1331" s="27" t="n">
        <v>0.18</v>
      </c>
      <c r="M1331" s="26" t="n">
        <v>90.17</v>
      </c>
      <c r="N1331" s="28" t="n">
        <v>6.2</v>
      </c>
      <c r="O1331" s="28" t="n">
        <v>33.3</v>
      </c>
      <c r="P1331" s="25" t="inlineStr">
        <is>
          <t>UPI</t>
        </is>
      </c>
      <c r="Q1331" s="25" t="inlineStr">
        <is>
          <t>Delivered</t>
        </is>
      </c>
      <c r="R1331" s="25" t="n">
        <v>5</v>
      </c>
      <c r="S1331" s="25">
        <f>TEXT(B1331,"yyyy-mm")</f>
        <v/>
      </c>
      <c r="T1331" s="25">
        <f>VLOOKUP(D1331,Customers!A:D,4,FALSE)</f>
        <v/>
      </c>
      <c r="U1331" s="25">
        <f>CONCATENATE(A1331,"-",G1331)</f>
        <v/>
      </c>
      <c r="V1331" s="25">
        <f>IF(N1331="","",IF(N1331&lt;=30,"Fast (&lt;30m)",IF(N1331&lt;=45,"Moderate (30-45m)","Delayed (&gt;45m)")))</f>
        <v/>
      </c>
      <c r="W1331" s="25">
        <f>IF(AND(I1331&gt;600,P1331="Delivered"),"High Value Delivered","Standard")</f>
        <v/>
      </c>
      <c r="X1331" s="25">
        <f>IF(OR(N1331&gt;50,Q1331&lt;=2),"High Risk / Delayed","Normal")</f>
        <v/>
      </c>
      <c r="Y1331" s="25">
        <f>IF(NOT(P1331="Cancelled"),"Fulfilled","Cancelled")</f>
        <v/>
      </c>
      <c r="Z1331" s="25">
        <f>IFERROR(Q1331,0)</f>
        <v/>
      </c>
    </row>
    <row r="1332">
      <c r="A1332" s="17" t="inlineStr">
        <is>
          <t>ORD2331</t>
        </is>
      </c>
      <c r="B1332" s="17" t="inlineStr">
        <is>
          <t>2025-11-11</t>
        </is>
      </c>
      <c r="C1332" s="17" t="inlineStr">
        <is>
          <t>07:06:15</t>
        </is>
      </c>
      <c r="D1332" s="17" t="n">
        <v>1141</v>
      </c>
      <c r="E1332" s="17" t="n">
        <v>112</v>
      </c>
      <c r="F1332" s="17" t="n">
        <v>221</v>
      </c>
      <c r="G1332" s="17" t="inlineStr">
        <is>
          <t>Delhi NCR</t>
        </is>
      </c>
      <c r="H1332" s="17" t="inlineStr">
        <is>
          <t>North Indian</t>
        </is>
      </c>
      <c r="I1332" s="22" t="n">
        <v>615</v>
      </c>
      <c r="J1332" s="22" t="n">
        <v>72.84999999999999</v>
      </c>
      <c r="K1332" s="22" t="n">
        <v>0</v>
      </c>
      <c r="L1332" s="23" t="n">
        <v>0.22</v>
      </c>
      <c r="M1332" s="22" t="n">
        <v>135.3</v>
      </c>
      <c r="N1332" s="24" t="n">
        <v>3.4</v>
      </c>
      <c r="O1332" s="24" t="n">
        <v>33.3</v>
      </c>
      <c r="P1332" s="17" t="inlineStr">
        <is>
          <t>Debit Card</t>
        </is>
      </c>
      <c r="Q1332" s="17" t="inlineStr">
        <is>
          <t>Delivered</t>
        </is>
      </c>
      <c r="R1332" s="17" t="n">
        <v>5</v>
      </c>
      <c r="S1332" s="17">
        <f>TEXT(B1332,"yyyy-mm")</f>
        <v/>
      </c>
      <c r="T1332" s="17">
        <f>VLOOKUP(D1332,Customers!A:D,4,FALSE)</f>
        <v/>
      </c>
      <c r="U1332" s="17">
        <f>CONCATENATE(A1332,"-",G1332)</f>
        <v/>
      </c>
      <c r="V1332" s="17">
        <f>IF(N1332="","",IF(N1332&lt;=30,"Fast (&lt;30m)",IF(N1332&lt;=45,"Moderate (30-45m)","Delayed (&gt;45m)")))</f>
        <v/>
      </c>
      <c r="W1332" s="17">
        <f>IF(AND(I1332&gt;600,P1332="Delivered"),"High Value Delivered","Standard")</f>
        <v/>
      </c>
      <c r="X1332" s="17">
        <f>IF(OR(N1332&gt;50,Q1332&lt;=2),"High Risk / Delayed","Normal")</f>
        <v/>
      </c>
      <c r="Y1332" s="17">
        <f>IF(NOT(P1332="Cancelled"),"Fulfilled","Cancelled")</f>
        <v/>
      </c>
      <c r="Z1332" s="17">
        <f>IFERROR(Q1332,0)</f>
        <v/>
      </c>
    </row>
    <row r="1333">
      <c r="A1333" s="25" t="inlineStr">
        <is>
          <t>ORD2332</t>
        </is>
      </c>
      <c r="B1333" s="25" t="inlineStr">
        <is>
          <t>2025-06-17</t>
        </is>
      </c>
      <c r="C1333" s="25" t="inlineStr">
        <is>
          <t>21:27:23</t>
        </is>
      </c>
      <c r="D1333" s="25" t="n">
        <v>1277</v>
      </c>
      <c r="E1333" s="25" t="n">
        <v>107</v>
      </c>
      <c r="F1333" s="25" t="n">
        <v>206</v>
      </c>
      <c r="G1333" s="25" t="inlineStr">
        <is>
          <t>Mumbai</t>
        </is>
      </c>
      <c r="H1333" s="25" t="inlineStr">
        <is>
          <t>Desserts</t>
        </is>
      </c>
      <c r="I1333" s="26" t="n">
        <v>897</v>
      </c>
      <c r="J1333" s="26" t="n">
        <v>53.97</v>
      </c>
      <c r="K1333" s="26" t="n">
        <v>27.5</v>
      </c>
      <c r="L1333" s="27" t="n">
        <v>0.25</v>
      </c>
      <c r="M1333" s="26" t="n">
        <v>231.12</v>
      </c>
      <c r="N1333" s="28" t="n">
        <v>3.5</v>
      </c>
      <c r="O1333" s="28" t="n">
        <v>34.8</v>
      </c>
      <c r="P1333" s="25" t="inlineStr">
        <is>
          <t>UPI</t>
        </is>
      </c>
      <c r="Q1333" s="25" t="inlineStr">
        <is>
          <t>Delivered</t>
        </is>
      </c>
      <c r="R1333" s="25" t="n">
        <v>4</v>
      </c>
      <c r="S1333" s="25">
        <f>TEXT(B1333,"yyyy-mm")</f>
        <v/>
      </c>
      <c r="T1333" s="25">
        <f>VLOOKUP(D1333,Customers!A:D,4,FALSE)</f>
        <v/>
      </c>
      <c r="U1333" s="25">
        <f>CONCATENATE(A1333,"-",G1333)</f>
        <v/>
      </c>
      <c r="V1333" s="25">
        <f>IF(N1333="","",IF(N1333&lt;=30,"Fast (&lt;30m)",IF(N1333&lt;=45,"Moderate (30-45m)","Delayed (&gt;45m)")))</f>
        <v/>
      </c>
      <c r="W1333" s="25">
        <f>IF(AND(I1333&gt;600,P1333="Delivered"),"High Value Delivered","Standard")</f>
        <v/>
      </c>
      <c r="X1333" s="25">
        <f>IF(OR(N1333&gt;50,Q1333&lt;=2),"High Risk / Delayed","Normal")</f>
        <v/>
      </c>
      <c r="Y1333" s="25">
        <f>IF(NOT(P1333="Cancelled"),"Fulfilled","Cancelled")</f>
        <v/>
      </c>
      <c r="Z1333" s="25">
        <f>IFERROR(Q1333,0)</f>
        <v/>
      </c>
    </row>
    <row r="1334">
      <c r="A1334" s="17" t="inlineStr">
        <is>
          <t>ORD2333</t>
        </is>
      </c>
      <c r="B1334" s="17" t="inlineStr">
        <is>
          <t>2025-04-04</t>
        </is>
      </c>
      <c r="C1334" s="17" t="inlineStr">
        <is>
          <t>13:00:09</t>
        </is>
      </c>
      <c r="D1334" s="17" t="n">
        <v>1086</v>
      </c>
      <c r="E1334" s="17" t="n">
        <v>108</v>
      </c>
      <c r="F1334" s="17" t="n">
        <v>228</v>
      </c>
      <c r="G1334" s="17" t="inlineStr">
        <is>
          <t>Delhi NCR</t>
        </is>
      </c>
      <c r="H1334" s="17" t="inlineStr">
        <is>
          <t>Fast Food</t>
        </is>
      </c>
      <c r="I1334" s="22" t="n">
        <v>869</v>
      </c>
      <c r="J1334" s="22" t="n">
        <v>0</v>
      </c>
      <c r="K1334" s="22" t="n">
        <v>27.5</v>
      </c>
      <c r="L1334" s="23" t="n">
        <v>0.18</v>
      </c>
      <c r="M1334" s="22" t="n">
        <v>163.29</v>
      </c>
      <c r="N1334" s="24" t="n">
        <v>3.5</v>
      </c>
      <c r="O1334" s="24" t="n">
        <v>44.3</v>
      </c>
      <c r="P1334" s="17" t="inlineStr">
        <is>
          <t>Credit Card</t>
        </is>
      </c>
      <c r="Q1334" s="17" t="inlineStr">
        <is>
          <t>Delivered</t>
        </is>
      </c>
      <c r="R1334" s="17" t="n">
        <v>1</v>
      </c>
      <c r="S1334" s="17">
        <f>TEXT(B1334,"yyyy-mm")</f>
        <v/>
      </c>
      <c r="T1334" s="17">
        <f>VLOOKUP(D1334,Customers!A:D,4,FALSE)</f>
        <v/>
      </c>
      <c r="U1334" s="17">
        <f>CONCATENATE(A1334,"-",G1334)</f>
        <v/>
      </c>
      <c r="V1334" s="17">
        <f>IF(N1334="","",IF(N1334&lt;=30,"Fast (&lt;30m)",IF(N1334&lt;=45,"Moderate (30-45m)","Delayed (&gt;45m)")))</f>
        <v/>
      </c>
      <c r="W1334" s="17">
        <f>IF(AND(I1334&gt;600,P1334="Delivered"),"High Value Delivered","Standard")</f>
        <v/>
      </c>
      <c r="X1334" s="17">
        <f>IF(OR(N1334&gt;50,Q1334&lt;=2),"High Risk / Delayed","Normal")</f>
        <v/>
      </c>
      <c r="Y1334" s="17">
        <f>IF(NOT(P1334="Cancelled"),"Fulfilled","Cancelled")</f>
        <v/>
      </c>
      <c r="Z1334" s="17">
        <f>IFERROR(Q1334,0)</f>
        <v/>
      </c>
    </row>
    <row r="1335">
      <c r="A1335" s="25" t="inlineStr">
        <is>
          <t>ORD2334</t>
        </is>
      </c>
      <c r="B1335" s="25" t="inlineStr">
        <is>
          <t>2025-10-20</t>
        </is>
      </c>
      <c r="C1335" s="25" t="inlineStr">
        <is>
          <t>14:30:30</t>
        </is>
      </c>
      <c r="D1335" s="25" t="n">
        <v>1057</v>
      </c>
      <c r="E1335" s="25" t="n">
        <v>113</v>
      </c>
      <c r="F1335" s="25" t="n">
        <v>222</v>
      </c>
      <c r="G1335" s="25" t="inlineStr">
        <is>
          <t>Mumbai</t>
        </is>
      </c>
      <c r="H1335" s="25" t="inlineStr">
        <is>
          <t>Fast Food</t>
        </is>
      </c>
      <c r="I1335" s="26" t="n">
        <v>572</v>
      </c>
      <c r="J1335" s="26" t="n">
        <v>0</v>
      </c>
      <c r="K1335" s="26" t="n">
        <v>25</v>
      </c>
      <c r="L1335" s="27" t="n">
        <v>0.18</v>
      </c>
      <c r="M1335" s="26" t="n">
        <v>109.21</v>
      </c>
      <c r="N1335" s="28" t="n">
        <v>1.1</v>
      </c>
      <c r="O1335" s="28" t="n">
        <v>34.5</v>
      </c>
      <c r="P1335" s="25" t="inlineStr">
        <is>
          <t>Digital Wallet</t>
        </is>
      </c>
      <c r="Q1335" s="25" t="inlineStr">
        <is>
          <t>Delivered</t>
        </is>
      </c>
      <c r="R1335" s="25" t="n">
        <v>5</v>
      </c>
      <c r="S1335" s="25">
        <f>TEXT(B1335,"yyyy-mm")</f>
        <v/>
      </c>
      <c r="T1335" s="25">
        <f>VLOOKUP(D1335,Customers!A:D,4,FALSE)</f>
        <v/>
      </c>
      <c r="U1335" s="25">
        <f>CONCATENATE(A1335,"-",G1335)</f>
        <v/>
      </c>
      <c r="V1335" s="25">
        <f>IF(N1335="","",IF(N1335&lt;=30,"Fast (&lt;30m)",IF(N1335&lt;=45,"Moderate (30-45m)","Delayed (&gt;45m)")))</f>
        <v/>
      </c>
      <c r="W1335" s="25">
        <f>IF(AND(I1335&gt;600,P1335="Delivered"),"High Value Delivered","Standard")</f>
        <v/>
      </c>
      <c r="X1335" s="25">
        <f>IF(OR(N1335&gt;50,Q1335&lt;=2),"High Risk / Delayed","Normal")</f>
        <v/>
      </c>
      <c r="Y1335" s="25">
        <f>IF(NOT(P1335="Cancelled"),"Fulfilled","Cancelled")</f>
        <v/>
      </c>
      <c r="Z1335" s="25">
        <f>IFERROR(Q1335,0)</f>
        <v/>
      </c>
    </row>
    <row r="1336">
      <c r="A1336" s="17" t="inlineStr">
        <is>
          <t>ORD2335</t>
        </is>
      </c>
      <c r="B1336" s="17" t="inlineStr">
        <is>
          <t>2025-08-21</t>
        </is>
      </c>
      <c r="C1336" s="17" t="inlineStr">
        <is>
          <t>12:39:16</t>
        </is>
      </c>
      <c r="D1336" s="17" t="n">
        <v>1108</v>
      </c>
      <c r="E1336" s="17" t="n">
        <v>110</v>
      </c>
      <c r="F1336" s="17" t="n">
        <v>217</v>
      </c>
      <c r="G1336" s="17" t="inlineStr">
        <is>
          <t>Pune</t>
        </is>
      </c>
      <c r="H1336" s="17" t="inlineStr">
        <is>
          <t>North Indian</t>
        </is>
      </c>
      <c r="I1336" s="22" t="n">
        <v>778</v>
      </c>
      <c r="J1336" s="22" t="n">
        <v>62.85</v>
      </c>
      <c r="K1336" s="22" t="n">
        <v>25.5</v>
      </c>
      <c r="L1336" s="23" t="n">
        <v>0.18</v>
      </c>
      <c r="M1336" s="22" t="n">
        <v>146.42</v>
      </c>
      <c r="N1336" s="24" t="n">
        <v>3.1</v>
      </c>
      <c r="O1336" s="24" t="n">
        <v>39.9</v>
      </c>
      <c r="P1336" s="17" t="inlineStr">
        <is>
          <t>Digital Wallet</t>
        </is>
      </c>
      <c r="Q1336" s="17" t="inlineStr">
        <is>
          <t>Delivered</t>
        </is>
      </c>
      <c r="R1336" s="17" t="n">
        <v>4</v>
      </c>
      <c r="S1336" s="17">
        <f>TEXT(B1336,"yyyy-mm")</f>
        <v/>
      </c>
      <c r="T1336" s="17">
        <f>VLOOKUP(D1336,Customers!A:D,4,FALSE)</f>
        <v/>
      </c>
      <c r="U1336" s="17">
        <f>CONCATENATE(A1336,"-",G1336)</f>
        <v/>
      </c>
      <c r="V1336" s="17">
        <f>IF(N1336="","",IF(N1336&lt;=30,"Fast (&lt;30m)",IF(N1336&lt;=45,"Moderate (30-45m)","Delayed (&gt;45m)")))</f>
        <v/>
      </c>
      <c r="W1336" s="17">
        <f>IF(AND(I1336&gt;600,P1336="Delivered"),"High Value Delivered","Standard")</f>
        <v/>
      </c>
      <c r="X1336" s="17">
        <f>IF(OR(N1336&gt;50,Q1336&lt;=2),"High Risk / Delayed","Normal")</f>
        <v/>
      </c>
      <c r="Y1336" s="17">
        <f>IF(NOT(P1336="Cancelled"),"Fulfilled","Cancelled")</f>
        <v/>
      </c>
      <c r="Z1336" s="17">
        <f>IFERROR(Q1336,0)</f>
        <v/>
      </c>
    </row>
    <row r="1337">
      <c r="A1337" s="25" t="inlineStr">
        <is>
          <t>ORD2336</t>
        </is>
      </c>
      <c r="B1337" s="25" t="inlineStr">
        <is>
          <t>2025-05-11</t>
        </is>
      </c>
      <c r="C1337" s="25" t="inlineStr">
        <is>
          <t>10:21:51</t>
        </is>
      </c>
      <c r="D1337" s="25" t="n">
        <v>1074</v>
      </c>
      <c r="E1337" s="25" t="n">
        <v>120</v>
      </c>
      <c r="F1337" s="25" t="n">
        <v>207</v>
      </c>
      <c r="G1337" s="25" t="inlineStr">
        <is>
          <t>Pune</t>
        </is>
      </c>
      <c r="H1337" s="25" t="inlineStr">
        <is>
          <t>Fast Food</t>
        </is>
      </c>
      <c r="I1337" s="26" t="n">
        <v>719</v>
      </c>
      <c r="J1337" s="26" t="n">
        <v>74.81</v>
      </c>
      <c r="K1337" s="26" t="n">
        <v>25</v>
      </c>
      <c r="L1337" s="27" t="n">
        <v>0.18</v>
      </c>
      <c r="M1337" s="26" t="n">
        <v>135.67</v>
      </c>
      <c r="N1337" s="28" t="n">
        <v>2.1</v>
      </c>
      <c r="O1337" s="28" t="n">
        <v>24.7</v>
      </c>
      <c r="P1337" s="25" t="inlineStr">
        <is>
          <t>UPI</t>
        </is>
      </c>
      <c r="Q1337" s="25" t="inlineStr">
        <is>
          <t>Delivered</t>
        </is>
      </c>
      <c r="R1337" s="25" t="n">
        <v>5</v>
      </c>
      <c r="S1337" s="25">
        <f>TEXT(B1337,"yyyy-mm")</f>
        <v/>
      </c>
      <c r="T1337" s="25">
        <f>VLOOKUP(D1337,Customers!A:D,4,FALSE)</f>
        <v/>
      </c>
      <c r="U1337" s="25">
        <f>CONCATENATE(A1337,"-",G1337)</f>
        <v/>
      </c>
      <c r="V1337" s="25">
        <f>IF(N1337="","",IF(N1337&lt;=30,"Fast (&lt;30m)",IF(N1337&lt;=45,"Moderate (30-45m)","Delayed (&gt;45m)")))</f>
        <v/>
      </c>
      <c r="W1337" s="25">
        <f>IF(AND(I1337&gt;600,P1337="Delivered"),"High Value Delivered","Standard")</f>
        <v/>
      </c>
      <c r="X1337" s="25">
        <f>IF(OR(N1337&gt;50,Q1337&lt;=2),"High Risk / Delayed","Normal")</f>
        <v/>
      </c>
      <c r="Y1337" s="25">
        <f>IF(NOT(P1337="Cancelled"),"Fulfilled","Cancelled")</f>
        <v/>
      </c>
      <c r="Z1337" s="25">
        <f>IFERROR(Q1337,0)</f>
        <v/>
      </c>
    </row>
    <row r="1338">
      <c r="A1338" s="17" t="inlineStr">
        <is>
          <t>ORD2337</t>
        </is>
      </c>
      <c r="B1338" s="17" t="inlineStr">
        <is>
          <t>2025-07-07</t>
        </is>
      </c>
      <c r="C1338" s="17" t="inlineStr">
        <is>
          <t>19:27:41</t>
        </is>
      </c>
      <c r="D1338" s="17" t="n">
        <v>1120</v>
      </c>
      <c r="E1338" s="17" t="n">
        <v>116</v>
      </c>
      <c r="F1338" s="17" t="n">
        <v>217</v>
      </c>
      <c r="G1338" s="17" t="inlineStr">
        <is>
          <t>Pune</t>
        </is>
      </c>
      <c r="H1338" s="17" t="inlineStr">
        <is>
          <t>Desserts</t>
        </is>
      </c>
      <c r="I1338" s="22" t="n">
        <v>246</v>
      </c>
      <c r="J1338" s="22" t="n">
        <v>2.48</v>
      </c>
      <c r="K1338" s="22" t="n">
        <v>25</v>
      </c>
      <c r="L1338" s="23" t="n">
        <v>0.25</v>
      </c>
      <c r="M1338" s="22" t="n">
        <v>67.75</v>
      </c>
      <c r="N1338" s="24" t="n">
        <v>2.2</v>
      </c>
      <c r="O1338" s="24" t="n">
        <v>26.9</v>
      </c>
      <c r="P1338" s="17" t="inlineStr">
        <is>
          <t>Cash on Delivery</t>
        </is>
      </c>
      <c r="Q1338" s="17" t="inlineStr">
        <is>
          <t>Delivered</t>
        </is>
      </c>
      <c r="R1338" s="17" t="n">
        <v>2</v>
      </c>
      <c r="S1338" s="17">
        <f>TEXT(B1338,"yyyy-mm")</f>
        <v/>
      </c>
      <c r="T1338" s="17">
        <f>VLOOKUP(D1338,Customers!A:D,4,FALSE)</f>
        <v/>
      </c>
      <c r="U1338" s="17">
        <f>CONCATENATE(A1338,"-",G1338)</f>
        <v/>
      </c>
      <c r="V1338" s="17">
        <f>IF(N1338="","",IF(N1338&lt;=30,"Fast (&lt;30m)",IF(N1338&lt;=45,"Moderate (30-45m)","Delayed (&gt;45m)")))</f>
        <v/>
      </c>
      <c r="W1338" s="17">
        <f>IF(AND(I1338&gt;600,P1338="Delivered"),"High Value Delivered","Standard")</f>
        <v/>
      </c>
      <c r="X1338" s="17">
        <f>IF(OR(N1338&gt;50,Q1338&lt;=2),"High Risk / Delayed","Normal")</f>
        <v/>
      </c>
      <c r="Y1338" s="17">
        <f>IF(NOT(P1338="Cancelled"),"Fulfilled","Cancelled")</f>
        <v/>
      </c>
      <c r="Z1338" s="17">
        <f>IFERROR(Q1338,0)</f>
        <v/>
      </c>
    </row>
    <row r="1339">
      <c r="A1339" s="25" t="inlineStr">
        <is>
          <t>ORD2338</t>
        </is>
      </c>
      <c r="B1339" s="25" t="inlineStr">
        <is>
          <t>2025-10-09</t>
        </is>
      </c>
      <c r="C1339" s="25" t="inlineStr">
        <is>
          <t>12:45:18</t>
        </is>
      </c>
      <c r="D1339" s="25" t="n">
        <v>1290</v>
      </c>
      <c r="E1339" s="25" t="n">
        <v>107</v>
      </c>
      <c r="F1339" s="25" t="n">
        <v>206</v>
      </c>
      <c r="G1339" s="25" t="inlineStr">
        <is>
          <t>Mumbai</t>
        </is>
      </c>
      <c r="H1339" s="25" t="inlineStr">
        <is>
          <t>Desserts</t>
        </is>
      </c>
      <c r="I1339" s="26" t="n">
        <v>349</v>
      </c>
      <c r="J1339" s="26" t="n">
        <v>8.57</v>
      </c>
      <c r="K1339" s="26" t="n">
        <v>35</v>
      </c>
      <c r="L1339" s="27" t="n">
        <v>0.25</v>
      </c>
      <c r="M1339" s="26" t="n">
        <v>96</v>
      </c>
      <c r="N1339" s="28" t="n">
        <v>5</v>
      </c>
      <c r="O1339" s="28" t="n">
        <v>36.7</v>
      </c>
      <c r="P1339" s="25" t="inlineStr">
        <is>
          <t>UPI</t>
        </is>
      </c>
      <c r="Q1339" s="25" t="inlineStr">
        <is>
          <t>Delivered</t>
        </is>
      </c>
      <c r="R1339" s="25" t="n">
        <v>4</v>
      </c>
      <c r="S1339" s="25">
        <f>TEXT(B1339,"yyyy-mm")</f>
        <v/>
      </c>
      <c r="T1339" s="25">
        <f>VLOOKUP(D1339,Customers!A:D,4,FALSE)</f>
        <v/>
      </c>
      <c r="U1339" s="25">
        <f>CONCATENATE(A1339,"-",G1339)</f>
        <v/>
      </c>
      <c r="V1339" s="25">
        <f>IF(N1339="","",IF(N1339&lt;=30,"Fast (&lt;30m)",IF(N1339&lt;=45,"Moderate (30-45m)","Delayed (&gt;45m)")))</f>
        <v/>
      </c>
      <c r="W1339" s="25">
        <f>IF(AND(I1339&gt;600,P1339="Delivered"),"High Value Delivered","Standard")</f>
        <v/>
      </c>
      <c r="X1339" s="25">
        <f>IF(OR(N1339&gt;50,Q1339&lt;=2),"High Risk / Delayed","Normal")</f>
        <v/>
      </c>
      <c r="Y1339" s="25">
        <f>IF(NOT(P1339="Cancelled"),"Fulfilled","Cancelled")</f>
        <v/>
      </c>
      <c r="Z1339" s="25">
        <f>IFERROR(Q1339,0)</f>
        <v/>
      </c>
    </row>
    <row r="1340">
      <c r="A1340" s="17" t="inlineStr">
        <is>
          <t>ORD2339</t>
        </is>
      </c>
      <c r="B1340" s="17" t="inlineStr">
        <is>
          <t>2025-03-14</t>
        </is>
      </c>
      <c r="C1340" s="17" t="inlineStr">
        <is>
          <t>11:53:43</t>
        </is>
      </c>
      <c r="D1340" s="17" t="n">
        <v>1224</v>
      </c>
      <c r="E1340" s="17" t="n">
        <v>118</v>
      </c>
      <c r="F1340" s="17" t="n">
        <v>230</v>
      </c>
      <c r="G1340" s="17" t="inlineStr">
        <is>
          <t>Delhi NCR</t>
        </is>
      </c>
      <c r="H1340" s="17" t="inlineStr">
        <is>
          <t>North Indian</t>
        </is>
      </c>
      <c r="I1340" s="22" t="n">
        <v>447</v>
      </c>
      <c r="J1340" s="22" t="n">
        <v>7.1</v>
      </c>
      <c r="K1340" s="22" t="n">
        <v>26.5</v>
      </c>
      <c r="L1340" s="23" t="n">
        <v>0.2</v>
      </c>
      <c r="M1340" s="22" t="n">
        <v>96.02</v>
      </c>
      <c r="N1340" s="24" t="n">
        <v>3.3</v>
      </c>
      <c r="O1340" s="24" t="n">
        <v/>
      </c>
      <c r="P1340" s="17" t="inlineStr">
        <is>
          <t>Digital Wallet</t>
        </is>
      </c>
      <c r="Q1340" s="17" t="inlineStr">
        <is>
          <t>Cancelled</t>
        </is>
      </c>
      <c r="R1340" s="17" t="n">
        <v/>
      </c>
      <c r="S1340" s="17">
        <f>TEXT(B1340,"yyyy-mm")</f>
        <v/>
      </c>
      <c r="T1340" s="17">
        <f>VLOOKUP(D1340,Customers!A:D,4,FALSE)</f>
        <v/>
      </c>
      <c r="U1340" s="17">
        <f>CONCATENATE(A1340,"-",G1340)</f>
        <v/>
      </c>
      <c r="V1340" s="17">
        <f>IF(N1340="","",IF(N1340&lt;=30,"Fast (&lt;30m)",IF(N1340&lt;=45,"Moderate (30-45m)","Delayed (&gt;45m)")))</f>
        <v/>
      </c>
      <c r="W1340" s="17">
        <f>IF(AND(I1340&gt;600,P1340="Delivered"),"High Value Delivered","Standard")</f>
        <v/>
      </c>
      <c r="X1340" s="17">
        <f>IF(OR(N1340&gt;50,Q1340&lt;=2),"High Risk / Delayed","Normal")</f>
        <v/>
      </c>
      <c r="Y1340" s="17">
        <f>IF(NOT(P1340="Cancelled"),"Fulfilled","Cancelled")</f>
        <v/>
      </c>
      <c r="Z1340" s="17">
        <f>IFERROR(Q1340,0)</f>
        <v/>
      </c>
    </row>
    <row r="1341">
      <c r="A1341" s="25" t="inlineStr">
        <is>
          <t>ORD2340</t>
        </is>
      </c>
      <c r="B1341" s="25" t="inlineStr">
        <is>
          <t>2025-10-04</t>
        </is>
      </c>
      <c r="C1341" s="25" t="inlineStr">
        <is>
          <t>08:14:44</t>
        </is>
      </c>
      <c r="D1341" s="25" t="n">
        <v>1271</v>
      </c>
      <c r="E1341" s="25" t="n">
        <v>118</v>
      </c>
      <c r="F1341" s="25" t="n">
        <v>221</v>
      </c>
      <c r="G1341" s="25" t="inlineStr">
        <is>
          <t>Delhi NCR</t>
        </is>
      </c>
      <c r="H1341" s="25" t="inlineStr">
        <is>
          <t>North Indian</t>
        </is>
      </c>
      <c r="I1341" s="26" t="n">
        <v>763</v>
      </c>
      <c r="J1341" s="26" t="n">
        <v>47.06</v>
      </c>
      <c r="K1341" s="26" t="n">
        <v>28</v>
      </c>
      <c r="L1341" s="27" t="n">
        <v>0.2</v>
      </c>
      <c r="M1341" s="26" t="n">
        <v>159.6</v>
      </c>
      <c r="N1341" s="28" t="n">
        <v>3.6</v>
      </c>
      <c r="O1341" s="28" t="n">
        <v>32.8</v>
      </c>
      <c r="P1341" s="25" t="inlineStr">
        <is>
          <t>Credit Card</t>
        </is>
      </c>
      <c r="Q1341" s="25" t="inlineStr">
        <is>
          <t>Delivered</t>
        </is>
      </c>
      <c r="R1341" s="25" t="n">
        <v>5</v>
      </c>
      <c r="S1341" s="25">
        <f>TEXT(B1341,"yyyy-mm")</f>
        <v/>
      </c>
      <c r="T1341" s="25">
        <f>VLOOKUP(D1341,Customers!A:D,4,FALSE)</f>
        <v/>
      </c>
      <c r="U1341" s="25">
        <f>CONCATENATE(A1341,"-",G1341)</f>
        <v/>
      </c>
      <c r="V1341" s="25">
        <f>IF(N1341="","",IF(N1341&lt;=30,"Fast (&lt;30m)",IF(N1341&lt;=45,"Moderate (30-45m)","Delayed (&gt;45m)")))</f>
        <v/>
      </c>
      <c r="W1341" s="25">
        <f>IF(AND(I1341&gt;600,P1341="Delivered"),"High Value Delivered","Standard")</f>
        <v/>
      </c>
      <c r="X1341" s="25">
        <f>IF(OR(N1341&gt;50,Q1341&lt;=2),"High Risk / Delayed","Normal")</f>
        <v/>
      </c>
      <c r="Y1341" s="25">
        <f>IF(NOT(P1341="Cancelled"),"Fulfilled","Cancelled")</f>
        <v/>
      </c>
      <c r="Z1341" s="25">
        <f>IFERROR(Q1341,0)</f>
        <v/>
      </c>
    </row>
    <row r="1342">
      <c r="A1342" s="17" t="inlineStr">
        <is>
          <t>ORD2341</t>
        </is>
      </c>
      <c r="B1342" s="17" t="inlineStr">
        <is>
          <t>2025-04-14</t>
        </is>
      </c>
      <c r="C1342" s="17" t="inlineStr">
        <is>
          <t>19:17:03</t>
        </is>
      </c>
      <c r="D1342" s="17" t="n">
        <v>1161</v>
      </c>
      <c r="E1342" s="17" t="n">
        <v>119</v>
      </c>
      <c r="F1342" s="17" t="n">
        <v>216</v>
      </c>
      <c r="G1342" s="17" t="inlineStr">
        <is>
          <t>Hyderabad</t>
        </is>
      </c>
      <c r="H1342" s="17" t="inlineStr">
        <is>
          <t>Biryani</t>
        </is>
      </c>
      <c r="I1342" s="22" t="n">
        <v>630</v>
      </c>
      <c r="J1342" s="22" t="n">
        <v>0</v>
      </c>
      <c r="K1342" s="22" t="n">
        <v>42.5</v>
      </c>
      <c r="L1342" s="23" t="n">
        <v>0.2</v>
      </c>
      <c r="M1342" s="22" t="n">
        <v>136.62</v>
      </c>
      <c r="N1342" s="24" t="n">
        <v>6.5</v>
      </c>
      <c r="O1342" s="24" t="n">
        <v>49.1</v>
      </c>
      <c r="P1342" s="17" t="inlineStr">
        <is>
          <t>Cash on Delivery</t>
        </is>
      </c>
      <c r="Q1342" s="17" t="inlineStr">
        <is>
          <t>Delivered</t>
        </is>
      </c>
      <c r="R1342" s="17" t="n">
        <v>2</v>
      </c>
      <c r="S1342" s="17">
        <f>TEXT(B1342,"yyyy-mm")</f>
        <v/>
      </c>
      <c r="T1342" s="17">
        <f>VLOOKUP(D1342,Customers!A:D,4,FALSE)</f>
        <v/>
      </c>
      <c r="U1342" s="17">
        <f>CONCATENATE(A1342,"-",G1342)</f>
        <v/>
      </c>
      <c r="V1342" s="17">
        <f>IF(N1342="","",IF(N1342&lt;=30,"Fast (&lt;30m)",IF(N1342&lt;=45,"Moderate (30-45m)","Delayed (&gt;45m)")))</f>
        <v/>
      </c>
      <c r="W1342" s="17">
        <f>IF(AND(I1342&gt;600,P1342="Delivered"),"High Value Delivered","Standard")</f>
        <v/>
      </c>
      <c r="X1342" s="17">
        <f>IF(OR(N1342&gt;50,Q1342&lt;=2),"High Risk / Delayed","Normal")</f>
        <v/>
      </c>
      <c r="Y1342" s="17">
        <f>IF(NOT(P1342="Cancelled"),"Fulfilled","Cancelled")</f>
        <v/>
      </c>
      <c r="Z1342" s="17">
        <f>IFERROR(Q1342,0)</f>
        <v/>
      </c>
    </row>
    <row r="1343">
      <c r="A1343" s="25" t="inlineStr">
        <is>
          <t>ORD2342</t>
        </is>
      </c>
      <c r="B1343" s="25" t="inlineStr">
        <is>
          <t>2025-03-11</t>
        </is>
      </c>
      <c r="C1343" s="25" t="inlineStr">
        <is>
          <t>20:46:19</t>
        </is>
      </c>
      <c r="D1343" s="25" t="n">
        <v>1258</v>
      </c>
      <c r="E1343" s="25" t="n">
        <v>113</v>
      </c>
      <c r="F1343" s="25" t="n">
        <v>202</v>
      </c>
      <c r="G1343" s="25" t="inlineStr">
        <is>
          <t>Mumbai</t>
        </is>
      </c>
      <c r="H1343" s="25" t="inlineStr">
        <is>
          <t>Fast Food</t>
        </is>
      </c>
      <c r="I1343" s="26" t="n">
        <v>220</v>
      </c>
      <c r="J1343" s="26" t="n">
        <v>12.15</v>
      </c>
      <c r="K1343" s="26" t="n">
        <v>27.5</v>
      </c>
      <c r="L1343" s="27" t="n">
        <v>0.18</v>
      </c>
      <c r="M1343" s="26" t="n">
        <v>46.48</v>
      </c>
      <c r="N1343" s="28" t="n">
        <v>3.5</v>
      </c>
      <c r="O1343" s="28" t="n">
        <v>37</v>
      </c>
      <c r="P1343" s="25" t="inlineStr">
        <is>
          <t>Debit Card</t>
        </is>
      </c>
      <c r="Q1343" s="25" t="inlineStr">
        <is>
          <t>Delivered</t>
        </is>
      </c>
      <c r="R1343" s="25" t="n">
        <v>4</v>
      </c>
      <c r="S1343" s="25">
        <f>TEXT(B1343,"yyyy-mm")</f>
        <v/>
      </c>
      <c r="T1343" s="25">
        <f>VLOOKUP(D1343,Customers!A:D,4,FALSE)</f>
        <v/>
      </c>
      <c r="U1343" s="25">
        <f>CONCATENATE(A1343,"-",G1343)</f>
        <v/>
      </c>
      <c r="V1343" s="25">
        <f>IF(N1343="","",IF(N1343&lt;=30,"Fast (&lt;30m)",IF(N1343&lt;=45,"Moderate (30-45m)","Delayed (&gt;45m)")))</f>
        <v/>
      </c>
      <c r="W1343" s="25">
        <f>IF(AND(I1343&gt;600,P1343="Delivered"),"High Value Delivered","Standard")</f>
        <v/>
      </c>
      <c r="X1343" s="25">
        <f>IF(OR(N1343&gt;50,Q1343&lt;=2),"High Risk / Delayed","Normal")</f>
        <v/>
      </c>
      <c r="Y1343" s="25">
        <f>IF(NOT(P1343="Cancelled"),"Fulfilled","Cancelled")</f>
        <v/>
      </c>
      <c r="Z1343" s="25">
        <f>IFERROR(Q1343,0)</f>
        <v/>
      </c>
    </row>
    <row r="1344">
      <c r="A1344" s="17" t="inlineStr">
        <is>
          <t>ORD2343</t>
        </is>
      </c>
      <c r="B1344" s="17" t="inlineStr">
        <is>
          <t>2025-01-31</t>
        </is>
      </c>
      <c r="C1344" s="17" t="inlineStr">
        <is>
          <t>08:48:26</t>
        </is>
      </c>
      <c r="D1344" s="17" t="n">
        <v>1090</v>
      </c>
      <c r="E1344" s="17" t="n">
        <v>111</v>
      </c>
      <c r="F1344" s="17" t="n">
        <v>205</v>
      </c>
      <c r="G1344" s="17" t="inlineStr">
        <is>
          <t>Bangalore</t>
        </is>
      </c>
      <c r="H1344" s="17" t="inlineStr">
        <is>
          <t>South Indian</t>
        </is>
      </c>
      <c r="I1344" s="22" t="n">
        <v>363</v>
      </c>
      <c r="J1344" s="22" t="n">
        <v>0</v>
      </c>
      <c r="K1344" s="22" t="n">
        <v>31</v>
      </c>
      <c r="L1344" s="23" t="n">
        <v>0.15</v>
      </c>
      <c r="M1344" s="22" t="n">
        <v>62.2</v>
      </c>
      <c r="N1344" s="24" t="n">
        <v>4.2</v>
      </c>
      <c r="O1344" s="24" t="n">
        <v>35</v>
      </c>
      <c r="P1344" s="17" t="inlineStr">
        <is>
          <t>Credit Card</t>
        </is>
      </c>
      <c r="Q1344" s="17" t="inlineStr">
        <is>
          <t>Delivered</t>
        </is>
      </c>
      <c r="R1344" s="17" t="n">
        <v>5</v>
      </c>
      <c r="S1344" s="17">
        <f>TEXT(B1344,"yyyy-mm")</f>
        <v/>
      </c>
      <c r="T1344" s="17">
        <f>VLOOKUP(D1344,Customers!A:D,4,FALSE)</f>
        <v/>
      </c>
      <c r="U1344" s="17">
        <f>CONCATENATE(A1344,"-",G1344)</f>
        <v/>
      </c>
      <c r="V1344" s="17">
        <f>IF(N1344="","",IF(N1344&lt;=30,"Fast (&lt;30m)",IF(N1344&lt;=45,"Moderate (30-45m)","Delayed (&gt;45m)")))</f>
        <v/>
      </c>
      <c r="W1344" s="17">
        <f>IF(AND(I1344&gt;600,P1344="Delivered"),"High Value Delivered","Standard")</f>
        <v/>
      </c>
      <c r="X1344" s="17">
        <f>IF(OR(N1344&gt;50,Q1344&lt;=2),"High Risk / Delayed","Normal")</f>
        <v/>
      </c>
      <c r="Y1344" s="17">
        <f>IF(NOT(P1344="Cancelled"),"Fulfilled","Cancelled")</f>
        <v/>
      </c>
      <c r="Z1344" s="17">
        <f>IFERROR(Q1344,0)</f>
        <v/>
      </c>
    </row>
    <row r="1345">
      <c r="A1345" s="25" t="inlineStr">
        <is>
          <t>ORD2344</t>
        </is>
      </c>
      <c r="B1345" s="25" t="inlineStr">
        <is>
          <t>2025-07-20</t>
        </is>
      </c>
      <c r="C1345" s="25" t="inlineStr">
        <is>
          <t>11:37:12</t>
        </is>
      </c>
      <c r="D1345" s="25" t="n">
        <v>1052</v>
      </c>
      <c r="E1345" s="25" t="n">
        <v>119</v>
      </c>
      <c r="F1345" s="25" t="n">
        <v>216</v>
      </c>
      <c r="G1345" s="25" t="inlineStr">
        <is>
          <t>Hyderabad</t>
        </is>
      </c>
      <c r="H1345" s="25" t="inlineStr">
        <is>
          <t>Biryani</t>
        </is>
      </c>
      <c r="I1345" s="26" t="n">
        <v>474</v>
      </c>
      <c r="J1345" s="26" t="n">
        <v>51.38</v>
      </c>
      <c r="K1345" s="26" t="n">
        <v>25</v>
      </c>
      <c r="L1345" s="27" t="n">
        <v>0.2</v>
      </c>
      <c r="M1345" s="26" t="n">
        <v>101.05</v>
      </c>
      <c r="N1345" s="28" t="n">
        <v>2.9</v>
      </c>
      <c r="O1345" s="28" t="n">
        <v>21</v>
      </c>
      <c r="P1345" s="25" t="inlineStr">
        <is>
          <t>Debit Card</t>
        </is>
      </c>
      <c r="Q1345" s="25" t="inlineStr">
        <is>
          <t>Returned</t>
        </is>
      </c>
      <c r="R1345" s="25" t="n">
        <v>4</v>
      </c>
      <c r="S1345" s="25">
        <f>TEXT(B1345,"yyyy-mm")</f>
        <v/>
      </c>
      <c r="T1345" s="25">
        <f>VLOOKUP(D1345,Customers!A:D,4,FALSE)</f>
        <v/>
      </c>
      <c r="U1345" s="25">
        <f>CONCATENATE(A1345,"-",G1345)</f>
        <v/>
      </c>
      <c r="V1345" s="25">
        <f>IF(N1345="","",IF(N1345&lt;=30,"Fast (&lt;30m)",IF(N1345&lt;=45,"Moderate (30-45m)","Delayed (&gt;45m)")))</f>
        <v/>
      </c>
      <c r="W1345" s="25">
        <f>IF(AND(I1345&gt;600,P1345="Delivered"),"High Value Delivered","Standard")</f>
        <v/>
      </c>
      <c r="X1345" s="25">
        <f>IF(OR(N1345&gt;50,Q1345&lt;=2),"High Risk / Delayed","Normal")</f>
        <v/>
      </c>
      <c r="Y1345" s="25">
        <f>IF(NOT(P1345="Cancelled"),"Fulfilled","Cancelled")</f>
        <v/>
      </c>
      <c r="Z1345" s="25">
        <f>IFERROR(Q1345,0)</f>
        <v/>
      </c>
    </row>
    <row r="1346">
      <c r="A1346" s="17" t="inlineStr">
        <is>
          <t>ORD2345</t>
        </is>
      </c>
      <c r="B1346" s="17" t="inlineStr">
        <is>
          <t>2025-03-05</t>
        </is>
      </c>
      <c r="C1346" s="17" t="inlineStr">
        <is>
          <t>21:46:47</t>
        </is>
      </c>
      <c r="D1346" s="17" t="n">
        <v>1016</v>
      </c>
      <c r="E1346" s="17" t="n">
        <v>101</v>
      </c>
      <c r="F1346" s="17" t="n">
        <v>218</v>
      </c>
      <c r="G1346" s="17" t="inlineStr">
        <is>
          <t>Bangalore</t>
        </is>
      </c>
      <c r="H1346" s="17" t="inlineStr">
        <is>
          <t>North Indian</t>
        </is>
      </c>
      <c r="I1346" s="22" t="n">
        <v>819</v>
      </c>
      <c r="J1346" s="22" t="n">
        <v>9.949999999999999</v>
      </c>
      <c r="K1346" s="22" t="n">
        <v>33</v>
      </c>
      <c r="L1346" s="23" t="n">
        <v>0.2</v>
      </c>
      <c r="M1346" s="22" t="n">
        <v>172.05</v>
      </c>
      <c r="N1346" s="24" t="n">
        <v>4.6</v>
      </c>
      <c r="O1346" s="24" t="n">
        <v>34.8</v>
      </c>
      <c r="P1346" s="17" t="inlineStr">
        <is>
          <t>Debit Card</t>
        </is>
      </c>
      <c r="Q1346" s="17" t="inlineStr">
        <is>
          <t>Delivered</t>
        </is>
      </c>
      <c r="R1346" s="17" t="n">
        <v>3</v>
      </c>
      <c r="S1346" s="17">
        <f>TEXT(B1346,"yyyy-mm")</f>
        <v/>
      </c>
      <c r="T1346" s="17">
        <f>VLOOKUP(D1346,Customers!A:D,4,FALSE)</f>
        <v/>
      </c>
      <c r="U1346" s="17">
        <f>CONCATENATE(A1346,"-",G1346)</f>
        <v/>
      </c>
      <c r="V1346" s="17">
        <f>IF(N1346="","",IF(N1346&lt;=30,"Fast (&lt;30m)",IF(N1346&lt;=45,"Moderate (30-45m)","Delayed (&gt;45m)")))</f>
        <v/>
      </c>
      <c r="W1346" s="17">
        <f>IF(AND(I1346&gt;600,P1346="Delivered"),"High Value Delivered","Standard")</f>
        <v/>
      </c>
      <c r="X1346" s="17">
        <f>IF(OR(N1346&gt;50,Q1346&lt;=2),"High Risk / Delayed","Normal")</f>
        <v/>
      </c>
      <c r="Y1346" s="17">
        <f>IF(NOT(P1346="Cancelled"),"Fulfilled","Cancelled")</f>
        <v/>
      </c>
      <c r="Z1346" s="17">
        <f>IFERROR(Q1346,0)</f>
        <v/>
      </c>
    </row>
    <row r="1347">
      <c r="A1347" s="25" t="inlineStr">
        <is>
          <t>ORD2346</t>
        </is>
      </c>
      <c r="B1347" s="25" t="inlineStr">
        <is>
          <t>2025-09-24</t>
        </is>
      </c>
      <c r="C1347" s="25" t="inlineStr">
        <is>
          <t>19:19:33</t>
        </is>
      </c>
      <c r="D1347" s="25" t="n">
        <v>1024</v>
      </c>
      <c r="E1347" s="25" t="n">
        <v>103</v>
      </c>
      <c r="F1347" s="25" t="n">
        <v>222</v>
      </c>
      <c r="G1347" s="25" t="inlineStr">
        <is>
          <t>Mumbai</t>
        </is>
      </c>
      <c r="H1347" s="25" t="inlineStr">
        <is>
          <t>Italian</t>
        </is>
      </c>
      <c r="I1347" s="26" t="n">
        <v>325</v>
      </c>
      <c r="J1347" s="26" t="n">
        <v>15.56</v>
      </c>
      <c r="K1347" s="26" t="n">
        <v>25</v>
      </c>
      <c r="L1347" s="27" t="n">
        <v>0.18</v>
      </c>
      <c r="M1347" s="26" t="n">
        <v>64.75</v>
      </c>
      <c r="N1347" s="28" t="n">
        <v>1.7</v>
      </c>
      <c r="O1347" s="28" t="n">
        <v>21.3</v>
      </c>
      <c r="P1347" s="25" t="inlineStr">
        <is>
          <t>Cash on Delivery</t>
        </is>
      </c>
      <c r="Q1347" s="25" t="inlineStr">
        <is>
          <t>Delivered</t>
        </is>
      </c>
      <c r="R1347" s="25" t="n">
        <v>5</v>
      </c>
      <c r="S1347" s="25">
        <f>TEXT(B1347,"yyyy-mm")</f>
        <v/>
      </c>
      <c r="T1347" s="25">
        <f>VLOOKUP(D1347,Customers!A:D,4,FALSE)</f>
        <v/>
      </c>
      <c r="U1347" s="25">
        <f>CONCATENATE(A1347,"-",G1347)</f>
        <v/>
      </c>
      <c r="V1347" s="25">
        <f>IF(N1347="","",IF(N1347&lt;=30,"Fast (&lt;30m)",IF(N1347&lt;=45,"Moderate (30-45m)","Delayed (&gt;45m)")))</f>
        <v/>
      </c>
      <c r="W1347" s="25">
        <f>IF(AND(I1347&gt;600,P1347="Delivered"),"High Value Delivered","Standard")</f>
        <v/>
      </c>
      <c r="X1347" s="25">
        <f>IF(OR(N1347&gt;50,Q1347&lt;=2),"High Risk / Delayed","Normal")</f>
        <v/>
      </c>
      <c r="Y1347" s="25">
        <f>IF(NOT(P1347="Cancelled"),"Fulfilled","Cancelled")</f>
        <v/>
      </c>
      <c r="Z1347" s="25">
        <f>IFERROR(Q1347,0)</f>
        <v/>
      </c>
    </row>
    <row r="1348">
      <c r="A1348" s="17" t="inlineStr">
        <is>
          <t>ORD2347</t>
        </is>
      </c>
      <c r="B1348" s="17" t="inlineStr">
        <is>
          <t>2025-03-20</t>
        </is>
      </c>
      <c r="C1348" s="17" t="inlineStr">
        <is>
          <t>19:04:56</t>
        </is>
      </c>
      <c r="D1348" s="17" t="n">
        <v>1256</v>
      </c>
      <c r="E1348" s="17" t="n">
        <v>115</v>
      </c>
      <c r="F1348" s="17" t="n">
        <v>220</v>
      </c>
      <c r="G1348" s="17" t="inlineStr">
        <is>
          <t>Bangalore</t>
        </is>
      </c>
      <c r="H1348" s="17" t="inlineStr">
        <is>
          <t>Italian</t>
        </is>
      </c>
      <c r="I1348" s="22" t="n">
        <v>569</v>
      </c>
      <c r="J1348" s="22" t="n">
        <v>43.22</v>
      </c>
      <c r="K1348" s="22" t="n">
        <v>52</v>
      </c>
      <c r="L1348" s="23" t="n">
        <v>0.2</v>
      </c>
      <c r="M1348" s="22" t="n">
        <v>126.8</v>
      </c>
      <c r="N1348" s="24" t="n">
        <v>8.4</v>
      </c>
      <c r="O1348" s="24" t="n">
        <v>46</v>
      </c>
      <c r="P1348" s="17" t="inlineStr">
        <is>
          <t>Debit Card</t>
        </is>
      </c>
      <c r="Q1348" s="17" t="inlineStr">
        <is>
          <t>Delivered</t>
        </is>
      </c>
      <c r="R1348" s="17" t="n">
        <v>4</v>
      </c>
      <c r="S1348" s="17">
        <f>TEXT(B1348,"yyyy-mm")</f>
        <v/>
      </c>
      <c r="T1348" s="17">
        <f>VLOOKUP(D1348,Customers!A:D,4,FALSE)</f>
        <v/>
      </c>
      <c r="U1348" s="17">
        <f>CONCATENATE(A1348,"-",G1348)</f>
        <v/>
      </c>
      <c r="V1348" s="17">
        <f>IF(N1348="","",IF(N1348&lt;=30,"Fast (&lt;30m)",IF(N1348&lt;=45,"Moderate (30-45m)","Delayed (&gt;45m)")))</f>
        <v/>
      </c>
      <c r="W1348" s="17">
        <f>IF(AND(I1348&gt;600,P1348="Delivered"),"High Value Delivered","Standard")</f>
        <v/>
      </c>
      <c r="X1348" s="17">
        <f>IF(OR(N1348&gt;50,Q1348&lt;=2),"High Risk / Delayed","Normal")</f>
        <v/>
      </c>
      <c r="Y1348" s="17">
        <f>IF(NOT(P1348="Cancelled"),"Fulfilled","Cancelled")</f>
        <v/>
      </c>
      <c r="Z1348" s="17">
        <f>IFERROR(Q1348,0)</f>
        <v/>
      </c>
    </row>
    <row r="1349">
      <c r="A1349" s="25" t="inlineStr">
        <is>
          <t>ORD2348</t>
        </is>
      </c>
      <c r="B1349" s="25" t="inlineStr">
        <is>
          <t>2025-08-07</t>
        </is>
      </c>
      <c r="C1349" s="25" t="inlineStr">
        <is>
          <t>09:37:10</t>
        </is>
      </c>
      <c r="D1349" s="25" t="n">
        <v>1022</v>
      </c>
      <c r="E1349" s="25" t="n">
        <v>108</v>
      </c>
      <c r="F1349" s="25" t="n">
        <v>219</v>
      </c>
      <c r="G1349" s="25" t="inlineStr">
        <is>
          <t>Delhi NCR</t>
        </is>
      </c>
      <c r="H1349" s="25" t="inlineStr">
        <is>
          <t>Fast Food</t>
        </is>
      </c>
      <c r="I1349" s="26" t="n">
        <v>946</v>
      </c>
      <c r="J1349" s="26" t="n">
        <v>60.12</v>
      </c>
      <c r="K1349" s="26" t="n">
        <v>26</v>
      </c>
      <c r="L1349" s="27" t="n">
        <v>0.18</v>
      </c>
      <c r="M1349" s="26" t="n">
        <v>176.78</v>
      </c>
      <c r="N1349" s="28" t="n">
        <v>3.2</v>
      </c>
      <c r="O1349" s="28" t="n">
        <v/>
      </c>
      <c r="P1349" s="25" t="inlineStr">
        <is>
          <t>Credit Card</t>
        </is>
      </c>
      <c r="Q1349" s="25" t="inlineStr">
        <is>
          <t>Cancelled</t>
        </is>
      </c>
      <c r="R1349" s="25" t="n">
        <v/>
      </c>
      <c r="S1349" s="25">
        <f>TEXT(B1349,"yyyy-mm")</f>
        <v/>
      </c>
      <c r="T1349" s="25">
        <f>VLOOKUP(D1349,Customers!A:D,4,FALSE)</f>
        <v/>
      </c>
      <c r="U1349" s="25">
        <f>CONCATENATE(A1349,"-",G1349)</f>
        <v/>
      </c>
      <c r="V1349" s="25">
        <f>IF(N1349="","",IF(N1349&lt;=30,"Fast (&lt;30m)",IF(N1349&lt;=45,"Moderate (30-45m)","Delayed (&gt;45m)")))</f>
        <v/>
      </c>
      <c r="W1349" s="25">
        <f>IF(AND(I1349&gt;600,P1349="Delivered"),"High Value Delivered","Standard")</f>
        <v/>
      </c>
      <c r="X1349" s="25">
        <f>IF(OR(N1349&gt;50,Q1349&lt;=2),"High Risk / Delayed","Normal")</f>
        <v/>
      </c>
      <c r="Y1349" s="25">
        <f>IF(NOT(P1349="Cancelled"),"Fulfilled","Cancelled")</f>
        <v/>
      </c>
      <c r="Z1349" s="25">
        <f>IFERROR(Q1349,0)</f>
        <v/>
      </c>
    </row>
    <row r="1350">
      <c r="A1350" s="17" t="inlineStr">
        <is>
          <t>ORD2349</t>
        </is>
      </c>
      <c r="B1350" s="17" t="inlineStr">
        <is>
          <t>2025-05-04</t>
        </is>
      </c>
      <c r="C1350" s="17" t="inlineStr">
        <is>
          <t>09:55:54</t>
        </is>
      </c>
      <c r="D1350" s="17" t="n">
        <v>1089</v>
      </c>
      <c r="E1350" s="17" t="n">
        <v>105</v>
      </c>
      <c r="F1350" s="17" t="n">
        <v>218</v>
      </c>
      <c r="G1350" s="17" t="inlineStr">
        <is>
          <t>Bangalore</t>
        </is>
      </c>
      <c r="H1350" s="17" t="inlineStr">
        <is>
          <t>Chinese</t>
        </is>
      </c>
      <c r="I1350" s="22" t="n">
        <v>1126</v>
      </c>
      <c r="J1350" s="22" t="n">
        <v>206.81</v>
      </c>
      <c r="K1350" s="22" t="n">
        <v>0</v>
      </c>
      <c r="L1350" s="23" t="n">
        <v>0.2</v>
      </c>
      <c r="M1350" s="22" t="n">
        <v>225.2</v>
      </c>
      <c r="N1350" s="24" t="n">
        <v>4.1</v>
      </c>
      <c r="O1350" s="24" t="n">
        <v>38.1</v>
      </c>
      <c r="P1350" s="17" t="inlineStr">
        <is>
          <t>Cash on Delivery</t>
        </is>
      </c>
      <c r="Q1350" s="17" t="inlineStr">
        <is>
          <t>Delivered</t>
        </is>
      </c>
      <c r="R1350" s="17" t="n">
        <v>5</v>
      </c>
      <c r="S1350" s="17">
        <f>TEXT(B1350,"yyyy-mm")</f>
        <v/>
      </c>
      <c r="T1350" s="17">
        <f>VLOOKUP(D1350,Customers!A:D,4,FALSE)</f>
        <v/>
      </c>
      <c r="U1350" s="17">
        <f>CONCATENATE(A1350,"-",G1350)</f>
        <v/>
      </c>
      <c r="V1350" s="17">
        <f>IF(N1350="","",IF(N1350&lt;=30,"Fast (&lt;30m)",IF(N1350&lt;=45,"Moderate (30-45m)","Delayed (&gt;45m)")))</f>
        <v/>
      </c>
      <c r="W1350" s="17">
        <f>IF(AND(I1350&gt;600,P1350="Delivered"),"High Value Delivered","Standard")</f>
        <v/>
      </c>
      <c r="X1350" s="17">
        <f>IF(OR(N1350&gt;50,Q1350&lt;=2),"High Risk / Delayed","Normal")</f>
        <v/>
      </c>
      <c r="Y1350" s="17">
        <f>IF(NOT(P1350="Cancelled"),"Fulfilled","Cancelled")</f>
        <v/>
      </c>
      <c r="Z1350" s="17">
        <f>IFERROR(Q1350,0)</f>
        <v/>
      </c>
    </row>
    <row r="1351">
      <c r="A1351" s="25" t="inlineStr">
        <is>
          <t>ORD2350</t>
        </is>
      </c>
      <c r="B1351" s="25" t="inlineStr">
        <is>
          <t>2025-05-24</t>
        </is>
      </c>
      <c r="C1351" s="25" t="inlineStr">
        <is>
          <t>19:53:46</t>
        </is>
      </c>
      <c r="D1351" s="25" t="n">
        <v>1151</v>
      </c>
      <c r="E1351" s="25" t="n">
        <v>117</v>
      </c>
      <c r="F1351" s="25" t="n">
        <v>202</v>
      </c>
      <c r="G1351" s="25" t="inlineStr">
        <is>
          <t>Mumbai</t>
        </is>
      </c>
      <c r="H1351" s="25" t="inlineStr">
        <is>
          <t>Chinese</t>
        </is>
      </c>
      <c r="I1351" s="26" t="n">
        <v>833</v>
      </c>
      <c r="J1351" s="26" t="n">
        <v>104.26</v>
      </c>
      <c r="K1351" s="26" t="n">
        <v>0</v>
      </c>
      <c r="L1351" s="27" t="n">
        <v>0.2</v>
      </c>
      <c r="M1351" s="26" t="n">
        <v>166.6</v>
      </c>
      <c r="N1351" s="28" t="n">
        <v>3.1</v>
      </c>
      <c r="O1351" s="28" t="n">
        <v>29.1</v>
      </c>
      <c r="P1351" s="25" t="inlineStr">
        <is>
          <t>Cash on Delivery</t>
        </is>
      </c>
      <c r="Q1351" s="25" t="inlineStr">
        <is>
          <t>Delivered</t>
        </is>
      </c>
      <c r="R1351" s="25" t="n">
        <v>5</v>
      </c>
      <c r="S1351" s="25">
        <f>TEXT(B1351,"yyyy-mm")</f>
        <v/>
      </c>
      <c r="T1351" s="25">
        <f>VLOOKUP(D1351,Customers!A:D,4,FALSE)</f>
        <v/>
      </c>
      <c r="U1351" s="25">
        <f>CONCATENATE(A1351,"-",G1351)</f>
        <v/>
      </c>
      <c r="V1351" s="25">
        <f>IF(N1351="","",IF(N1351&lt;=30,"Fast (&lt;30m)",IF(N1351&lt;=45,"Moderate (30-45m)","Delayed (&gt;45m)")))</f>
        <v/>
      </c>
      <c r="W1351" s="25">
        <f>IF(AND(I1351&gt;600,P1351="Delivered"),"High Value Delivered","Standard")</f>
        <v/>
      </c>
      <c r="X1351" s="25">
        <f>IF(OR(N1351&gt;50,Q1351&lt;=2),"High Risk / Delayed","Normal")</f>
        <v/>
      </c>
      <c r="Y1351" s="25">
        <f>IF(NOT(P1351="Cancelled"),"Fulfilled","Cancelled")</f>
        <v/>
      </c>
      <c r="Z1351" s="25">
        <f>IFERROR(Q1351,0)</f>
        <v/>
      </c>
    </row>
    <row r="1352">
      <c r="A1352" s="17" t="inlineStr">
        <is>
          <t>ORD2351</t>
        </is>
      </c>
      <c r="B1352" s="17" t="inlineStr">
        <is>
          <t>2025-01-07</t>
        </is>
      </c>
      <c r="C1352" s="17" t="inlineStr">
        <is>
          <t>23:06:45</t>
        </is>
      </c>
      <c r="D1352" s="17" t="n">
        <v>1086</v>
      </c>
      <c r="E1352" s="17" t="n">
        <v>112</v>
      </c>
      <c r="F1352" s="17" t="n">
        <v>221</v>
      </c>
      <c r="G1352" s="17" t="inlineStr">
        <is>
          <t>Delhi NCR</t>
        </is>
      </c>
      <c r="H1352" s="17" t="inlineStr">
        <is>
          <t>North Indian</t>
        </is>
      </c>
      <c r="I1352" s="22" t="n">
        <v>717</v>
      </c>
      <c r="J1352" s="22" t="n">
        <v>0</v>
      </c>
      <c r="K1352" s="22" t="n">
        <v>30</v>
      </c>
      <c r="L1352" s="23" t="n">
        <v>0.22</v>
      </c>
      <c r="M1352" s="22" t="n">
        <v>165.24</v>
      </c>
      <c r="N1352" s="24" t="n">
        <v>4</v>
      </c>
      <c r="O1352" s="24" t="n">
        <v>28.6</v>
      </c>
      <c r="P1352" s="17" t="inlineStr">
        <is>
          <t>Digital Wallet</t>
        </is>
      </c>
      <c r="Q1352" s="17" t="inlineStr">
        <is>
          <t>Delivered</t>
        </is>
      </c>
      <c r="R1352" s="17" t="n">
        <v>5</v>
      </c>
      <c r="S1352" s="17">
        <f>TEXT(B1352,"yyyy-mm")</f>
        <v/>
      </c>
      <c r="T1352" s="17">
        <f>VLOOKUP(D1352,Customers!A:D,4,FALSE)</f>
        <v/>
      </c>
      <c r="U1352" s="17">
        <f>CONCATENATE(A1352,"-",G1352)</f>
        <v/>
      </c>
      <c r="V1352" s="17">
        <f>IF(N1352="","",IF(N1352&lt;=30,"Fast (&lt;30m)",IF(N1352&lt;=45,"Moderate (30-45m)","Delayed (&gt;45m)")))</f>
        <v/>
      </c>
      <c r="W1352" s="17">
        <f>IF(AND(I1352&gt;600,P1352="Delivered"),"High Value Delivered","Standard")</f>
        <v/>
      </c>
      <c r="X1352" s="17">
        <f>IF(OR(N1352&gt;50,Q1352&lt;=2),"High Risk / Delayed","Normal")</f>
        <v/>
      </c>
      <c r="Y1352" s="17">
        <f>IF(NOT(P1352="Cancelled"),"Fulfilled","Cancelled")</f>
        <v/>
      </c>
      <c r="Z1352" s="17">
        <f>IFERROR(Q1352,0)</f>
        <v/>
      </c>
    </row>
    <row r="1353">
      <c r="A1353" s="25" t="inlineStr">
        <is>
          <t>ORD2352</t>
        </is>
      </c>
      <c r="B1353" s="25" t="inlineStr">
        <is>
          <t>2025-12-29</t>
        </is>
      </c>
      <c r="C1353" s="25" t="inlineStr">
        <is>
          <t>15:31:35</t>
        </is>
      </c>
      <c r="D1353" s="25" t="n">
        <v>1297</v>
      </c>
      <c r="E1353" s="25" t="n">
        <v>102</v>
      </c>
      <c r="F1353" s="25" t="n">
        <v>215</v>
      </c>
      <c r="G1353" s="25" t="inlineStr">
        <is>
          <t>Hyderabad</t>
        </is>
      </c>
      <c r="H1353" s="25" t="inlineStr">
        <is>
          <t>Biryani</t>
        </is>
      </c>
      <c r="I1353" s="26" t="n">
        <v>841</v>
      </c>
      <c r="J1353" s="26" t="n">
        <v>91.34999999999999</v>
      </c>
      <c r="K1353" s="26" t="n">
        <v>25</v>
      </c>
      <c r="L1353" s="27" t="n">
        <v>0.22</v>
      </c>
      <c r="M1353" s="26" t="n">
        <v>191.27</v>
      </c>
      <c r="N1353" s="28" t="n">
        <v>2.6</v>
      </c>
      <c r="O1353" s="28" t="n">
        <v>23.5</v>
      </c>
      <c r="P1353" s="25" t="inlineStr">
        <is>
          <t>Digital Wallet</t>
        </is>
      </c>
      <c r="Q1353" s="25" t="inlineStr">
        <is>
          <t>Delivered</t>
        </is>
      </c>
      <c r="R1353" s="25" t="n">
        <v>3</v>
      </c>
      <c r="S1353" s="25">
        <f>TEXT(B1353,"yyyy-mm")</f>
        <v/>
      </c>
      <c r="T1353" s="25">
        <f>VLOOKUP(D1353,Customers!A:D,4,FALSE)</f>
        <v/>
      </c>
      <c r="U1353" s="25">
        <f>CONCATENATE(A1353,"-",G1353)</f>
        <v/>
      </c>
      <c r="V1353" s="25">
        <f>IF(N1353="","",IF(N1353&lt;=30,"Fast (&lt;30m)",IF(N1353&lt;=45,"Moderate (30-45m)","Delayed (&gt;45m)")))</f>
        <v/>
      </c>
      <c r="W1353" s="25">
        <f>IF(AND(I1353&gt;600,P1353="Delivered"),"High Value Delivered","Standard")</f>
        <v/>
      </c>
      <c r="X1353" s="25">
        <f>IF(OR(N1353&gt;50,Q1353&lt;=2),"High Risk / Delayed","Normal")</f>
        <v/>
      </c>
      <c r="Y1353" s="25">
        <f>IF(NOT(P1353="Cancelled"),"Fulfilled","Cancelled")</f>
        <v/>
      </c>
      <c r="Z1353" s="25">
        <f>IFERROR(Q1353,0)</f>
        <v/>
      </c>
    </row>
    <row r="1354">
      <c r="A1354" s="17" t="inlineStr">
        <is>
          <t>ORD2353</t>
        </is>
      </c>
      <c r="B1354" s="17" t="inlineStr">
        <is>
          <t>2025-10-30</t>
        </is>
      </c>
      <c r="C1354" s="17" t="inlineStr">
        <is>
          <t>21:53:50</t>
        </is>
      </c>
      <c r="D1354" s="17" t="n">
        <v>1079</v>
      </c>
      <c r="E1354" s="17" t="n">
        <v>115</v>
      </c>
      <c r="F1354" s="17" t="n">
        <v>218</v>
      </c>
      <c r="G1354" s="17" t="inlineStr">
        <is>
          <t>Bangalore</t>
        </is>
      </c>
      <c r="H1354" s="17" t="inlineStr">
        <is>
          <t>Italian</t>
        </is>
      </c>
      <c r="I1354" s="22" t="n">
        <v>878</v>
      </c>
      <c r="J1354" s="22" t="n">
        <v>40.43</v>
      </c>
      <c r="K1354" s="22" t="n">
        <v>63.5</v>
      </c>
      <c r="L1354" s="23" t="n">
        <v>0.2</v>
      </c>
      <c r="M1354" s="22" t="n">
        <v>191.48</v>
      </c>
      <c r="N1354" s="24" t="n">
        <v>10.7</v>
      </c>
      <c r="O1354" s="24" t="n">
        <v>60.8</v>
      </c>
      <c r="P1354" s="17" t="inlineStr">
        <is>
          <t>Credit Card</t>
        </is>
      </c>
      <c r="Q1354" s="17" t="inlineStr">
        <is>
          <t>Delivered</t>
        </is>
      </c>
      <c r="R1354" s="17" t="n">
        <v>1</v>
      </c>
      <c r="S1354" s="17">
        <f>TEXT(B1354,"yyyy-mm")</f>
        <v/>
      </c>
      <c r="T1354" s="17">
        <f>VLOOKUP(D1354,Customers!A:D,4,FALSE)</f>
        <v/>
      </c>
      <c r="U1354" s="17">
        <f>CONCATENATE(A1354,"-",G1354)</f>
        <v/>
      </c>
      <c r="V1354" s="17">
        <f>IF(N1354="","",IF(N1354&lt;=30,"Fast (&lt;30m)",IF(N1354&lt;=45,"Moderate (30-45m)","Delayed (&gt;45m)")))</f>
        <v/>
      </c>
      <c r="W1354" s="17">
        <f>IF(AND(I1354&gt;600,P1354="Delivered"),"High Value Delivered","Standard")</f>
        <v/>
      </c>
      <c r="X1354" s="17">
        <f>IF(OR(N1354&gt;50,Q1354&lt;=2),"High Risk / Delayed","Normal")</f>
        <v/>
      </c>
      <c r="Y1354" s="17">
        <f>IF(NOT(P1354="Cancelled"),"Fulfilled","Cancelled")</f>
        <v/>
      </c>
      <c r="Z1354" s="17">
        <f>IFERROR(Q1354,0)</f>
        <v/>
      </c>
    </row>
    <row r="1355">
      <c r="A1355" s="25" t="inlineStr">
        <is>
          <t>ORD2354</t>
        </is>
      </c>
      <c r="B1355" s="25" t="inlineStr">
        <is>
          <t>2025-01-21</t>
        </is>
      </c>
      <c r="C1355" s="25" t="inlineStr">
        <is>
          <t>21:22:41</t>
        </is>
      </c>
      <c r="D1355" s="25" t="n">
        <v>1189</v>
      </c>
      <c r="E1355" s="25" t="n">
        <v>119</v>
      </c>
      <c r="F1355" s="25" t="n">
        <v>215</v>
      </c>
      <c r="G1355" s="25" t="inlineStr">
        <is>
          <t>Hyderabad</t>
        </is>
      </c>
      <c r="H1355" s="25" t="inlineStr">
        <is>
          <t>Biryani</t>
        </is>
      </c>
      <c r="I1355" s="26" t="n">
        <v>670</v>
      </c>
      <c r="J1355" s="26" t="n">
        <v>30.73</v>
      </c>
      <c r="K1355" s="26" t="n">
        <v>37.5</v>
      </c>
      <c r="L1355" s="27" t="n">
        <v>0.2</v>
      </c>
      <c r="M1355" s="26" t="n">
        <v>143.38</v>
      </c>
      <c r="N1355" s="28" t="n">
        <v>5.5</v>
      </c>
      <c r="O1355" s="28" t="n">
        <v>45.8</v>
      </c>
      <c r="P1355" s="25" t="inlineStr">
        <is>
          <t>Cash on Delivery</t>
        </is>
      </c>
      <c r="Q1355" s="25" t="inlineStr">
        <is>
          <t>Delivered</t>
        </is>
      </c>
      <c r="R1355" s="25" t="n">
        <v>4</v>
      </c>
      <c r="S1355" s="25">
        <f>TEXT(B1355,"yyyy-mm")</f>
        <v/>
      </c>
      <c r="T1355" s="25">
        <f>VLOOKUP(D1355,Customers!A:D,4,FALSE)</f>
        <v/>
      </c>
      <c r="U1355" s="25">
        <f>CONCATENATE(A1355,"-",G1355)</f>
        <v/>
      </c>
      <c r="V1355" s="25">
        <f>IF(N1355="","",IF(N1355&lt;=30,"Fast (&lt;30m)",IF(N1355&lt;=45,"Moderate (30-45m)","Delayed (&gt;45m)")))</f>
        <v/>
      </c>
      <c r="W1355" s="25">
        <f>IF(AND(I1355&gt;600,P1355="Delivered"),"High Value Delivered","Standard")</f>
        <v/>
      </c>
      <c r="X1355" s="25">
        <f>IF(OR(N1355&gt;50,Q1355&lt;=2),"High Risk / Delayed","Normal")</f>
        <v/>
      </c>
      <c r="Y1355" s="25">
        <f>IF(NOT(P1355="Cancelled"),"Fulfilled","Cancelled")</f>
        <v/>
      </c>
      <c r="Z1355" s="25">
        <f>IFERROR(Q1355,0)</f>
        <v/>
      </c>
    </row>
    <row r="1356">
      <c r="A1356" s="17" t="inlineStr">
        <is>
          <t>ORD2355</t>
        </is>
      </c>
      <c r="B1356" s="17" t="inlineStr">
        <is>
          <t>2025-10-18</t>
        </is>
      </c>
      <c r="C1356" s="17" t="inlineStr">
        <is>
          <t>00:11:01</t>
        </is>
      </c>
      <c r="D1356" s="17" t="n">
        <v>1233</v>
      </c>
      <c r="E1356" s="17" t="n">
        <v>106</v>
      </c>
      <c r="F1356" s="17" t="n">
        <v>217</v>
      </c>
      <c r="G1356" s="17" t="inlineStr">
        <is>
          <t>Pune</t>
        </is>
      </c>
      <c r="H1356" s="17" t="inlineStr">
        <is>
          <t>South Indian</t>
        </is>
      </c>
      <c r="I1356" s="22" t="n">
        <v>865</v>
      </c>
      <c r="J1356" s="22" t="n">
        <v>6.84</v>
      </c>
      <c r="K1356" s="22" t="n">
        <v>28</v>
      </c>
      <c r="L1356" s="23" t="n">
        <v>0.15</v>
      </c>
      <c r="M1356" s="22" t="n">
        <v>136.75</v>
      </c>
      <c r="N1356" s="24" t="n">
        <v>3.6</v>
      </c>
      <c r="O1356" s="24" t="n">
        <v>31.5</v>
      </c>
      <c r="P1356" s="17" t="inlineStr">
        <is>
          <t>UPI</t>
        </is>
      </c>
      <c r="Q1356" s="17" t="inlineStr">
        <is>
          <t>Delivered</t>
        </is>
      </c>
      <c r="R1356" s="17" t="n">
        <v>3</v>
      </c>
      <c r="S1356" s="17">
        <f>TEXT(B1356,"yyyy-mm")</f>
        <v/>
      </c>
      <c r="T1356" s="17">
        <f>VLOOKUP(D1356,Customers!A:D,4,FALSE)</f>
        <v/>
      </c>
      <c r="U1356" s="17">
        <f>CONCATENATE(A1356,"-",G1356)</f>
        <v/>
      </c>
      <c r="V1356" s="17">
        <f>IF(N1356="","",IF(N1356&lt;=30,"Fast (&lt;30m)",IF(N1356&lt;=45,"Moderate (30-45m)","Delayed (&gt;45m)")))</f>
        <v/>
      </c>
      <c r="W1356" s="17">
        <f>IF(AND(I1356&gt;600,P1356="Delivered"),"High Value Delivered","Standard")</f>
        <v/>
      </c>
      <c r="X1356" s="17">
        <f>IF(OR(N1356&gt;50,Q1356&lt;=2),"High Risk / Delayed","Normal")</f>
        <v/>
      </c>
      <c r="Y1356" s="17">
        <f>IF(NOT(P1356="Cancelled"),"Fulfilled","Cancelled")</f>
        <v/>
      </c>
      <c r="Z1356" s="17">
        <f>IFERROR(Q1356,0)</f>
        <v/>
      </c>
    </row>
    <row r="1357">
      <c r="A1357" s="25" t="inlineStr">
        <is>
          <t>ORD2356</t>
        </is>
      </c>
      <c r="B1357" s="25" t="inlineStr">
        <is>
          <t>2025-12-16</t>
        </is>
      </c>
      <c r="C1357" s="25" t="inlineStr">
        <is>
          <t>21:22:22</t>
        </is>
      </c>
      <c r="D1357" s="25" t="n">
        <v>1235</v>
      </c>
      <c r="E1357" s="25" t="n">
        <v>119</v>
      </c>
      <c r="F1357" s="25" t="n">
        <v>215</v>
      </c>
      <c r="G1357" s="25" t="inlineStr">
        <is>
          <t>Hyderabad</t>
        </is>
      </c>
      <c r="H1357" s="25" t="inlineStr">
        <is>
          <t>Biryani</t>
        </is>
      </c>
      <c r="I1357" s="26" t="n">
        <v>474</v>
      </c>
      <c r="J1357" s="26" t="n">
        <v>0</v>
      </c>
      <c r="K1357" s="26" t="n">
        <v>37.5</v>
      </c>
      <c r="L1357" s="27" t="n">
        <v>0.2</v>
      </c>
      <c r="M1357" s="26" t="n">
        <v>104.18</v>
      </c>
      <c r="N1357" s="28" t="n">
        <v>5.5</v>
      </c>
      <c r="O1357" s="28" t="n">
        <v>42.2</v>
      </c>
      <c r="P1357" s="25" t="inlineStr">
        <is>
          <t>Debit Card</t>
        </is>
      </c>
      <c r="Q1357" s="25" t="inlineStr">
        <is>
          <t>Delivered</t>
        </is>
      </c>
      <c r="R1357" s="25" t="n">
        <v>2</v>
      </c>
      <c r="S1357" s="25">
        <f>TEXT(B1357,"yyyy-mm")</f>
        <v/>
      </c>
      <c r="T1357" s="25">
        <f>VLOOKUP(D1357,Customers!A:D,4,FALSE)</f>
        <v/>
      </c>
      <c r="U1357" s="25">
        <f>CONCATENATE(A1357,"-",G1357)</f>
        <v/>
      </c>
      <c r="V1357" s="25">
        <f>IF(N1357="","",IF(N1357&lt;=30,"Fast (&lt;30m)",IF(N1357&lt;=45,"Moderate (30-45m)","Delayed (&gt;45m)")))</f>
        <v/>
      </c>
      <c r="W1357" s="25">
        <f>IF(AND(I1357&gt;600,P1357="Delivered"),"High Value Delivered","Standard")</f>
        <v/>
      </c>
      <c r="X1357" s="25">
        <f>IF(OR(N1357&gt;50,Q1357&lt;=2),"High Risk / Delayed","Normal")</f>
        <v/>
      </c>
      <c r="Y1357" s="25">
        <f>IF(NOT(P1357="Cancelled"),"Fulfilled","Cancelled")</f>
        <v/>
      </c>
      <c r="Z1357" s="25">
        <f>IFERROR(Q1357,0)</f>
        <v/>
      </c>
    </row>
    <row r="1358">
      <c r="A1358" s="17" t="inlineStr">
        <is>
          <t>ORD2357</t>
        </is>
      </c>
      <c r="B1358" s="17" t="inlineStr">
        <is>
          <t>2025-04-18</t>
        </is>
      </c>
      <c r="C1358" s="17" t="inlineStr">
        <is>
          <t>19:35:49</t>
        </is>
      </c>
      <c r="D1358" s="17" t="n">
        <v>1203</v>
      </c>
      <c r="E1358" s="17" t="n">
        <v>104</v>
      </c>
      <c r="F1358" s="17" t="n">
        <v>211</v>
      </c>
      <c r="G1358" s="17" t="inlineStr">
        <is>
          <t>Delhi NCR</t>
        </is>
      </c>
      <c r="H1358" s="17" t="inlineStr">
        <is>
          <t>Fast Food</t>
        </is>
      </c>
      <c r="I1358" s="22" t="n">
        <v>780</v>
      </c>
      <c r="J1358" s="22" t="n">
        <v>46.22</v>
      </c>
      <c r="K1358" s="22" t="n">
        <v>25</v>
      </c>
      <c r="L1358" s="23" t="n">
        <v>0.18</v>
      </c>
      <c r="M1358" s="22" t="n">
        <v>146.65</v>
      </c>
      <c r="N1358" s="24" t="n">
        <v>2.1</v>
      </c>
      <c r="O1358" s="24" t="n">
        <v>28.4</v>
      </c>
      <c r="P1358" s="17" t="inlineStr">
        <is>
          <t>Credit Card</t>
        </is>
      </c>
      <c r="Q1358" s="17" t="inlineStr">
        <is>
          <t>Delivered</t>
        </is>
      </c>
      <c r="R1358" s="17" t="n">
        <v>4</v>
      </c>
      <c r="S1358" s="17">
        <f>TEXT(B1358,"yyyy-mm")</f>
        <v/>
      </c>
      <c r="T1358" s="17">
        <f>VLOOKUP(D1358,Customers!A:D,4,FALSE)</f>
        <v/>
      </c>
      <c r="U1358" s="17">
        <f>CONCATENATE(A1358,"-",G1358)</f>
        <v/>
      </c>
      <c r="V1358" s="17">
        <f>IF(N1358="","",IF(N1358&lt;=30,"Fast (&lt;30m)",IF(N1358&lt;=45,"Moderate (30-45m)","Delayed (&gt;45m)")))</f>
        <v/>
      </c>
      <c r="W1358" s="17">
        <f>IF(AND(I1358&gt;600,P1358="Delivered"),"High Value Delivered","Standard")</f>
        <v/>
      </c>
      <c r="X1358" s="17">
        <f>IF(OR(N1358&gt;50,Q1358&lt;=2),"High Risk / Delayed","Normal")</f>
        <v/>
      </c>
      <c r="Y1358" s="17">
        <f>IF(NOT(P1358="Cancelled"),"Fulfilled","Cancelled")</f>
        <v/>
      </c>
      <c r="Z1358" s="17">
        <f>IFERROR(Q1358,0)</f>
        <v/>
      </c>
    </row>
    <row r="1359">
      <c r="A1359" s="25" t="inlineStr">
        <is>
          <t>ORD2358</t>
        </is>
      </c>
      <c r="B1359" s="25" t="inlineStr">
        <is>
          <t>2025-06-30</t>
        </is>
      </c>
      <c r="C1359" s="25" t="inlineStr">
        <is>
          <t>19:39:34</t>
        </is>
      </c>
      <c r="D1359" s="25" t="n">
        <v>1116</v>
      </c>
      <c r="E1359" s="25" t="n">
        <v>103</v>
      </c>
      <c r="F1359" s="25" t="n">
        <v>202</v>
      </c>
      <c r="G1359" s="25" t="inlineStr">
        <is>
          <t>Mumbai</t>
        </is>
      </c>
      <c r="H1359" s="25" t="inlineStr">
        <is>
          <t>Italian</t>
        </is>
      </c>
      <c r="I1359" s="26" t="n">
        <v>634</v>
      </c>
      <c r="J1359" s="26" t="n">
        <v>115.94</v>
      </c>
      <c r="K1359" s="26" t="n">
        <v>0</v>
      </c>
      <c r="L1359" s="27" t="n">
        <v>0.18</v>
      </c>
      <c r="M1359" s="26" t="n">
        <v>114.12</v>
      </c>
      <c r="N1359" s="28" t="n">
        <v>5.8</v>
      </c>
      <c r="O1359" s="28" t="n">
        <v>40.6</v>
      </c>
      <c r="P1359" s="25" t="inlineStr">
        <is>
          <t>UPI</t>
        </is>
      </c>
      <c r="Q1359" s="25" t="inlineStr">
        <is>
          <t>Delivered</t>
        </is>
      </c>
      <c r="R1359" s="25" t="n">
        <v>3</v>
      </c>
      <c r="S1359" s="25">
        <f>TEXT(B1359,"yyyy-mm")</f>
        <v/>
      </c>
      <c r="T1359" s="25">
        <f>VLOOKUP(D1359,Customers!A:D,4,FALSE)</f>
        <v/>
      </c>
      <c r="U1359" s="25">
        <f>CONCATENATE(A1359,"-",G1359)</f>
        <v/>
      </c>
      <c r="V1359" s="25">
        <f>IF(N1359="","",IF(N1359&lt;=30,"Fast (&lt;30m)",IF(N1359&lt;=45,"Moderate (30-45m)","Delayed (&gt;45m)")))</f>
        <v/>
      </c>
      <c r="W1359" s="25">
        <f>IF(AND(I1359&gt;600,P1359="Delivered"),"High Value Delivered","Standard")</f>
        <v/>
      </c>
      <c r="X1359" s="25">
        <f>IF(OR(N1359&gt;50,Q1359&lt;=2),"High Risk / Delayed","Normal")</f>
        <v/>
      </c>
      <c r="Y1359" s="25">
        <f>IF(NOT(P1359="Cancelled"),"Fulfilled","Cancelled")</f>
        <v/>
      </c>
      <c r="Z1359" s="25">
        <f>IFERROR(Q1359,0)</f>
        <v/>
      </c>
    </row>
    <row r="1360">
      <c r="A1360" s="17" t="inlineStr">
        <is>
          <t>ORD2359</t>
        </is>
      </c>
      <c r="B1360" s="17" t="inlineStr">
        <is>
          <t>2025-11-24</t>
        </is>
      </c>
      <c r="C1360" s="17" t="inlineStr">
        <is>
          <t>20:11:48</t>
        </is>
      </c>
      <c r="D1360" s="17" t="n">
        <v>1177</v>
      </c>
      <c r="E1360" s="17" t="n">
        <v>118</v>
      </c>
      <c r="F1360" s="17" t="n">
        <v>221</v>
      </c>
      <c r="G1360" s="17" t="inlineStr">
        <is>
          <t>Delhi NCR</t>
        </is>
      </c>
      <c r="H1360" s="17" t="inlineStr">
        <is>
          <t>North Indian</t>
        </is>
      </c>
      <c r="I1360" s="22" t="n">
        <v>611</v>
      </c>
      <c r="J1360" s="22" t="n">
        <v>39.2</v>
      </c>
      <c r="K1360" s="22" t="n">
        <v>27</v>
      </c>
      <c r="L1360" s="23" t="n">
        <v>0.2</v>
      </c>
      <c r="M1360" s="22" t="n">
        <v>128.95</v>
      </c>
      <c r="N1360" s="24" t="n">
        <v>3.4</v>
      </c>
      <c r="O1360" s="24" t="n">
        <v/>
      </c>
      <c r="P1360" s="17" t="inlineStr">
        <is>
          <t>Cash on Delivery</t>
        </is>
      </c>
      <c r="Q1360" s="17" t="inlineStr">
        <is>
          <t>Cancelled</t>
        </is>
      </c>
      <c r="R1360" s="17" t="n">
        <v/>
      </c>
      <c r="S1360" s="17">
        <f>TEXT(B1360,"yyyy-mm")</f>
        <v/>
      </c>
      <c r="T1360" s="17">
        <f>VLOOKUP(D1360,Customers!A:D,4,FALSE)</f>
        <v/>
      </c>
      <c r="U1360" s="17">
        <f>CONCATENATE(A1360,"-",G1360)</f>
        <v/>
      </c>
      <c r="V1360" s="17">
        <f>IF(N1360="","",IF(N1360&lt;=30,"Fast (&lt;30m)",IF(N1360&lt;=45,"Moderate (30-45m)","Delayed (&gt;45m)")))</f>
        <v/>
      </c>
      <c r="W1360" s="17">
        <f>IF(AND(I1360&gt;600,P1360="Delivered"),"High Value Delivered","Standard")</f>
        <v/>
      </c>
      <c r="X1360" s="17">
        <f>IF(OR(N1360&gt;50,Q1360&lt;=2),"High Risk / Delayed","Normal")</f>
        <v/>
      </c>
      <c r="Y1360" s="17">
        <f>IF(NOT(P1360="Cancelled"),"Fulfilled","Cancelled")</f>
        <v/>
      </c>
      <c r="Z1360" s="17">
        <f>IFERROR(Q1360,0)</f>
        <v/>
      </c>
    </row>
    <row r="1361">
      <c r="A1361" s="25" t="inlineStr">
        <is>
          <t>ORD2360</t>
        </is>
      </c>
      <c r="B1361" s="25" t="inlineStr">
        <is>
          <t>2025-07-05</t>
        </is>
      </c>
      <c r="C1361" s="25" t="inlineStr">
        <is>
          <t>18:48:10</t>
        </is>
      </c>
      <c r="D1361" s="25" t="n">
        <v>1216</v>
      </c>
      <c r="E1361" s="25" t="n">
        <v>110</v>
      </c>
      <c r="F1361" s="25" t="n">
        <v>214</v>
      </c>
      <c r="G1361" s="25" t="inlineStr">
        <is>
          <t>Pune</t>
        </is>
      </c>
      <c r="H1361" s="25" t="inlineStr">
        <is>
          <t>North Indian</t>
        </is>
      </c>
      <c r="I1361" s="26" t="n">
        <v>392</v>
      </c>
      <c r="J1361" s="26" t="n">
        <v>0</v>
      </c>
      <c r="K1361" s="26" t="n">
        <v>25</v>
      </c>
      <c r="L1361" s="27" t="n">
        <v>0.18</v>
      </c>
      <c r="M1361" s="26" t="n">
        <v>76.81</v>
      </c>
      <c r="N1361" s="28" t="n">
        <v>1.7</v>
      </c>
      <c r="O1361" s="28" t="n">
        <v>20.8</v>
      </c>
      <c r="P1361" s="25" t="inlineStr">
        <is>
          <t>Digital Wallet</t>
        </is>
      </c>
      <c r="Q1361" s="25" t="inlineStr">
        <is>
          <t>Delivered</t>
        </is>
      </c>
      <c r="R1361" s="25" t="n">
        <v>5</v>
      </c>
      <c r="S1361" s="25">
        <f>TEXT(B1361,"yyyy-mm")</f>
        <v/>
      </c>
      <c r="T1361" s="25">
        <f>VLOOKUP(D1361,Customers!A:D,4,FALSE)</f>
        <v/>
      </c>
      <c r="U1361" s="25">
        <f>CONCATENATE(A1361,"-",G1361)</f>
        <v/>
      </c>
      <c r="V1361" s="25">
        <f>IF(N1361="","",IF(N1361&lt;=30,"Fast (&lt;30m)",IF(N1361&lt;=45,"Moderate (30-45m)","Delayed (&gt;45m)")))</f>
        <v/>
      </c>
      <c r="W1361" s="25">
        <f>IF(AND(I1361&gt;600,P1361="Delivered"),"High Value Delivered","Standard")</f>
        <v/>
      </c>
      <c r="X1361" s="25">
        <f>IF(OR(N1361&gt;50,Q1361&lt;=2),"High Risk / Delayed","Normal")</f>
        <v/>
      </c>
      <c r="Y1361" s="25">
        <f>IF(NOT(P1361="Cancelled"),"Fulfilled","Cancelled")</f>
        <v/>
      </c>
      <c r="Z1361" s="25">
        <f>IFERROR(Q1361,0)</f>
        <v/>
      </c>
    </row>
    <row r="1362">
      <c r="A1362" s="17" t="inlineStr">
        <is>
          <t>ORD2361</t>
        </is>
      </c>
      <c r="B1362" s="17" t="inlineStr">
        <is>
          <t>2025-07-23</t>
        </is>
      </c>
      <c r="C1362" s="17" t="inlineStr">
        <is>
          <t>18:39:44</t>
        </is>
      </c>
      <c r="D1362" s="17" t="n">
        <v>1244</v>
      </c>
      <c r="E1362" s="17" t="n">
        <v>112</v>
      </c>
      <c r="F1362" s="17" t="n">
        <v>221</v>
      </c>
      <c r="G1362" s="17" t="inlineStr">
        <is>
          <t>Delhi NCR</t>
        </is>
      </c>
      <c r="H1362" s="17" t="inlineStr">
        <is>
          <t>North Indian</t>
        </is>
      </c>
      <c r="I1362" s="22" t="n">
        <v>297</v>
      </c>
      <c r="J1362" s="22" t="n">
        <v>0</v>
      </c>
      <c r="K1362" s="22" t="n">
        <v>31.5</v>
      </c>
      <c r="L1362" s="23" t="n">
        <v>0.22</v>
      </c>
      <c r="M1362" s="22" t="n">
        <v>73.22</v>
      </c>
      <c r="N1362" s="24" t="n">
        <v>4.3</v>
      </c>
      <c r="O1362" s="24" t="n">
        <v>33.2</v>
      </c>
      <c r="P1362" s="17" t="inlineStr">
        <is>
          <t>Digital Wallet</t>
        </is>
      </c>
      <c r="Q1362" s="17" t="inlineStr">
        <is>
          <t>Delivered</t>
        </is>
      </c>
      <c r="R1362" s="17" t="n">
        <v>4</v>
      </c>
      <c r="S1362" s="17">
        <f>TEXT(B1362,"yyyy-mm")</f>
        <v/>
      </c>
      <c r="T1362" s="17">
        <f>VLOOKUP(D1362,Customers!A:D,4,FALSE)</f>
        <v/>
      </c>
      <c r="U1362" s="17">
        <f>CONCATENATE(A1362,"-",G1362)</f>
        <v/>
      </c>
      <c r="V1362" s="17">
        <f>IF(N1362="","",IF(N1362&lt;=30,"Fast (&lt;30m)",IF(N1362&lt;=45,"Moderate (30-45m)","Delayed (&gt;45m)")))</f>
        <v/>
      </c>
      <c r="W1362" s="17">
        <f>IF(AND(I1362&gt;600,P1362="Delivered"),"High Value Delivered","Standard")</f>
        <v/>
      </c>
      <c r="X1362" s="17">
        <f>IF(OR(N1362&gt;50,Q1362&lt;=2),"High Risk / Delayed","Normal")</f>
        <v/>
      </c>
      <c r="Y1362" s="17">
        <f>IF(NOT(P1362="Cancelled"),"Fulfilled","Cancelled")</f>
        <v/>
      </c>
      <c r="Z1362" s="17">
        <f>IFERROR(Q1362,0)</f>
        <v/>
      </c>
    </row>
    <row r="1363">
      <c r="A1363" s="25" t="inlineStr">
        <is>
          <t>ORD2362</t>
        </is>
      </c>
      <c r="B1363" s="25" t="inlineStr">
        <is>
          <t>2025-06-24</t>
        </is>
      </c>
      <c r="C1363" s="25" t="inlineStr">
        <is>
          <t>18:34:22</t>
        </is>
      </c>
      <c r="D1363" s="25" t="n">
        <v>1249</v>
      </c>
      <c r="E1363" s="25" t="n">
        <v>102</v>
      </c>
      <c r="F1363" s="25" t="n">
        <v>216</v>
      </c>
      <c r="G1363" s="25" t="inlineStr">
        <is>
          <t>Hyderabad</t>
        </is>
      </c>
      <c r="H1363" s="25" t="inlineStr">
        <is>
          <t>Biryani</t>
        </is>
      </c>
      <c r="I1363" s="26" t="n">
        <v>760</v>
      </c>
      <c r="J1363" s="26" t="n">
        <v>146.02</v>
      </c>
      <c r="K1363" s="26" t="n">
        <v>0</v>
      </c>
      <c r="L1363" s="27" t="n">
        <v>0.22</v>
      </c>
      <c r="M1363" s="26" t="n">
        <v>167.2</v>
      </c>
      <c r="N1363" s="28" t="n">
        <v>2.8</v>
      </c>
      <c r="O1363" s="28" t="n">
        <v>21</v>
      </c>
      <c r="P1363" s="25" t="inlineStr">
        <is>
          <t>Debit Card</t>
        </is>
      </c>
      <c r="Q1363" s="25" t="inlineStr">
        <is>
          <t>Delivered</t>
        </is>
      </c>
      <c r="R1363" s="25" t="n">
        <v>4</v>
      </c>
      <c r="S1363" s="25">
        <f>TEXT(B1363,"yyyy-mm")</f>
        <v/>
      </c>
      <c r="T1363" s="25">
        <f>VLOOKUP(D1363,Customers!A:D,4,FALSE)</f>
        <v/>
      </c>
      <c r="U1363" s="25">
        <f>CONCATENATE(A1363,"-",G1363)</f>
        <v/>
      </c>
      <c r="V1363" s="25">
        <f>IF(N1363="","",IF(N1363&lt;=30,"Fast (&lt;30m)",IF(N1363&lt;=45,"Moderate (30-45m)","Delayed (&gt;45m)")))</f>
        <v/>
      </c>
      <c r="W1363" s="25">
        <f>IF(AND(I1363&gt;600,P1363="Delivered"),"High Value Delivered","Standard")</f>
        <v/>
      </c>
      <c r="X1363" s="25">
        <f>IF(OR(N1363&gt;50,Q1363&lt;=2),"High Risk / Delayed","Normal")</f>
        <v/>
      </c>
      <c r="Y1363" s="25">
        <f>IF(NOT(P1363="Cancelled"),"Fulfilled","Cancelled")</f>
        <v/>
      </c>
      <c r="Z1363" s="25">
        <f>IFERROR(Q1363,0)</f>
        <v/>
      </c>
    </row>
    <row r="1364">
      <c r="A1364" s="17" t="inlineStr">
        <is>
          <t>ORD2363</t>
        </is>
      </c>
      <c r="B1364" s="17" t="inlineStr">
        <is>
          <t>2025-08-15</t>
        </is>
      </c>
      <c r="C1364" s="17" t="inlineStr">
        <is>
          <t>11:52:02</t>
        </is>
      </c>
      <c r="D1364" s="17" t="n">
        <v>1059</v>
      </c>
      <c r="E1364" s="17" t="n">
        <v>102</v>
      </c>
      <c r="F1364" s="17" t="n">
        <v>216</v>
      </c>
      <c r="G1364" s="17" t="inlineStr">
        <is>
          <t>Hyderabad</t>
        </is>
      </c>
      <c r="H1364" s="17" t="inlineStr">
        <is>
          <t>Biryani</t>
        </is>
      </c>
      <c r="I1364" s="22" t="n">
        <v>471</v>
      </c>
      <c r="J1364" s="22" t="n">
        <v>25.15</v>
      </c>
      <c r="K1364" s="22" t="n">
        <v>25</v>
      </c>
      <c r="L1364" s="23" t="n">
        <v>0.22</v>
      </c>
      <c r="M1364" s="22" t="n">
        <v>109.87</v>
      </c>
      <c r="N1364" s="24" t="n">
        <v>2.3</v>
      </c>
      <c r="O1364" s="24" t="n">
        <v>21.3</v>
      </c>
      <c r="P1364" s="17" t="inlineStr">
        <is>
          <t>Cash on Delivery</t>
        </is>
      </c>
      <c r="Q1364" s="17" t="inlineStr">
        <is>
          <t>Delivered</t>
        </is>
      </c>
      <c r="R1364" s="17" t="n">
        <v>4</v>
      </c>
      <c r="S1364" s="17">
        <f>TEXT(B1364,"yyyy-mm")</f>
        <v/>
      </c>
      <c r="T1364" s="17">
        <f>VLOOKUP(D1364,Customers!A:D,4,FALSE)</f>
        <v/>
      </c>
      <c r="U1364" s="17">
        <f>CONCATENATE(A1364,"-",G1364)</f>
        <v/>
      </c>
      <c r="V1364" s="17">
        <f>IF(N1364="","",IF(N1364&lt;=30,"Fast (&lt;30m)",IF(N1364&lt;=45,"Moderate (30-45m)","Delayed (&gt;45m)")))</f>
        <v/>
      </c>
      <c r="W1364" s="17">
        <f>IF(AND(I1364&gt;600,P1364="Delivered"),"High Value Delivered","Standard")</f>
        <v/>
      </c>
      <c r="X1364" s="17">
        <f>IF(OR(N1364&gt;50,Q1364&lt;=2),"High Risk / Delayed","Normal")</f>
        <v/>
      </c>
      <c r="Y1364" s="17">
        <f>IF(NOT(P1364="Cancelled"),"Fulfilled","Cancelled")</f>
        <v/>
      </c>
      <c r="Z1364" s="17">
        <f>IFERROR(Q1364,0)</f>
        <v/>
      </c>
    </row>
    <row r="1365">
      <c r="A1365" s="25" t="inlineStr">
        <is>
          <t>ORD2364</t>
        </is>
      </c>
      <c r="B1365" s="25" t="inlineStr">
        <is>
          <t>2025-05-06</t>
        </is>
      </c>
      <c r="C1365" s="25" t="inlineStr">
        <is>
          <t>08:56:14</t>
        </is>
      </c>
      <c r="D1365" s="25" t="n">
        <v>1015</v>
      </c>
      <c r="E1365" s="25" t="n">
        <v>119</v>
      </c>
      <c r="F1365" s="25" t="n">
        <v>215</v>
      </c>
      <c r="G1365" s="25" t="inlineStr">
        <is>
          <t>Hyderabad</t>
        </is>
      </c>
      <c r="H1365" s="25" t="inlineStr">
        <is>
          <t>Biryani</t>
        </is>
      </c>
      <c r="I1365" s="26" t="n">
        <v>670</v>
      </c>
      <c r="J1365" s="26" t="n">
        <v>11.58</v>
      </c>
      <c r="K1365" s="26" t="n">
        <v>35</v>
      </c>
      <c r="L1365" s="27" t="n">
        <v>0.2</v>
      </c>
      <c r="M1365" s="26" t="n">
        <v>142.75</v>
      </c>
      <c r="N1365" s="28" t="n">
        <v>5</v>
      </c>
      <c r="O1365" s="28" t="n">
        <v>28.3</v>
      </c>
      <c r="P1365" s="25" t="inlineStr">
        <is>
          <t>Credit Card</t>
        </is>
      </c>
      <c r="Q1365" s="25" t="inlineStr">
        <is>
          <t>Delivered</t>
        </is>
      </c>
      <c r="R1365" s="25" t="n">
        <v>5</v>
      </c>
      <c r="S1365" s="25">
        <f>TEXT(B1365,"yyyy-mm")</f>
        <v/>
      </c>
      <c r="T1365" s="25">
        <f>VLOOKUP(D1365,Customers!A:D,4,FALSE)</f>
        <v/>
      </c>
      <c r="U1365" s="25">
        <f>CONCATENATE(A1365,"-",G1365)</f>
        <v/>
      </c>
      <c r="V1365" s="25">
        <f>IF(N1365="","",IF(N1365&lt;=30,"Fast (&lt;30m)",IF(N1365&lt;=45,"Moderate (30-45m)","Delayed (&gt;45m)")))</f>
        <v/>
      </c>
      <c r="W1365" s="25">
        <f>IF(AND(I1365&gt;600,P1365="Delivered"),"High Value Delivered","Standard")</f>
        <v/>
      </c>
      <c r="X1365" s="25">
        <f>IF(OR(N1365&gt;50,Q1365&lt;=2),"High Risk / Delayed","Normal")</f>
        <v/>
      </c>
      <c r="Y1365" s="25">
        <f>IF(NOT(P1365="Cancelled"),"Fulfilled","Cancelled")</f>
        <v/>
      </c>
      <c r="Z1365" s="25">
        <f>IFERROR(Q1365,0)</f>
        <v/>
      </c>
    </row>
    <row r="1366">
      <c r="A1366" s="17" t="inlineStr">
        <is>
          <t>ORD2365</t>
        </is>
      </c>
      <c r="B1366" s="17" t="inlineStr">
        <is>
          <t>2025-08-13</t>
        </is>
      </c>
      <c r="C1366" s="17" t="inlineStr">
        <is>
          <t>11:26:35</t>
        </is>
      </c>
      <c r="D1366" s="17" t="n">
        <v>1298</v>
      </c>
      <c r="E1366" s="17" t="n">
        <v>102</v>
      </c>
      <c r="F1366" s="17" t="n">
        <v>216</v>
      </c>
      <c r="G1366" s="17" t="inlineStr">
        <is>
          <t>Hyderabad</t>
        </is>
      </c>
      <c r="H1366" s="17" t="inlineStr">
        <is>
          <t>Biryani</t>
        </is>
      </c>
      <c r="I1366" s="22" t="n">
        <v>784</v>
      </c>
      <c r="J1366" s="22" t="n">
        <v>12.06</v>
      </c>
      <c r="K1366" s="22" t="n">
        <v>25</v>
      </c>
      <c r="L1366" s="23" t="n">
        <v>0.22</v>
      </c>
      <c r="M1366" s="22" t="n">
        <v>178.73</v>
      </c>
      <c r="N1366" s="24" t="n">
        <v>1.9</v>
      </c>
      <c r="O1366" s="24" t="n">
        <v>20.2</v>
      </c>
      <c r="P1366" s="17" t="inlineStr">
        <is>
          <t>Digital Wallet</t>
        </is>
      </c>
      <c r="Q1366" s="17" t="inlineStr">
        <is>
          <t>Delivered</t>
        </is>
      </c>
      <c r="R1366" s="17" t="n">
        <v>4</v>
      </c>
      <c r="S1366" s="17">
        <f>TEXT(B1366,"yyyy-mm")</f>
        <v/>
      </c>
      <c r="T1366" s="17">
        <f>VLOOKUP(D1366,Customers!A:D,4,FALSE)</f>
        <v/>
      </c>
      <c r="U1366" s="17">
        <f>CONCATENATE(A1366,"-",G1366)</f>
        <v/>
      </c>
      <c r="V1366" s="17">
        <f>IF(N1366="","",IF(N1366&lt;=30,"Fast (&lt;30m)",IF(N1366&lt;=45,"Moderate (30-45m)","Delayed (&gt;45m)")))</f>
        <v/>
      </c>
      <c r="W1366" s="17">
        <f>IF(AND(I1366&gt;600,P1366="Delivered"),"High Value Delivered","Standard")</f>
        <v/>
      </c>
      <c r="X1366" s="17">
        <f>IF(OR(N1366&gt;50,Q1366&lt;=2),"High Risk / Delayed","Normal")</f>
        <v/>
      </c>
      <c r="Y1366" s="17">
        <f>IF(NOT(P1366="Cancelled"),"Fulfilled","Cancelled")</f>
        <v/>
      </c>
      <c r="Z1366" s="17">
        <f>IFERROR(Q1366,0)</f>
        <v/>
      </c>
    </row>
    <row r="1367">
      <c r="A1367" s="25" t="inlineStr">
        <is>
          <t>ORD2366</t>
        </is>
      </c>
      <c r="B1367" s="25" t="inlineStr">
        <is>
          <t>2025-12-28</t>
        </is>
      </c>
      <c r="C1367" s="25" t="inlineStr">
        <is>
          <t>13:50:23</t>
        </is>
      </c>
      <c r="D1367" s="25" t="n">
        <v>1286</v>
      </c>
      <c r="E1367" s="25" t="n">
        <v>118</v>
      </c>
      <c r="F1367" s="25" t="n">
        <v>219</v>
      </c>
      <c r="G1367" s="25" t="inlineStr">
        <is>
          <t>Delhi NCR</t>
        </is>
      </c>
      <c r="H1367" s="25" t="inlineStr">
        <is>
          <t>North Indian</t>
        </is>
      </c>
      <c r="I1367" s="26" t="n">
        <v>489</v>
      </c>
      <c r="J1367" s="26" t="n">
        <v>0</v>
      </c>
      <c r="K1367" s="26" t="n">
        <v>26.5</v>
      </c>
      <c r="L1367" s="27" t="n">
        <v>0.2</v>
      </c>
      <c r="M1367" s="26" t="n">
        <v>104.43</v>
      </c>
      <c r="N1367" s="28" t="n">
        <v>3.3</v>
      </c>
      <c r="O1367" s="28" t="n">
        <v>32.3</v>
      </c>
      <c r="P1367" s="25" t="inlineStr">
        <is>
          <t>Credit Card</t>
        </is>
      </c>
      <c r="Q1367" s="25" t="inlineStr">
        <is>
          <t>Delivered</t>
        </is>
      </c>
      <c r="R1367" s="25" t="n">
        <v>4</v>
      </c>
      <c r="S1367" s="25">
        <f>TEXT(B1367,"yyyy-mm")</f>
        <v/>
      </c>
      <c r="T1367" s="25">
        <f>VLOOKUP(D1367,Customers!A:D,4,FALSE)</f>
        <v/>
      </c>
      <c r="U1367" s="25">
        <f>CONCATENATE(A1367,"-",G1367)</f>
        <v/>
      </c>
      <c r="V1367" s="25">
        <f>IF(N1367="","",IF(N1367&lt;=30,"Fast (&lt;30m)",IF(N1367&lt;=45,"Moderate (30-45m)","Delayed (&gt;45m)")))</f>
        <v/>
      </c>
      <c r="W1367" s="25">
        <f>IF(AND(I1367&gt;600,P1367="Delivered"),"High Value Delivered","Standard")</f>
        <v/>
      </c>
      <c r="X1367" s="25">
        <f>IF(OR(N1367&gt;50,Q1367&lt;=2),"High Risk / Delayed","Normal")</f>
        <v/>
      </c>
      <c r="Y1367" s="25">
        <f>IF(NOT(P1367="Cancelled"),"Fulfilled","Cancelled")</f>
        <v/>
      </c>
      <c r="Z1367" s="25">
        <f>IFERROR(Q1367,0)</f>
        <v/>
      </c>
    </row>
    <row r="1368">
      <c r="A1368" s="17" t="inlineStr">
        <is>
          <t>ORD2367</t>
        </is>
      </c>
      <c r="B1368" s="17" t="inlineStr">
        <is>
          <t>2025-12-21</t>
        </is>
      </c>
      <c r="C1368" s="17" t="inlineStr">
        <is>
          <t>12:08:20</t>
        </is>
      </c>
      <c r="D1368" s="17" t="n">
        <v>1251</v>
      </c>
      <c r="E1368" s="17" t="n">
        <v>102</v>
      </c>
      <c r="F1368" s="17" t="n">
        <v>225</v>
      </c>
      <c r="G1368" s="17" t="inlineStr">
        <is>
          <t>Hyderabad</t>
        </is>
      </c>
      <c r="H1368" s="17" t="inlineStr">
        <is>
          <t>Biryani</t>
        </is>
      </c>
      <c r="I1368" s="22" t="n">
        <v>939</v>
      </c>
      <c r="J1368" s="22" t="n">
        <v>0</v>
      </c>
      <c r="K1368" s="22" t="n">
        <v>25</v>
      </c>
      <c r="L1368" s="23" t="n">
        <v>0.22</v>
      </c>
      <c r="M1368" s="22" t="n">
        <v>212.83</v>
      </c>
      <c r="N1368" s="24" t="n">
        <v>2.6</v>
      </c>
      <c r="O1368" s="24" t="n">
        <v>32.5</v>
      </c>
      <c r="P1368" s="17" t="inlineStr">
        <is>
          <t>Credit Card</t>
        </is>
      </c>
      <c r="Q1368" s="17" t="inlineStr">
        <is>
          <t>Delivered</t>
        </is>
      </c>
      <c r="R1368" s="17" t="n">
        <v>4</v>
      </c>
      <c r="S1368" s="17">
        <f>TEXT(B1368,"yyyy-mm")</f>
        <v/>
      </c>
      <c r="T1368" s="17">
        <f>VLOOKUP(D1368,Customers!A:D,4,FALSE)</f>
        <v/>
      </c>
      <c r="U1368" s="17">
        <f>CONCATENATE(A1368,"-",G1368)</f>
        <v/>
      </c>
      <c r="V1368" s="17">
        <f>IF(N1368="","",IF(N1368&lt;=30,"Fast (&lt;30m)",IF(N1368&lt;=45,"Moderate (30-45m)","Delayed (&gt;45m)")))</f>
        <v/>
      </c>
      <c r="W1368" s="17">
        <f>IF(AND(I1368&gt;600,P1368="Delivered"),"High Value Delivered","Standard")</f>
        <v/>
      </c>
      <c r="X1368" s="17">
        <f>IF(OR(N1368&gt;50,Q1368&lt;=2),"High Risk / Delayed","Normal")</f>
        <v/>
      </c>
      <c r="Y1368" s="17">
        <f>IF(NOT(P1368="Cancelled"),"Fulfilled","Cancelled")</f>
        <v/>
      </c>
      <c r="Z1368" s="17">
        <f>IFERROR(Q1368,0)</f>
        <v/>
      </c>
    </row>
    <row r="1369">
      <c r="A1369" s="25" t="inlineStr">
        <is>
          <t>ORD2368</t>
        </is>
      </c>
      <c r="B1369" s="25" t="inlineStr">
        <is>
          <t>2025-10-02</t>
        </is>
      </c>
      <c r="C1369" s="25" t="inlineStr">
        <is>
          <t>13:20:06</t>
        </is>
      </c>
      <c r="D1369" s="25" t="n">
        <v>1154</v>
      </c>
      <c r="E1369" s="25" t="n">
        <v>113</v>
      </c>
      <c r="F1369" s="25" t="n">
        <v>206</v>
      </c>
      <c r="G1369" s="25" t="inlineStr">
        <is>
          <t>Mumbai</t>
        </is>
      </c>
      <c r="H1369" s="25" t="inlineStr">
        <is>
          <t>Fast Food</t>
        </is>
      </c>
      <c r="I1369" s="26" t="n">
        <v>838</v>
      </c>
      <c r="J1369" s="26" t="n">
        <v>0</v>
      </c>
      <c r="K1369" s="26" t="n">
        <v>25</v>
      </c>
      <c r="L1369" s="27" t="n">
        <v>0.18</v>
      </c>
      <c r="M1369" s="26" t="n">
        <v>157.09</v>
      </c>
      <c r="N1369" s="28" t="n">
        <v>1.9</v>
      </c>
      <c r="O1369" s="28" t="n">
        <v>26.3</v>
      </c>
      <c r="P1369" s="25" t="inlineStr">
        <is>
          <t>Digital Wallet</t>
        </is>
      </c>
      <c r="Q1369" s="25" t="inlineStr">
        <is>
          <t>Delivered</t>
        </is>
      </c>
      <c r="R1369" s="25" t="n">
        <v>5</v>
      </c>
      <c r="S1369" s="25">
        <f>TEXT(B1369,"yyyy-mm")</f>
        <v/>
      </c>
      <c r="T1369" s="25">
        <f>VLOOKUP(D1369,Customers!A:D,4,FALSE)</f>
        <v/>
      </c>
      <c r="U1369" s="25">
        <f>CONCATENATE(A1369,"-",G1369)</f>
        <v/>
      </c>
      <c r="V1369" s="25">
        <f>IF(N1369="","",IF(N1369&lt;=30,"Fast (&lt;30m)",IF(N1369&lt;=45,"Moderate (30-45m)","Delayed (&gt;45m)")))</f>
        <v/>
      </c>
      <c r="W1369" s="25">
        <f>IF(AND(I1369&gt;600,P1369="Delivered"),"High Value Delivered","Standard")</f>
        <v/>
      </c>
      <c r="X1369" s="25">
        <f>IF(OR(N1369&gt;50,Q1369&lt;=2),"High Risk / Delayed","Normal")</f>
        <v/>
      </c>
      <c r="Y1369" s="25">
        <f>IF(NOT(P1369="Cancelled"),"Fulfilled","Cancelled")</f>
        <v/>
      </c>
      <c r="Z1369" s="25">
        <f>IFERROR(Q1369,0)</f>
        <v/>
      </c>
    </row>
    <row r="1370">
      <c r="A1370" s="17" t="inlineStr">
        <is>
          <t>ORD2369</t>
        </is>
      </c>
      <c r="B1370" s="17" t="inlineStr">
        <is>
          <t>2025-05-18</t>
        </is>
      </c>
      <c r="C1370" s="17" t="inlineStr">
        <is>
          <t>14:36:53</t>
        </is>
      </c>
      <c r="D1370" s="17" t="n">
        <v>1146</v>
      </c>
      <c r="E1370" s="17" t="n">
        <v>103</v>
      </c>
      <c r="F1370" s="17" t="n">
        <v>229</v>
      </c>
      <c r="G1370" s="17" t="inlineStr">
        <is>
          <t>Mumbai</t>
        </is>
      </c>
      <c r="H1370" s="17" t="inlineStr">
        <is>
          <t>Italian</t>
        </is>
      </c>
      <c r="I1370" s="22" t="n">
        <v>274</v>
      </c>
      <c r="J1370" s="22" t="n">
        <v>0</v>
      </c>
      <c r="K1370" s="22" t="n">
        <v>25</v>
      </c>
      <c r="L1370" s="23" t="n">
        <v>0.18</v>
      </c>
      <c r="M1370" s="22" t="n">
        <v>55.57</v>
      </c>
      <c r="N1370" s="24" t="n">
        <v>3</v>
      </c>
      <c r="O1370" s="24" t="n">
        <v>30.6</v>
      </c>
      <c r="P1370" s="17" t="inlineStr">
        <is>
          <t>Digital Wallet</t>
        </is>
      </c>
      <c r="Q1370" s="17" t="inlineStr">
        <is>
          <t>Delivered</t>
        </is>
      </c>
      <c r="R1370" s="17" t="n">
        <v>4</v>
      </c>
      <c r="S1370" s="17">
        <f>TEXT(B1370,"yyyy-mm")</f>
        <v/>
      </c>
      <c r="T1370" s="17">
        <f>VLOOKUP(D1370,Customers!A:D,4,FALSE)</f>
        <v/>
      </c>
      <c r="U1370" s="17">
        <f>CONCATENATE(A1370,"-",G1370)</f>
        <v/>
      </c>
      <c r="V1370" s="17">
        <f>IF(N1370="","",IF(N1370&lt;=30,"Fast (&lt;30m)",IF(N1370&lt;=45,"Moderate (30-45m)","Delayed (&gt;45m)")))</f>
        <v/>
      </c>
      <c r="W1370" s="17">
        <f>IF(AND(I1370&gt;600,P1370="Delivered"),"High Value Delivered","Standard")</f>
        <v/>
      </c>
      <c r="X1370" s="17">
        <f>IF(OR(N1370&gt;50,Q1370&lt;=2),"High Risk / Delayed","Normal")</f>
        <v/>
      </c>
      <c r="Y1370" s="17">
        <f>IF(NOT(P1370="Cancelled"),"Fulfilled","Cancelled")</f>
        <v/>
      </c>
      <c r="Z1370" s="17">
        <f>IFERROR(Q1370,0)</f>
        <v/>
      </c>
    </row>
    <row r="1371">
      <c r="A1371" s="25" t="inlineStr">
        <is>
          <t>ORD2370</t>
        </is>
      </c>
      <c r="B1371" s="25" t="inlineStr">
        <is>
          <t>2025-01-12</t>
        </is>
      </c>
      <c r="C1371" s="25" t="inlineStr">
        <is>
          <t>13:35:28</t>
        </is>
      </c>
      <c r="D1371" s="25" t="n">
        <v>1242</v>
      </c>
      <c r="E1371" s="25" t="n">
        <v>116</v>
      </c>
      <c r="F1371" s="25" t="n">
        <v>207</v>
      </c>
      <c r="G1371" s="25" t="inlineStr">
        <is>
          <t>Pune</t>
        </is>
      </c>
      <c r="H1371" s="25" t="inlineStr">
        <is>
          <t>Desserts</t>
        </is>
      </c>
      <c r="I1371" s="26" t="n">
        <v>1058</v>
      </c>
      <c r="J1371" s="26" t="n">
        <v>111.89</v>
      </c>
      <c r="K1371" s="26" t="n">
        <v>0</v>
      </c>
      <c r="L1371" s="27" t="n">
        <v>0.25</v>
      </c>
      <c r="M1371" s="26" t="n">
        <v>264.5</v>
      </c>
      <c r="N1371" s="28" t="n">
        <v>4.4</v>
      </c>
      <c r="O1371" s="28" t="n">
        <v>33.6</v>
      </c>
      <c r="P1371" s="25" t="inlineStr">
        <is>
          <t>Credit Card</t>
        </is>
      </c>
      <c r="Q1371" s="25" t="inlineStr">
        <is>
          <t>Delivered</t>
        </is>
      </c>
      <c r="R1371" s="25" t="n">
        <v>5</v>
      </c>
      <c r="S1371" s="25">
        <f>TEXT(B1371,"yyyy-mm")</f>
        <v/>
      </c>
      <c r="T1371" s="25">
        <f>VLOOKUP(D1371,Customers!A:D,4,FALSE)</f>
        <v/>
      </c>
      <c r="U1371" s="25">
        <f>CONCATENATE(A1371,"-",G1371)</f>
        <v/>
      </c>
      <c r="V1371" s="25">
        <f>IF(N1371="","",IF(N1371&lt;=30,"Fast (&lt;30m)",IF(N1371&lt;=45,"Moderate (30-45m)","Delayed (&gt;45m)")))</f>
        <v/>
      </c>
      <c r="W1371" s="25">
        <f>IF(AND(I1371&gt;600,P1371="Delivered"),"High Value Delivered","Standard")</f>
        <v/>
      </c>
      <c r="X1371" s="25">
        <f>IF(OR(N1371&gt;50,Q1371&lt;=2),"High Risk / Delayed","Normal")</f>
        <v/>
      </c>
      <c r="Y1371" s="25">
        <f>IF(NOT(P1371="Cancelled"),"Fulfilled","Cancelled")</f>
        <v/>
      </c>
      <c r="Z1371" s="25">
        <f>IFERROR(Q1371,0)</f>
        <v/>
      </c>
    </row>
    <row r="1372">
      <c r="A1372" s="17" t="inlineStr">
        <is>
          <t>ORD2371</t>
        </is>
      </c>
      <c r="B1372" s="17" t="inlineStr">
        <is>
          <t>2025-02-03</t>
        </is>
      </c>
      <c r="C1372" s="17" t="inlineStr">
        <is>
          <t>18:46:17</t>
        </is>
      </c>
      <c r="D1372" s="17" t="n">
        <v>1145</v>
      </c>
      <c r="E1372" s="17" t="n">
        <v>110</v>
      </c>
      <c r="F1372" s="17" t="n">
        <v>217</v>
      </c>
      <c r="G1372" s="17" t="inlineStr">
        <is>
          <t>Pune</t>
        </is>
      </c>
      <c r="H1372" s="17" t="inlineStr">
        <is>
          <t>North Indian</t>
        </is>
      </c>
      <c r="I1372" s="22" t="n">
        <v>803</v>
      </c>
      <c r="J1372" s="22" t="n">
        <v>0</v>
      </c>
      <c r="K1372" s="22" t="n">
        <v>31.5</v>
      </c>
      <c r="L1372" s="23" t="n">
        <v>0.18</v>
      </c>
      <c r="M1372" s="22" t="n">
        <v>152.42</v>
      </c>
      <c r="N1372" s="24" t="n">
        <v>4.3</v>
      </c>
      <c r="O1372" s="24" t="n">
        <v>40.2</v>
      </c>
      <c r="P1372" s="17" t="inlineStr">
        <is>
          <t>UPI</t>
        </is>
      </c>
      <c r="Q1372" s="17" t="inlineStr">
        <is>
          <t>Delivered</t>
        </is>
      </c>
      <c r="R1372" s="17" t="n">
        <v>3</v>
      </c>
      <c r="S1372" s="17">
        <f>TEXT(B1372,"yyyy-mm")</f>
        <v/>
      </c>
      <c r="T1372" s="17">
        <f>VLOOKUP(D1372,Customers!A:D,4,FALSE)</f>
        <v/>
      </c>
      <c r="U1372" s="17">
        <f>CONCATENATE(A1372,"-",G1372)</f>
        <v/>
      </c>
      <c r="V1372" s="17">
        <f>IF(N1372="","",IF(N1372&lt;=30,"Fast (&lt;30m)",IF(N1372&lt;=45,"Moderate (30-45m)","Delayed (&gt;45m)")))</f>
        <v/>
      </c>
      <c r="W1372" s="17">
        <f>IF(AND(I1372&gt;600,P1372="Delivered"),"High Value Delivered","Standard")</f>
        <v/>
      </c>
      <c r="X1372" s="17">
        <f>IF(OR(N1372&gt;50,Q1372&lt;=2),"High Risk / Delayed","Normal")</f>
        <v/>
      </c>
      <c r="Y1372" s="17">
        <f>IF(NOT(P1372="Cancelled"),"Fulfilled","Cancelled")</f>
        <v/>
      </c>
      <c r="Z1372" s="17">
        <f>IFERROR(Q1372,0)</f>
        <v/>
      </c>
    </row>
    <row r="1373">
      <c r="A1373" s="25" t="inlineStr">
        <is>
          <t>ORD2372</t>
        </is>
      </c>
      <c r="B1373" s="25" t="inlineStr">
        <is>
          <t>2025-07-22</t>
        </is>
      </c>
      <c r="C1373" s="25" t="inlineStr">
        <is>
          <t>15:13:42</t>
        </is>
      </c>
      <c r="D1373" s="25" t="n">
        <v>1236</v>
      </c>
      <c r="E1373" s="25" t="n">
        <v>118</v>
      </c>
      <c r="F1373" s="25" t="n">
        <v>221</v>
      </c>
      <c r="G1373" s="25" t="inlineStr">
        <is>
          <t>Delhi NCR</t>
        </is>
      </c>
      <c r="H1373" s="25" t="inlineStr">
        <is>
          <t>North Indian</t>
        </is>
      </c>
      <c r="I1373" s="26" t="n">
        <v>682</v>
      </c>
      <c r="J1373" s="26" t="n">
        <v>48.89</v>
      </c>
      <c r="K1373" s="26" t="n">
        <v>33.5</v>
      </c>
      <c r="L1373" s="27" t="n">
        <v>0.2</v>
      </c>
      <c r="M1373" s="26" t="n">
        <v>144.78</v>
      </c>
      <c r="N1373" s="28" t="n">
        <v>4.7</v>
      </c>
      <c r="O1373" s="28" t="n">
        <v>39.3</v>
      </c>
      <c r="P1373" s="25" t="inlineStr">
        <is>
          <t>Debit Card</t>
        </is>
      </c>
      <c r="Q1373" s="25" t="inlineStr">
        <is>
          <t>Delivered</t>
        </is>
      </c>
      <c r="R1373" s="25" t="n">
        <v>1</v>
      </c>
      <c r="S1373" s="25">
        <f>TEXT(B1373,"yyyy-mm")</f>
        <v/>
      </c>
      <c r="T1373" s="25">
        <f>VLOOKUP(D1373,Customers!A:D,4,FALSE)</f>
        <v/>
      </c>
      <c r="U1373" s="25">
        <f>CONCATENATE(A1373,"-",G1373)</f>
        <v/>
      </c>
      <c r="V1373" s="25">
        <f>IF(N1373="","",IF(N1373&lt;=30,"Fast (&lt;30m)",IF(N1373&lt;=45,"Moderate (30-45m)","Delayed (&gt;45m)")))</f>
        <v/>
      </c>
      <c r="W1373" s="25">
        <f>IF(AND(I1373&gt;600,P1373="Delivered"),"High Value Delivered","Standard")</f>
        <v/>
      </c>
      <c r="X1373" s="25">
        <f>IF(OR(N1373&gt;50,Q1373&lt;=2),"High Risk / Delayed","Normal")</f>
        <v/>
      </c>
      <c r="Y1373" s="25">
        <f>IF(NOT(P1373="Cancelled"),"Fulfilled","Cancelled")</f>
        <v/>
      </c>
      <c r="Z1373" s="25">
        <f>IFERROR(Q1373,0)</f>
        <v/>
      </c>
    </row>
    <row r="1374">
      <c r="A1374" s="17" t="inlineStr">
        <is>
          <t>ORD2373</t>
        </is>
      </c>
      <c r="B1374" s="17" t="inlineStr">
        <is>
          <t>2025-03-15</t>
        </is>
      </c>
      <c r="C1374" s="17" t="inlineStr">
        <is>
          <t>18:49:34</t>
        </is>
      </c>
      <c r="D1374" s="17" t="n">
        <v>1258</v>
      </c>
      <c r="E1374" s="17" t="n">
        <v>113</v>
      </c>
      <c r="F1374" s="17" t="n">
        <v>229</v>
      </c>
      <c r="G1374" s="17" t="inlineStr">
        <is>
          <t>Mumbai</t>
        </is>
      </c>
      <c r="H1374" s="17" t="inlineStr">
        <is>
          <t>Fast Food</t>
        </is>
      </c>
      <c r="I1374" s="22" t="n">
        <v>917</v>
      </c>
      <c r="J1374" s="22" t="n">
        <v>83.52</v>
      </c>
      <c r="K1374" s="22" t="n">
        <v>25</v>
      </c>
      <c r="L1374" s="23" t="n">
        <v>0.18</v>
      </c>
      <c r="M1374" s="22" t="n">
        <v>171.31</v>
      </c>
      <c r="N1374" s="24" t="n">
        <v>2.3</v>
      </c>
      <c r="O1374" s="24" t="n">
        <v>28</v>
      </c>
      <c r="P1374" s="17" t="inlineStr">
        <is>
          <t>Digital Wallet</t>
        </is>
      </c>
      <c r="Q1374" s="17" t="inlineStr">
        <is>
          <t>Delivered</t>
        </is>
      </c>
      <c r="R1374" s="17" t="n">
        <v>3</v>
      </c>
      <c r="S1374" s="17">
        <f>TEXT(B1374,"yyyy-mm")</f>
        <v/>
      </c>
      <c r="T1374" s="17">
        <f>VLOOKUP(D1374,Customers!A:D,4,FALSE)</f>
        <v/>
      </c>
      <c r="U1374" s="17">
        <f>CONCATENATE(A1374,"-",G1374)</f>
        <v/>
      </c>
      <c r="V1374" s="17">
        <f>IF(N1374="","",IF(N1374&lt;=30,"Fast (&lt;30m)",IF(N1374&lt;=45,"Moderate (30-45m)","Delayed (&gt;45m)")))</f>
        <v/>
      </c>
      <c r="W1374" s="17">
        <f>IF(AND(I1374&gt;600,P1374="Delivered"),"High Value Delivered","Standard")</f>
        <v/>
      </c>
      <c r="X1374" s="17">
        <f>IF(OR(N1374&gt;50,Q1374&lt;=2),"High Risk / Delayed","Normal")</f>
        <v/>
      </c>
      <c r="Y1374" s="17">
        <f>IF(NOT(P1374="Cancelled"),"Fulfilled","Cancelled")</f>
        <v/>
      </c>
      <c r="Z1374" s="17">
        <f>IFERROR(Q1374,0)</f>
        <v/>
      </c>
    </row>
    <row r="1375">
      <c r="A1375" s="25" t="inlineStr">
        <is>
          <t>ORD2374</t>
        </is>
      </c>
      <c r="B1375" s="25" t="inlineStr">
        <is>
          <t>2025-10-28</t>
        </is>
      </c>
      <c r="C1375" s="25" t="inlineStr">
        <is>
          <t>20:07:49</t>
        </is>
      </c>
      <c r="D1375" s="25" t="n">
        <v>1097</v>
      </c>
      <c r="E1375" s="25" t="n">
        <v>115</v>
      </c>
      <c r="F1375" s="25" t="n">
        <v>218</v>
      </c>
      <c r="G1375" s="25" t="inlineStr">
        <is>
          <t>Bangalore</t>
        </is>
      </c>
      <c r="H1375" s="25" t="inlineStr">
        <is>
          <t>Italian</t>
        </is>
      </c>
      <c r="I1375" s="26" t="n">
        <v>292</v>
      </c>
      <c r="J1375" s="26" t="n">
        <v>12.38</v>
      </c>
      <c r="K1375" s="26" t="n">
        <v>25</v>
      </c>
      <c r="L1375" s="27" t="n">
        <v>0.2</v>
      </c>
      <c r="M1375" s="26" t="n">
        <v>64.65000000000001</v>
      </c>
      <c r="N1375" s="28" t="n">
        <v>1.8</v>
      </c>
      <c r="O1375" s="28" t="n">
        <v>35.1</v>
      </c>
      <c r="P1375" s="25" t="inlineStr">
        <is>
          <t>Credit Card</t>
        </is>
      </c>
      <c r="Q1375" s="25" t="inlineStr">
        <is>
          <t>Delivered</t>
        </is>
      </c>
      <c r="R1375" s="25" t="n">
        <v>4</v>
      </c>
      <c r="S1375" s="25">
        <f>TEXT(B1375,"yyyy-mm")</f>
        <v/>
      </c>
      <c r="T1375" s="25">
        <f>VLOOKUP(D1375,Customers!A:D,4,FALSE)</f>
        <v/>
      </c>
      <c r="U1375" s="25">
        <f>CONCATENATE(A1375,"-",G1375)</f>
        <v/>
      </c>
      <c r="V1375" s="25">
        <f>IF(N1375="","",IF(N1375&lt;=30,"Fast (&lt;30m)",IF(N1375&lt;=45,"Moderate (30-45m)","Delayed (&gt;45m)")))</f>
        <v/>
      </c>
      <c r="W1375" s="25">
        <f>IF(AND(I1375&gt;600,P1375="Delivered"),"High Value Delivered","Standard")</f>
        <v/>
      </c>
      <c r="X1375" s="25">
        <f>IF(OR(N1375&gt;50,Q1375&lt;=2),"High Risk / Delayed","Normal")</f>
        <v/>
      </c>
      <c r="Y1375" s="25">
        <f>IF(NOT(P1375="Cancelled"),"Fulfilled","Cancelled")</f>
        <v/>
      </c>
      <c r="Z1375" s="25">
        <f>IFERROR(Q1375,0)</f>
        <v/>
      </c>
    </row>
    <row r="1376">
      <c r="A1376" s="17" t="inlineStr">
        <is>
          <t>ORD2375</t>
        </is>
      </c>
      <c r="B1376" s="17" t="inlineStr">
        <is>
          <t>2025-04-03</t>
        </is>
      </c>
      <c r="C1376" s="17" t="inlineStr">
        <is>
          <t>22:01:41</t>
        </is>
      </c>
      <c r="D1376" s="17" t="n">
        <v>1226</v>
      </c>
      <c r="E1376" s="17" t="n">
        <v>105</v>
      </c>
      <c r="F1376" s="17" t="n">
        <v>218</v>
      </c>
      <c r="G1376" s="17" t="inlineStr">
        <is>
          <t>Bangalore</t>
        </is>
      </c>
      <c r="H1376" s="17" t="inlineStr">
        <is>
          <t>Chinese</t>
        </is>
      </c>
      <c r="I1376" s="22" t="n">
        <v>726</v>
      </c>
      <c r="J1376" s="22" t="n">
        <v>19.27</v>
      </c>
      <c r="K1376" s="22" t="n">
        <v>33</v>
      </c>
      <c r="L1376" s="23" t="n">
        <v>0.2</v>
      </c>
      <c r="M1376" s="22" t="n">
        <v>153.45</v>
      </c>
      <c r="N1376" s="24" t="n">
        <v>4.6</v>
      </c>
      <c r="O1376" s="24" t="n">
        <v>28.4</v>
      </c>
      <c r="P1376" s="17" t="inlineStr">
        <is>
          <t>Cash on Delivery</t>
        </is>
      </c>
      <c r="Q1376" s="17" t="inlineStr">
        <is>
          <t>Delivered</t>
        </is>
      </c>
      <c r="R1376" s="17" t="n">
        <v>4</v>
      </c>
      <c r="S1376" s="17">
        <f>TEXT(B1376,"yyyy-mm")</f>
        <v/>
      </c>
      <c r="T1376" s="17">
        <f>VLOOKUP(D1376,Customers!A:D,4,FALSE)</f>
        <v/>
      </c>
      <c r="U1376" s="17">
        <f>CONCATENATE(A1376,"-",G1376)</f>
        <v/>
      </c>
      <c r="V1376" s="17">
        <f>IF(N1376="","",IF(N1376&lt;=30,"Fast (&lt;30m)",IF(N1376&lt;=45,"Moderate (30-45m)","Delayed (&gt;45m)")))</f>
        <v/>
      </c>
      <c r="W1376" s="17">
        <f>IF(AND(I1376&gt;600,P1376="Delivered"),"High Value Delivered","Standard")</f>
        <v/>
      </c>
      <c r="X1376" s="17">
        <f>IF(OR(N1376&gt;50,Q1376&lt;=2),"High Risk / Delayed","Normal")</f>
        <v/>
      </c>
      <c r="Y1376" s="17">
        <f>IF(NOT(P1376="Cancelled"),"Fulfilled","Cancelled")</f>
        <v/>
      </c>
      <c r="Z1376" s="17">
        <f>IFERROR(Q1376,0)</f>
        <v/>
      </c>
    </row>
    <row r="1377">
      <c r="A1377" s="25" t="inlineStr">
        <is>
          <t>ORD2376</t>
        </is>
      </c>
      <c r="B1377" s="25" t="inlineStr">
        <is>
          <t>2025-12-23</t>
        </is>
      </c>
      <c r="C1377" s="25" t="inlineStr">
        <is>
          <t>22:30:08</t>
        </is>
      </c>
      <c r="D1377" s="25" t="n">
        <v>1274</v>
      </c>
      <c r="E1377" s="25" t="n">
        <v>113</v>
      </c>
      <c r="F1377" s="25" t="n">
        <v>229</v>
      </c>
      <c r="G1377" s="25" t="inlineStr">
        <is>
          <t>Mumbai</t>
        </is>
      </c>
      <c r="H1377" s="25" t="inlineStr">
        <is>
          <t>Fast Food</t>
        </is>
      </c>
      <c r="I1377" s="26" t="n">
        <v>717</v>
      </c>
      <c r="J1377" s="26" t="n">
        <v>78.56999999999999</v>
      </c>
      <c r="K1377" s="26" t="n">
        <v>0</v>
      </c>
      <c r="L1377" s="27" t="n">
        <v>0.18</v>
      </c>
      <c r="M1377" s="26" t="n">
        <v>129.06</v>
      </c>
      <c r="N1377" s="28" t="n">
        <v>3.9</v>
      </c>
      <c r="O1377" s="28" t="n">
        <v>37.6</v>
      </c>
      <c r="P1377" s="25" t="inlineStr">
        <is>
          <t>Cash on Delivery</t>
        </is>
      </c>
      <c r="Q1377" s="25" t="inlineStr">
        <is>
          <t>Delivered</t>
        </is>
      </c>
      <c r="R1377" s="25" t="n">
        <v>4</v>
      </c>
      <c r="S1377" s="25">
        <f>TEXT(B1377,"yyyy-mm")</f>
        <v/>
      </c>
      <c r="T1377" s="25">
        <f>VLOOKUP(D1377,Customers!A:D,4,FALSE)</f>
        <v/>
      </c>
      <c r="U1377" s="25">
        <f>CONCATENATE(A1377,"-",G1377)</f>
        <v/>
      </c>
      <c r="V1377" s="25">
        <f>IF(N1377="","",IF(N1377&lt;=30,"Fast (&lt;30m)",IF(N1377&lt;=45,"Moderate (30-45m)","Delayed (&gt;45m)")))</f>
        <v/>
      </c>
      <c r="W1377" s="25">
        <f>IF(AND(I1377&gt;600,P1377="Delivered"),"High Value Delivered","Standard")</f>
        <v/>
      </c>
      <c r="X1377" s="25">
        <f>IF(OR(N1377&gt;50,Q1377&lt;=2),"High Risk / Delayed","Normal")</f>
        <v/>
      </c>
      <c r="Y1377" s="25">
        <f>IF(NOT(P1377="Cancelled"),"Fulfilled","Cancelled")</f>
        <v/>
      </c>
      <c r="Z1377" s="25">
        <f>IFERROR(Q1377,0)</f>
        <v/>
      </c>
    </row>
    <row r="1378">
      <c r="A1378" s="17" t="inlineStr">
        <is>
          <t>ORD2377</t>
        </is>
      </c>
      <c r="B1378" s="17" t="inlineStr">
        <is>
          <t>2025-04-05</t>
        </is>
      </c>
      <c r="C1378" s="17" t="inlineStr">
        <is>
          <t>20:16:25</t>
        </is>
      </c>
      <c r="D1378" s="17" t="n">
        <v>1264</v>
      </c>
      <c r="E1378" s="17" t="n">
        <v>115</v>
      </c>
      <c r="F1378" s="17" t="n">
        <v>203</v>
      </c>
      <c r="G1378" s="17" t="inlineStr">
        <is>
          <t>Bangalore</t>
        </is>
      </c>
      <c r="H1378" s="17" t="inlineStr">
        <is>
          <t>Italian</t>
        </is>
      </c>
      <c r="I1378" s="22" t="n">
        <v>425</v>
      </c>
      <c r="J1378" s="22" t="n">
        <v>0</v>
      </c>
      <c r="K1378" s="22" t="n">
        <v>31.5</v>
      </c>
      <c r="L1378" s="23" t="n">
        <v>0.2</v>
      </c>
      <c r="M1378" s="22" t="n">
        <v>92.88</v>
      </c>
      <c r="N1378" s="24" t="n">
        <v>4.3</v>
      </c>
      <c r="O1378" s="24" t="n">
        <v>44.7</v>
      </c>
      <c r="P1378" s="17" t="inlineStr">
        <is>
          <t>UPI</t>
        </is>
      </c>
      <c r="Q1378" s="17" t="inlineStr">
        <is>
          <t>Delivered</t>
        </is>
      </c>
      <c r="R1378" s="17" t="n">
        <v>2</v>
      </c>
      <c r="S1378" s="17">
        <f>TEXT(B1378,"yyyy-mm")</f>
        <v/>
      </c>
      <c r="T1378" s="17">
        <f>VLOOKUP(D1378,Customers!A:D,4,FALSE)</f>
        <v/>
      </c>
      <c r="U1378" s="17">
        <f>CONCATENATE(A1378,"-",G1378)</f>
        <v/>
      </c>
      <c r="V1378" s="17">
        <f>IF(N1378="","",IF(N1378&lt;=30,"Fast (&lt;30m)",IF(N1378&lt;=45,"Moderate (30-45m)","Delayed (&gt;45m)")))</f>
        <v/>
      </c>
      <c r="W1378" s="17">
        <f>IF(AND(I1378&gt;600,P1378="Delivered"),"High Value Delivered","Standard")</f>
        <v/>
      </c>
      <c r="X1378" s="17">
        <f>IF(OR(N1378&gt;50,Q1378&lt;=2),"High Risk / Delayed","Normal")</f>
        <v/>
      </c>
      <c r="Y1378" s="17">
        <f>IF(NOT(P1378="Cancelled"),"Fulfilled","Cancelled")</f>
        <v/>
      </c>
      <c r="Z1378" s="17">
        <f>IFERROR(Q1378,0)</f>
        <v/>
      </c>
    </row>
    <row r="1379">
      <c r="A1379" s="25" t="inlineStr">
        <is>
          <t>ORD2378</t>
        </is>
      </c>
      <c r="B1379" s="25" t="inlineStr">
        <is>
          <t>2025-09-26</t>
        </is>
      </c>
      <c r="C1379" s="25" t="inlineStr">
        <is>
          <t>11:16:01</t>
        </is>
      </c>
      <c r="D1379" s="25" t="n">
        <v>1218</v>
      </c>
      <c r="E1379" s="25" t="n">
        <v>118</v>
      </c>
      <c r="F1379" s="25" t="n">
        <v>219</v>
      </c>
      <c r="G1379" s="25" t="inlineStr">
        <is>
          <t>Delhi NCR</t>
        </is>
      </c>
      <c r="H1379" s="25" t="inlineStr">
        <is>
          <t>North Indian</t>
        </is>
      </c>
      <c r="I1379" s="26" t="n">
        <v>840</v>
      </c>
      <c r="J1379" s="26" t="n">
        <v>45.58</v>
      </c>
      <c r="K1379" s="26" t="n">
        <v>30</v>
      </c>
      <c r="L1379" s="27" t="n">
        <v>0.2</v>
      </c>
      <c r="M1379" s="26" t="n">
        <v>175.5</v>
      </c>
      <c r="N1379" s="28" t="n">
        <v>4</v>
      </c>
      <c r="O1379" s="28" t="n">
        <v>32.1</v>
      </c>
      <c r="P1379" s="25" t="inlineStr">
        <is>
          <t>Debit Card</t>
        </is>
      </c>
      <c r="Q1379" s="25" t="inlineStr">
        <is>
          <t>Delivered</t>
        </is>
      </c>
      <c r="R1379" s="25" t="n">
        <v>2</v>
      </c>
      <c r="S1379" s="25">
        <f>TEXT(B1379,"yyyy-mm")</f>
        <v/>
      </c>
      <c r="T1379" s="25">
        <f>VLOOKUP(D1379,Customers!A:D,4,FALSE)</f>
        <v/>
      </c>
      <c r="U1379" s="25">
        <f>CONCATENATE(A1379,"-",G1379)</f>
        <v/>
      </c>
      <c r="V1379" s="25">
        <f>IF(N1379="","",IF(N1379&lt;=30,"Fast (&lt;30m)",IF(N1379&lt;=45,"Moderate (30-45m)","Delayed (&gt;45m)")))</f>
        <v/>
      </c>
      <c r="W1379" s="25">
        <f>IF(AND(I1379&gt;600,P1379="Delivered"),"High Value Delivered","Standard")</f>
        <v/>
      </c>
      <c r="X1379" s="25">
        <f>IF(OR(N1379&gt;50,Q1379&lt;=2),"High Risk / Delayed","Normal")</f>
        <v/>
      </c>
      <c r="Y1379" s="25">
        <f>IF(NOT(P1379="Cancelled"),"Fulfilled","Cancelled")</f>
        <v/>
      </c>
      <c r="Z1379" s="25">
        <f>IFERROR(Q1379,0)</f>
        <v/>
      </c>
    </row>
    <row r="1380">
      <c r="A1380" s="17" t="inlineStr">
        <is>
          <t>ORD2379</t>
        </is>
      </c>
      <c r="B1380" s="17" t="inlineStr">
        <is>
          <t>2025-01-01</t>
        </is>
      </c>
      <c r="C1380" s="17" t="inlineStr">
        <is>
          <t>19:33:00</t>
        </is>
      </c>
      <c r="D1380" s="17" t="n">
        <v>1186</v>
      </c>
      <c r="E1380" s="17" t="n">
        <v>119</v>
      </c>
      <c r="F1380" s="17" t="n">
        <v>216</v>
      </c>
      <c r="G1380" s="17" t="inlineStr">
        <is>
          <t>Hyderabad</t>
        </is>
      </c>
      <c r="H1380" s="17" t="inlineStr">
        <is>
          <t>Biryani</t>
        </is>
      </c>
      <c r="I1380" s="22" t="n">
        <v>224</v>
      </c>
      <c r="J1380" s="22" t="n">
        <v>16.33</v>
      </c>
      <c r="K1380" s="22" t="n">
        <v>26</v>
      </c>
      <c r="L1380" s="23" t="n">
        <v>0.2</v>
      </c>
      <c r="M1380" s="22" t="n">
        <v>51.3</v>
      </c>
      <c r="N1380" s="24" t="n">
        <v>3.2</v>
      </c>
      <c r="O1380" s="24" t="n">
        <v>37.4</v>
      </c>
      <c r="P1380" s="17" t="inlineStr">
        <is>
          <t>Digital Wallet</t>
        </is>
      </c>
      <c r="Q1380" s="17" t="inlineStr">
        <is>
          <t>Delivered</t>
        </is>
      </c>
      <c r="R1380" s="17" t="n">
        <v>5</v>
      </c>
      <c r="S1380" s="17">
        <f>TEXT(B1380,"yyyy-mm")</f>
        <v/>
      </c>
      <c r="T1380" s="17">
        <f>VLOOKUP(D1380,Customers!A:D,4,FALSE)</f>
        <v/>
      </c>
      <c r="U1380" s="17">
        <f>CONCATENATE(A1380,"-",G1380)</f>
        <v/>
      </c>
      <c r="V1380" s="17">
        <f>IF(N1380="","",IF(N1380&lt;=30,"Fast (&lt;30m)",IF(N1380&lt;=45,"Moderate (30-45m)","Delayed (&gt;45m)")))</f>
        <v/>
      </c>
      <c r="W1380" s="17">
        <f>IF(AND(I1380&gt;600,P1380="Delivered"),"High Value Delivered","Standard")</f>
        <v/>
      </c>
      <c r="X1380" s="17">
        <f>IF(OR(N1380&gt;50,Q1380&lt;=2),"High Risk / Delayed","Normal")</f>
        <v/>
      </c>
      <c r="Y1380" s="17">
        <f>IF(NOT(P1380="Cancelled"),"Fulfilled","Cancelled")</f>
        <v/>
      </c>
      <c r="Z1380" s="17">
        <f>IFERROR(Q1380,0)</f>
        <v/>
      </c>
    </row>
    <row r="1381">
      <c r="A1381" s="25" t="inlineStr">
        <is>
          <t>ORD2380</t>
        </is>
      </c>
      <c r="B1381" s="25" t="inlineStr">
        <is>
          <t>2025-04-07</t>
        </is>
      </c>
      <c r="C1381" s="25" t="inlineStr">
        <is>
          <t>11:40:39</t>
        </is>
      </c>
      <c r="D1381" s="25" t="n">
        <v>1293</v>
      </c>
      <c r="E1381" s="25" t="n">
        <v>109</v>
      </c>
      <c r="F1381" s="25" t="n">
        <v>225</v>
      </c>
      <c r="G1381" s="25" t="inlineStr">
        <is>
          <t>Hyderabad</t>
        </is>
      </c>
      <c r="H1381" s="25" t="inlineStr">
        <is>
          <t>Biryani</t>
        </is>
      </c>
      <c r="I1381" s="26" t="n">
        <v>730</v>
      </c>
      <c r="J1381" s="26" t="n">
        <v>45.79</v>
      </c>
      <c r="K1381" s="26" t="n">
        <v>36.5</v>
      </c>
      <c r="L1381" s="27" t="n">
        <v>0.2</v>
      </c>
      <c r="M1381" s="26" t="n">
        <v>155.12</v>
      </c>
      <c r="N1381" s="28" t="n">
        <v>5.3</v>
      </c>
      <c r="O1381" s="28" t="n">
        <v>30.3</v>
      </c>
      <c r="P1381" s="25" t="inlineStr">
        <is>
          <t>Debit Card</t>
        </is>
      </c>
      <c r="Q1381" s="25" t="inlineStr">
        <is>
          <t>Delivered</t>
        </is>
      </c>
      <c r="R1381" s="25" t="n">
        <v>4</v>
      </c>
      <c r="S1381" s="25">
        <f>TEXT(B1381,"yyyy-mm")</f>
        <v/>
      </c>
      <c r="T1381" s="25">
        <f>VLOOKUP(D1381,Customers!A:D,4,FALSE)</f>
        <v/>
      </c>
      <c r="U1381" s="25">
        <f>CONCATENATE(A1381,"-",G1381)</f>
        <v/>
      </c>
      <c r="V1381" s="25">
        <f>IF(N1381="","",IF(N1381&lt;=30,"Fast (&lt;30m)",IF(N1381&lt;=45,"Moderate (30-45m)","Delayed (&gt;45m)")))</f>
        <v/>
      </c>
      <c r="W1381" s="25">
        <f>IF(AND(I1381&gt;600,P1381="Delivered"),"High Value Delivered","Standard")</f>
        <v/>
      </c>
      <c r="X1381" s="25">
        <f>IF(OR(N1381&gt;50,Q1381&lt;=2),"High Risk / Delayed","Normal")</f>
        <v/>
      </c>
      <c r="Y1381" s="25">
        <f>IF(NOT(P1381="Cancelled"),"Fulfilled","Cancelled")</f>
        <v/>
      </c>
      <c r="Z1381" s="25">
        <f>IFERROR(Q1381,0)</f>
        <v/>
      </c>
    </row>
    <row r="1382">
      <c r="A1382" s="17" t="inlineStr">
        <is>
          <t>ORD2381</t>
        </is>
      </c>
      <c r="B1382" s="17" t="inlineStr">
        <is>
          <t>2025-11-04</t>
        </is>
      </c>
      <c r="C1382" s="17" t="inlineStr">
        <is>
          <t>13:23:36</t>
        </is>
      </c>
      <c r="D1382" s="17" t="n">
        <v>1199</v>
      </c>
      <c r="E1382" s="17" t="n">
        <v>119</v>
      </c>
      <c r="F1382" s="17" t="n">
        <v>216</v>
      </c>
      <c r="G1382" s="17" t="inlineStr">
        <is>
          <t>Hyderabad</t>
        </is>
      </c>
      <c r="H1382" s="17" t="inlineStr">
        <is>
          <t>Biryani</t>
        </is>
      </c>
      <c r="I1382" s="22" t="n">
        <v>729</v>
      </c>
      <c r="J1382" s="22" t="n">
        <v>105.03</v>
      </c>
      <c r="K1382" s="22" t="n">
        <v>0</v>
      </c>
      <c r="L1382" s="23" t="n">
        <v>0.2</v>
      </c>
      <c r="M1382" s="22" t="n">
        <v>145.8</v>
      </c>
      <c r="N1382" s="24" t="n">
        <v>2.8</v>
      </c>
      <c r="O1382" s="24" t="n">
        <v>32.2</v>
      </c>
      <c r="P1382" s="17" t="inlineStr">
        <is>
          <t>Credit Card</t>
        </is>
      </c>
      <c r="Q1382" s="17" t="inlineStr">
        <is>
          <t>Delivered</t>
        </is>
      </c>
      <c r="R1382" s="17" t="n">
        <v>5</v>
      </c>
      <c r="S1382" s="17">
        <f>TEXT(B1382,"yyyy-mm")</f>
        <v/>
      </c>
      <c r="T1382" s="17">
        <f>VLOOKUP(D1382,Customers!A:D,4,FALSE)</f>
        <v/>
      </c>
      <c r="U1382" s="17">
        <f>CONCATENATE(A1382,"-",G1382)</f>
        <v/>
      </c>
      <c r="V1382" s="17">
        <f>IF(N1382="","",IF(N1382&lt;=30,"Fast (&lt;30m)",IF(N1382&lt;=45,"Moderate (30-45m)","Delayed (&gt;45m)")))</f>
        <v/>
      </c>
      <c r="W1382" s="17">
        <f>IF(AND(I1382&gt;600,P1382="Delivered"),"High Value Delivered","Standard")</f>
        <v/>
      </c>
      <c r="X1382" s="17">
        <f>IF(OR(N1382&gt;50,Q1382&lt;=2),"High Risk / Delayed","Normal")</f>
        <v/>
      </c>
      <c r="Y1382" s="17">
        <f>IF(NOT(P1382="Cancelled"),"Fulfilled","Cancelled")</f>
        <v/>
      </c>
      <c r="Z1382" s="17">
        <f>IFERROR(Q1382,0)</f>
        <v/>
      </c>
    </row>
    <row r="1383">
      <c r="A1383" s="25" t="inlineStr">
        <is>
          <t>ORD2382</t>
        </is>
      </c>
      <c r="B1383" s="25" t="inlineStr">
        <is>
          <t>2025-11-15</t>
        </is>
      </c>
      <c r="C1383" s="25" t="inlineStr">
        <is>
          <t>10:02:59</t>
        </is>
      </c>
      <c r="D1383" s="25" t="n">
        <v>1162</v>
      </c>
      <c r="E1383" s="25" t="n">
        <v>119</v>
      </c>
      <c r="F1383" s="25" t="n">
        <v>215</v>
      </c>
      <c r="G1383" s="25" t="inlineStr">
        <is>
          <t>Hyderabad</t>
        </is>
      </c>
      <c r="H1383" s="25" t="inlineStr">
        <is>
          <t>Biryani</t>
        </is>
      </c>
      <c r="I1383" s="26" t="n">
        <v>770</v>
      </c>
      <c r="J1383" s="26" t="n">
        <v>86.38</v>
      </c>
      <c r="K1383" s="26" t="n">
        <v>28.5</v>
      </c>
      <c r="L1383" s="27" t="n">
        <v>0.2</v>
      </c>
      <c r="M1383" s="26" t="n">
        <v>161.12</v>
      </c>
      <c r="N1383" s="28" t="n">
        <v>3.7</v>
      </c>
      <c r="O1383" s="28" t="n">
        <v>30.7</v>
      </c>
      <c r="P1383" s="25" t="inlineStr">
        <is>
          <t>UPI</t>
        </is>
      </c>
      <c r="Q1383" s="25" t="inlineStr">
        <is>
          <t>Delivered</t>
        </is>
      </c>
      <c r="R1383" s="25" t="n">
        <v>4</v>
      </c>
      <c r="S1383" s="25">
        <f>TEXT(B1383,"yyyy-mm")</f>
        <v/>
      </c>
      <c r="T1383" s="25">
        <f>VLOOKUP(D1383,Customers!A:D,4,FALSE)</f>
        <v/>
      </c>
      <c r="U1383" s="25">
        <f>CONCATENATE(A1383,"-",G1383)</f>
        <v/>
      </c>
      <c r="V1383" s="25">
        <f>IF(N1383="","",IF(N1383&lt;=30,"Fast (&lt;30m)",IF(N1383&lt;=45,"Moderate (30-45m)","Delayed (&gt;45m)")))</f>
        <v/>
      </c>
      <c r="W1383" s="25">
        <f>IF(AND(I1383&gt;600,P1383="Delivered"),"High Value Delivered","Standard")</f>
        <v/>
      </c>
      <c r="X1383" s="25">
        <f>IF(OR(N1383&gt;50,Q1383&lt;=2),"High Risk / Delayed","Normal")</f>
        <v/>
      </c>
      <c r="Y1383" s="25">
        <f>IF(NOT(P1383="Cancelled"),"Fulfilled","Cancelled")</f>
        <v/>
      </c>
      <c r="Z1383" s="25">
        <f>IFERROR(Q1383,0)</f>
        <v/>
      </c>
    </row>
    <row r="1384">
      <c r="A1384" s="17" t="inlineStr">
        <is>
          <t>ORD2383</t>
        </is>
      </c>
      <c r="B1384" s="17" t="inlineStr">
        <is>
          <t>2025-06-28</t>
        </is>
      </c>
      <c r="C1384" s="17" t="inlineStr">
        <is>
          <t>15:43:11</t>
        </is>
      </c>
      <c r="D1384" s="17" t="n">
        <v>1286</v>
      </c>
      <c r="E1384" s="17" t="n">
        <v>112</v>
      </c>
      <c r="F1384" s="17" t="n">
        <v>228</v>
      </c>
      <c r="G1384" s="17" t="inlineStr">
        <is>
          <t>Delhi NCR</t>
        </is>
      </c>
      <c r="H1384" s="17" t="inlineStr">
        <is>
          <t>North Indian</t>
        </is>
      </c>
      <c r="I1384" s="22" t="n">
        <v>824</v>
      </c>
      <c r="J1384" s="22" t="n">
        <v>59.34</v>
      </c>
      <c r="K1384" s="22" t="n">
        <v>25</v>
      </c>
      <c r="L1384" s="23" t="n">
        <v>0.22</v>
      </c>
      <c r="M1384" s="22" t="n">
        <v>187.53</v>
      </c>
      <c r="N1384" s="24" t="n">
        <v>2.7</v>
      </c>
      <c r="O1384" s="24" t="n">
        <v>25.5</v>
      </c>
      <c r="P1384" s="17" t="inlineStr">
        <is>
          <t>Digital Wallet</t>
        </is>
      </c>
      <c r="Q1384" s="17" t="inlineStr">
        <is>
          <t>Delivered</t>
        </is>
      </c>
      <c r="R1384" s="17" t="n">
        <v>4</v>
      </c>
      <c r="S1384" s="17">
        <f>TEXT(B1384,"yyyy-mm")</f>
        <v/>
      </c>
      <c r="T1384" s="17">
        <f>VLOOKUP(D1384,Customers!A:D,4,FALSE)</f>
        <v/>
      </c>
      <c r="U1384" s="17">
        <f>CONCATENATE(A1384,"-",G1384)</f>
        <v/>
      </c>
      <c r="V1384" s="17">
        <f>IF(N1384="","",IF(N1384&lt;=30,"Fast (&lt;30m)",IF(N1384&lt;=45,"Moderate (30-45m)","Delayed (&gt;45m)")))</f>
        <v/>
      </c>
      <c r="W1384" s="17">
        <f>IF(AND(I1384&gt;600,P1384="Delivered"),"High Value Delivered","Standard")</f>
        <v/>
      </c>
      <c r="X1384" s="17">
        <f>IF(OR(N1384&gt;50,Q1384&lt;=2),"High Risk / Delayed","Normal")</f>
        <v/>
      </c>
      <c r="Y1384" s="17">
        <f>IF(NOT(P1384="Cancelled"),"Fulfilled","Cancelled")</f>
        <v/>
      </c>
      <c r="Z1384" s="17">
        <f>IFERROR(Q1384,0)</f>
        <v/>
      </c>
    </row>
    <row r="1385">
      <c r="A1385" s="25" t="inlineStr">
        <is>
          <t>ORD2384</t>
        </is>
      </c>
      <c r="B1385" s="25" t="inlineStr">
        <is>
          <t>2025-08-21</t>
        </is>
      </c>
      <c r="C1385" s="25" t="inlineStr">
        <is>
          <t>20:59:42</t>
        </is>
      </c>
      <c r="D1385" s="25" t="n">
        <v>1039</v>
      </c>
      <c r="E1385" s="25" t="n">
        <v>101</v>
      </c>
      <c r="F1385" s="25" t="n">
        <v>227</v>
      </c>
      <c r="G1385" s="25" t="inlineStr">
        <is>
          <t>Bangalore</t>
        </is>
      </c>
      <c r="H1385" s="25" t="inlineStr">
        <is>
          <t>North Indian</t>
        </is>
      </c>
      <c r="I1385" s="26" t="n">
        <v>781</v>
      </c>
      <c r="J1385" s="26" t="n">
        <v>84.52</v>
      </c>
      <c r="K1385" s="26" t="n">
        <v>27</v>
      </c>
      <c r="L1385" s="27" t="n">
        <v>0.2</v>
      </c>
      <c r="M1385" s="26" t="n">
        <v>162.95</v>
      </c>
      <c r="N1385" s="28" t="n">
        <v>3.4</v>
      </c>
      <c r="O1385" s="28" t="n">
        <v>45.4</v>
      </c>
      <c r="P1385" s="25" t="inlineStr">
        <is>
          <t>UPI</t>
        </is>
      </c>
      <c r="Q1385" s="25" t="inlineStr">
        <is>
          <t>Delivered</t>
        </is>
      </c>
      <c r="R1385" s="25" t="n">
        <v>3</v>
      </c>
      <c r="S1385" s="25">
        <f>TEXT(B1385,"yyyy-mm")</f>
        <v/>
      </c>
      <c r="T1385" s="25">
        <f>VLOOKUP(D1385,Customers!A:D,4,FALSE)</f>
        <v/>
      </c>
      <c r="U1385" s="25">
        <f>CONCATENATE(A1385,"-",G1385)</f>
        <v/>
      </c>
      <c r="V1385" s="25">
        <f>IF(N1385="","",IF(N1385&lt;=30,"Fast (&lt;30m)",IF(N1385&lt;=45,"Moderate (30-45m)","Delayed (&gt;45m)")))</f>
        <v/>
      </c>
      <c r="W1385" s="25">
        <f>IF(AND(I1385&gt;600,P1385="Delivered"),"High Value Delivered","Standard")</f>
        <v/>
      </c>
      <c r="X1385" s="25">
        <f>IF(OR(N1385&gt;50,Q1385&lt;=2),"High Risk / Delayed","Normal")</f>
        <v/>
      </c>
      <c r="Y1385" s="25">
        <f>IF(NOT(P1385="Cancelled"),"Fulfilled","Cancelled")</f>
        <v/>
      </c>
      <c r="Z1385" s="25">
        <f>IFERROR(Q1385,0)</f>
        <v/>
      </c>
    </row>
    <row r="1386">
      <c r="A1386" s="17" t="inlineStr">
        <is>
          <t>ORD2385</t>
        </is>
      </c>
      <c r="B1386" s="17" t="inlineStr">
        <is>
          <t>2025-07-07</t>
        </is>
      </c>
      <c r="C1386" s="17" t="inlineStr">
        <is>
          <t>11:09:15</t>
        </is>
      </c>
      <c r="D1386" s="17" t="n">
        <v>1300</v>
      </c>
      <c r="E1386" s="17" t="n">
        <v>104</v>
      </c>
      <c r="F1386" s="17" t="n">
        <v>228</v>
      </c>
      <c r="G1386" s="17" t="inlineStr">
        <is>
          <t>Delhi NCR</t>
        </is>
      </c>
      <c r="H1386" s="17" t="inlineStr">
        <is>
          <t>Fast Food</t>
        </is>
      </c>
      <c r="I1386" s="22" t="n">
        <v>722</v>
      </c>
      <c r="J1386" s="22" t="n">
        <v>0</v>
      </c>
      <c r="K1386" s="22" t="n">
        <v>30</v>
      </c>
      <c r="L1386" s="23" t="n">
        <v>0.18</v>
      </c>
      <c r="M1386" s="22" t="n">
        <v>137.46</v>
      </c>
      <c r="N1386" s="24" t="n">
        <v>4</v>
      </c>
      <c r="O1386" s="24" t="n">
        <v>29.1</v>
      </c>
      <c r="P1386" s="17" t="inlineStr">
        <is>
          <t>Debit Card</t>
        </is>
      </c>
      <c r="Q1386" s="17" t="inlineStr">
        <is>
          <t>Delivered</t>
        </is>
      </c>
      <c r="R1386" s="17" t="n">
        <v>5</v>
      </c>
      <c r="S1386" s="17">
        <f>TEXT(B1386,"yyyy-mm")</f>
        <v/>
      </c>
      <c r="T1386" s="17">
        <f>VLOOKUP(D1386,Customers!A:D,4,FALSE)</f>
        <v/>
      </c>
      <c r="U1386" s="17">
        <f>CONCATENATE(A1386,"-",G1386)</f>
        <v/>
      </c>
      <c r="V1386" s="17">
        <f>IF(N1386="","",IF(N1386&lt;=30,"Fast (&lt;30m)",IF(N1386&lt;=45,"Moderate (30-45m)","Delayed (&gt;45m)")))</f>
        <v/>
      </c>
      <c r="W1386" s="17">
        <f>IF(AND(I1386&gt;600,P1386="Delivered"),"High Value Delivered","Standard")</f>
        <v/>
      </c>
      <c r="X1386" s="17">
        <f>IF(OR(N1386&gt;50,Q1386&lt;=2),"High Risk / Delayed","Normal")</f>
        <v/>
      </c>
      <c r="Y1386" s="17">
        <f>IF(NOT(P1386="Cancelled"),"Fulfilled","Cancelled")</f>
        <v/>
      </c>
      <c r="Z1386" s="17">
        <f>IFERROR(Q1386,0)</f>
        <v/>
      </c>
    </row>
    <row r="1387">
      <c r="A1387" s="25" t="inlineStr">
        <is>
          <t>ORD2386</t>
        </is>
      </c>
      <c r="B1387" s="25" t="inlineStr">
        <is>
          <t>2025-12-04</t>
        </is>
      </c>
      <c r="C1387" s="25" t="inlineStr">
        <is>
          <t>11:45:48</t>
        </is>
      </c>
      <c r="D1387" s="25" t="n">
        <v>1220</v>
      </c>
      <c r="E1387" s="25" t="n">
        <v>109</v>
      </c>
      <c r="F1387" s="25" t="n">
        <v>216</v>
      </c>
      <c r="G1387" s="25" t="inlineStr">
        <is>
          <t>Hyderabad</t>
        </is>
      </c>
      <c r="H1387" s="25" t="inlineStr">
        <is>
          <t>Biryani</t>
        </is>
      </c>
      <c r="I1387" s="26" t="n">
        <v>825</v>
      </c>
      <c r="J1387" s="26" t="n">
        <v>46.95</v>
      </c>
      <c r="K1387" s="26" t="n">
        <v>34</v>
      </c>
      <c r="L1387" s="27" t="n">
        <v>0.2</v>
      </c>
      <c r="M1387" s="26" t="n">
        <v>173.5</v>
      </c>
      <c r="N1387" s="28" t="n">
        <v>4.8</v>
      </c>
      <c r="O1387" s="28" t="n">
        <v/>
      </c>
      <c r="P1387" s="25" t="inlineStr">
        <is>
          <t>Debit Card</t>
        </is>
      </c>
      <c r="Q1387" s="25" t="inlineStr">
        <is>
          <t>Cancelled</t>
        </is>
      </c>
      <c r="R1387" s="25" t="n">
        <v/>
      </c>
      <c r="S1387" s="25">
        <f>TEXT(B1387,"yyyy-mm")</f>
        <v/>
      </c>
      <c r="T1387" s="25">
        <f>VLOOKUP(D1387,Customers!A:D,4,FALSE)</f>
        <v/>
      </c>
      <c r="U1387" s="25">
        <f>CONCATENATE(A1387,"-",G1387)</f>
        <v/>
      </c>
      <c r="V1387" s="25">
        <f>IF(N1387="","",IF(N1387&lt;=30,"Fast (&lt;30m)",IF(N1387&lt;=45,"Moderate (30-45m)","Delayed (&gt;45m)")))</f>
        <v/>
      </c>
      <c r="W1387" s="25">
        <f>IF(AND(I1387&gt;600,P1387="Delivered"),"High Value Delivered","Standard")</f>
        <v/>
      </c>
      <c r="X1387" s="25">
        <f>IF(OR(N1387&gt;50,Q1387&lt;=2),"High Risk / Delayed","Normal")</f>
        <v/>
      </c>
      <c r="Y1387" s="25">
        <f>IF(NOT(P1387="Cancelled"),"Fulfilled","Cancelled")</f>
        <v/>
      </c>
      <c r="Z1387" s="25">
        <f>IFERROR(Q1387,0)</f>
        <v/>
      </c>
    </row>
    <row r="1388">
      <c r="A1388" s="17" t="inlineStr">
        <is>
          <t>ORD2387</t>
        </is>
      </c>
      <c r="B1388" s="17" t="inlineStr">
        <is>
          <t>2025-06-14</t>
        </is>
      </c>
      <c r="C1388" s="17" t="inlineStr">
        <is>
          <t>10:08:28</t>
        </is>
      </c>
      <c r="D1388" s="17" t="n">
        <v>1061</v>
      </c>
      <c r="E1388" s="17" t="n">
        <v>110</v>
      </c>
      <c r="F1388" s="17" t="n">
        <v>224</v>
      </c>
      <c r="G1388" s="17" t="inlineStr">
        <is>
          <t>Pune</t>
        </is>
      </c>
      <c r="H1388" s="17" t="inlineStr">
        <is>
          <t>North Indian</t>
        </is>
      </c>
      <c r="I1388" s="22" t="n">
        <v>422</v>
      </c>
      <c r="J1388" s="22" t="n">
        <v>0</v>
      </c>
      <c r="K1388" s="22" t="n">
        <v>78.5</v>
      </c>
      <c r="L1388" s="23" t="n">
        <v>0.18</v>
      </c>
      <c r="M1388" s="22" t="n">
        <v>95.58</v>
      </c>
      <c r="N1388" s="24" t="n">
        <v>13.7</v>
      </c>
      <c r="O1388" s="24" t="n">
        <v>59</v>
      </c>
      <c r="P1388" s="17" t="inlineStr">
        <is>
          <t>Cash on Delivery</t>
        </is>
      </c>
      <c r="Q1388" s="17" t="inlineStr">
        <is>
          <t>Delivered</t>
        </is>
      </c>
      <c r="R1388" s="17" t="n">
        <v>1</v>
      </c>
      <c r="S1388" s="17">
        <f>TEXT(B1388,"yyyy-mm")</f>
        <v/>
      </c>
      <c r="T1388" s="17">
        <f>VLOOKUP(D1388,Customers!A:D,4,FALSE)</f>
        <v/>
      </c>
      <c r="U1388" s="17">
        <f>CONCATENATE(A1388,"-",G1388)</f>
        <v/>
      </c>
      <c r="V1388" s="17">
        <f>IF(N1388="","",IF(N1388&lt;=30,"Fast (&lt;30m)",IF(N1388&lt;=45,"Moderate (30-45m)","Delayed (&gt;45m)")))</f>
        <v/>
      </c>
      <c r="W1388" s="17">
        <f>IF(AND(I1388&gt;600,P1388="Delivered"),"High Value Delivered","Standard")</f>
        <v/>
      </c>
      <c r="X1388" s="17">
        <f>IF(OR(N1388&gt;50,Q1388&lt;=2),"High Risk / Delayed","Normal")</f>
        <v/>
      </c>
      <c r="Y1388" s="17">
        <f>IF(NOT(P1388="Cancelled"),"Fulfilled","Cancelled")</f>
        <v/>
      </c>
      <c r="Z1388" s="17">
        <f>IFERROR(Q1388,0)</f>
        <v/>
      </c>
    </row>
    <row r="1389">
      <c r="A1389" s="25" t="inlineStr">
        <is>
          <t>ORD2388</t>
        </is>
      </c>
      <c r="B1389" s="25" t="inlineStr">
        <is>
          <t>2025-09-09</t>
        </is>
      </c>
      <c r="C1389" s="25" t="inlineStr">
        <is>
          <t>20:01:31</t>
        </is>
      </c>
      <c r="D1389" s="25" t="n">
        <v>1052</v>
      </c>
      <c r="E1389" s="25" t="n">
        <v>102</v>
      </c>
      <c r="F1389" s="25" t="n">
        <v>216</v>
      </c>
      <c r="G1389" s="25" t="inlineStr">
        <is>
          <t>Hyderabad</t>
        </is>
      </c>
      <c r="H1389" s="25" t="inlineStr">
        <is>
          <t>Biryani</t>
        </is>
      </c>
      <c r="I1389" s="26" t="n">
        <v>326</v>
      </c>
      <c r="J1389" s="26" t="n">
        <v>23.64</v>
      </c>
      <c r="K1389" s="26" t="n">
        <v>45</v>
      </c>
      <c r="L1389" s="27" t="n">
        <v>0.22</v>
      </c>
      <c r="M1389" s="26" t="n">
        <v>82.97</v>
      </c>
      <c r="N1389" s="28" t="n">
        <v>7</v>
      </c>
      <c r="O1389" s="28" t="n">
        <v>44.1</v>
      </c>
      <c r="P1389" s="25" t="inlineStr">
        <is>
          <t>Cash on Delivery</t>
        </is>
      </c>
      <c r="Q1389" s="25" t="inlineStr">
        <is>
          <t>Delivered</t>
        </is>
      </c>
      <c r="R1389" s="25" t="n">
        <v>4</v>
      </c>
      <c r="S1389" s="25">
        <f>TEXT(B1389,"yyyy-mm")</f>
        <v/>
      </c>
      <c r="T1389" s="25">
        <f>VLOOKUP(D1389,Customers!A:D,4,FALSE)</f>
        <v/>
      </c>
      <c r="U1389" s="25">
        <f>CONCATENATE(A1389,"-",G1389)</f>
        <v/>
      </c>
      <c r="V1389" s="25">
        <f>IF(N1389="","",IF(N1389&lt;=30,"Fast (&lt;30m)",IF(N1389&lt;=45,"Moderate (30-45m)","Delayed (&gt;45m)")))</f>
        <v/>
      </c>
      <c r="W1389" s="25">
        <f>IF(AND(I1389&gt;600,P1389="Delivered"),"High Value Delivered","Standard")</f>
        <v/>
      </c>
      <c r="X1389" s="25">
        <f>IF(OR(N1389&gt;50,Q1389&lt;=2),"High Risk / Delayed","Normal")</f>
        <v/>
      </c>
      <c r="Y1389" s="25">
        <f>IF(NOT(P1389="Cancelled"),"Fulfilled","Cancelled")</f>
        <v/>
      </c>
      <c r="Z1389" s="25">
        <f>IFERROR(Q1389,0)</f>
        <v/>
      </c>
    </row>
    <row r="1390">
      <c r="A1390" s="17" t="inlineStr">
        <is>
          <t>ORD2389</t>
        </is>
      </c>
      <c r="B1390" s="17" t="inlineStr">
        <is>
          <t>2025-12-17</t>
        </is>
      </c>
      <c r="C1390" s="17" t="inlineStr">
        <is>
          <t>21:44:03</t>
        </is>
      </c>
      <c r="D1390" s="17" t="n">
        <v>1044</v>
      </c>
      <c r="E1390" s="17" t="n">
        <v>109</v>
      </c>
      <c r="F1390" s="17" t="n">
        <v>215</v>
      </c>
      <c r="G1390" s="17" t="inlineStr">
        <is>
          <t>Hyderabad</t>
        </is>
      </c>
      <c r="H1390" s="17" t="inlineStr">
        <is>
          <t>Biryani</t>
        </is>
      </c>
      <c r="I1390" s="22" t="n">
        <v>1072</v>
      </c>
      <c r="J1390" s="22" t="n">
        <v>111.66</v>
      </c>
      <c r="K1390" s="22" t="n">
        <v>0</v>
      </c>
      <c r="L1390" s="23" t="n">
        <v>0.2</v>
      </c>
      <c r="M1390" s="22" t="n">
        <v>214.4</v>
      </c>
      <c r="N1390" s="24" t="n">
        <v>6.4</v>
      </c>
      <c r="O1390" s="24" t="n">
        <v>55.6</v>
      </c>
      <c r="P1390" s="17" t="inlineStr">
        <is>
          <t>Debit Card</t>
        </is>
      </c>
      <c r="Q1390" s="17" t="inlineStr">
        <is>
          <t>Delivered</t>
        </is>
      </c>
      <c r="R1390" s="17" t="n">
        <v>3</v>
      </c>
      <c r="S1390" s="17">
        <f>TEXT(B1390,"yyyy-mm")</f>
        <v/>
      </c>
      <c r="T1390" s="17">
        <f>VLOOKUP(D1390,Customers!A:D,4,FALSE)</f>
        <v/>
      </c>
      <c r="U1390" s="17">
        <f>CONCATENATE(A1390,"-",G1390)</f>
        <v/>
      </c>
      <c r="V1390" s="17">
        <f>IF(N1390="","",IF(N1390&lt;=30,"Fast (&lt;30m)",IF(N1390&lt;=45,"Moderate (30-45m)","Delayed (&gt;45m)")))</f>
        <v/>
      </c>
      <c r="W1390" s="17">
        <f>IF(AND(I1390&gt;600,P1390="Delivered"),"High Value Delivered","Standard")</f>
        <v/>
      </c>
      <c r="X1390" s="17">
        <f>IF(OR(N1390&gt;50,Q1390&lt;=2),"High Risk / Delayed","Normal")</f>
        <v/>
      </c>
      <c r="Y1390" s="17">
        <f>IF(NOT(P1390="Cancelled"),"Fulfilled","Cancelled")</f>
        <v/>
      </c>
      <c r="Z1390" s="17">
        <f>IFERROR(Q1390,0)</f>
        <v/>
      </c>
    </row>
    <row r="1391">
      <c r="A1391" s="25" t="inlineStr">
        <is>
          <t>ORD2390</t>
        </is>
      </c>
      <c r="B1391" s="25" t="inlineStr">
        <is>
          <t>2025-10-01</t>
        </is>
      </c>
      <c r="C1391" s="25" t="inlineStr">
        <is>
          <t>20:01:03</t>
        </is>
      </c>
      <c r="D1391" s="25" t="n">
        <v>1248</v>
      </c>
      <c r="E1391" s="25" t="n">
        <v>104</v>
      </c>
      <c r="F1391" s="25" t="n">
        <v>212</v>
      </c>
      <c r="G1391" s="25" t="inlineStr">
        <is>
          <t>Delhi NCR</t>
        </is>
      </c>
      <c r="H1391" s="25" t="inlineStr">
        <is>
          <t>Fast Food</t>
        </is>
      </c>
      <c r="I1391" s="26" t="n">
        <v>728</v>
      </c>
      <c r="J1391" s="26" t="n">
        <v>86.5</v>
      </c>
      <c r="K1391" s="26" t="n">
        <v>0</v>
      </c>
      <c r="L1391" s="27" t="n">
        <v>0.18</v>
      </c>
      <c r="M1391" s="26" t="n">
        <v>131.04</v>
      </c>
      <c r="N1391" s="28" t="n">
        <v>2.7</v>
      </c>
      <c r="O1391" s="28" t="n">
        <v>32</v>
      </c>
      <c r="P1391" s="25" t="inlineStr">
        <is>
          <t>UPI</t>
        </is>
      </c>
      <c r="Q1391" s="25" t="inlineStr">
        <is>
          <t>Delivered</t>
        </is>
      </c>
      <c r="R1391" s="25" t="n">
        <v>5</v>
      </c>
      <c r="S1391" s="25">
        <f>TEXT(B1391,"yyyy-mm")</f>
        <v/>
      </c>
      <c r="T1391" s="25">
        <f>VLOOKUP(D1391,Customers!A:D,4,FALSE)</f>
        <v/>
      </c>
      <c r="U1391" s="25">
        <f>CONCATENATE(A1391,"-",G1391)</f>
        <v/>
      </c>
      <c r="V1391" s="25">
        <f>IF(N1391="","",IF(N1391&lt;=30,"Fast (&lt;30m)",IF(N1391&lt;=45,"Moderate (30-45m)","Delayed (&gt;45m)")))</f>
        <v/>
      </c>
      <c r="W1391" s="25">
        <f>IF(AND(I1391&gt;600,P1391="Delivered"),"High Value Delivered","Standard")</f>
        <v/>
      </c>
      <c r="X1391" s="25">
        <f>IF(OR(N1391&gt;50,Q1391&lt;=2),"High Risk / Delayed","Normal")</f>
        <v/>
      </c>
      <c r="Y1391" s="25">
        <f>IF(NOT(P1391="Cancelled"),"Fulfilled","Cancelled")</f>
        <v/>
      </c>
      <c r="Z1391" s="25">
        <f>IFERROR(Q1391,0)</f>
        <v/>
      </c>
    </row>
    <row r="1392">
      <c r="A1392" s="17" t="inlineStr">
        <is>
          <t>ORD2391</t>
        </is>
      </c>
      <c r="B1392" s="17" t="inlineStr">
        <is>
          <t>2025-12-15</t>
        </is>
      </c>
      <c r="C1392" s="17" t="inlineStr">
        <is>
          <t>13:44:02</t>
        </is>
      </c>
      <c r="D1392" s="17" t="n">
        <v>1125</v>
      </c>
      <c r="E1392" s="17" t="n">
        <v>106</v>
      </c>
      <c r="F1392" s="17" t="n">
        <v>209</v>
      </c>
      <c r="G1392" s="17" t="inlineStr">
        <is>
          <t>Pune</t>
        </is>
      </c>
      <c r="H1392" s="17" t="inlineStr">
        <is>
          <t>South Indian</t>
        </is>
      </c>
      <c r="I1392" s="22" t="n">
        <v>439</v>
      </c>
      <c r="J1392" s="22" t="n">
        <v>0</v>
      </c>
      <c r="K1392" s="22" t="n">
        <v>29</v>
      </c>
      <c r="L1392" s="23" t="n">
        <v>0.15</v>
      </c>
      <c r="M1392" s="22" t="n">
        <v>73.09999999999999</v>
      </c>
      <c r="N1392" s="24" t="n">
        <v>3.8</v>
      </c>
      <c r="O1392" s="24" t="n">
        <v>37.3</v>
      </c>
      <c r="P1392" s="17" t="inlineStr">
        <is>
          <t>Credit Card</t>
        </is>
      </c>
      <c r="Q1392" s="17" t="inlineStr">
        <is>
          <t>Delivered</t>
        </is>
      </c>
      <c r="R1392" s="17" t="n">
        <v>4</v>
      </c>
      <c r="S1392" s="17">
        <f>TEXT(B1392,"yyyy-mm")</f>
        <v/>
      </c>
      <c r="T1392" s="17">
        <f>VLOOKUP(D1392,Customers!A:D,4,FALSE)</f>
        <v/>
      </c>
      <c r="U1392" s="17">
        <f>CONCATENATE(A1392,"-",G1392)</f>
        <v/>
      </c>
      <c r="V1392" s="17">
        <f>IF(N1392="","",IF(N1392&lt;=30,"Fast (&lt;30m)",IF(N1392&lt;=45,"Moderate (30-45m)","Delayed (&gt;45m)")))</f>
        <v/>
      </c>
      <c r="W1392" s="17">
        <f>IF(AND(I1392&gt;600,P1392="Delivered"),"High Value Delivered","Standard")</f>
        <v/>
      </c>
      <c r="X1392" s="17">
        <f>IF(OR(N1392&gt;50,Q1392&lt;=2),"High Risk / Delayed","Normal")</f>
        <v/>
      </c>
      <c r="Y1392" s="17">
        <f>IF(NOT(P1392="Cancelled"),"Fulfilled","Cancelled")</f>
        <v/>
      </c>
      <c r="Z1392" s="17">
        <f>IFERROR(Q1392,0)</f>
        <v/>
      </c>
    </row>
    <row r="1393">
      <c r="A1393" s="25" t="inlineStr">
        <is>
          <t>ORD2392</t>
        </is>
      </c>
      <c r="B1393" s="25" t="inlineStr">
        <is>
          <t>2025-09-11</t>
        </is>
      </c>
      <c r="C1393" s="25" t="inlineStr">
        <is>
          <t>00:13:36</t>
        </is>
      </c>
      <c r="D1393" s="25" t="n">
        <v>1216</v>
      </c>
      <c r="E1393" s="25" t="n">
        <v>116</v>
      </c>
      <c r="F1393" s="25" t="n">
        <v>214</v>
      </c>
      <c r="G1393" s="25" t="inlineStr">
        <is>
          <t>Pune</t>
        </is>
      </c>
      <c r="H1393" s="25" t="inlineStr">
        <is>
          <t>Desserts</t>
        </is>
      </c>
      <c r="I1393" s="26" t="n">
        <v>875</v>
      </c>
      <c r="J1393" s="26" t="n">
        <v>3.17</v>
      </c>
      <c r="K1393" s="26" t="n">
        <v>29</v>
      </c>
      <c r="L1393" s="27" t="n">
        <v>0.25</v>
      </c>
      <c r="M1393" s="26" t="n">
        <v>226</v>
      </c>
      <c r="N1393" s="28" t="n">
        <v>3.8</v>
      </c>
      <c r="O1393" s="28" t="n">
        <v>39.8</v>
      </c>
      <c r="P1393" s="25" t="inlineStr">
        <is>
          <t>UPI</t>
        </is>
      </c>
      <c r="Q1393" s="25" t="inlineStr">
        <is>
          <t>Delivered</t>
        </is>
      </c>
      <c r="R1393" s="25" t="n">
        <v>3</v>
      </c>
      <c r="S1393" s="25">
        <f>TEXT(B1393,"yyyy-mm")</f>
        <v/>
      </c>
      <c r="T1393" s="25">
        <f>VLOOKUP(D1393,Customers!A:D,4,FALSE)</f>
        <v/>
      </c>
      <c r="U1393" s="25">
        <f>CONCATENATE(A1393,"-",G1393)</f>
        <v/>
      </c>
      <c r="V1393" s="25">
        <f>IF(N1393="","",IF(N1393&lt;=30,"Fast (&lt;30m)",IF(N1393&lt;=45,"Moderate (30-45m)","Delayed (&gt;45m)")))</f>
        <v/>
      </c>
      <c r="W1393" s="25">
        <f>IF(AND(I1393&gt;600,P1393="Delivered"),"High Value Delivered","Standard")</f>
        <v/>
      </c>
      <c r="X1393" s="25">
        <f>IF(OR(N1393&gt;50,Q1393&lt;=2),"High Risk / Delayed","Normal")</f>
        <v/>
      </c>
      <c r="Y1393" s="25">
        <f>IF(NOT(P1393="Cancelled"),"Fulfilled","Cancelled")</f>
        <v/>
      </c>
      <c r="Z1393" s="25">
        <f>IFERROR(Q1393,0)</f>
        <v/>
      </c>
    </row>
    <row r="1394">
      <c r="A1394" s="17" t="inlineStr">
        <is>
          <t>ORD2393</t>
        </is>
      </c>
      <c r="B1394" s="17" t="inlineStr">
        <is>
          <t>2025-12-04</t>
        </is>
      </c>
      <c r="C1394" s="17" t="inlineStr">
        <is>
          <t>21:52:58</t>
        </is>
      </c>
      <c r="D1394" s="17" t="n">
        <v>1261</v>
      </c>
      <c r="E1394" s="17" t="n">
        <v>119</v>
      </c>
      <c r="F1394" s="17" t="n">
        <v>215</v>
      </c>
      <c r="G1394" s="17" t="inlineStr">
        <is>
          <t>Hyderabad</t>
        </is>
      </c>
      <c r="H1394" s="17" t="inlineStr">
        <is>
          <t>Biryani</t>
        </is>
      </c>
      <c r="I1394" s="22" t="n">
        <v>558</v>
      </c>
      <c r="J1394" s="22" t="n">
        <v>66.34999999999999</v>
      </c>
      <c r="K1394" s="22" t="n">
        <v>25</v>
      </c>
      <c r="L1394" s="23" t="n">
        <v>0.2</v>
      </c>
      <c r="M1394" s="22" t="n">
        <v>117.85</v>
      </c>
      <c r="N1394" s="24" t="n">
        <v>3</v>
      </c>
      <c r="O1394" s="24" t="n">
        <v>35.4</v>
      </c>
      <c r="P1394" s="17" t="inlineStr">
        <is>
          <t>Credit Card</t>
        </is>
      </c>
      <c r="Q1394" s="17" t="inlineStr">
        <is>
          <t>Delivered</t>
        </is>
      </c>
      <c r="R1394" s="17" t="n">
        <v>4</v>
      </c>
      <c r="S1394" s="17">
        <f>TEXT(B1394,"yyyy-mm")</f>
        <v/>
      </c>
      <c r="T1394" s="17">
        <f>VLOOKUP(D1394,Customers!A:D,4,FALSE)</f>
        <v/>
      </c>
      <c r="U1394" s="17">
        <f>CONCATENATE(A1394,"-",G1394)</f>
        <v/>
      </c>
      <c r="V1394" s="17">
        <f>IF(N1394="","",IF(N1394&lt;=30,"Fast (&lt;30m)",IF(N1394&lt;=45,"Moderate (30-45m)","Delayed (&gt;45m)")))</f>
        <v/>
      </c>
      <c r="W1394" s="17">
        <f>IF(AND(I1394&gt;600,P1394="Delivered"),"High Value Delivered","Standard")</f>
        <v/>
      </c>
      <c r="X1394" s="17">
        <f>IF(OR(N1394&gt;50,Q1394&lt;=2),"High Risk / Delayed","Normal")</f>
        <v/>
      </c>
      <c r="Y1394" s="17">
        <f>IF(NOT(P1394="Cancelled"),"Fulfilled","Cancelled")</f>
        <v/>
      </c>
      <c r="Z1394" s="17">
        <f>IFERROR(Q1394,0)</f>
        <v/>
      </c>
    </row>
    <row r="1395">
      <c r="A1395" s="25" t="inlineStr">
        <is>
          <t>ORD2394</t>
        </is>
      </c>
      <c r="B1395" s="25" t="inlineStr">
        <is>
          <t>2025-03-21</t>
        </is>
      </c>
      <c r="C1395" s="25" t="inlineStr">
        <is>
          <t>20:09:38</t>
        </is>
      </c>
      <c r="D1395" s="25" t="n">
        <v>1083</v>
      </c>
      <c r="E1395" s="25" t="n">
        <v>108</v>
      </c>
      <c r="F1395" s="25" t="n">
        <v>212</v>
      </c>
      <c r="G1395" s="25" t="inlineStr">
        <is>
          <t>Delhi NCR</t>
        </is>
      </c>
      <c r="H1395" s="25" t="inlineStr">
        <is>
          <t>Fast Food</t>
        </is>
      </c>
      <c r="I1395" s="26" t="n">
        <v>472</v>
      </c>
      <c r="J1395" s="26" t="n">
        <v>9.75</v>
      </c>
      <c r="K1395" s="26" t="n">
        <v>26.5</v>
      </c>
      <c r="L1395" s="27" t="n">
        <v>0.18</v>
      </c>
      <c r="M1395" s="26" t="n">
        <v>91.58</v>
      </c>
      <c r="N1395" s="28" t="n">
        <v>3.3</v>
      </c>
      <c r="O1395" s="28" t="n">
        <v>34.7</v>
      </c>
      <c r="P1395" s="25" t="inlineStr">
        <is>
          <t>Digital Wallet</t>
        </is>
      </c>
      <c r="Q1395" s="25" t="inlineStr">
        <is>
          <t>Delivered</t>
        </is>
      </c>
      <c r="R1395" s="25" t="n">
        <v>5</v>
      </c>
      <c r="S1395" s="25">
        <f>TEXT(B1395,"yyyy-mm")</f>
        <v/>
      </c>
      <c r="T1395" s="25">
        <f>VLOOKUP(D1395,Customers!A:D,4,FALSE)</f>
        <v/>
      </c>
      <c r="U1395" s="25">
        <f>CONCATENATE(A1395,"-",G1395)</f>
        <v/>
      </c>
      <c r="V1395" s="25">
        <f>IF(N1395="","",IF(N1395&lt;=30,"Fast (&lt;30m)",IF(N1395&lt;=45,"Moderate (30-45m)","Delayed (&gt;45m)")))</f>
        <v/>
      </c>
      <c r="W1395" s="25">
        <f>IF(AND(I1395&gt;600,P1395="Delivered"),"High Value Delivered","Standard")</f>
        <v/>
      </c>
      <c r="X1395" s="25">
        <f>IF(OR(N1395&gt;50,Q1395&lt;=2),"High Risk / Delayed","Normal")</f>
        <v/>
      </c>
      <c r="Y1395" s="25">
        <f>IF(NOT(P1395="Cancelled"),"Fulfilled","Cancelled")</f>
        <v/>
      </c>
      <c r="Z1395" s="25">
        <f>IFERROR(Q1395,0)</f>
        <v/>
      </c>
    </row>
    <row r="1396">
      <c r="A1396" s="17" t="inlineStr">
        <is>
          <t>ORD2395</t>
        </is>
      </c>
      <c r="B1396" s="17" t="inlineStr">
        <is>
          <t>2025-07-29</t>
        </is>
      </c>
      <c r="C1396" s="17" t="inlineStr">
        <is>
          <t>06:44:00</t>
        </is>
      </c>
      <c r="D1396" s="17" t="n">
        <v>1269</v>
      </c>
      <c r="E1396" s="17" t="n">
        <v>103</v>
      </c>
      <c r="F1396" s="17" t="n">
        <v>206</v>
      </c>
      <c r="G1396" s="17" t="inlineStr">
        <is>
          <t>Mumbai</t>
        </is>
      </c>
      <c r="H1396" s="17" t="inlineStr">
        <is>
          <t>Italian</t>
        </is>
      </c>
      <c r="I1396" s="22" t="n">
        <v>645</v>
      </c>
      <c r="J1396" s="22" t="n">
        <v>19.46</v>
      </c>
      <c r="K1396" s="22" t="n">
        <v>25</v>
      </c>
      <c r="L1396" s="23" t="n">
        <v>0.18</v>
      </c>
      <c r="M1396" s="22" t="n">
        <v>122.35</v>
      </c>
      <c r="N1396" s="24" t="n">
        <v>2.9</v>
      </c>
      <c r="O1396" s="24" t="n">
        <v/>
      </c>
      <c r="P1396" s="17" t="inlineStr">
        <is>
          <t>Credit Card</t>
        </is>
      </c>
      <c r="Q1396" s="17" t="inlineStr">
        <is>
          <t>Cancelled</t>
        </is>
      </c>
      <c r="R1396" s="17" t="n">
        <v/>
      </c>
      <c r="S1396" s="17">
        <f>TEXT(B1396,"yyyy-mm")</f>
        <v/>
      </c>
      <c r="T1396" s="17">
        <f>VLOOKUP(D1396,Customers!A:D,4,FALSE)</f>
        <v/>
      </c>
      <c r="U1396" s="17">
        <f>CONCATENATE(A1396,"-",G1396)</f>
        <v/>
      </c>
      <c r="V1396" s="17">
        <f>IF(N1396="","",IF(N1396&lt;=30,"Fast (&lt;30m)",IF(N1396&lt;=45,"Moderate (30-45m)","Delayed (&gt;45m)")))</f>
        <v/>
      </c>
      <c r="W1396" s="17">
        <f>IF(AND(I1396&gt;600,P1396="Delivered"),"High Value Delivered","Standard")</f>
        <v/>
      </c>
      <c r="X1396" s="17">
        <f>IF(OR(N1396&gt;50,Q1396&lt;=2),"High Risk / Delayed","Normal")</f>
        <v/>
      </c>
      <c r="Y1396" s="17">
        <f>IF(NOT(P1396="Cancelled"),"Fulfilled","Cancelled")</f>
        <v/>
      </c>
      <c r="Z1396" s="17">
        <f>IFERROR(Q1396,0)</f>
        <v/>
      </c>
    </row>
    <row r="1397">
      <c r="A1397" s="25" t="inlineStr">
        <is>
          <t>ORD2396</t>
        </is>
      </c>
      <c r="B1397" s="25" t="inlineStr">
        <is>
          <t>2025-11-17</t>
        </is>
      </c>
      <c r="C1397" s="25" t="inlineStr">
        <is>
          <t>09:44:25</t>
        </is>
      </c>
      <c r="D1397" s="25" t="n">
        <v>1008</v>
      </c>
      <c r="E1397" s="25" t="n">
        <v>107</v>
      </c>
      <c r="F1397" s="25" t="n">
        <v>229</v>
      </c>
      <c r="G1397" s="25" t="inlineStr">
        <is>
          <t>Mumbai</t>
        </is>
      </c>
      <c r="H1397" s="25" t="inlineStr">
        <is>
          <t>Desserts</t>
        </is>
      </c>
      <c r="I1397" s="26" t="n">
        <v>540</v>
      </c>
      <c r="J1397" s="26" t="n">
        <v>95.42</v>
      </c>
      <c r="K1397" s="26" t="n">
        <v>0</v>
      </c>
      <c r="L1397" s="27" t="n">
        <v>0.25</v>
      </c>
      <c r="M1397" s="26" t="n">
        <v>135</v>
      </c>
      <c r="N1397" s="28" t="n">
        <v>2.8</v>
      </c>
      <c r="O1397" s="28" t="n">
        <v>22.4</v>
      </c>
      <c r="P1397" s="25" t="inlineStr">
        <is>
          <t>Credit Card</t>
        </is>
      </c>
      <c r="Q1397" s="25" t="inlineStr">
        <is>
          <t>Delivered</t>
        </is>
      </c>
      <c r="R1397" s="25" t="n">
        <v>4</v>
      </c>
      <c r="S1397" s="25">
        <f>TEXT(B1397,"yyyy-mm")</f>
        <v/>
      </c>
      <c r="T1397" s="25">
        <f>VLOOKUP(D1397,Customers!A:D,4,FALSE)</f>
        <v/>
      </c>
      <c r="U1397" s="25">
        <f>CONCATENATE(A1397,"-",G1397)</f>
        <v/>
      </c>
      <c r="V1397" s="25">
        <f>IF(N1397="","",IF(N1397&lt;=30,"Fast (&lt;30m)",IF(N1397&lt;=45,"Moderate (30-45m)","Delayed (&gt;45m)")))</f>
        <v/>
      </c>
      <c r="W1397" s="25">
        <f>IF(AND(I1397&gt;600,P1397="Delivered"),"High Value Delivered","Standard")</f>
        <v/>
      </c>
      <c r="X1397" s="25">
        <f>IF(OR(N1397&gt;50,Q1397&lt;=2),"High Risk / Delayed","Normal")</f>
        <v/>
      </c>
      <c r="Y1397" s="25">
        <f>IF(NOT(P1397="Cancelled"),"Fulfilled","Cancelled")</f>
        <v/>
      </c>
      <c r="Z1397" s="25">
        <f>IFERROR(Q1397,0)</f>
        <v/>
      </c>
    </row>
    <row r="1398">
      <c r="A1398" s="17" t="inlineStr">
        <is>
          <t>ORD2397</t>
        </is>
      </c>
      <c r="B1398" s="17" t="inlineStr">
        <is>
          <t>2025-03-01</t>
        </is>
      </c>
      <c r="C1398" s="17" t="inlineStr">
        <is>
          <t>22:10:57</t>
        </is>
      </c>
      <c r="D1398" s="17" t="n">
        <v>1246</v>
      </c>
      <c r="E1398" s="17" t="n">
        <v>106</v>
      </c>
      <c r="F1398" s="17" t="n">
        <v>217</v>
      </c>
      <c r="G1398" s="17" t="inlineStr">
        <is>
          <t>Pune</t>
        </is>
      </c>
      <c r="H1398" s="17" t="inlineStr">
        <is>
          <t>South Indian</t>
        </is>
      </c>
      <c r="I1398" s="22" t="n">
        <v>837</v>
      </c>
      <c r="J1398" s="22" t="n">
        <v>99.05</v>
      </c>
      <c r="K1398" s="22" t="n">
        <v>0</v>
      </c>
      <c r="L1398" s="23" t="n">
        <v>0.15</v>
      </c>
      <c r="M1398" s="22" t="n">
        <v>125.55</v>
      </c>
      <c r="N1398" s="24" t="n">
        <v>6</v>
      </c>
      <c r="O1398" s="24" t="n">
        <v>45.1</v>
      </c>
      <c r="P1398" s="17" t="inlineStr">
        <is>
          <t>Debit Card</t>
        </is>
      </c>
      <c r="Q1398" s="17" t="inlineStr">
        <is>
          <t>Delivered</t>
        </is>
      </c>
      <c r="R1398" s="17" t="n">
        <v>3</v>
      </c>
      <c r="S1398" s="17">
        <f>TEXT(B1398,"yyyy-mm")</f>
        <v/>
      </c>
      <c r="T1398" s="17">
        <f>VLOOKUP(D1398,Customers!A:D,4,FALSE)</f>
        <v/>
      </c>
      <c r="U1398" s="17">
        <f>CONCATENATE(A1398,"-",G1398)</f>
        <v/>
      </c>
      <c r="V1398" s="17">
        <f>IF(N1398="","",IF(N1398&lt;=30,"Fast (&lt;30m)",IF(N1398&lt;=45,"Moderate (30-45m)","Delayed (&gt;45m)")))</f>
        <v/>
      </c>
      <c r="W1398" s="17">
        <f>IF(AND(I1398&gt;600,P1398="Delivered"),"High Value Delivered","Standard")</f>
        <v/>
      </c>
      <c r="X1398" s="17">
        <f>IF(OR(N1398&gt;50,Q1398&lt;=2),"High Risk / Delayed","Normal")</f>
        <v/>
      </c>
      <c r="Y1398" s="17">
        <f>IF(NOT(P1398="Cancelled"),"Fulfilled","Cancelled")</f>
        <v/>
      </c>
      <c r="Z1398" s="17">
        <f>IFERROR(Q1398,0)</f>
        <v/>
      </c>
    </row>
    <row r="1399">
      <c r="A1399" s="25" t="inlineStr">
        <is>
          <t>ORD2398</t>
        </is>
      </c>
      <c r="B1399" s="25" t="inlineStr">
        <is>
          <t>2025-05-26</t>
        </is>
      </c>
      <c r="C1399" s="25" t="inlineStr">
        <is>
          <t>13:54:36</t>
        </is>
      </c>
      <c r="D1399" s="25" t="n">
        <v>1059</v>
      </c>
      <c r="E1399" s="25" t="n">
        <v>109</v>
      </c>
      <c r="F1399" s="25" t="n">
        <v>225</v>
      </c>
      <c r="G1399" s="25" t="inlineStr">
        <is>
          <t>Hyderabad</t>
        </is>
      </c>
      <c r="H1399" s="25" t="inlineStr">
        <is>
          <t>Biryani</t>
        </is>
      </c>
      <c r="I1399" s="26" t="n">
        <v>487</v>
      </c>
      <c r="J1399" s="26" t="n">
        <v>0</v>
      </c>
      <c r="K1399" s="26" t="n">
        <v>35.5</v>
      </c>
      <c r="L1399" s="27" t="n">
        <v>0.2</v>
      </c>
      <c r="M1399" s="26" t="n">
        <v>106.28</v>
      </c>
      <c r="N1399" s="28" t="n">
        <v>5.1</v>
      </c>
      <c r="O1399" s="28" t="n">
        <v>32.7</v>
      </c>
      <c r="P1399" s="25" t="inlineStr">
        <is>
          <t>Credit Card</t>
        </is>
      </c>
      <c r="Q1399" s="25" t="inlineStr">
        <is>
          <t>Delivered</t>
        </is>
      </c>
      <c r="R1399" s="25" t="n">
        <v>5</v>
      </c>
      <c r="S1399" s="25">
        <f>TEXT(B1399,"yyyy-mm")</f>
        <v/>
      </c>
      <c r="T1399" s="25">
        <f>VLOOKUP(D1399,Customers!A:D,4,FALSE)</f>
        <v/>
      </c>
      <c r="U1399" s="25">
        <f>CONCATENATE(A1399,"-",G1399)</f>
        <v/>
      </c>
      <c r="V1399" s="25">
        <f>IF(N1399="","",IF(N1399&lt;=30,"Fast (&lt;30m)",IF(N1399&lt;=45,"Moderate (30-45m)","Delayed (&gt;45m)")))</f>
        <v/>
      </c>
      <c r="W1399" s="25">
        <f>IF(AND(I1399&gt;600,P1399="Delivered"),"High Value Delivered","Standard")</f>
        <v/>
      </c>
      <c r="X1399" s="25">
        <f>IF(OR(N1399&gt;50,Q1399&lt;=2),"High Risk / Delayed","Normal")</f>
        <v/>
      </c>
      <c r="Y1399" s="25">
        <f>IF(NOT(P1399="Cancelled"),"Fulfilled","Cancelled")</f>
        <v/>
      </c>
      <c r="Z1399" s="25">
        <f>IFERROR(Q1399,0)</f>
        <v/>
      </c>
    </row>
    <row r="1400">
      <c r="A1400" s="17" t="inlineStr">
        <is>
          <t>ORD2399</t>
        </is>
      </c>
      <c r="B1400" s="17" t="inlineStr">
        <is>
          <t>2025-04-13</t>
        </is>
      </c>
      <c r="C1400" s="17" t="inlineStr">
        <is>
          <t>09:08:33</t>
        </is>
      </c>
      <c r="D1400" s="17" t="n">
        <v>1117</v>
      </c>
      <c r="E1400" s="17" t="n">
        <v>113</v>
      </c>
      <c r="F1400" s="17" t="n">
        <v>229</v>
      </c>
      <c r="G1400" s="17" t="inlineStr">
        <is>
          <t>Mumbai</t>
        </is>
      </c>
      <c r="H1400" s="17" t="inlineStr">
        <is>
          <t>Fast Food</t>
        </is>
      </c>
      <c r="I1400" s="22" t="n">
        <v>256</v>
      </c>
      <c r="J1400" s="22" t="n">
        <v>21.2</v>
      </c>
      <c r="K1400" s="22" t="n">
        <v>27.5</v>
      </c>
      <c r="L1400" s="23" t="n">
        <v>0.18</v>
      </c>
      <c r="M1400" s="22" t="n">
        <v>52.96</v>
      </c>
      <c r="N1400" s="24" t="n">
        <v>3.5</v>
      </c>
      <c r="O1400" s="24" t="n">
        <v>25.3</v>
      </c>
      <c r="P1400" s="17" t="inlineStr">
        <is>
          <t>Credit Card</t>
        </is>
      </c>
      <c r="Q1400" s="17" t="inlineStr">
        <is>
          <t>Delivered</t>
        </is>
      </c>
      <c r="R1400" s="17" t="n">
        <v>3</v>
      </c>
      <c r="S1400" s="17">
        <f>TEXT(B1400,"yyyy-mm")</f>
        <v/>
      </c>
      <c r="T1400" s="17">
        <f>VLOOKUP(D1400,Customers!A:D,4,FALSE)</f>
        <v/>
      </c>
      <c r="U1400" s="17">
        <f>CONCATENATE(A1400,"-",G1400)</f>
        <v/>
      </c>
      <c r="V1400" s="17">
        <f>IF(N1400="","",IF(N1400&lt;=30,"Fast (&lt;30m)",IF(N1400&lt;=45,"Moderate (30-45m)","Delayed (&gt;45m)")))</f>
        <v/>
      </c>
      <c r="W1400" s="17">
        <f>IF(AND(I1400&gt;600,P1400="Delivered"),"High Value Delivered","Standard")</f>
        <v/>
      </c>
      <c r="X1400" s="17">
        <f>IF(OR(N1400&gt;50,Q1400&lt;=2),"High Risk / Delayed","Normal")</f>
        <v/>
      </c>
      <c r="Y1400" s="17">
        <f>IF(NOT(P1400="Cancelled"),"Fulfilled","Cancelled")</f>
        <v/>
      </c>
      <c r="Z1400" s="17">
        <f>IFERROR(Q1400,0)</f>
        <v/>
      </c>
    </row>
    <row r="1401">
      <c r="A1401" s="25" t="inlineStr">
        <is>
          <t>ORD2400</t>
        </is>
      </c>
      <c r="B1401" s="25" t="inlineStr">
        <is>
          <t>2025-04-05</t>
        </is>
      </c>
      <c r="C1401" s="25" t="inlineStr">
        <is>
          <t>18:05:48</t>
        </is>
      </c>
      <c r="D1401" s="25" t="n">
        <v>1158</v>
      </c>
      <c r="E1401" s="25" t="n">
        <v>110</v>
      </c>
      <c r="F1401" s="25" t="n">
        <v>209</v>
      </c>
      <c r="G1401" s="25" t="inlineStr">
        <is>
          <t>Pune</t>
        </is>
      </c>
      <c r="H1401" s="25" t="inlineStr">
        <is>
          <t>North Indian</t>
        </is>
      </c>
      <c r="I1401" s="26" t="n">
        <v>930</v>
      </c>
      <c r="J1401" s="26" t="n">
        <v>99</v>
      </c>
      <c r="K1401" s="26" t="n">
        <v>25.5</v>
      </c>
      <c r="L1401" s="27" t="n">
        <v>0.18</v>
      </c>
      <c r="M1401" s="26" t="n">
        <v>173.78</v>
      </c>
      <c r="N1401" s="28" t="n">
        <v>3.1</v>
      </c>
      <c r="O1401" s="28" t="n">
        <v>25.6</v>
      </c>
      <c r="P1401" s="25" t="inlineStr">
        <is>
          <t>Digital Wallet</t>
        </is>
      </c>
      <c r="Q1401" s="25" t="inlineStr">
        <is>
          <t>Delivered</t>
        </is>
      </c>
      <c r="R1401" s="25" t="n">
        <v>5</v>
      </c>
      <c r="S1401" s="25">
        <f>TEXT(B1401,"yyyy-mm")</f>
        <v/>
      </c>
      <c r="T1401" s="25">
        <f>VLOOKUP(D1401,Customers!A:D,4,FALSE)</f>
        <v/>
      </c>
      <c r="U1401" s="25">
        <f>CONCATENATE(A1401,"-",G1401)</f>
        <v/>
      </c>
      <c r="V1401" s="25">
        <f>IF(N1401="","",IF(N1401&lt;=30,"Fast (&lt;30m)",IF(N1401&lt;=45,"Moderate (30-45m)","Delayed (&gt;45m)")))</f>
        <v/>
      </c>
      <c r="W1401" s="25">
        <f>IF(AND(I1401&gt;600,P1401="Delivered"),"High Value Delivered","Standard")</f>
        <v/>
      </c>
      <c r="X1401" s="25">
        <f>IF(OR(N1401&gt;50,Q1401&lt;=2),"High Risk / Delayed","Normal")</f>
        <v/>
      </c>
      <c r="Y1401" s="25">
        <f>IF(NOT(P1401="Cancelled"),"Fulfilled","Cancelled")</f>
        <v/>
      </c>
      <c r="Z1401" s="25">
        <f>IFERROR(Q1401,0)</f>
        <v/>
      </c>
    </row>
    <row r="1402">
      <c r="A1402" s="17" t="inlineStr">
        <is>
          <t>ORD2401</t>
        </is>
      </c>
      <c r="B1402" s="17" t="inlineStr">
        <is>
          <t>2025-08-15</t>
        </is>
      </c>
      <c r="C1402" s="17" t="inlineStr">
        <is>
          <t>18:38:49</t>
        </is>
      </c>
      <c r="D1402" s="17" t="n">
        <v>1132</v>
      </c>
      <c r="E1402" s="17" t="n">
        <v>111</v>
      </c>
      <c r="F1402" s="17" t="n">
        <v>223</v>
      </c>
      <c r="G1402" s="17" t="inlineStr">
        <is>
          <t>Bangalore</t>
        </is>
      </c>
      <c r="H1402" s="17" t="inlineStr">
        <is>
          <t>South Indian</t>
        </is>
      </c>
      <c r="I1402" s="22" t="n">
        <v>262</v>
      </c>
      <c r="J1402" s="22" t="n">
        <v>10.56</v>
      </c>
      <c r="K1402" s="22" t="n">
        <v>25</v>
      </c>
      <c r="L1402" s="23" t="n">
        <v>0.15</v>
      </c>
      <c r="M1402" s="22" t="n">
        <v>45.55</v>
      </c>
      <c r="N1402" s="24" t="n">
        <v>1.9</v>
      </c>
      <c r="O1402" s="24" t="n">
        <v>28.8</v>
      </c>
      <c r="P1402" s="17" t="inlineStr">
        <is>
          <t>Credit Card</t>
        </is>
      </c>
      <c r="Q1402" s="17" t="inlineStr">
        <is>
          <t>Delivered</t>
        </is>
      </c>
      <c r="R1402" s="17" t="n">
        <v>4</v>
      </c>
      <c r="S1402" s="17">
        <f>TEXT(B1402,"yyyy-mm")</f>
        <v/>
      </c>
      <c r="T1402" s="17">
        <f>VLOOKUP(D1402,Customers!A:D,4,FALSE)</f>
        <v/>
      </c>
      <c r="U1402" s="17">
        <f>CONCATENATE(A1402,"-",G1402)</f>
        <v/>
      </c>
      <c r="V1402" s="17">
        <f>IF(N1402="","",IF(N1402&lt;=30,"Fast (&lt;30m)",IF(N1402&lt;=45,"Moderate (30-45m)","Delayed (&gt;45m)")))</f>
        <v/>
      </c>
      <c r="W1402" s="17">
        <f>IF(AND(I1402&gt;600,P1402="Delivered"),"High Value Delivered","Standard")</f>
        <v/>
      </c>
      <c r="X1402" s="17">
        <f>IF(OR(N1402&gt;50,Q1402&lt;=2),"High Risk / Delayed","Normal")</f>
        <v/>
      </c>
      <c r="Y1402" s="17">
        <f>IF(NOT(P1402="Cancelled"),"Fulfilled","Cancelled")</f>
        <v/>
      </c>
      <c r="Z1402" s="17">
        <f>IFERROR(Q1402,0)</f>
        <v/>
      </c>
    </row>
    <row r="1403">
      <c r="A1403" s="25" t="inlineStr">
        <is>
          <t>ORD2402</t>
        </is>
      </c>
      <c r="B1403" s="25" t="inlineStr">
        <is>
          <t>2025-03-20</t>
        </is>
      </c>
      <c r="C1403" s="25" t="inlineStr">
        <is>
          <t>12:21:55</t>
        </is>
      </c>
      <c r="D1403" s="25" t="n">
        <v>1277</v>
      </c>
      <c r="E1403" s="25" t="n">
        <v>113</v>
      </c>
      <c r="F1403" s="25" t="n">
        <v>206</v>
      </c>
      <c r="G1403" s="25" t="inlineStr">
        <is>
          <t>Mumbai</t>
        </is>
      </c>
      <c r="H1403" s="25" t="inlineStr">
        <is>
          <t>Fast Food</t>
        </is>
      </c>
      <c r="I1403" s="26" t="n">
        <v>476</v>
      </c>
      <c r="J1403" s="26" t="n">
        <v>54.52</v>
      </c>
      <c r="K1403" s="26" t="n">
        <v>42</v>
      </c>
      <c r="L1403" s="27" t="n">
        <v>0.18</v>
      </c>
      <c r="M1403" s="26" t="n">
        <v>96.18000000000001</v>
      </c>
      <c r="N1403" s="28" t="n">
        <v>6.4</v>
      </c>
      <c r="O1403" s="28" t="n">
        <v>51.3</v>
      </c>
      <c r="P1403" s="25" t="inlineStr">
        <is>
          <t>Credit Card</t>
        </is>
      </c>
      <c r="Q1403" s="25" t="inlineStr">
        <is>
          <t>Delivered</t>
        </is>
      </c>
      <c r="R1403" s="25" t="n">
        <v>1</v>
      </c>
      <c r="S1403" s="25">
        <f>TEXT(B1403,"yyyy-mm")</f>
        <v/>
      </c>
      <c r="T1403" s="25">
        <f>VLOOKUP(D1403,Customers!A:D,4,FALSE)</f>
        <v/>
      </c>
      <c r="U1403" s="25">
        <f>CONCATENATE(A1403,"-",G1403)</f>
        <v/>
      </c>
      <c r="V1403" s="25">
        <f>IF(N1403="","",IF(N1403&lt;=30,"Fast (&lt;30m)",IF(N1403&lt;=45,"Moderate (30-45m)","Delayed (&gt;45m)")))</f>
        <v/>
      </c>
      <c r="W1403" s="25">
        <f>IF(AND(I1403&gt;600,P1403="Delivered"),"High Value Delivered","Standard")</f>
        <v/>
      </c>
      <c r="X1403" s="25">
        <f>IF(OR(N1403&gt;50,Q1403&lt;=2),"High Risk / Delayed","Normal")</f>
        <v/>
      </c>
      <c r="Y1403" s="25">
        <f>IF(NOT(P1403="Cancelled"),"Fulfilled","Cancelled")</f>
        <v/>
      </c>
      <c r="Z1403" s="25">
        <f>IFERROR(Q1403,0)</f>
        <v/>
      </c>
    </row>
    <row r="1404">
      <c r="A1404" s="17" t="inlineStr">
        <is>
          <t>ORD2403</t>
        </is>
      </c>
      <c r="B1404" s="17" t="inlineStr">
        <is>
          <t>2025-03-20</t>
        </is>
      </c>
      <c r="C1404" s="17" t="inlineStr">
        <is>
          <t>12:18:32</t>
        </is>
      </c>
      <c r="D1404" s="17" t="n">
        <v>1069</v>
      </c>
      <c r="E1404" s="17" t="n">
        <v>115</v>
      </c>
      <c r="F1404" s="17" t="n">
        <v>201</v>
      </c>
      <c r="G1404" s="17" t="inlineStr">
        <is>
          <t>Bangalore</t>
        </is>
      </c>
      <c r="H1404" s="17" t="inlineStr">
        <is>
          <t>Italian</t>
        </is>
      </c>
      <c r="I1404" s="22" t="n">
        <v>285</v>
      </c>
      <c r="J1404" s="22" t="n">
        <v>0</v>
      </c>
      <c r="K1404" s="22" t="n">
        <v>35.5</v>
      </c>
      <c r="L1404" s="23" t="n">
        <v>0.2</v>
      </c>
      <c r="M1404" s="22" t="n">
        <v>65.88</v>
      </c>
      <c r="N1404" s="24" t="n">
        <v>5.1</v>
      </c>
      <c r="O1404" s="24" t="n">
        <v>41.2</v>
      </c>
      <c r="P1404" s="17" t="inlineStr">
        <is>
          <t>Debit Card</t>
        </is>
      </c>
      <c r="Q1404" s="17" t="inlineStr">
        <is>
          <t>Delivered</t>
        </is>
      </c>
      <c r="R1404" s="17" t="n">
        <v>3</v>
      </c>
      <c r="S1404" s="17">
        <f>TEXT(B1404,"yyyy-mm")</f>
        <v/>
      </c>
      <c r="T1404" s="17">
        <f>VLOOKUP(D1404,Customers!A:D,4,FALSE)</f>
        <v/>
      </c>
      <c r="U1404" s="17">
        <f>CONCATENATE(A1404,"-",G1404)</f>
        <v/>
      </c>
      <c r="V1404" s="17">
        <f>IF(N1404="","",IF(N1404&lt;=30,"Fast (&lt;30m)",IF(N1404&lt;=45,"Moderate (30-45m)","Delayed (&gt;45m)")))</f>
        <v/>
      </c>
      <c r="W1404" s="17">
        <f>IF(AND(I1404&gt;600,P1404="Delivered"),"High Value Delivered","Standard")</f>
        <v/>
      </c>
      <c r="X1404" s="17">
        <f>IF(OR(N1404&gt;50,Q1404&lt;=2),"High Risk / Delayed","Normal")</f>
        <v/>
      </c>
      <c r="Y1404" s="17">
        <f>IF(NOT(P1404="Cancelled"),"Fulfilled","Cancelled")</f>
        <v/>
      </c>
      <c r="Z1404" s="17">
        <f>IFERROR(Q1404,0)</f>
        <v/>
      </c>
    </row>
    <row r="1405">
      <c r="A1405" s="25" t="inlineStr">
        <is>
          <t>ORD2404</t>
        </is>
      </c>
      <c r="B1405" s="25" t="inlineStr">
        <is>
          <t>2025-02-05</t>
        </is>
      </c>
      <c r="C1405" s="25" t="inlineStr">
        <is>
          <t>15:53:15</t>
        </is>
      </c>
      <c r="D1405" s="25" t="n">
        <v>1255</v>
      </c>
      <c r="E1405" s="25" t="n">
        <v>120</v>
      </c>
      <c r="F1405" s="25" t="n">
        <v>208</v>
      </c>
      <c r="G1405" s="25" t="inlineStr">
        <is>
          <t>Pune</t>
        </is>
      </c>
      <c r="H1405" s="25" t="inlineStr">
        <is>
          <t>Fast Food</t>
        </is>
      </c>
      <c r="I1405" s="26" t="n">
        <v>836</v>
      </c>
      <c r="J1405" s="26" t="n">
        <v>37.24</v>
      </c>
      <c r="K1405" s="26" t="n">
        <v>31.5</v>
      </c>
      <c r="L1405" s="27" t="n">
        <v>0.18</v>
      </c>
      <c r="M1405" s="26" t="n">
        <v>158.35</v>
      </c>
      <c r="N1405" s="28" t="n">
        <v>4.3</v>
      </c>
      <c r="O1405" s="28" t="n">
        <v>31.2</v>
      </c>
      <c r="P1405" s="25" t="inlineStr">
        <is>
          <t>Debit Card</t>
        </is>
      </c>
      <c r="Q1405" s="25" t="inlineStr">
        <is>
          <t>Delivered</t>
        </is>
      </c>
      <c r="R1405" s="25" t="n">
        <v>4</v>
      </c>
      <c r="S1405" s="25">
        <f>TEXT(B1405,"yyyy-mm")</f>
        <v/>
      </c>
      <c r="T1405" s="25">
        <f>VLOOKUP(D1405,Customers!A:D,4,FALSE)</f>
        <v/>
      </c>
      <c r="U1405" s="25">
        <f>CONCATENATE(A1405,"-",G1405)</f>
        <v/>
      </c>
      <c r="V1405" s="25">
        <f>IF(N1405="","",IF(N1405&lt;=30,"Fast (&lt;30m)",IF(N1405&lt;=45,"Moderate (30-45m)","Delayed (&gt;45m)")))</f>
        <v/>
      </c>
      <c r="W1405" s="25">
        <f>IF(AND(I1405&gt;600,P1405="Delivered"),"High Value Delivered","Standard")</f>
        <v/>
      </c>
      <c r="X1405" s="25">
        <f>IF(OR(N1405&gt;50,Q1405&lt;=2),"High Risk / Delayed","Normal")</f>
        <v/>
      </c>
      <c r="Y1405" s="25">
        <f>IF(NOT(P1405="Cancelled"),"Fulfilled","Cancelled")</f>
        <v/>
      </c>
      <c r="Z1405" s="25">
        <f>IFERROR(Q1405,0)</f>
        <v/>
      </c>
    </row>
    <row r="1406">
      <c r="A1406" s="17" t="inlineStr">
        <is>
          <t>ORD2405</t>
        </is>
      </c>
      <c r="B1406" s="17" t="inlineStr">
        <is>
          <t>2025-12-17</t>
        </is>
      </c>
      <c r="C1406" s="17" t="inlineStr">
        <is>
          <t>18:04:26</t>
        </is>
      </c>
      <c r="D1406" s="17" t="n">
        <v>1269</v>
      </c>
      <c r="E1406" s="17" t="n">
        <v>103</v>
      </c>
      <c r="F1406" s="17" t="n">
        <v>229</v>
      </c>
      <c r="G1406" s="17" t="inlineStr">
        <is>
          <t>Mumbai</t>
        </is>
      </c>
      <c r="H1406" s="17" t="inlineStr">
        <is>
          <t>Italian</t>
        </is>
      </c>
      <c r="I1406" s="22" t="n">
        <v>750</v>
      </c>
      <c r="J1406" s="22" t="n">
        <v>37.12</v>
      </c>
      <c r="K1406" s="22" t="n">
        <v>36</v>
      </c>
      <c r="L1406" s="23" t="n">
        <v>0.18</v>
      </c>
      <c r="M1406" s="22" t="n">
        <v>144</v>
      </c>
      <c r="N1406" s="24" t="n">
        <v>5.2</v>
      </c>
      <c r="O1406" s="24" t="n">
        <v>28.5</v>
      </c>
      <c r="P1406" s="17" t="inlineStr">
        <is>
          <t>Debit Card</t>
        </is>
      </c>
      <c r="Q1406" s="17" t="inlineStr">
        <is>
          <t>Delivered</t>
        </is>
      </c>
      <c r="R1406" s="17" t="n">
        <v>3</v>
      </c>
      <c r="S1406" s="17">
        <f>TEXT(B1406,"yyyy-mm")</f>
        <v/>
      </c>
      <c r="T1406" s="17">
        <f>VLOOKUP(D1406,Customers!A:D,4,FALSE)</f>
        <v/>
      </c>
      <c r="U1406" s="17">
        <f>CONCATENATE(A1406,"-",G1406)</f>
        <v/>
      </c>
      <c r="V1406" s="17">
        <f>IF(N1406="","",IF(N1406&lt;=30,"Fast (&lt;30m)",IF(N1406&lt;=45,"Moderate (30-45m)","Delayed (&gt;45m)")))</f>
        <v/>
      </c>
      <c r="W1406" s="17">
        <f>IF(AND(I1406&gt;600,P1406="Delivered"),"High Value Delivered","Standard")</f>
        <v/>
      </c>
      <c r="X1406" s="17">
        <f>IF(OR(N1406&gt;50,Q1406&lt;=2),"High Risk / Delayed","Normal")</f>
        <v/>
      </c>
      <c r="Y1406" s="17">
        <f>IF(NOT(P1406="Cancelled"),"Fulfilled","Cancelled")</f>
        <v/>
      </c>
      <c r="Z1406" s="17">
        <f>IFERROR(Q1406,0)</f>
        <v/>
      </c>
    </row>
    <row r="1407">
      <c r="A1407" s="25" t="inlineStr">
        <is>
          <t>ORD2406</t>
        </is>
      </c>
      <c r="B1407" s="25" t="inlineStr">
        <is>
          <t>2025-02-23</t>
        </is>
      </c>
      <c r="C1407" s="25" t="inlineStr">
        <is>
          <t>18:43:14</t>
        </is>
      </c>
      <c r="D1407" s="25" t="n">
        <v>1255</v>
      </c>
      <c r="E1407" s="25" t="n">
        <v>120</v>
      </c>
      <c r="F1407" s="25" t="n">
        <v>224</v>
      </c>
      <c r="G1407" s="25" t="inlineStr">
        <is>
          <t>Pune</t>
        </is>
      </c>
      <c r="H1407" s="25" t="inlineStr">
        <is>
          <t>Fast Food</t>
        </is>
      </c>
      <c r="I1407" s="26" t="n">
        <v>226</v>
      </c>
      <c r="J1407" s="26" t="n">
        <v>0</v>
      </c>
      <c r="K1407" s="26" t="n">
        <v>27.5</v>
      </c>
      <c r="L1407" s="27" t="n">
        <v>0.18</v>
      </c>
      <c r="M1407" s="26" t="n">
        <v>47.56</v>
      </c>
      <c r="N1407" s="28" t="n">
        <v>3.5</v>
      </c>
      <c r="O1407" s="28" t="n">
        <v>35</v>
      </c>
      <c r="P1407" s="25" t="inlineStr">
        <is>
          <t>Cash on Delivery</t>
        </is>
      </c>
      <c r="Q1407" s="25" t="inlineStr">
        <is>
          <t>Delivered</t>
        </is>
      </c>
      <c r="R1407" s="25" t="n">
        <v>4</v>
      </c>
      <c r="S1407" s="25">
        <f>TEXT(B1407,"yyyy-mm")</f>
        <v/>
      </c>
      <c r="T1407" s="25">
        <f>VLOOKUP(D1407,Customers!A:D,4,FALSE)</f>
        <v/>
      </c>
      <c r="U1407" s="25">
        <f>CONCATENATE(A1407,"-",G1407)</f>
        <v/>
      </c>
      <c r="V1407" s="25">
        <f>IF(N1407="","",IF(N1407&lt;=30,"Fast (&lt;30m)",IF(N1407&lt;=45,"Moderate (30-45m)","Delayed (&gt;45m)")))</f>
        <v/>
      </c>
      <c r="W1407" s="25">
        <f>IF(AND(I1407&gt;600,P1407="Delivered"),"High Value Delivered","Standard")</f>
        <v/>
      </c>
      <c r="X1407" s="25">
        <f>IF(OR(N1407&gt;50,Q1407&lt;=2),"High Risk / Delayed","Normal")</f>
        <v/>
      </c>
      <c r="Y1407" s="25">
        <f>IF(NOT(P1407="Cancelled"),"Fulfilled","Cancelled")</f>
        <v/>
      </c>
      <c r="Z1407" s="25">
        <f>IFERROR(Q1407,0)</f>
        <v/>
      </c>
    </row>
    <row r="1408">
      <c r="A1408" s="17" t="inlineStr">
        <is>
          <t>ORD2407</t>
        </is>
      </c>
      <c r="B1408" s="17" t="inlineStr">
        <is>
          <t>2025-10-16</t>
        </is>
      </c>
      <c r="C1408" s="17" t="inlineStr">
        <is>
          <t>20:34:04</t>
        </is>
      </c>
      <c r="D1408" s="17" t="n">
        <v>1005</v>
      </c>
      <c r="E1408" s="17" t="n">
        <v>119</v>
      </c>
      <c r="F1408" s="17" t="n">
        <v>216</v>
      </c>
      <c r="G1408" s="17" t="inlineStr">
        <is>
          <t>Hyderabad</t>
        </is>
      </c>
      <c r="H1408" s="17" t="inlineStr">
        <is>
          <t>Biryani</t>
        </is>
      </c>
      <c r="I1408" s="22" t="n">
        <v>240</v>
      </c>
      <c r="J1408" s="22" t="n">
        <v>17.49</v>
      </c>
      <c r="K1408" s="22" t="n">
        <v>56.5</v>
      </c>
      <c r="L1408" s="23" t="n">
        <v>0.2</v>
      </c>
      <c r="M1408" s="22" t="n">
        <v>62.12</v>
      </c>
      <c r="N1408" s="24" t="n">
        <v>9.300000000000001</v>
      </c>
      <c r="O1408" s="24" t="n">
        <v>57.2</v>
      </c>
      <c r="P1408" s="17" t="inlineStr">
        <is>
          <t>Cash on Delivery</t>
        </is>
      </c>
      <c r="Q1408" s="17" t="inlineStr">
        <is>
          <t>Delivered</t>
        </is>
      </c>
      <c r="R1408" s="17" t="n">
        <v>5</v>
      </c>
      <c r="S1408" s="17">
        <f>TEXT(B1408,"yyyy-mm")</f>
        <v/>
      </c>
      <c r="T1408" s="17">
        <f>VLOOKUP(D1408,Customers!A:D,4,FALSE)</f>
        <v/>
      </c>
      <c r="U1408" s="17">
        <f>CONCATENATE(A1408,"-",G1408)</f>
        <v/>
      </c>
      <c r="V1408" s="17">
        <f>IF(N1408="","",IF(N1408&lt;=30,"Fast (&lt;30m)",IF(N1408&lt;=45,"Moderate (30-45m)","Delayed (&gt;45m)")))</f>
        <v/>
      </c>
      <c r="W1408" s="17">
        <f>IF(AND(I1408&gt;600,P1408="Delivered"),"High Value Delivered","Standard")</f>
        <v/>
      </c>
      <c r="X1408" s="17">
        <f>IF(OR(N1408&gt;50,Q1408&lt;=2),"High Risk / Delayed","Normal")</f>
        <v/>
      </c>
      <c r="Y1408" s="17">
        <f>IF(NOT(P1408="Cancelled"),"Fulfilled","Cancelled")</f>
        <v/>
      </c>
      <c r="Z1408" s="17">
        <f>IFERROR(Q1408,0)</f>
        <v/>
      </c>
    </row>
    <row r="1409">
      <c r="A1409" s="25" t="inlineStr">
        <is>
          <t>ORD2408</t>
        </is>
      </c>
      <c r="B1409" s="25" t="inlineStr">
        <is>
          <t>2025-05-02</t>
        </is>
      </c>
      <c r="C1409" s="25" t="inlineStr">
        <is>
          <t>23:43:31</t>
        </is>
      </c>
      <c r="D1409" s="25" t="n">
        <v>1273</v>
      </c>
      <c r="E1409" s="25" t="n">
        <v>109</v>
      </c>
      <c r="F1409" s="25" t="n">
        <v>225</v>
      </c>
      <c r="G1409" s="25" t="inlineStr">
        <is>
          <t>Hyderabad</t>
        </is>
      </c>
      <c r="H1409" s="25" t="inlineStr">
        <is>
          <t>Biryani</t>
        </is>
      </c>
      <c r="I1409" s="26" t="n">
        <v>1011</v>
      </c>
      <c r="J1409" s="26" t="n">
        <v>135.99</v>
      </c>
      <c r="K1409" s="26" t="n">
        <v>0</v>
      </c>
      <c r="L1409" s="27" t="n">
        <v>0.2</v>
      </c>
      <c r="M1409" s="26" t="n">
        <v>202.2</v>
      </c>
      <c r="N1409" s="28" t="n">
        <v>4.9</v>
      </c>
      <c r="O1409" s="28" t="n">
        <v/>
      </c>
      <c r="P1409" s="25" t="inlineStr">
        <is>
          <t>Cash on Delivery</t>
        </is>
      </c>
      <c r="Q1409" s="25" t="inlineStr">
        <is>
          <t>Cancelled</t>
        </is>
      </c>
      <c r="R1409" s="25" t="n">
        <v/>
      </c>
      <c r="S1409" s="25">
        <f>TEXT(B1409,"yyyy-mm")</f>
        <v/>
      </c>
      <c r="T1409" s="25">
        <f>VLOOKUP(D1409,Customers!A:D,4,FALSE)</f>
        <v/>
      </c>
      <c r="U1409" s="25">
        <f>CONCATENATE(A1409,"-",G1409)</f>
        <v/>
      </c>
      <c r="V1409" s="25">
        <f>IF(N1409="","",IF(N1409&lt;=30,"Fast (&lt;30m)",IF(N1409&lt;=45,"Moderate (30-45m)","Delayed (&gt;45m)")))</f>
        <v/>
      </c>
      <c r="W1409" s="25">
        <f>IF(AND(I1409&gt;600,P1409="Delivered"),"High Value Delivered","Standard")</f>
        <v/>
      </c>
      <c r="X1409" s="25">
        <f>IF(OR(N1409&gt;50,Q1409&lt;=2),"High Risk / Delayed","Normal")</f>
        <v/>
      </c>
      <c r="Y1409" s="25">
        <f>IF(NOT(P1409="Cancelled"),"Fulfilled","Cancelled")</f>
        <v/>
      </c>
      <c r="Z1409" s="25">
        <f>IFERROR(Q1409,0)</f>
        <v/>
      </c>
    </row>
    <row r="1410">
      <c r="A1410" s="17" t="inlineStr">
        <is>
          <t>ORD2409</t>
        </is>
      </c>
      <c r="B1410" s="17" t="inlineStr">
        <is>
          <t>2025-10-02</t>
        </is>
      </c>
      <c r="C1410" s="17" t="inlineStr">
        <is>
          <t>10:56:23</t>
        </is>
      </c>
      <c r="D1410" s="17" t="n">
        <v>1222</v>
      </c>
      <c r="E1410" s="17" t="n">
        <v>102</v>
      </c>
      <c r="F1410" s="17" t="n">
        <v>216</v>
      </c>
      <c r="G1410" s="17" t="inlineStr">
        <is>
          <t>Hyderabad</t>
        </is>
      </c>
      <c r="H1410" s="17" t="inlineStr">
        <is>
          <t>Biryani</t>
        </is>
      </c>
      <c r="I1410" s="22" t="n">
        <v>449</v>
      </c>
      <c r="J1410" s="22" t="n">
        <v>0</v>
      </c>
      <c r="K1410" s="22" t="n">
        <v>26.5</v>
      </c>
      <c r="L1410" s="23" t="n">
        <v>0.22</v>
      </c>
      <c r="M1410" s="22" t="n">
        <v>105.4</v>
      </c>
      <c r="N1410" s="24" t="n">
        <v>3.3</v>
      </c>
      <c r="O1410" s="24" t="n">
        <v>33.4</v>
      </c>
      <c r="P1410" s="17" t="inlineStr">
        <is>
          <t>Credit Card</t>
        </is>
      </c>
      <c r="Q1410" s="17" t="inlineStr">
        <is>
          <t>Delivered</t>
        </is>
      </c>
      <c r="R1410" s="17" t="n">
        <v>4</v>
      </c>
      <c r="S1410" s="17">
        <f>TEXT(B1410,"yyyy-mm")</f>
        <v/>
      </c>
      <c r="T1410" s="17">
        <f>VLOOKUP(D1410,Customers!A:D,4,FALSE)</f>
        <v/>
      </c>
      <c r="U1410" s="17">
        <f>CONCATENATE(A1410,"-",G1410)</f>
        <v/>
      </c>
      <c r="V1410" s="17">
        <f>IF(N1410="","",IF(N1410&lt;=30,"Fast (&lt;30m)",IF(N1410&lt;=45,"Moderate (30-45m)","Delayed (&gt;45m)")))</f>
        <v/>
      </c>
      <c r="W1410" s="17">
        <f>IF(AND(I1410&gt;600,P1410="Delivered"),"High Value Delivered","Standard")</f>
        <v/>
      </c>
      <c r="X1410" s="17">
        <f>IF(OR(N1410&gt;50,Q1410&lt;=2),"High Risk / Delayed","Normal")</f>
        <v/>
      </c>
      <c r="Y1410" s="17">
        <f>IF(NOT(P1410="Cancelled"),"Fulfilled","Cancelled")</f>
        <v/>
      </c>
      <c r="Z1410" s="17">
        <f>IFERROR(Q1410,0)</f>
        <v/>
      </c>
    </row>
    <row r="1411">
      <c r="A1411" s="25" t="inlineStr">
        <is>
          <t>ORD2410</t>
        </is>
      </c>
      <c r="B1411" s="25" t="inlineStr">
        <is>
          <t>2025-07-08</t>
        </is>
      </c>
      <c r="C1411" s="25" t="inlineStr">
        <is>
          <t>20:47:01</t>
        </is>
      </c>
      <c r="D1411" s="25" t="n">
        <v>1121</v>
      </c>
      <c r="E1411" s="25" t="n">
        <v>111</v>
      </c>
      <c r="F1411" s="25" t="n">
        <v>218</v>
      </c>
      <c r="G1411" s="25" t="inlineStr">
        <is>
          <t>Bangalore</t>
        </is>
      </c>
      <c r="H1411" s="25" t="inlineStr">
        <is>
          <t>South Indian</t>
        </is>
      </c>
      <c r="I1411" s="26" t="n">
        <v>662</v>
      </c>
      <c r="J1411" s="26" t="n">
        <v>70.42</v>
      </c>
      <c r="K1411" s="26" t="n">
        <v>25</v>
      </c>
      <c r="L1411" s="27" t="n">
        <v>0.15</v>
      </c>
      <c r="M1411" s="26" t="n">
        <v>105.55</v>
      </c>
      <c r="N1411" s="28" t="n">
        <v>2.1</v>
      </c>
      <c r="O1411" s="28" t="n">
        <v/>
      </c>
      <c r="P1411" s="25" t="inlineStr">
        <is>
          <t>Cash on Delivery</t>
        </is>
      </c>
      <c r="Q1411" s="25" t="inlineStr">
        <is>
          <t>Cancelled</t>
        </is>
      </c>
      <c r="R1411" s="25" t="n">
        <v/>
      </c>
      <c r="S1411" s="25">
        <f>TEXT(B1411,"yyyy-mm")</f>
        <v/>
      </c>
      <c r="T1411" s="25">
        <f>VLOOKUP(D1411,Customers!A:D,4,FALSE)</f>
        <v/>
      </c>
      <c r="U1411" s="25">
        <f>CONCATENATE(A1411,"-",G1411)</f>
        <v/>
      </c>
      <c r="V1411" s="25">
        <f>IF(N1411="","",IF(N1411&lt;=30,"Fast (&lt;30m)",IF(N1411&lt;=45,"Moderate (30-45m)","Delayed (&gt;45m)")))</f>
        <v/>
      </c>
      <c r="W1411" s="25">
        <f>IF(AND(I1411&gt;600,P1411="Delivered"),"High Value Delivered","Standard")</f>
        <v/>
      </c>
      <c r="X1411" s="25">
        <f>IF(OR(N1411&gt;50,Q1411&lt;=2),"High Risk / Delayed","Normal")</f>
        <v/>
      </c>
      <c r="Y1411" s="25">
        <f>IF(NOT(P1411="Cancelled"),"Fulfilled","Cancelled")</f>
        <v/>
      </c>
      <c r="Z1411" s="25">
        <f>IFERROR(Q1411,0)</f>
        <v/>
      </c>
    </row>
    <row r="1412">
      <c r="A1412" s="17" t="inlineStr">
        <is>
          <t>ORD2411</t>
        </is>
      </c>
      <c r="B1412" s="17" t="inlineStr">
        <is>
          <t>2025-03-06</t>
        </is>
      </c>
      <c r="C1412" s="17" t="inlineStr">
        <is>
          <t>21:53:40</t>
        </is>
      </c>
      <c r="D1412" s="17" t="n">
        <v>1293</v>
      </c>
      <c r="E1412" s="17" t="n">
        <v>102</v>
      </c>
      <c r="F1412" s="17" t="n">
        <v>216</v>
      </c>
      <c r="G1412" s="17" t="inlineStr">
        <is>
          <t>Hyderabad</t>
        </is>
      </c>
      <c r="H1412" s="17" t="inlineStr">
        <is>
          <t>Biryani</t>
        </is>
      </c>
      <c r="I1412" s="22" t="n">
        <v>581</v>
      </c>
      <c r="J1412" s="22" t="n">
        <v>37.51</v>
      </c>
      <c r="K1412" s="22" t="n">
        <v>31</v>
      </c>
      <c r="L1412" s="23" t="n">
        <v>0.22</v>
      </c>
      <c r="M1412" s="22" t="n">
        <v>135.57</v>
      </c>
      <c r="N1412" s="24" t="n">
        <v>4.2</v>
      </c>
      <c r="O1412" s="24" t="n">
        <v>37.6</v>
      </c>
      <c r="P1412" s="17" t="inlineStr">
        <is>
          <t>Cash on Delivery</t>
        </is>
      </c>
      <c r="Q1412" s="17" t="inlineStr">
        <is>
          <t>Delivered</t>
        </is>
      </c>
      <c r="R1412" s="17" t="n">
        <v>3</v>
      </c>
      <c r="S1412" s="17">
        <f>TEXT(B1412,"yyyy-mm")</f>
        <v/>
      </c>
      <c r="T1412" s="17">
        <f>VLOOKUP(D1412,Customers!A:D,4,FALSE)</f>
        <v/>
      </c>
      <c r="U1412" s="17">
        <f>CONCATENATE(A1412,"-",G1412)</f>
        <v/>
      </c>
      <c r="V1412" s="17">
        <f>IF(N1412="","",IF(N1412&lt;=30,"Fast (&lt;30m)",IF(N1412&lt;=45,"Moderate (30-45m)","Delayed (&gt;45m)")))</f>
        <v/>
      </c>
      <c r="W1412" s="17">
        <f>IF(AND(I1412&gt;600,P1412="Delivered"),"High Value Delivered","Standard")</f>
        <v/>
      </c>
      <c r="X1412" s="17">
        <f>IF(OR(N1412&gt;50,Q1412&lt;=2),"High Risk / Delayed","Normal")</f>
        <v/>
      </c>
      <c r="Y1412" s="17">
        <f>IF(NOT(P1412="Cancelled"),"Fulfilled","Cancelled")</f>
        <v/>
      </c>
      <c r="Z1412" s="17">
        <f>IFERROR(Q1412,0)</f>
        <v/>
      </c>
    </row>
    <row r="1413">
      <c r="A1413" s="25" t="inlineStr">
        <is>
          <t>ORD2412</t>
        </is>
      </c>
      <c r="B1413" s="25" t="inlineStr">
        <is>
          <t>2025-07-18</t>
        </is>
      </c>
      <c r="C1413" s="25" t="inlineStr">
        <is>
          <t>19:29:23</t>
        </is>
      </c>
      <c r="D1413" s="25" t="n">
        <v>1272</v>
      </c>
      <c r="E1413" s="25" t="n">
        <v>118</v>
      </c>
      <c r="F1413" s="25" t="n">
        <v>212</v>
      </c>
      <c r="G1413" s="25" t="inlineStr">
        <is>
          <t>Delhi NCR</t>
        </is>
      </c>
      <c r="H1413" s="25" t="inlineStr">
        <is>
          <t>North Indian</t>
        </is>
      </c>
      <c r="I1413" s="26" t="n">
        <v>565</v>
      </c>
      <c r="J1413" s="26" t="n">
        <v>41.14</v>
      </c>
      <c r="K1413" s="26" t="n">
        <v>25</v>
      </c>
      <c r="L1413" s="27" t="n">
        <v>0.2</v>
      </c>
      <c r="M1413" s="26" t="n">
        <v>119.25</v>
      </c>
      <c r="N1413" s="28" t="n">
        <v>2.4</v>
      </c>
      <c r="O1413" s="28" t="n">
        <v>27.2</v>
      </c>
      <c r="P1413" s="25" t="inlineStr">
        <is>
          <t>Digital Wallet</t>
        </is>
      </c>
      <c r="Q1413" s="25" t="inlineStr">
        <is>
          <t>Delivered</t>
        </is>
      </c>
      <c r="R1413" s="25" t="n">
        <v>4</v>
      </c>
      <c r="S1413" s="25">
        <f>TEXT(B1413,"yyyy-mm")</f>
        <v/>
      </c>
      <c r="T1413" s="25">
        <f>VLOOKUP(D1413,Customers!A:D,4,FALSE)</f>
        <v/>
      </c>
      <c r="U1413" s="25">
        <f>CONCATENATE(A1413,"-",G1413)</f>
        <v/>
      </c>
      <c r="V1413" s="25">
        <f>IF(N1413="","",IF(N1413&lt;=30,"Fast (&lt;30m)",IF(N1413&lt;=45,"Moderate (30-45m)","Delayed (&gt;45m)")))</f>
        <v/>
      </c>
      <c r="W1413" s="25">
        <f>IF(AND(I1413&gt;600,P1413="Delivered"),"High Value Delivered","Standard")</f>
        <v/>
      </c>
      <c r="X1413" s="25">
        <f>IF(OR(N1413&gt;50,Q1413&lt;=2),"High Risk / Delayed","Normal")</f>
        <v/>
      </c>
      <c r="Y1413" s="25">
        <f>IF(NOT(P1413="Cancelled"),"Fulfilled","Cancelled")</f>
        <v/>
      </c>
      <c r="Z1413" s="25">
        <f>IFERROR(Q1413,0)</f>
        <v/>
      </c>
    </row>
    <row r="1414">
      <c r="A1414" s="17" t="inlineStr">
        <is>
          <t>ORD2413</t>
        </is>
      </c>
      <c r="B1414" s="17" t="inlineStr">
        <is>
          <t>2025-04-22</t>
        </is>
      </c>
      <c r="C1414" s="17" t="inlineStr">
        <is>
          <t>22:45:12</t>
        </is>
      </c>
      <c r="D1414" s="17" t="n">
        <v>1135</v>
      </c>
      <c r="E1414" s="17" t="n">
        <v>103</v>
      </c>
      <c r="F1414" s="17" t="n">
        <v>229</v>
      </c>
      <c r="G1414" s="17" t="inlineStr">
        <is>
          <t>Mumbai</t>
        </is>
      </c>
      <c r="H1414" s="17" t="inlineStr">
        <is>
          <t>Italian</t>
        </is>
      </c>
      <c r="I1414" s="22" t="n">
        <v>951</v>
      </c>
      <c r="J1414" s="22" t="n">
        <v>185.26</v>
      </c>
      <c r="K1414" s="22" t="n">
        <v>0</v>
      </c>
      <c r="L1414" s="23" t="n">
        <v>0.18</v>
      </c>
      <c r="M1414" s="22" t="n">
        <v>171.18</v>
      </c>
      <c r="N1414" s="24" t="n">
        <v>3.7</v>
      </c>
      <c r="O1414" s="24" t="n">
        <v/>
      </c>
      <c r="P1414" s="17" t="inlineStr">
        <is>
          <t>Digital Wallet</t>
        </is>
      </c>
      <c r="Q1414" s="17" t="inlineStr">
        <is>
          <t>Cancelled</t>
        </is>
      </c>
      <c r="R1414" s="17" t="n">
        <v/>
      </c>
      <c r="S1414" s="17">
        <f>TEXT(B1414,"yyyy-mm")</f>
        <v/>
      </c>
      <c r="T1414" s="17">
        <f>VLOOKUP(D1414,Customers!A:D,4,FALSE)</f>
        <v/>
      </c>
      <c r="U1414" s="17">
        <f>CONCATENATE(A1414,"-",G1414)</f>
        <v/>
      </c>
      <c r="V1414" s="17">
        <f>IF(N1414="","",IF(N1414&lt;=30,"Fast (&lt;30m)",IF(N1414&lt;=45,"Moderate (30-45m)","Delayed (&gt;45m)")))</f>
        <v/>
      </c>
      <c r="W1414" s="17">
        <f>IF(AND(I1414&gt;600,P1414="Delivered"),"High Value Delivered","Standard")</f>
        <v/>
      </c>
      <c r="X1414" s="17">
        <f>IF(OR(N1414&gt;50,Q1414&lt;=2),"High Risk / Delayed","Normal")</f>
        <v/>
      </c>
      <c r="Y1414" s="17">
        <f>IF(NOT(P1414="Cancelled"),"Fulfilled","Cancelled")</f>
        <v/>
      </c>
      <c r="Z1414" s="17">
        <f>IFERROR(Q1414,0)</f>
        <v/>
      </c>
    </row>
    <row r="1415">
      <c r="A1415" s="25" t="inlineStr">
        <is>
          <t>ORD2414</t>
        </is>
      </c>
      <c r="B1415" s="25" t="inlineStr">
        <is>
          <t>2025-07-11</t>
        </is>
      </c>
      <c r="C1415" s="25" t="inlineStr">
        <is>
          <t>16:41:19</t>
        </is>
      </c>
      <c r="D1415" s="25" t="n">
        <v>1078</v>
      </c>
      <c r="E1415" s="25" t="n">
        <v>118</v>
      </c>
      <c r="F1415" s="25" t="n">
        <v>212</v>
      </c>
      <c r="G1415" s="25" t="inlineStr">
        <is>
          <t>Delhi NCR</t>
        </is>
      </c>
      <c r="H1415" s="25" t="inlineStr">
        <is>
          <t>North Indian</t>
        </is>
      </c>
      <c r="I1415" s="26" t="n">
        <v>438</v>
      </c>
      <c r="J1415" s="26" t="n">
        <v>0</v>
      </c>
      <c r="K1415" s="26" t="n">
        <v>32</v>
      </c>
      <c r="L1415" s="27" t="n">
        <v>0.2</v>
      </c>
      <c r="M1415" s="26" t="n">
        <v>95.59999999999999</v>
      </c>
      <c r="N1415" s="28" t="n">
        <v>4.4</v>
      </c>
      <c r="O1415" s="28" t="n">
        <v>29.2</v>
      </c>
      <c r="P1415" s="25" t="inlineStr">
        <is>
          <t>Digital Wallet</t>
        </is>
      </c>
      <c r="Q1415" s="25" t="inlineStr">
        <is>
          <t>Delivered</t>
        </is>
      </c>
      <c r="R1415" s="25" t="n">
        <v>2</v>
      </c>
      <c r="S1415" s="25">
        <f>TEXT(B1415,"yyyy-mm")</f>
        <v/>
      </c>
      <c r="T1415" s="25">
        <f>VLOOKUP(D1415,Customers!A:D,4,FALSE)</f>
        <v/>
      </c>
      <c r="U1415" s="25">
        <f>CONCATENATE(A1415,"-",G1415)</f>
        <v/>
      </c>
      <c r="V1415" s="25">
        <f>IF(N1415="","",IF(N1415&lt;=30,"Fast (&lt;30m)",IF(N1415&lt;=45,"Moderate (30-45m)","Delayed (&gt;45m)")))</f>
        <v/>
      </c>
      <c r="W1415" s="25">
        <f>IF(AND(I1415&gt;600,P1415="Delivered"),"High Value Delivered","Standard")</f>
        <v/>
      </c>
      <c r="X1415" s="25">
        <f>IF(OR(N1415&gt;50,Q1415&lt;=2),"High Risk / Delayed","Normal")</f>
        <v/>
      </c>
      <c r="Y1415" s="25">
        <f>IF(NOT(P1415="Cancelled"),"Fulfilled","Cancelled")</f>
        <v/>
      </c>
      <c r="Z1415" s="25">
        <f>IFERROR(Q1415,0)</f>
        <v/>
      </c>
    </row>
    <row r="1416">
      <c r="A1416" s="17" t="inlineStr">
        <is>
          <t>ORD2415</t>
        </is>
      </c>
      <c r="B1416" s="17" t="inlineStr">
        <is>
          <t>2025-01-27</t>
        </is>
      </c>
      <c r="C1416" s="17" t="inlineStr">
        <is>
          <t>20:12:13</t>
        </is>
      </c>
      <c r="D1416" s="17" t="n">
        <v>1263</v>
      </c>
      <c r="E1416" s="17" t="n">
        <v>104</v>
      </c>
      <c r="F1416" s="17" t="n">
        <v>230</v>
      </c>
      <c r="G1416" s="17" t="inlineStr">
        <is>
          <t>Delhi NCR</t>
        </is>
      </c>
      <c r="H1416" s="17" t="inlineStr">
        <is>
          <t>Fast Food</t>
        </is>
      </c>
      <c r="I1416" s="22" t="n">
        <v>565</v>
      </c>
      <c r="J1416" s="22" t="n">
        <v>7.08</v>
      </c>
      <c r="K1416" s="22" t="n">
        <v>35</v>
      </c>
      <c r="L1416" s="23" t="n">
        <v>0.18</v>
      </c>
      <c r="M1416" s="22" t="n">
        <v>110.45</v>
      </c>
      <c r="N1416" s="24" t="n">
        <v>5</v>
      </c>
      <c r="O1416" s="24" t="n">
        <v>35.6</v>
      </c>
      <c r="P1416" s="17" t="inlineStr">
        <is>
          <t>Digital Wallet</t>
        </is>
      </c>
      <c r="Q1416" s="17" t="inlineStr">
        <is>
          <t>Delivered</t>
        </is>
      </c>
      <c r="R1416" s="17" t="n">
        <v>4</v>
      </c>
      <c r="S1416" s="17">
        <f>TEXT(B1416,"yyyy-mm")</f>
        <v/>
      </c>
      <c r="T1416" s="17">
        <f>VLOOKUP(D1416,Customers!A:D,4,FALSE)</f>
        <v/>
      </c>
      <c r="U1416" s="17">
        <f>CONCATENATE(A1416,"-",G1416)</f>
        <v/>
      </c>
      <c r="V1416" s="17">
        <f>IF(N1416="","",IF(N1416&lt;=30,"Fast (&lt;30m)",IF(N1416&lt;=45,"Moderate (30-45m)","Delayed (&gt;45m)")))</f>
        <v/>
      </c>
      <c r="W1416" s="17">
        <f>IF(AND(I1416&gt;600,P1416="Delivered"),"High Value Delivered","Standard")</f>
        <v/>
      </c>
      <c r="X1416" s="17">
        <f>IF(OR(N1416&gt;50,Q1416&lt;=2),"High Risk / Delayed","Normal")</f>
        <v/>
      </c>
      <c r="Y1416" s="17">
        <f>IF(NOT(P1416="Cancelled"),"Fulfilled","Cancelled")</f>
        <v/>
      </c>
      <c r="Z1416" s="17">
        <f>IFERROR(Q1416,0)</f>
        <v/>
      </c>
    </row>
    <row r="1417">
      <c r="A1417" s="25" t="inlineStr">
        <is>
          <t>ORD2416</t>
        </is>
      </c>
      <c r="B1417" s="25" t="inlineStr">
        <is>
          <t>2025-01-13</t>
        </is>
      </c>
      <c r="C1417" s="25" t="inlineStr">
        <is>
          <t>20:44:13</t>
        </is>
      </c>
      <c r="D1417" s="25" t="n">
        <v>1146</v>
      </c>
      <c r="E1417" s="25" t="n">
        <v>113</v>
      </c>
      <c r="F1417" s="25" t="n">
        <v>202</v>
      </c>
      <c r="G1417" s="25" t="inlineStr">
        <is>
          <t>Mumbai</t>
        </is>
      </c>
      <c r="H1417" s="25" t="inlineStr">
        <is>
          <t>Fast Food</t>
        </is>
      </c>
      <c r="I1417" s="26" t="n">
        <v>615</v>
      </c>
      <c r="J1417" s="26" t="n">
        <v>8.48</v>
      </c>
      <c r="K1417" s="26" t="n">
        <v>30.5</v>
      </c>
      <c r="L1417" s="27" t="n">
        <v>0.18</v>
      </c>
      <c r="M1417" s="26" t="n">
        <v>118.32</v>
      </c>
      <c r="N1417" s="28" t="n">
        <v>4.1</v>
      </c>
      <c r="O1417" s="28" t="n">
        <v>39.3</v>
      </c>
      <c r="P1417" s="25" t="inlineStr">
        <is>
          <t>Digital Wallet</t>
        </is>
      </c>
      <c r="Q1417" s="25" t="inlineStr">
        <is>
          <t>Delivered</t>
        </is>
      </c>
      <c r="R1417" s="25" t="n">
        <v>5</v>
      </c>
      <c r="S1417" s="25">
        <f>TEXT(B1417,"yyyy-mm")</f>
        <v/>
      </c>
      <c r="T1417" s="25">
        <f>VLOOKUP(D1417,Customers!A:D,4,FALSE)</f>
        <v/>
      </c>
      <c r="U1417" s="25">
        <f>CONCATENATE(A1417,"-",G1417)</f>
        <v/>
      </c>
      <c r="V1417" s="25">
        <f>IF(N1417="","",IF(N1417&lt;=30,"Fast (&lt;30m)",IF(N1417&lt;=45,"Moderate (30-45m)","Delayed (&gt;45m)")))</f>
        <v/>
      </c>
      <c r="W1417" s="25">
        <f>IF(AND(I1417&gt;600,P1417="Delivered"),"High Value Delivered","Standard")</f>
        <v/>
      </c>
      <c r="X1417" s="25">
        <f>IF(OR(N1417&gt;50,Q1417&lt;=2),"High Risk / Delayed","Normal")</f>
        <v/>
      </c>
      <c r="Y1417" s="25">
        <f>IF(NOT(P1417="Cancelled"),"Fulfilled","Cancelled")</f>
        <v/>
      </c>
      <c r="Z1417" s="25">
        <f>IFERROR(Q1417,0)</f>
        <v/>
      </c>
    </row>
    <row r="1418">
      <c r="A1418" s="17" t="inlineStr">
        <is>
          <t>ORD2417</t>
        </is>
      </c>
      <c r="B1418" s="17" t="inlineStr">
        <is>
          <t>2025-10-22</t>
        </is>
      </c>
      <c r="C1418" s="17" t="inlineStr">
        <is>
          <t>14:50:51</t>
        </is>
      </c>
      <c r="D1418" s="17" t="n">
        <v>1037</v>
      </c>
      <c r="E1418" s="17" t="n">
        <v>105</v>
      </c>
      <c r="F1418" s="17" t="n">
        <v>205</v>
      </c>
      <c r="G1418" s="17" t="inlineStr">
        <is>
          <t>Bangalore</t>
        </is>
      </c>
      <c r="H1418" s="17" t="inlineStr">
        <is>
          <t>Chinese</t>
        </is>
      </c>
      <c r="I1418" s="22" t="n">
        <v>422</v>
      </c>
      <c r="J1418" s="22" t="n">
        <v>0</v>
      </c>
      <c r="K1418" s="22" t="n">
        <v>25</v>
      </c>
      <c r="L1418" s="23" t="n">
        <v>0.2</v>
      </c>
      <c r="M1418" s="22" t="n">
        <v>90.65000000000001</v>
      </c>
      <c r="N1418" s="24" t="n">
        <v>2.9</v>
      </c>
      <c r="O1418" s="24" t="n">
        <v>28.2</v>
      </c>
      <c r="P1418" s="17" t="inlineStr">
        <is>
          <t>Credit Card</t>
        </is>
      </c>
      <c r="Q1418" s="17" t="inlineStr">
        <is>
          <t>Delivered</t>
        </is>
      </c>
      <c r="R1418" s="17" t="n">
        <v>5</v>
      </c>
      <c r="S1418" s="17">
        <f>TEXT(B1418,"yyyy-mm")</f>
        <v/>
      </c>
      <c r="T1418" s="17">
        <f>VLOOKUP(D1418,Customers!A:D,4,FALSE)</f>
        <v/>
      </c>
      <c r="U1418" s="17">
        <f>CONCATENATE(A1418,"-",G1418)</f>
        <v/>
      </c>
      <c r="V1418" s="17">
        <f>IF(N1418="","",IF(N1418&lt;=30,"Fast (&lt;30m)",IF(N1418&lt;=45,"Moderate (30-45m)","Delayed (&gt;45m)")))</f>
        <v/>
      </c>
      <c r="W1418" s="17">
        <f>IF(AND(I1418&gt;600,P1418="Delivered"),"High Value Delivered","Standard")</f>
        <v/>
      </c>
      <c r="X1418" s="17">
        <f>IF(OR(N1418&gt;50,Q1418&lt;=2),"High Risk / Delayed","Normal")</f>
        <v/>
      </c>
      <c r="Y1418" s="17">
        <f>IF(NOT(P1418="Cancelled"),"Fulfilled","Cancelled")</f>
        <v/>
      </c>
      <c r="Z1418" s="17">
        <f>IFERROR(Q1418,0)</f>
        <v/>
      </c>
    </row>
    <row r="1419">
      <c r="A1419" s="25" t="inlineStr">
        <is>
          <t>ORD2418</t>
        </is>
      </c>
      <c r="B1419" s="25" t="inlineStr">
        <is>
          <t>2025-11-09</t>
        </is>
      </c>
      <c r="C1419" s="25" t="inlineStr">
        <is>
          <t>12:59:48</t>
        </is>
      </c>
      <c r="D1419" s="25" t="n">
        <v>1078</v>
      </c>
      <c r="E1419" s="25" t="n">
        <v>104</v>
      </c>
      <c r="F1419" s="25" t="n">
        <v>219</v>
      </c>
      <c r="G1419" s="25" t="inlineStr">
        <is>
          <t>Delhi NCR</t>
        </is>
      </c>
      <c r="H1419" s="25" t="inlineStr">
        <is>
          <t>Fast Food</t>
        </is>
      </c>
      <c r="I1419" s="26" t="n">
        <v>847</v>
      </c>
      <c r="J1419" s="26" t="n">
        <v>42.56</v>
      </c>
      <c r="K1419" s="26" t="n">
        <v>43.5</v>
      </c>
      <c r="L1419" s="27" t="n">
        <v>0.18</v>
      </c>
      <c r="M1419" s="26" t="n">
        <v>163.34</v>
      </c>
      <c r="N1419" s="28" t="n">
        <v>6.7</v>
      </c>
      <c r="O1419" s="28" t="n">
        <v>42.1</v>
      </c>
      <c r="P1419" s="25" t="inlineStr">
        <is>
          <t>UPI</t>
        </is>
      </c>
      <c r="Q1419" s="25" t="inlineStr">
        <is>
          <t>Delivered</t>
        </is>
      </c>
      <c r="R1419" s="25" t="n">
        <v>3</v>
      </c>
      <c r="S1419" s="25">
        <f>TEXT(B1419,"yyyy-mm")</f>
        <v/>
      </c>
      <c r="T1419" s="25">
        <f>VLOOKUP(D1419,Customers!A:D,4,FALSE)</f>
        <v/>
      </c>
      <c r="U1419" s="25">
        <f>CONCATENATE(A1419,"-",G1419)</f>
        <v/>
      </c>
      <c r="V1419" s="25">
        <f>IF(N1419="","",IF(N1419&lt;=30,"Fast (&lt;30m)",IF(N1419&lt;=45,"Moderate (30-45m)","Delayed (&gt;45m)")))</f>
        <v/>
      </c>
      <c r="W1419" s="25">
        <f>IF(AND(I1419&gt;600,P1419="Delivered"),"High Value Delivered","Standard")</f>
        <v/>
      </c>
      <c r="X1419" s="25">
        <f>IF(OR(N1419&gt;50,Q1419&lt;=2),"High Risk / Delayed","Normal")</f>
        <v/>
      </c>
      <c r="Y1419" s="25">
        <f>IF(NOT(P1419="Cancelled"),"Fulfilled","Cancelled")</f>
        <v/>
      </c>
      <c r="Z1419" s="25">
        <f>IFERROR(Q1419,0)</f>
        <v/>
      </c>
    </row>
    <row r="1420">
      <c r="A1420" s="17" t="inlineStr">
        <is>
          <t>ORD2419</t>
        </is>
      </c>
      <c r="B1420" s="17" t="inlineStr">
        <is>
          <t>2025-01-11</t>
        </is>
      </c>
      <c r="C1420" s="17" t="inlineStr">
        <is>
          <t>21:00:58</t>
        </is>
      </c>
      <c r="D1420" s="17" t="n">
        <v>1141</v>
      </c>
      <c r="E1420" s="17" t="n">
        <v>118</v>
      </c>
      <c r="F1420" s="17" t="n">
        <v>212</v>
      </c>
      <c r="G1420" s="17" t="inlineStr">
        <is>
          <t>Delhi NCR</t>
        </is>
      </c>
      <c r="H1420" s="17" t="inlineStr">
        <is>
          <t>North Indian</t>
        </is>
      </c>
      <c r="I1420" s="22" t="n">
        <v>458</v>
      </c>
      <c r="J1420" s="22" t="n">
        <v>84.84999999999999</v>
      </c>
      <c r="K1420" s="22" t="n">
        <v>49.5</v>
      </c>
      <c r="L1420" s="23" t="n">
        <v>0.2</v>
      </c>
      <c r="M1420" s="22" t="n">
        <v>103.98</v>
      </c>
      <c r="N1420" s="24" t="n">
        <v>7.9</v>
      </c>
      <c r="O1420" s="24" t="n">
        <v>45.4</v>
      </c>
      <c r="P1420" s="17" t="inlineStr">
        <is>
          <t>Debit Card</t>
        </is>
      </c>
      <c r="Q1420" s="17" t="inlineStr">
        <is>
          <t>Delivered</t>
        </is>
      </c>
      <c r="R1420" s="17" t="n">
        <v>2</v>
      </c>
      <c r="S1420" s="17">
        <f>TEXT(B1420,"yyyy-mm")</f>
        <v/>
      </c>
      <c r="T1420" s="17">
        <f>VLOOKUP(D1420,Customers!A:D,4,FALSE)</f>
        <v/>
      </c>
      <c r="U1420" s="17">
        <f>CONCATENATE(A1420,"-",G1420)</f>
        <v/>
      </c>
      <c r="V1420" s="17">
        <f>IF(N1420="","",IF(N1420&lt;=30,"Fast (&lt;30m)",IF(N1420&lt;=45,"Moderate (30-45m)","Delayed (&gt;45m)")))</f>
        <v/>
      </c>
      <c r="W1420" s="17">
        <f>IF(AND(I1420&gt;600,P1420="Delivered"),"High Value Delivered","Standard")</f>
        <v/>
      </c>
      <c r="X1420" s="17">
        <f>IF(OR(N1420&gt;50,Q1420&lt;=2),"High Risk / Delayed","Normal")</f>
        <v/>
      </c>
      <c r="Y1420" s="17">
        <f>IF(NOT(P1420="Cancelled"),"Fulfilled","Cancelled")</f>
        <v/>
      </c>
      <c r="Z1420" s="17">
        <f>IFERROR(Q1420,0)</f>
        <v/>
      </c>
    </row>
    <row r="1421">
      <c r="A1421" s="25" t="inlineStr">
        <is>
          <t>ORD2420</t>
        </is>
      </c>
      <c r="B1421" s="25" t="inlineStr">
        <is>
          <t>2025-04-20</t>
        </is>
      </c>
      <c r="C1421" s="25" t="inlineStr">
        <is>
          <t>20:19:53</t>
        </is>
      </c>
      <c r="D1421" s="25" t="n">
        <v>1269</v>
      </c>
      <c r="E1421" s="25" t="n">
        <v>107</v>
      </c>
      <c r="F1421" s="25" t="n">
        <v>229</v>
      </c>
      <c r="G1421" s="25" t="inlineStr">
        <is>
          <t>Mumbai</t>
        </is>
      </c>
      <c r="H1421" s="25" t="inlineStr">
        <is>
          <t>Desserts</t>
        </is>
      </c>
      <c r="I1421" s="26" t="n">
        <v>287</v>
      </c>
      <c r="J1421" s="26" t="n">
        <v>0</v>
      </c>
      <c r="K1421" s="26" t="n">
        <v>25</v>
      </c>
      <c r="L1421" s="27" t="n">
        <v>0.25</v>
      </c>
      <c r="M1421" s="26" t="n">
        <v>78</v>
      </c>
      <c r="N1421" s="28" t="n">
        <v>1.8</v>
      </c>
      <c r="O1421" s="28" t="n">
        <v>28.7</v>
      </c>
      <c r="P1421" s="25" t="inlineStr">
        <is>
          <t>Digital Wallet</t>
        </is>
      </c>
      <c r="Q1421" s="25" t="inlineStr">
        <is>
          <t>Delivered</t>
        </is>
      </c>
      <c r="R1421" s="25" t="n">
        <v>3</v>
      </c>
      <c r="S1421" s="25">
        <f>TEXT(B1421,"yyyy-mm")</f>
        <v/>
      </c>
      <c r="T1421" s="25">
        <f>VLOOKUP(D1421,Customers!A:D,4,FALSE)</f>
        <v/>
      </c>
      <c r="U1421" s="25">
        <f>CONCATENATE(A1421,"-",G1421)</f>
        <v/>
      </c>
      <c r="V1421" s="25">
        <f>IF(N1421="","",IF(N1421&lt;=30,"Fast (&lt;30m)",IF(N1421&lt;=45,"Moderate (30-45m)","Delayed (&gt;45m)")))</f>
        <v/>
      </c>
      <c r="W1421" s="25">
        <f>IF(AND(I1421&gt;600,P1421="Delivered"),"High Value Delivered","Standard")</f>
        <v/>
      </c>
      <c r="X1421" s="25">
        <f>IF(OR(N1421&gt;50,Q1421&lt;=2),"High Risk / Delayed","Normal")</f>
        <v/>
      </c>
      <c r="Y1421" s="25">
        <f>IF(NOT(P1421="Cancelled"),"Fulfilled","Cancelled")</f>
        <v/>
      </c>
      <c r="Z1421" s="25">
        <f>IFERROR(Q1421,0)</f>
        <v/>
      </c>
    </row>
    <row r="1422">
      <c r="A1422" s="17" t="inlineStr">
        <is>
          <t>ORD2421</t>
        </is>
      </c>
      <c r="B1422" s="17" t="inlineStr">
        <is>
          <t>2025-12-27</t>
        </is>
      </c>
      <c r="C1422" s="17" t="inlineStr">
        <is>
          <t>20:11:18</t>
        </is>
      </c>
      <c r="D1422" s="17" t="n">
        <v>1140</v>
      </c>
      <c r="E1422" s="17" t="n">
        <v>116</v>
      </c>
      <c r="F1422" s="17" t="n">
        <v>208</v>
      </c>
      <c r="G1422" s="17" t="inlineStr">
        <is>
          <t>Pune</t>
        </is>
      </c>
      <c r="H1422" s="17" t="inlineStr">
        <is>
          <t>Desserts</t>
        </is>
      </c>
      <c r="I1422" s="22" t="n">
        <v>655</v>
      </c>
      <c r="J1422" s="22" t="n">
        <v>118.05</v>
      </c>
      <c r="K1422" s="22" t="n">
        <v>0</v>
      </c>
      <c r="L1422" s="23" t="n">
        <v>0.25</v>
      </c>
      <c r="M1422" s="22" t="n">
        <v>163.75</v>
      </c>
      <c r="N1422" s="24" t="n">
        <v>2.4</v>
      </c>
      <c r="O1422" s="24" t="n">
        <v>26.2</v>
      </c>
      <c r="P1422" s="17" t="inlineStr">
        <is>
          <t>Credit Card</t>
        </is>
      </c>
      <c r="Q1422" s="17" t="inlineStr">
        <is>
          <t>Delivered</t>
        </is>
      </c>
      <c r="R1422" s="17" t="n">
        <v>4</v>
      </c>
      <c r="S1422" s="17">
        <f>TEXT(B1422,"yyyy-mm")</f>
        <v/>
      </c>
      <c r="T1422" s="17">
        <f>VLOOKUP(D1422,Customers!A:D,4,FALSE)</f>
        <v/>
      </c>
      <c r="U1422" s="17">
        <f>CONCATENATE(A1422,"-",G1422)</f>
        <v/>
      </c>
      <c r="V1422" s="17">
        <f>IF(N1422="","",IF(N1422&lt;=30,"Fast (&lt;30m)",IF(N1422&lt;=45,"Moderate (30-45m)","Delayed (&gt;45m)")))</f>
        <v/>
      </c>
      <c r="W1422" s="17">
        <f>IF(AND(I1422&gt;600,P1422="Delivered"),"High Value Delivered","Standard")</f>
        <v/>
      </c>
      <c r="X1422" s="17">
        <f>IF(OR(N1422&gt;50,Q1422&lt;=2),"High Risk / Delayed","Normal")</f>
        <v/>
      </c>
      <c r="Y1422" s="17">
        <f>IF(NOT(P1422="Cancelled"),"Fulfilled","Cancelled")</f>
        <v/>
      </c>
      <c r="Z1422" s="17">
        <f>IFERROR(Q1422,0)</f>
        <v/>
      </c>
    </row>
    <row r="1423">
      <c r="A1423" s="25" t="inlineStr">
        <is>
          <t>ORD2422</t>
        </is>
      </c>
      <c r="B1423" s="25" t="inlineStr">
        <is>
          <t>2025-03-02</t>
        </is>
      </c>
      <c r="C1423" s="25" t="inlineStr">
        <is>
          <t>13:34:58</t>
        </is>
      </c>
      <c r="D1423" s="25" t="n">
        <v>1191</v>
      </c>
      <c r="E1423" s="25" t="n">
        <v>118</v>
      </c>
      <c r="F1423" s="25" t="n">
        <v>230</v>
      </c>
      <c r="G1423" s="25" t="inlineStr">
        <is>
          <t>Delhi NCR</t>
        </is>
      </c>
      <c r="H1423" s="25" t="inlineStr">
        <is>
          <t>North Indian</t>
        </is>
      </c>
      <c r="I1423" s="26" t="n">
        <v>853</v>
      </c>
      <c r="J1423" s="26" t="n">
        <v>0</v>
      </c>
      <c r="K1423" s="26" t="n">
        <v>36.5</v>
      </c>
      <c r="L1423" s="27" t="n">
        <v>0.2</v>
      </c>
      <c r="M1423" s="26" t="n">
        <v>179.73</v>
      </c>
      <c r="N1423" s="28" t="n">
        <v>5.3</v>
      </c>
      <c r="O1423" s="28" t="n">
        <v>42.5</v>
      </c>
      <c r="P1423" s="25" t="inlineStr">
        <is>
          <t>Cash on Delivery</t>
        </is>
      </c>
      <c r="Q1423" s="25" t="inlineStr">
        <is>
          <t>Delivered</t>
        </is>
      </c>
      <c r="R1423" s="25" t="n">
        <v>4</v>
      </c>
      <c r="S1423" s="25">
        <f>TEXT(B1423,"yyyy-mm")</f>
        <v/>
      </c>
      <c r="T1423" s="25">
        <f>VLOOKUP(D1423,Customers!A:D,4,FALSE)</f>
        <v/>
      </c>
      <c r="U1423" s="25">
        <f>CONCATENATE(A1423,"-",G1423)</f>
        <v/>
      </c>
      <c r="V1423" s="25">
        <f>IF(N1423="","",IF(N1423&lt;=30,"Fast (&lt;30m)",IF(N1423&lt;=45,"Moderate (30-45m)","Delayed (&gt;45m)")))</f>
        <v/>
      </c>
      <c r="W1423" s="25">
        <f>IF(AND(I1423&gt;600,P1423="Delivered"),"High Value Delivered","Standard")</f>
        <v/>
      </c>
      <c r="X1423" s="25">
        <f>IF(OR(N1423&gt;50,Q1423&lt;=2),"High Risk / Delayed","Normal")</f>
        <v/>
      </c>
      <c r="Y1423" s="25">
        <f>IF(NOT(P1423="Cancelled"),"Fulfilled","Cancelled")</f>
        <v/>
      </c>
      <c r="Z1423" s="25">
        <f>IFERROR(Q1423,0)</f>
        <v/>
      </c>
    </row>
    <row r="1424">
      <c r="A1424" s="17" t="inlineStr">
        <is>
          <t>ORD2423</t>
        </is>
      </c>
      <c r="B1424" s="17" t="inlineStr">
        <is>
          <t>2025-12-06</t>
        </is>
      </c>
      <c r="C1424" s="17" t="inlineStr">
        <is>
          <t>20:09:58</t>
        </is>
      </c>
      <c r="D1424" s="17" t="n">
        <v>1213</v>
      </c>
      <c r="E1424" s="17" t="n">
        <v>112</v>
      </c>
      <c r="F1424" s="17" t="n">
        <v>228</v>
      </c>
      <c r="G1424" s="17" t="inlineStr">
        <is>
          <t>Delhi NCR</t>
        </is>
      </c>
      <c r="H1424" s="17" t="inlineStr">
        <is>
          <t>North Indian</t>
        </is>
      </c>
      <c r="I1424" s="22" t="n">
        <v>675</v>
      </c>
      <c r="J1424" s="22" t="n">
        <v>38.34</v>
      </c>
      <c r="K1424" s="22" t="n">
        <v>26</v>
      </c>
      <c r="L1424" s="23" t="n">
        <v>0.22</v>
      </c>
      <c r="M1424" s="22" t="n">
        <v>155</v>
      </c>
      <c r="N1424" s="24" t="n">
        <v>3.2</v>
      </c>
      <c r="O1424" s="24" t="n">
        <v>25.4</v>
      </c>
      <c r="P1424" s="17" t="inlineStr">
        <is>
          <t>Cash on Delivery</t>
        </is>
      </c>
      <c r="Q1424" s="17" t="inlineStr">
        <is>
          <t>Delivered</t>
        </is>
      </c>
      <c r="R1424" s="17" t="n">
        <v>4</v>
      </c>
      <c r="S1424" s="17">
        <f>TEXT(B1424,"yyyy-mm")</f>
        <v/>
      </c>
      <c r="T1424" s="17">
        <f>VLOOKUP(D1424,Customers!A:D,4,FALSE)</f>
        <v/>
      </c>
      <c r="U1424" s="17">
        <f>CONCATENATE(A1424,"-",G1424)</f>
        <v/>
      </c>
      <c r="V1424" s="17">
        <f>IF(N1424="","",IF(N1424&lt;=30,"Fast (&lt;30m)",IF(N1424&lt;=45,"Moderate (30-45m)","Delayed (&gt;45m)")))</f>
        <v/>
      </c>
      <c r="W1424" s="17">
        <f>IF(AND(I1424&gt;600,P1424="Delivered"),"High Value Delivered","Standard")</f>
        <v/>
      </c>
      <c r="X1424" s="17">
        <f>IF(OR(N1424&gt;50,Q1424&lt;=2),"High Risk / Delayed","Normal")</f>
        <v/>
      </c>
      <c r="Y1424" s="17">
        <f>IF(NOT(P1424="Cancelled"),"Fulfilled","Cancelled")</f>
        <v/>
      </c>
      <c r="Z1424" s="17">
        <f>IFERROR(Q1424,0)</f>
        <v/>
      </c>
    </row>
    <row r="1425">
      <c r="A1425" s="25" t="inlineStr">
        <is>
          <t>ORD2424</t>
        </is>
      </c>
      <c r="B1425" s="25" t="inlineStr">
        <is>
          <t>2025-03-29</t>
        </is>
      </c>
      <c r="C1425" s="25" t="inlineStr">
        <is>
          <t>12:49:01</t>
        </is>
      </c>
      <c r="D1425" s="25" t="n">
        <v>1036</v>
      </c>
      <c r="E1425" s="25" t="n">
        <v>117</v>
      </c>
      <c r="F1425" s="25" t="n">
        <v>222</v>
      </c>
      <c r="G1425" s="25" t="inlineStr">
        <is>
          <t>Mumbai</t>
        </is>
      </c>
      <c r="H1425" s="25" t="inlineStr">
        <is>
          <t>Chinese</t>
        </is>
      </c>
      <c r="I1425" s="26" t="n">
        <v>820</v>
      </c>
      <c r="J1425" s="26" t="n">
        <v>80.5</v>
      </c>
      <c r="K1425" s="26" t="n">
        <v>30.5</v>
      </c>
      <c r="L1425" s="27" t="n">
        <v>0.2</v>
      </c>
      <c r="M1425" s="26" t="n">
        <v>171.62</v>
      </c>
      <c r="N1425" s="28" t="n">
        <v>4.1</v>
      </c>
      <c r="O1425" s="28" t="n">
        <v>35.9</v>
      </c>
      <c r="P1425" s="25" t="inlineStr">
        <is>
          <t>Cash on Delivery</t>
        </is>
      </c>
      <c r="Q1425" s="25" t="inlineStr">
        <is>
          <t>Delivered</t>
        </is>
      </c>
      <c r="R1425" s="25" t="n">
        <v>3</v>
      </c>
      <c r="S1425" s="25">
        <f>TEXT(B1425,"yyyy-mm")</f>
        <v/>
      </c>
      <c r="T1425" s="25">
        <f>VLOOKUP(D1425,Customers!A:D,4,FALSE)</f>
        <v/>
      </c>
      <c r="U1425" s="25">
        <f>CONCATENATE(A1425,"-",G1425)</f>
        <v/>
      </c>
      <c r="V1425" s="25">
        <f>IF(N1425="","",IF(N1425&lt;=30,"Fast (&lt;30m)",IF(N1425&lt;=45,"Moderate (30-45m)","Delayed (&gt;45m)")))</f>
        <v/>
      </c>
      <c r="W1425" s="25">
        <f>IF(AND(I1425&gt;600,P1425="Delivered"),"High Value Delivered","Standard")</f>
        <v/>
      </c>
      <c r="X1425" s="25">
        <f>IF(OR(N1425&gt;50,Q1425&lt;=2),"High Risk / Delayed","Normal")</f>
        <v/>
      </c>
      <c r="Y1425" s="25">
        <f>IF(NOT(P1425="Cancelled"),"Fulfilled","Cancelled")</f>
        <v/>
      </c>
      <c r="Z1425" s="25">
        <f>IFERROR(Q1425,0)</f>
        <v/>
      </c>
    </row>
    <row r="1426">
      <c r="A1426" s="17" t="inlineStr">
        <is>
          <t>ORD2425</t>
        </is>
      </c>
      <c r="B1426" s="17" t="inlineStr">
        <is>
          <t>2025-09-09</t>
        </is>
      </c>
      <c r="C1426" s="17" t="inlineStr">
        <is>
          <t>08:42:36</t>
        </is>
      </c>
      <c r="D1426" s="17" t="n">
        <v>1264</v>
      </c>
      <c r="E1426" s="17" t="n">
        <v>111</v>
      </c>
      <c r="F1426" s="17" t="n">
        <v>205</v>
      </c>
      <c r="G1426" s="17" t="inlineStr">
        <is>
          <t>Bangalore</t>
        </is>
      </c>
      <c r="H1426" s="17" t="inlineStr">
        <is>
          <t>South Indian</t>
        </is>
      </c>
      <c r="I1426" s="22" t="n">
        <v>572</v>
      </c>
      <c r="J1426" s="22" t="n">
        <v>45.2</v>
      </c>
      <c r="K1426" s="22" t="n">
        <v>25</v>
      </c>
      <c r="L1426" s="23" t="n">
        <v>0.15</v>
      </c>
      <c r="M1426" s="22" t="n">
        <v>92.05</v>
      </c>
      <c r="N1426" s="24" t="n">
        <v>1.7</v>
      </c>
      <c r="O1426" s="24" t="n">
        <v>33.8</v>
      </c>
      <c r="P1426" s="17" t="inlineStr">
        <is>
          <t>UPI</t>
        </is>
      </c>
      <c r="Q1426" s="17" t="inlineStr">
        <is>
          <t>Delivered</t>
        </is>
      </c>
      <c r="R1426" s="17" t="n">
        <v>4</v>
      </c>
      <c r="S1426" s="17">
        <f>TEXT(B1426,"yyyy-mm")</f>
        <v/>
      </c>
      <c r="T1426" s="17">
        <f>VLOOKUP(D1426,Customers!A:D,4,FALSE)</f>
        <v/>
      </c>
      <c r="U1426" s="17">
        <f>CONCATENATE(A1426,"-",G1426)</f>
        <v/>
      </c>
      <c r="V1426" s="17">
        <f>IF(N1426="","",IF(N1426&lt;=30,"Fast (&lt;30m)",IF(N1426&lt;=45,"Moderate (30-45m)","Delayed (&gt;45m)")))</f>
        <v/>
      </c>
      <c r="W1426" s="17">
        <f>IF(AND(I1426&gt;600,P1426="Delivered"),"High Value Delivered","Standard")</f>
        <v/>
      </c>
      <c r="X1426" s="17">
        <f>IF(OR(N1426&gt;50,Q1426&lt;=2),"High Risk / Delayed","Normal")</f>
        <v/>
      </c>
      <c r="Y1426" s="17">
        <f>IF(NOT(P1426="Cancelled"),"Fulfilled","Cancelled")</f>
        <v/>
      </c>
      <c r="Z1426" s="17">
        <f>IFERROR(Q1426,0)</f>
        <v/>
      </c>
    </row>
    <row r="1427">
      <c r="A1427" s="25" t="inlineStr">
        <is>
          <t>ORD2426</t>
        </is>
      </c>
      <c r="B1427" s="25" t="inlineStr">
        <is>
          <t>2025-11-16</t>
        </is>
      </c>
      <c r="C1427" s="25" t="inlineStr">
        <is>
          <t>20:19:43</t>
        </is>
      </c>
      <c r="D1427" s="25" t="n">
        <v>1114</v>
      </c>
      <c r="E1427" s="25" t="n">
        <v>109</v>
      </c>
      <c r="F1427" s="25" t="n">
        <v>215</v>
      </c>
      <c r="G1427" s="25" t="inlineStr">
        <is>
          <t>Hyderabad</t>
        </is>
      </c>
      <c r="H1427" s="25" t="inlineStr">
        <is>
          <t>Biryani</t>
        </is>
      </c>
      <c r="I1427" s="26" t="n">
        <v>623</v>
      </c>
      <c r="J1427" s="26" t="n">
        <v>71.13</v>
      </c>
      <c r="K1427" s="26" t="n">
        <v>31.5</v>
      </c>
      <c r="L1427" s="27" t="n">
        <v>0.2</v>
      </c>
      <c r="M1427" s="26" t="n">
        <v>132.48</v>
      </c>
      <c r="N1427" s="28" t="n">
        <v>4.3</v>
      </c>
      <c r="O1427" s="28" t="n">
        <v>43.8</v>
      </c>
      <c r="P1427" s="25" t="inlineStr">
        <is>
          <t>Credit Card</t>
        </is>
      </c>
      <c r="Q1427" s="25" t="inlineStr">
        <is>
          <t>Delivered</t>
        </is>
      </c>
      <c r="R1427" s="25" t="n">
        <v>3</v>
      </c>
      <c r="S1427" s="25">
        <f>TEXT(B1427,"yyyy-mm")</f>
        <v/>
      </c>
      <c r="T1427" s="25">
        <f>VLOOKUP(D1427,Customers!A:D,4,FALSE)</f>
        <v/>
      </c>
      <c r="U1427" s="25">
        <f>CONCATENATE(A1427,"-",G1427)</f>
        <v/>
      </c>
      <c r="V1427" s="25">
        <f>IF(N1427="","",IF(N1427&lt;=30,"Fast (&lt;30m)",IF(N1427&lt;=45,"Moderate (30-45m)","Delayed (&gt;45m)")))</f>
        <v/>
      </c>
      <c r="W1427" s="25">
        <f>IF(AND(I1427&gt;600,P1427="Delivered"),"High Value Delivered","Standard")</f>
        <v/>
      </c>
      <c r="X1427" s="25">
        <f>IF(OR(N1427&gt;50,Q1427&lt;=2),"High Risk / Delayed","Normal")</f>
        <v/>
      </c>
      <c r="Y1427" s="25">
        <f>IF(NOT(P1427="Cancelled"),"Fulfilled","Cancelled")</f>
        <v/>
      </c>
      <c r="Z1427" s="25">
        <f>IFERROR(Q1427,0)</f>
        <v/>
      </c>
    </row>
    <row r="1428">
      <c r="A1428" s="17" t="inlineStr">
        <is>
          <t>ORD2427</t>
        </is>
      </c>
      <c r="B1428" s="17" t="inlineStr">
        <is>
          <t>2025-07-01</t>
        </is>
      </c>
      <c r="C1428" s="17" t="inlineStr">
        <is>
          <t>23:38:51</t>
        </is>
      </c>
      <c r="D1428" s="17" t="n">
        <v>1281</v>
      </c>
      <c r="E1428" s="17" t="n">
        <v>101</v>
      </c>
      <c r="F1428" s="17" t="n">
        <v>203</v>
      </c>
      <c r="G1428" s="17" t="inlineStr">
        <is>
          <t>Bangalore</t>
        </is>
      </c>
      <c r="H1428" s="17" t="inlineStr">
        <is>
          <t>North Indian</t>
        </is>
      </c>
      <c r="I1428" s="22" t="n">
        <v>830</v>
      </c>
      <c r="J1428" s="22" t="n">
        <v>134.61</v>
      </c>
      <c r="K1428" s="22" t="n">
        <v>0</v>
      </c>
      <c r="L1428" s="23" t="n">
        <v>0.2</v>
      </c>
      <c r="M1428" s="22" t="n">
        <v>166</v>
      </c>
      <c r="N1428" s="24" t="n">
        <v>3</v>
      </c>
      <c r="O1428" s="24" t="n">
        <v>26.9</v>
      </c>
      <c r="P1428" s="17" t="inlineStr">
        <is>
          <t>Credit Card</t>
        </is>
      </c>
      <c r="Q1428" s="17" t="inlineStr">
        <is>
          <t>Delivered</t>
        </is>
      </c>
      <c r="R1428" s="17" t="n">
        <v>4</v>
      </c>
      <c r="S1428" s="17">
        <f>TEXT(B1428,"yyyy-mm")</f>
        <v/>
      </c>
      <c r="T1428" s="17">
        <f>VLOOKUP(D1428,Customers!A:D,4,FALSE)</f>
        <v/>
      </c>
      <c r="U1428" s="17">
        <f>CONCATENATE(A1428,"-",G1428)</f>
        <v/>
      </c>
      <c r="V1428" s="17">
        <f>IF(N1428="","",IF(N1428&lt;=30,"Fast (&lt;30m)",IF(N1428&lt;=45,"Moderate (30-45m)","Delayed (&gt;45m)")))</f>
        <v/>
      </c>
      <c r="W1428" s="17">
        <f>IF(AND(I1428&gt;600,P1428="Delivered"),"High Value Delivered","Standard")</f>
        <v/>
      </c>
      <c r="X1428" s="17">
        <f>IF(OR(N1428&gt;50,Q1428&lt;=2),"High Risk / Delayed","Normal")</f>
        <v/>
      </c>
      <c r="Y1428" s="17">
        <f>IF(NOT(P1428="Cancelled"),"Fulfilled","Cancelled")</f>
        <v/>
      </c>
      <c r="Z1428" s="17">
        <f>IFERROR(Q1428,0)</f>
        <v/>
      </c>
    </row>
    <row r="1429">
      <c r="A1429" s="25" t="inlineStr">
        <is>
          <t>ORD2428</t>
        </is>
      </c>
      <c r="B1429" s="25" t="inlineStr">
        <is>
          <t>2025-09-20</t>
        </is>
      </c>
      <c r="C1429" s="25" t="inlineStr">
        <is>
          <t>21:17:33</t>
        </is>
      </c>
      <c r="D1429" s="25" t="n">
        <v>1033</v>
      </c>
      <c r="E1429" s="25" t="n">
        <v>102</v>
      </c>
      <c r="F1429" s="25" t="n">
        <v>216</v>
      </c>
      <c r="G1429" s="25" t="inlineStr">
        <is>
          <t>Hyderabad</t>
        </is>
      </c>
      <c r="H1429" s="25" t="inlineStr">
        <is>
          <t>Biryani</t>
        </is>
      </c>
      <c r="I1429" s="26" t="n">
        <v>244</v>
      </c>
      <c r="J1429" s="26" t="n">
        <v>0</v>
      </c>
      <c r="K1429" s="26" t="n">
        <v>40.5</v>
      </c>
      <c r="L1429" s="27" t="n">
        <v>0.22</v>
      </c>
      <c r="M1429" s="26" t="n">
        <v>63.8</v>
      </c>
      <c r="N1429" s="28" t="n">
        <v>6.1</v>
      </c>
      <c r="O1429" s="28" t="n">
        <v>47.2</v>
      </c>
      <c r="P1429" s="25" t="inlineStr">
        <is>
          <t>UPI</t>
        </is>
      </c>
      <c r="Q1429" s="25" t="inlineStr">
        <is>
          <t>Delivered</t>
        </is>
      </c>
      <c r="R1429" s="25" t="n">
        <v>3</v>
      </c>
      <c r="S1429" s="25">
        <f>TEXT(B1429,"yyyy-mm")</f>
        <v/>
      </c>
      <c r="T1429" s="25">
        <f>VLOOKUP(D1429,Customers!A:D,4,FALSE)</f>
        <v/>
      </c>
      <c r="U1429" s="25">
        <f>CONCATENATE(A1429,"-",G1429)</f>
        <v/>
      </c>
      <c r="V1429" s="25">
        <f>IF(N1429="","",IF(N1429&lt;=30,"Fast (&lt;30m)",IF(N1429&lt;=45,"Moderate (30-45m)","Delayed (&gt;45m)")))</f>
        <v/>
      </c>
      <c r="W1429" s="25">
        <f>IF(AND(I1429&gt;600,P1429="Delivered"),"High Value Delivered","Standard")</f>
        <v/>
      </c>
      <c r="X1429" s="25">
        <f>IF(OR(N1429&gt;50,Q1429&lt;=2),"High Risk / Delayed","Normal")</f>
        <v/>
      </c>
      <c r="Y1429" s="25">
        <f>IF(NOT(P1429="Cancelled"),"Fulfilled","Cancelled")</f>
        <v/>
      </c>
      <c r="Z1429" s="25">
        <f>IFERROR(Q1429,0)</f>
        <v/>
      </c>
    </row>
    <row r="1430">
      <c r="A1430" s="17" t="inlineStr">
        <is>
          <t>ORD2429</t>
        </is>
      </c>
      <c r="B1430" s="17" t="inlineStr">
        <is>
          <t>2025-08-18</t>
        </is>
      </c>
      <c r="C1430" s="17" t="inlineStr">
        <is>
          <t>13:27:21</t>
        </is>
      </c>
      <c r="D1430" s="17" t="n">
        <v>1092</v>
      </c>
      <c r="E1430" s="17" t="n">
        <v>104</v>
      </c>
      <c r="F1430" s="17" t="n">
        <v>230</v>
      </c>
      <c r="G1430" s="17" t="inlineStr">
        <is>
          <t>Delhi NCR</t>
        </is>
      </c>
      <c r="H1430" s="17" t="inlineStr">
        <is>
          <t>Fast Food</t>
        </is>
      </c>
      <c r="I1430" s="22" t="n">
        <v>261</v>
      </c>
      <c r="J1430" s="22" t="n">
        <v>18.03</v>
      </c>
      <c r="K1430" s="22" t="n">
        <v>30</v>
      </c>
      <c r="L1430" s="23" t="n">
        <v>0.18</v>
      </c>
      <c r="M1430" s="22" t="n">
        <v>54.48</v>
      </c>
      <c r="N1430" s="24" t="n">
        <v>4</v>
      </c>
      <c r="O1430" s="24" t="n">
        <v>43.8</v>
      </c>
      <c r="P1430" s="17" t="inlineStr">
        <is>
          <t>Cash on Delivery</t>
        </is>
      </c>
      <c r="Q1430" s="17" t="inlineStr">
        <is>
          <t>Delivered</t>
        </is>
      </c>
      <c r="R1430" s="17" t="n">
        <v>4</v>
      </c>
      <c r="S1430" s="17">
        <f>TEXT(B1430,"yyyy-mm")</f>
        <v/>
      </c>
      <c r="T1430" s="17">
        <f>VLOOKUP(D1430,Customers!A:D,4,FALSE)</f>
        <v/>
      </c>
      <c r="U1430" s="17">
        <f>CONCATENATE(A1430,"-",G1430)</f>
        <v/>
      </c>
      <c r="V1430" s="17">
        <f>IF(N1430="","",IF(N1430&lt;=30,"Fast (&lt;30m)",IF(N1430&lt;=45,"Moderate (30-45m)","Delayed (&gt;45m)")))</f>
        <v/>
      </c>
      <c r="W1430" s="17">
        <f>IF(AND(I1430&gt;600,P1430="Delivered"),"High Value Delivered","Standard")</f>
        <v/>
      </c>
      <c r="X1430" s="17">
        <f>IF(OR(N1430&gt;50,Q1430&lt;=2),"High Risk / Delayed","Normal")</f>
        <v/>
      </c>
      <c r="Y1430" s="17">
        <f>IF(NOT(P1430="Cancelled"),"Fulfilled","Cancelled")</f>
        <v/>
      </c>
      <c r="Z1430" s="17">
        <f>IFERROR(Q1430,0)</f>
        <v/>
      </c>
    </row>
    <row r="1431">
      <c r="A1431" s="25" t="inlineStr">
        <is>
          <t>ORD2430</t>
        </is>
      </c>
      <c r="B1431" s="25" t="inlineStr">
        <is>
          <t>2025-03-08</t>
        </is>
      </c>
      <c r="C1431" s="25" t="inlineStr">
        <is>
          <t>21:55:59</t>
        </is>
      </c>
      <c r="D1431" s="25" t="n">
        <v>1252</v>
      </c>
      <c r="E1431" s="25" t="n">
        <v>113</v>
      </c>
      <c r="F1431" s="25" t="n">
        <v>222</v>
      </c>
      <c r="G1431" s="25" t="inlineStr">
        <is>
          <t>Mumbai</t>
        </is>
      </c>
      <c r="H1431" s="25" t="inlineStr">
        <is>
          <t>Fast Food</t>
        </is>
      </c>
      <c r="I1431" s="26" t="n">
        <v>859</v>
      </c>
      <c r="J1431" s="26" t="n">
        <v>0</v>
      </c>
      <c r="K1431" s="26" t="n">
        <v>54</v>
      </c>
      <c r="L1431" s="27" t="n">
        <v>0.18</v>
      </c>
      <c r="M1431" s="26" t="n">
        <v>168.12</v>
      </c>
      <c r="N1431" s="28" t="n">
        <v>8.800000000000001</v>
      </c>
      <c r="O1431" s="28" t="n">
        <v>51.4</v>
      </c>
      <c r="P1431" s="25" t="inlineStr">
        <is>
          <t>Debit Card</t>
        </is>
      </c>
      <c r="Q1431" s="25" t="inlineStr">
        <is>
          <t>Delivered</t>
        </is>
      </c>
      <c r="R1431" s="25" t="n">
        <v>2</v>
      </c>
      <c r="S1431" s="25">
        <f>TEXT(B1431,"yyyy-mm")</f>
        <v/>
      </c>
      <c r="T1431" s="25">
        <f>VLOOKUP(D1431,Customers!A:D,4,FALSE)</f>
        <v/>
      </c>
      <c r="U1431" s="25">
        <f>CONCATENATE(A1431,"-",G1431)</f>
        <v/>
      </c>
      <c r="V1431" s="25">
        <f>IF(N1431="","",IF(N1431&lt;=30,"Fast (&lt;30m)",IF(N1431&lt;=45,"Moderate (30-45m)","Delayed (&gt;45m)")))</f>
        <v/>
      </c>
      <c r="W1431" s="25">
        <f>IF(AND(I1431&gt;600,P1431="Delivered"),"High Value Delivered","Standard")</f>
        <v/>
      </c>
      <c r="X1431" s="25">
        <f>IF(OR(N1431&gt;50,Q1431&lt;=2),"High Risk / Delayed","Normal")</f>
        <v/>
      </c>
      <c r="Y1431" s="25">
        <f>IF(NOT(P1431="Cancelled"),"Fulfilled","Cancelled")</f>
        <v/>
      </c>
      <c r="Z1431" s="25">
        <f>IFERROR(Q1431,0)</f>
        <v/>
      </c>
    </row>
    <row r="1432">
      <c r="A1432" s="17" t="inlineStr">
        <is>
          <t>ORD2431</t>
        </is>
      </c>
      <c r="B1432" s="17" t="inlineStr">
        <is>
          <t>2025-07-14</t>
        </is>
      </c>
      <c r="C1432" s="17" t="inlineStr">
        <is>
          <t>21:24:02</t>
        </is>
      </c>
      <c r="D1432" s="17" t="n">
        <v>1038</v>
      </c>
      <c r="E1432" s="17" t="n">
        <v>101</v>
      </c>
      <c r="F1432" s="17" t="n">
        <v>205</v>
      </c>
      <c r="G1432" s="17" t="inlineStr">
        <is>
          <t>Bangalore</t>
        </is>
      </c>
      <c r="H1432" s="17" t="inlineStr">
        <is>
          <t>North Indian</t>
        </is>
      </c>
      <c r="I1432" s="22" t="n">
        <v>931</v>
      </c>
      <c r="J1432" s="22" t="n">
        <v>51.9</v>
      </c>
      <c r="K1432" s="22" t="n">
        <v>26</v>
      </c>
      <c r="L1432" s="23" t="n">
        <v>0.2</v>
      </c>
      <c r="M1432" s="22" t="n">
        <v>192.7</v>
      </c>
      <c r="N1432" s="24" t="n">
        <v>3.2</v>
      </c>
      <c r="O1432" s="24" t="n">
        <v/>
      </c>
      <c r="P1432" s="17" t="inlineStr">
        <is>
          <t>Digital Wallet</t>
        </is>
      </c>
      <c r="Q1432" s="17" t="inlineStr">
        <is>
          <t>Cancelled</t>
        </is>
      </c>
      <c r="R1432" s="17" t="n">
        <v/>
      </c>
      <c r="S1432" s="17">
        <f>TEXT(B1432,"yyyy-mm")</f>
        <v/>
      </c>
      <c r="T1432" s="17">
        <f>VLOOKUP(D1432,Customers!A:D,4,FALSE)</f>
        <v/>
      </c>
      <c r="U1432" s="17">
        <f>CONCATENATE(A1432,"-",G1432)</f>
        <v/>
      </c>
      <c r="V1432" s="17">
        <f>IF(N1432="","",IF(N1432&lt;=30,"Fast (&lt;30m)",IF(N1432&lt;=45,"Moderate (30-45m)","Delayed (&gt;45m)")))</f>
        <v/>
      </c>
      <c r="W1432" s="17">
        <f>IF(AND(I1432&gt;600,P1432="Delivered"),"High Value Delivered","Standard")</f>
        <v/>
      </c>
      <c r="X1432" s="17">
        <f>IF(OR(N1432&gt;50,Q1432&lt;=2),"High Risk / Delayed","Normal")</f>
        <v/>
      </c>
      <c r="Y1432" s="17">
        <f>IF(NOT(P1432="Cancelled"),"Fulfilled","Cancelled")</f>
        <v/>
      </c>
      <c r="Z1432" s="17">
        <f>IFERROR(Q1432,0)</f>
        <v/>
      </c>
    </row>
    <row r="1433">
      <c r="A1433" s="25" t="inlineStr">
        <is>
          <t>ORD2432</t>
        </is>
      </c>
      <c r="B1433" s="25" t="inlineStr">
        <is>
          <t>2025-03-09</t>
        </is>
      </c>
      <c r="C1433" s="25" t="inlineStr">
        <is>
          <t>23:22:46</t>
        </is>
      </c>
      <c r="D1433" s="25" t="n">
        <v>1226</v>
      </c>
      <c r="E1433" s="25" t="n">
        <v>115</v>
      </c>
      <c r="F1433" s="25" t="n">
        <v>210</v>
      </c>
      <c r="G1433" s="25" t="inlineStr">
        <is>
          <t>Bangalore</t>
        </is>
      </c>
      <c r="H1433" s="25" t="inlineStr">
        <is>
          <t>Italian</t>
        </is>
      </c>
      <c r="I1433" s="26" t="n">
        <v>487</v>
      </c>
      <c r="J1433" s="26" t="n">
        <v>19.04</v>
      </c>
      <c r="K1433" s="26" t="n">
        <v>25</v>
      </c>
      <c r="L1433" s="27" t="n">
        <v>0.2</v>
      </c>
      <c r="M1433" s="26" t="n">
        <v>103.65</v>
      </c>
      <c r="N1433" s="28" t="n">
        <v>1.9</v>
      </c>
      <c r="O1433" s="28" t="n">
        <v>22.2</v>
      </c>
      <c r="P1433" s="25" t="inlineStr">
        <is>
          <t>Cash on Delivery</t>
        </is>
      </c>
      <c r="Q1433" s="25" t="inlineStr">
        <is>
          <t>Delivered</t>
        </is>
      </c>
      <c r="R1433" s="25" t="n">
        <v>2</v>
      </c>
      <c r="S1433" s="25">
        <f>TEXT(B1433,"yyyy-mm")</f>
        <v/>
      </c>
      <c r="T1433" s="25">
        <f>VLOOKUP(D1433,Customers!A:D,4,FALSE)</f>
        <v/>
      </c>
      <c r="U1433" s="25">
        <f>CONCATENATE(A1433,"-",G1433)</f>
        <v/>
      </c>
      <c r="V1433" s="25">
        <f>IF(N1433="","",IF(N1433&lt;=30,"Fast (&lt;30m)",IF(N1433&lt;=45,"Moderate (30-45m)","Delayed (&gt;45m)")))</f>
        <v/>
      </c>
      <c r="W1433" s="25">
        <f>IF(AND(I1433&gt;600,P1433="Delivered"),"High Value Delivered","Standard")</f>
        <v/>
      </c>
      <c r="X1433" s="25">
        <f>IF(OR(N1433&gt;50,Q1433&lt;=2),"High Risk / Delayed","Normal")</f>
        <v/>
      </c>
      <c r="Y1433" s="25">
        <f>IF(NOT(P1433="Cancelled"),"Fulfilled","Cancelled")</f>
        <v/>
      </c>
      <c r="Z1433" s="25">
        <f>IFERROR(Q1433,0)</f>
        <v/>
      </c>
    </row>
    <row r="1434">
      <c r="A1434" s="17" t="inlineStr">
        <is>
          <t>ORD2433</t>
        </is>
      </c>
      <c r="B1434" s="17" t="inlineStr">
        <is>
          <t>2025-01-12</t>
        </is>
      </c>
      <c r="C1434" s="17" t="inlineStr">
        <is>
          <t>14:51:08</t>
        </is>
      </c>
      <c r="D1434" s="17" t="n">
        <v>1046</v>
      </c>
      <c r="E1434" s="17" t="n">
        <v>109</v>
      </c>
      <c r="F1434" s="17" t="n">
        <v>216</v>
      </c>
      <c r="G1434" s="17" t="inlineStr">
        <is>
          <t>Hyderabad</t>
        </is>
      </c>
      <c r="H1434" s="17" t="inlineStr">
        <is>
          <t>Biryani</t>
        </is>
      </c>
      <c r="I1434" s="22" t="n">
        <v>329</v>
      </c>
      <c r="J1434" s="22" t="n">
        <v>22.05</v>
      </c>
      <c r="K1434" s="22" t="n">
        <v>25</v>
      </c>
      <c r="L1434" s="23" t="n">
        <v>0.2</v>
      </c>
      <c r="M1434" s="22" t="n">
        <v>72.05</v>
      </c>
      <c r="N1434" s="24" t="n">
        <v>2.8</v>
      </c>
      <c r="O1434" s="24" t="n">
        <v>25.9</v>
      </c>
      <c r="P1434" s="17" t="inlineStr">
        <is>
          <t>UPI</t>
        </is>
      </c>
      <c r="Q1434" s="17" t="inlineStr">
        <is>
          <t>Delivered</t>
        </is>
      </c>
      <c r="R1434" s="17" t="n">
        <v>2</v>
      </c>
      <c r="S1434" s="17">
        <f>TEXT(B1434,"yyyy-mm")</f>
        <v/>
      </c>
      <c r="T1434" s="17">
        <f>VLOOKUP(D1434,Customers!A:D,4,FALSE)</f>
        <v/>
      </c>
      <c r="U1434" s="17">
        <f>CONCATENATE(A1434,"-",G1434)</f>
        <v/>
      </c>
      <c r="V1434" s="17">
        <f>IF(N1434="","",IF(N1434&lt;=30,"Fast (&lt;30m)",IF(N1434&lt;=45,"Moderate (30-45m)","Delayed (&gt;45m)")))</f>
        <v/>
      </c>
      <c r="W1434" s="17">
        <f>IF(AND(I1434&gt;600,P1434="Delivered"),"High Value Delivered","Standard")</f>
        <v/>
      </c>
      <c r="X1434" s="17">
        <f>IF(OR(N1434&gt;50,Q1434&lt;=2),"High Risk / Delayed","Normal")</f>
        <v/>
      </c>
      <c r="Y1434" s="17">
        <f>IF(NOT(P1434="Cancelled"),"Fulfilled","Cancelled")</f>
        <v/>
      </c>
      <c r="Z1434" s="17">
        <f>IFERROR(Q1434,0)</f>
        <v/>
      </c>
    </row>
    <row r="1435">
      <c r="A1435" s="25" t="inlineStr">
        <is>
          <t>ORD2434</t>
        </is>
      </c>
      <c r="B1435" s="25" t="inlineStr">
        <is>
          <t>2025-02-14</t>
        </is>
      </c>
      <c r="C1435" s="25" t="inlineStr">
        <is>
          <t>12:55:04</t>
        </is>
      </c>
      <c r="D1435" s="25" t="n">
        <v>1205</v>
      </c>
      <c r="E1435" s="25" t="n">
        <v>113</v>
      </c>
      <c r="F1435" s="25" t="n">
        <v>222</v>
      </c>
      <c r="G1435" s="25" t="inlineStr">
        <is>
          <t>Mumbai</t>
        </is>
      </c>
      <c r="H1435" s="25" t="inlineStr">
        <is>
          <t>Fast Food</t>
        </is>
      </c>
      <c r="I1435" s="26" t="n">
        <v>229</v>
      </c>
      <c r="J1435" s="26" t="n">
        <v>23.04</v>
      </c>
      <c r="K1435" s="26" t="n">
        <v>29.5</v>
      </c>
      <c r="L1435" s="27" t="n">
        <v>0.18</v>
      </c>
      <c r="M1435" s="26" t="n">
        <v>48.6</v>
      </c>
      <c r="N1435" s="28" t="n">
        <v>3.9</v>
      </c>
      <c r="O1435" s="28" t="n">
        <v>37.5</v>
      </c>
      <c r="P1435" s="25" t="inlineStr">
        <is>
          <t>Debit Card</t>
        </is>
      </c>
      <c r="Q1435" s="25" t="inlineStr">
        <is>
          <t>Delivered</t>
        </is>
      </c>
      <c r="R1435" s="25" t="n">
        <v>4</v>
      </c>
      <c r="S1435" s="25">
        <f>TEXT(B1435,"yyyy-mm")</f>
        <v/>
      </c>
      <c r="T1435" s="25">
        <f>VLOOKUP(D1435,Customers!A:D,4,FALSE)</f>
        <v/>
      </c>
      <c r="U1435" s="25">
        <f>CONCATENATE(A1435,"-",G1435)</f>
        <v/>
      </c>
      <c r="V1435" s="25">
        <f>IF(N1435="","",IF(N1435&lt;=30,"Fast (&lt;30m)",IF(N1435&lt;=45,"Moderate (30-45m)","Delayed (&gt;45m)")))</f>
        <v/>
      </c>
      <c r="W1435" s="25">
        <f>IF(AND(I1435&gt;600,P1435="Delivered"),"High Value Delivered","Standard")</f>
        <v/>
      </c>
      <c r="X1435" s="25">
        <f>IF(OR(N1435&gt;50,Q1435&lt;=2),"High Risk / Delayed","Normal")</f>
        <v/>
      </c>
      <c r="Y1435" s="25">
        <f>IF(NOT(P1435="Cancelled"),"Fulfilled","Cancelled")</f>
        <v/>
      </c>
      <c r="Z1435" s="25">
        <f>IFERROR(Q1435,0)</f>
        <v/>
      </c>
    </row>
    <row r="1436">
      <c r="A1436" s="17" t="inlineStr">
        <is>
          <t>ORD2435</t>
        </is>
      </c>
      <c r="B1436" s="17" t="inlineStr">
        <is>
          <t>2025-11-20</t>
        </is>
      </c>
      <c r="C1436" s="17" t="inlineStr">
        <is>
          <t>12:55:21</t>
        </is>
      </c>
      <c r="D1436" s="17" t="n">
        <v>1001</v>
      </c>
      <c r="E1436" s="17" t="n">
        <v>102</v>
      </c>
      <c r="F1436" s="17" t="n">
        <v>215</v>
      </c>
      <c r="G1436" s="17" t="inlineStr">
        <is>
          <t>Hyderabad</t>
        </is>
      </c>
      <c r="H1436" s="17" t="inlineStr">
        <is>
          <t>Biryani</t>
        </is>
      </c>
      <c r="I1436" s="22" t="n">
        <v>900</v>
      </c>
      <c r="J1436" s="22" t="n">
        <v>0</v>
      </c>
      <c r="K1436" s="22" t="n">
        <v>28</v>
      </c>
      <c r="L1436" s="23" t="n">
        <v>0.22</v>
      </c>
      <c r="M1436" s="22" t="n">
        <v>205</v>
      </c>
      <c r="N1436" s="24" t="n">
        <v>3.6</v>
      </c>
      <c r="O1436" s="24" t="n">
        <v>28</v>
      </c>
      <c r="P1436" s="17" t="inlineStr">
        <is>
          <t>Credit Card</t>
        </is>
      </c>
      <c r="Q1436" s="17" t="inlineStr">
        <is>
          <t>Delivered</t>
        </is>
      </c>
      <c r="R1436" s="17" t="n">
        <v>5</v>
      </c>
      <c r="S1436" s="17">
        <f>TEXT(B1436,"yyyy-mm")</f>
        <v/>
      </c>
      <c r="T1436" s="17">
        <f>VLOOKUP(D1436,Customers!A:D,4,FALSE)</f>
        <v/>
      </c>
      <c r="U1436" s="17">
        <f>CONCATENATE(A1436,"-",G1436)</f>
        <v/>
      </c>
      <c r="V1436" s="17">
        <f>IF(N1436="","",IF(N1436&lt;=30,"Fast (&lt;30m)",IF(N1436&lt;=45,"Moderate (30-45m)","Delayed (&gt;45m)")))</f>
        <v/>
      </c>
      <c r="W1436" s="17">
        <f>IF(AND(I1436&gt;600,P1436="Delivered"),"High Value Delivered","Standard")</f>
        <v/>
      </c>
      <c r="X1436" s="17">
        <f>IF(OR(N1436&gt;50,Q1436&lt;=2),"High Risk / Delayed","Normal")</f>
        <v/>
      </c>
      <c r="Y1436" s="17">
        <f>IF(NOT(P1436="Cancelled"),"Fulfilled","Cancelled")</f>
        <v/>
      </c>
      <c r="Z1436" s="17">
        <f>IFERROR(Q1436,0)</f>
        <v/>
      </c>
    </row>
    <row r="1437">
      <c r="A1437" s="25" t="inlineStr">
        <is>
          <t>ORD2436</t>
        </is>
      </c>
      <c r="B1437" s="25" t="inlineStr">
        <is>
          <t>2025-04-06</t>
        </is>
      </c>
      <c r="C1437" s="25" t="inlineStr">
        <is>
          <t>19:05:45</t>
        </is>
      </c>
      <c r="D1437" s="25" t="n">
        <v>1212</v>
      </c>
      <c r="E1437" s="25" t="n">
        <v>114</v>
      </c>
      <c r="F1437" s="25" t="n">
        <v>216</v>
      </c>
      <c r="G1437" s="25" t="inlineStr">
        <is>
          <t>Hyderabad</t>
        </is>
      </c>
      <c r="H1437" s="25" t="inlineStr">
        <is>
          <t>Biryani</t>
        </is>
      </c>
      <c r="I1437" s="26" t="n">
        <v>313</v>
      </c>
      <c r="J1437" s="26" t="n">
        <v>15.73</v>
      </c>
      <c r="K1437" s="26" t="n">
        <v>29.5</v>
      </c>
      <c r="L1437" s="27" t="n">
        <v>0.22</v>
      </c>
      <c r="M1437" s="26" t="n">
        <v>76.23999999999999</v>
      </c>
      <c r="N1437" s="28" t="n">
        <v>3.9</v>
      </c>
      <c r="O1437" s="28" t="n">
        <v>37.7</v>
      </c>
      <c r="P1437" s="25" t="inlineStr">
        <is>
          <t>Credit Card</t>
        </is>
      </c>
      <c r="Q1437" s="25" t="inlineStr">
        <is>
          <t>Delivered</t>
        </is>
      </c>
      <c r="R1437" s="25" t="n">
        <v>4</v>
      </c>
      <c r="S1437" s="25">
        <f>TEXT(B1437,"yyyy-mm")</f>
        <v/>
      </c>
      <c r="T1437" s="25">
        <f>VLOOKUP(D1437,Customers!A:D,4,FALSE)</f>
        <v/>
      </c>
      <c r="U1437" s="25">
        <f>CONCATENATE(A1437,"-",G1437)</f>
        <v/>
      </c>
      <c r="V1437" s="25">
        <f>IF(N1437="","",IF(N1437&lt;=30,"Fast (&lt;30m)",IF(N1437&lt;=45,"Moderate (30-45m)","Delayed (&gt;45m)")))</f>
        <v/>
      </c>
      <c r="W1437" s="25">
        <f>IF(AND(I1437&gt;600,P1437="Delivered"),"High Value Delivered","Standard")</f>
        <v/>
      </c>
      <c r="X1437" s="25">
        <f>IF(OR(N1437&gt;50,Q1437&lt;=2),"High Risk / Delayed","Normal")</f>
        <v/>
      </c>
      <c r="Y1437" s="25">
        <f>IF(NOT(P1437="Cancelled"),"Fulfilled","Cancelled")</f>
        <v/>
      </c>
      <c r="Z1437" s="25">
        <f>IFERROR(Q1437,0)</f>
        <v/>
      </c>
    </row>
    <row r="1438">
      <c r="A1438" s="17" t="inlineStr">
        <is>
          <t>ORD2437</t>
        </is>
      </c>
      <c r="B1438" s="17" t="inlineStr">
        <is>
          <t>2025-02-10</t>
        </is>
      </c>
      <c r="C1438" s="17" t="inlineStr">
        <is>
          <t>12:24:20</t>
        </is>
      </c>
      <c r="D1438" s="17" t="n">
        <v>1122</v>
      </c>
      <c r="E1438" s="17" t="n">
        <v>120</v>
      </c>
      <c r="F1438" s="17" t="n">
        <v>226</v>
      </c>
      <c r="G1438" s="17" t="inlineStr">
        <is>
          <t>Pune</t>
        </is>
      </c>
      <c r="H1438" s="17" t="inlineStr">
        <is>
          <t>Fast Food</t>
        </is>
      </c>
      <c r="I1438" s="22" t="n">
        <v>1095</v>
      </c>
      <c r="J1438" s="22" t="n">
        <v>130.59</v>
      </c>
      <c r="K1438" s="22" t="n">
        <v>0</v>
      </c>
      <c r="L1438" s="23" t="n">
        <v>0.18</v>
      </c>
      <c r="M1438" s="22" t="n">
        <v>197.1</v>
      </c>
      <c r="N1438" s="24" t="n">
        <v>3.2</v>
      </c>
      <c r="O1438" s="24" t="n">
        <v>38.7</v>
      </c>
      <c r="P1438" s="17" t="inlineStr">
        <is>
          <t>Cash on Delivery</t>
        </is>
      </c>
      <c r="Q1438" s="17" t="inlineStr">
        <is>
          <t>Delivered</t>
        </is>
      </c>
      <c r="R1438" s="17" t="n">
        <v>5</v>
      </c>
      <c r="S1438" s="17">
        <f>TEXT(B1438,"yyyy-mm")</f>
        <v/>
      </c>
      <c r="T1438" s="17">
        <f>VLOOKUP(D1438,Customers!A:D,4,FALSE)</f>
        <v/>
      </c>
      <c r="U1438" s="17">
        <f>CONCATENATE(A1438,"-",G1438)</f>
        <v/>
      </c>
      <c r="V1438" s="17">
        <f>IF(N1438="","",IF(N1438&lt;=30,"Fast (&lt;30m)",IF(N1438&lt;=45,"Moderate (30-45m)","Delayed (&gt;45m)")))</f>
        <v/>
      </c>
      <c r="W1438" s="17">
        <f>IF(AND(I1438&gt;600,P1438="Delivered"),"High Value Delivered","Standard")</f>
        <v/>
      </c>
      <c r="X1438" s="17">
        <f>IF(OR(N1438&gt;50,Q1438&lt;=2),"High Risk / Delayed","Normal")</f>
        <v/>
      </c>
      <c r="Y1438" s="17">
        <f>IF(NOT(P1438="Cancelled"),"Fulfilled","Cancelled")</f>
        <v/>
      </c>
      <c r="Z1438" s="17">
        <f>IFERROR(Q1438,0)</f>
        <v/>
      </c>
    </row>
    <row r="1439">
      <c r="A1439" s="25" t="inlineStr">
        <is>
          <t>ORD2438</t>
        </is>
      </c>
      <c r="B1439" s="25" t="inlineStr">
        <is>
          <t>2025-12-13</t>
        </is>
      </c>
      <c r="C1439" s="25" t="inlineStr">
        <is>
          <t>19:37:55</t>
        </is>
      </c>
      <c r="D1439" s="25" t="n">
        <v>1068</v>
      </c>
      <c r="E1439" s="25" t="n">
        <v>120</v>
      </c>
      <c r="F1439" s="25" t="n">
        <v>208</v>
      </c>
      <c r="G1439" s="25" t="inlineStr">
        <is>
          <t>Pune</t>
        </is>
      </c>
      <c r="H1439" s="25" t="inlineStr">
        <is>
          <t>Fast Food</t>
        </is>
      </c>
      <c r="I1439" s="26" t="n">
        <v>282</v>
      </c>
      <c r="J1439" s="26" t="n">
        <v>22.84</v>
      </c>
      <c r="K1439" s="26" t="n">
        <v>37.5</v>
      </c>
      <c r="L1439" s="27" t="n">
        <v>0.18</v>
      </c>
      <c r="M1439" s="26" t="n">
        <v>60.14</v>
      </c>
      <c r="N1439" s="28" t="n">
        <v>5.5</v>
      </c>
      <c r="O1439" s="28" t="n">
        <v>42.3</v>
      </c>
      <c r="P1439" s="25" t="inlineStr">
        <is>
          <t>UPI</t>
        </is>
      </c>
      <c r="Q1439" s="25" t="inlineStr">
        <is>
          <t>Delivered</t>
        </is>
      </c>
      <c r="R1439" s="25" t="n">
        <v>3</v>
      </c>
      <c r="S1439" s="25">
        <f>TEXT(B1439,"yyyy-mm")</f>
        <v/>
      </c>
      <c r="T1439" s="25">
        <f>VLOOKUP(D1439,Customers!A:D,4,FALSE)</f>
        <v/>
      </c>
      <c r="U1439" s="25">
        <f>CONCATENATE(A1439,"-",G1439)</f>
        <v/>
      </c>
      <c r="V1439" s="25">
        <f>IF(N1439="","",IF(N1439&lt;=30,"Fast (&lt;30m)",IF(N1439&lt;=45,"Moderate (30-45m)","Delayed (&gt;45m)")))</f>
        <v/>
      </c>
      <c r="W1439" s="25">
        <f>IF(AND(I1439&gt;600,P1439="Delivered"),"High Value Delivered","Standard")</f>
        <v/>
      </c>
      <c r="X1439" s="25">
        <f>IF(OR(N1439&gt;50,Q1439&lt;=2),"High Risk / Delayed","Normal")</f>
        <v/>
      </c>
      <c r="Y1439" s="25">
        <f>IF(NOT(P1439="Cancelled"),"Fulfilled","Cancelled")</f>
        <v/>
      </c>
      <c r="Z1439" s="25">
        <f>IFERROR(Q1439,0)</f>
        <v/>
      </c>
    </row>
    <row r="1440">
      <c r="A1440" s="17" t="inlineStr">
        <is>
          <t>ORD2439</t>
        </is>
      </c>
      <c r="B1440" s="17" t="inlineStr">
        <is>
          <t>2025-05-15</t>
        </is>
      </c>
      <c r="C1440" s="17" t="inlineStr">
        <is>
          <t>21:09:56</t>
        </is>
      </c>
      <c r="D1440" s="17" t="n">
        <v>1019</v>
      </c>
      <c r="E1440" s="17" t="n">
        <v>106</v>
      </c>
      <c r="F1440" s="17" t="n">
        <v>208</v>
      </c>
      <c r="G1440" s="17" t="inlineStr">
        <is>
          <t>Pune</t>
        </is>
      </c>
      <c r="H1440" s="17" t="inlineStr">
        <is>
          <t>South Indian</t>
        </is>
      </c>
      <c r="I1440" s="22" t="n">
        <v>775</v>
      </c>
      <c r="J1440" s="22" t="n">
        <v>11.74</v>
      </c>
      <c r="K1440" s="22" t="n">
        <v>25</v>
      </c>
      <c r="L1440" s="23" t="n">
        <v>0.15</v>
      </c>
      <c r="M1440" s="22" t="n">
        <v>122.5</v>
      </c>
      <c r="N1440" s="24" t="n">
        <v>3</v>
      </c>
      <c r="O1440" s="24" t="n">
        <v/>
      </c>
      <c r="P1440" s="17" t="inlineStr">
        <is>
          <t>UPI</t>
        </is>
      </c>
      <c r="Q1440" s="17" t="inlineStr">
        <is>
          <t>Cancelled</t>
        </is>
      </c>
      <c r="R1440" s="17" t="n">
        <v/>
      </c>
      <c r="S1440" s="17">
        <f>TEXT(B1440,"yyyy-mm")</f>
        <v/>
      </c>
      <c r="T1440" s="17">
        <f>VLOOKUP(D1440,Customers!A:D,4,FALSE)</f>
        <v/>
      </c>
      <c r="U1440" s="17">
        <f>CONCATENATE(A1440,"-",G1440)</f>
        <v/>
      </c>
      <c r="V1440" s="17">
        <f>IF(N1440="","",IF(N1440&lt;=30,"Fast (&lt;30m)",IF(N1440&lt;=45,"Moderate (30-45m)","Delayed (&gt;45m)")))</f>
        <v/>
      </c>
      <c r="W1440" s="17">
        <f>IF(AND(I1440&gt;600,P1440="Delivered"),"High Value Delivered","Standard")</f>
        <v/>
      </c>
      <c r="X1440" s="17">
        <f>IF(OR(N1440&gt;50,Q1440&lt;=2),"High Risk / Delayed","Normal")</f>
        <v/>
      </c>
      <c r="Y1440" s="17">
        <f>IF(NOT(P1440="Cancelled"),"Fulfilled","Cancelled")</f>
        <v/>
      </c>
      <c r="Z1440" s="17">
        <f>IFERROR(Q1440,0)</f>
        <v/>
      </c>
    </row>
    <row r="1441">
      <c r="A1441" s="25" t="inlineStr">
        <is>
          <t>ORD2440</t>
        </is>
      </c>
      <c r="B1441" s="25" t="inlineStr">
        <is>
          <t>2025-06-14</t>
        </is>
      </c>
      <c r="C1441" s="25" t="inlineStr">
        <is>
          <t>19:48:14</t>
        </is>
      </c>
      <c r="D1441" s="25" t="n">
        <v>1253</v>
      </c>
      <c r="E1441" s="25" t="n">
        <v>119</v>
      </c>
      <c r="F1441" s="25" t="n">
        <v>215</v>
      </c>
      <c r="G1441" s="25" t="inlineStr">
        <is>
          <t>Hyderabad</t>
        </is>
      </c>
      <c r="H1441" s="25" t="inlineStr">
        <is>
          <t>Biryani</t>
        </is>
      </c>
      <c r="I1441" s="26" t="n">
        <v>587</v>
      </c>
      <c r="J1441" s="26" t="n">
        <v>95.98999999999999</v>
      </c>
      <c r="K1441" s="26" t="n">
        <v>0</v>
      </c>
      <c r="L1441" s="27" t="n">
        <v>0.2</v>
      </c>
      <c r="M1441" s="26" t="n">
        <v>117.4</v>
      </c>
      <c r="N1441" s="28" t="n">
        <v>4.8</v>
      </c>
      <c r="O1441" s="28" t="n">
        <v>42.8</v>
      </c>
      <c r="P1441" s="25" t="inlineStr">
        <is>
          <t>Digital Wallet</t>
        </is>
      </c>
      <c r="Q1441" s="25" t="inlineStr">
        <is>
          <t>Delivered</t>
        </is>
      </c>
      <c r="R1441" s="25" t="n">
        <v>3</v>
      </c>
      <c r="S1441" s="25">
        <f>TEXT(B1441,"yyyy-mm")</f>
        <v/>
      </c>
      <c r="T1441" s="25">
        <f>VLOOKUP(D1441,Customers!A:D,4,FALSE)</f>
        <v/>
      </c>
      <c r="U1441" s="25">
        <f>CONCATENATE(A1441,"-",G1441)</f>
        <v/>
      </c>
      <c r="V1441" s="25">
        <f>IF(N1441="","",IF(N1441&lt;=30,"Fast (&lt;30m)",IF(N1441&lt;=45,"Moderate (30-45m)","Delayed (&gt;45m)")))</f>
        <v/>
      </c>
      <c r="W1441" s="25">
        <f>IF(AND(I1441&gt;600,P1441="Delivered"),"High Value Delivered","Standard")</f>
        <v/>
      </c>
      <c r="X1441" s="25">
        <f>IF(OR(N1441&gt;50,Q1441&lt;=2),"High Risk / Delayed","Normal")</f>
        <v/>
      </c>
      <c r="Y1441" s="25">
        <f>IF(NOT(P1441="Cancelled"),"Fulfilled","Cancelled")</f>
        <v/>
      </c>
      <c r="Z1441" s="25">
        <f>IFERROR(Q1441,0)</f>
        <v/>
      </c>
    </row>
    <row r="1442">
      <c r="A1442" s="17" t="inlineStr">
        <is>
          <t>ORD2441</t>
        </is>
      </c>
      <c r="B1442" s="17" t="inlineStr">
        <is>
          <t>2025-08-07</t>
        </is>
      </c>
      <c r="C1442" s="17" t="inlineStr">
        <is>
          <t>19:16:52</t>
        </is>
      </c>
      <c r="D1442" s="17" t="n">
        <v>1078</v>
      </c>
      <c r="E1442" s="17" t="n">
        <v>108</v>
      </c>
      <c r="F1442" s="17" t="n">
        <v>211</v>
      </c>
      <c r="G1442" s="17" t="inlineStr">
        <is>
          <t>Delhi NCR</t>
        </is>
      </c>
      <c r="H1442" s="17" t="inlineStr">
        <is>
          <t>Fast Food</t>
        </is>
      </c>
      <c r="I1442" s="22" t="n">
        <v>573</v>
      </c>
      <c r="J1442" s="22" t="n">
        <v>24.32</v>
      </c>
      <c r="K1442" s="22" t="n">
        <v>25</v>
      </c>
      <c r="L1442" s="23" t="n">
        <v>0.18</v>
      </c>
      <c r="M1442" s="22" t="n">
        <v>109.39</v>
      </c>
      <c r="N1442" s="24" t="n">
        <v>2.4</v>
      </c>
      <c r="O1442" s="24" t="n">
        <v>27.8</v>
      </c>
      <c r="P1442" s="17" t="inlineStr">
        <is>
          <t>Debit Card</t>
        </is>
      </c>
      <c r="Q1442" s="17" t="inlineStr">
        <is>
          <t>Delivered</t>
        </is>
      </c>
      <c r="R1442" s="17" t="n">
        <v>4</v>
      </c>
      <c r="S1442" s="17">
        <f>TEXT(B1442,"yyyy-mm")</f>
        <v/>
      </c>
      <c r="T1442" s="17">
        <f>VLOOKUP(D1442,Customers!A:D,4,FALSE)</f>
        <v/>
      </c>
      <c r="U1442" s="17">
        <f>CONCATENATE(A1442,"-",G1442)</f>
        <v/>
      </c>
      <c r="V1442" s="17">
        <f>IF(N1442="","",IF(N1442&lt;=30,"Fast (&lt;30m)",IF(N1442&lt;=45,"Moderate (30-45m)","Delayed (&gt;45m)")))</f>
        <v/>
      </c>
      <c r="W1442" s="17">
        <f>IF(AND(I1442&gt;600,P1442="Delivered"),"High Value Delivered","Standard")</f>
        <v/>
      </c>
      <c r="X1442" s="17">
        <f>IF(OR(N1442&gt;50,Q1442&lt;=2),"High Risk / Delayed","Normal")</f>
        <v/>
      </c>
      <c r="Y1442" s="17">
        <f>IF(NOT(P1442="Cancelled"),"Fulfilled","Cancelled")</f>
        <v/>
      </c>
      <c r="Z1442" s="17">
        <f>IFERROR(Q1442,0)</f>
        <v/>
      </c>
    </row>
    <row r="1443">
      <c r="A1443" s="25" t="inlineStr">
        <is>
          <t>ORD2442</t>
        </is>
      </c>
      <c r="B1443" s="25" t="inlineStr">
        <is>
          <t>2025-02-01</t>
        </is>
      </c>
      <c r="C1443" s="25" t="inlineStr">
        <is>
          <t>13:04:31</t>
        </is>
      </c>
      <c r="D1443" s="25" t="n">
        <v>1160</v>
      </c>
      <c r="E1443" s="25" t="n">
        <v>120</v>
      </c>
      <c r="F1443" s="25" t="n">
        <v>209</v>
      </c>
      <c r="G1443" s="25" t="inlineStr">
        <is>
          <t>Pune</t>
        </is>
      </c>
      <c r="H1443" s="25" t="inlineStr">
        <is>
          <t>Fast Food</t>
        </is>
      </c>
      <c r="I1443" s="26" t="n">
        <v>572</v>
      </c>
      <c r="J1443" s="26" t="n">
        <v>64.73999999999999</v>
      </c>
      <c r="K1443" s="26" t="n">
        <v>60.5</v>
      </c>
      <c r="L1443" s="27" t="n">
        <v>0.18</v>
      </c>
      <c r="M1443" s="26" t="n">
        <v>118.08</v>
      </c>
      <c r="N1443" s="28" t="n">
        <v>10.1</v>
      </c>
      <c r="O1443" s="28" t="n">
        <v>56.2</v>
      </c>
      <c r="P1443" s="25" t="inlineStr">
        <is>
          <t>Cash on Delivery</t>
        </is>
      </c>
      <c r="Q1443" s="25" t="inlineStr">
        <is>
          <t>Delivered</t>
        </is>
      </c>
      <c r="R1443" s="25" t="n">
        <v>1</v>
      </c>
      <c r="S1443" s="25">
        <f>TEXT(B1443,"yyyy-mm")</f>
        <v/>
      </c>
      <c r="T1443" s="25">
        <f>VLOOKUP(D1443,Customers!A:D,4,FALSE)</f>
        <v/>
      </c>
      <c r="U1443" s="25">
        <f>CONCATENATE(A1443,"-",G1443)</f>
        <v/>
      </c>
      <c r="V1443" s="25">
        <f>IF(N1443="","",IF(N1443&lt;=30,"Fast (&lt;30m)",IF(N1443&lt;=45,"Moderate (30-45m)","Delayed (&gt;45m)")))</f>
        <v/>
      </c>
      <c r="W1443" s="25">
        <f>IF(AND(I1443&gt;600,P1443="Delivered"),"High Value Delivered","Standard")</f>
        <v/>
      </c>
      <c r="X1443" s="25">
        <f>IF(OR(N1443&gt;50,Q1443&lt;=2),"High Risk / Delayed","Normal")</f>
        <v/>
      </c>
      <c r="Y1443" s="25">
        <f>IF(NOT(P1443="Cancelled"),"Fulfilled","Cancelled")</f>
        <v/>
      </c>
      <c r="Z1443" s="25">
        <f>IFERROR(Q1443,0)</f>
        <v/>
      </c>
    </row>
    <row r="1444">
      <c r="A1444" s="17" t="inlineStr">
        <is>
          <t>ORD2443</t>
        </is>
      </c>
      <c r="B1444" s="17" t="inlineStr">
        <is>
          <t>2025-01-07</t>
        </is>
      </c>
      <c r="C1444" s="17" t="inlineStr">
        <is>
          <t>21:47:43</t>
        </is>
      </c>
      <c r="D1444" s="17" t="n">
        <v>1159</v>
      </c>
      <c r="E1444" s="17" t="n">
        <v>118</v>
      </c>
      <c r="F1444" s="17" t="n">
        <v>219</v>
      </c>
      <c r="G1444" s="17" t="inlineStr">
        <is>
          <t>Delhi NCR</t>
        </is>
      </c>
      <c r="H1444" s="17" t="inlineStr">
        <is>
          <t>North Indian</t>
        </is>
      </c>
      <c r="I1444" s="22" t="n">
        <v>310</v>
      </c>
      <c r="J1444" s="22" t="n">
        <v>0</v>
      </c>
      <c r="K1444" s="22" t="n">
        <v>36</v>
      </c>
      <c r="L1444" s="23" t="n">
        <v>0.2</v>
      </c>
      <c r="M1444" s="22" t="n">
        <v>71</v>
      </c>
      <c r="N1444" s="24" t="n">
        <v>5.2</v>
      </c>
      <c r="O1444" s="24" t="n">
        <v>39.9</v>
      </c>
      <c r="P1444" s="17" t="inlineStr">
        <is>
          <t>Debit Card</t>
        </is>
      </c>
      <c r="Q1444" s="17" t="inlineStr">
        <is>
          <t>Delivered</t>
        </is>
      </c>
      <c r="R1444" s="17" t="n">
        <v>2</v>
      </c>
      <c r="S1444" s="17">
        <f>TEXT(B1444,"yyyy-mm")</f>
        <v/>
      </c>
      <c r="T1444" s="17">
        <f>VLOOKUP(D1444,Customers!A:D,4,FALSE)</f>
        <v/>
      </c>
      <c r="U1444" s="17">
        <f>CONCATENATE(A1444,"-",G1444)</f>
        <v/>
      </c>
      <c r="V1444" s="17">
        <f>IF(N1444="","",IF(N1444&lt;=30,"Fast (&lt;30m)",IF(N1444&lt;=45,"Moderate (30-45m)","Delayed (&gt;45m)")))</f>
        <v/>
      </c>
      <c r="W1444" s="17">
        <f>IF(AND(I1444&gt;600,P1444="Delivered"),"High Value Delivered","Standard")</f>
        <v/>
      </c>
      <c r="X1444" s="17">
        <f>IF(OR(N1444&gt;50,Q1444&lt;=2),"High Risk / Delayed","Normal")</f>
        <v/>
      </c>
      <c r="Y1444" s="17">
        <f>IF(NOT(P1444="Cancelled"),"Fulfilled","Cancelled")</f>
        <v/>
      </c>
      <c r="Z1444" s="17">
        <f>IFERROR(Q1444,0)</f>
        <v/>
      </c>
    </row>
    <row r="1445">
      <c r="A1445" s="25" t="inlineStr">
        <is>
          <t>ORD2444</t>
        </is>
      </c>
      <c r="B1445" s="25" t="inlineStr">
        <is>
          <t>2025-08-19</t>
        </is>
      </c>
      <c r="C1445" s="25" t="inlineStr">
        <is>
          <t>16:22:47</t>
        </is>
      </c>
      <c r="D1445" s="25" t="n">
        <v>1203</v>
      </c>
      <c r="E1445" s="25" t="n">
        <v>104</v>
      </c>
      <c r="F1445" s="25" t="n">
        <v>219</v>
      </c>
      <c r="G1445" s="25" t="inlineStr">
        <is>
          <t>Delhi NCR</t>
        </is>
      </c>
      <c r="H1445" s="25" t="inlineStr">
        <is>
          <t>Fast Food</t>
        </is>
      </c>
      <c r="I1445" s="26" t="n">
        <v>711</v>
      </c>
      <c r="J1445" s="26" t="n">
        <v>0</v>
      </c>
      <c r="K1445" s="26" t="n">
        <v>25.5</v>
      </c>
      <c r="L1445" s="27" t="n">
        <v>0.18</v>
      </c>
      <c r="M1445" s="26" t="n">
        <v>134.35</v>
      </c>
      <c r="N1445" s="28" t="n">
        <v>3.1</v>
      </c>
      <c r="O1445" s="28" t="n">
        <v>31.6</v>
      </c>
      <c r="P1445" s="25" t="inlineStr">
        <is>
          <t>Cash on Delivery</t>
        </is>
      </c>
      <c r="Q1445" s="25" t="inlineStr">
        <is>
          <t>Delivered</t>
        </is>
      </c>
      <c r="R1445" s="25" t="n">
        <v>5</v>
      </c>
      <c r="S1445" s="25">
        <f>TEXT(B1445,"yyyy-mm")</f>
        <v/>
      </c>
      <c r="T1445" s="25">
        <f>VLOOKUP(D1445,Customers!A:D,4,FALSE)</f>
        <v/>
      </c>
      <c r="U1445" s="25">
        <f>CONCATENATE(A1445,"-",G1445)</f>
        <v/>
      </c>
      <c r="V1445" s="25">
        <f>IF(N1445="","",IF(N1445&lt;=30,"Fast (&lt;30m)",IF(N1445&lt;=45,"Moderate (30-45m)","Delayed (&gt;45m)")))</f>
        <v/>
      </c>
      <c r="W1445" s="25">
        <f>IF(AND(I1445&gt;600,P1445="Delivered"),"High Value Delivered","Standard")</f>
        <v/>
      </c>
      <c r="X1445" s="25">
        <f>IF(OR(N1445&gt;50,Q1445&lt;=2),"High Risk / Delayed","Normal")</f>
        <v/>
      </c>
      <c r="Y1445" s="25">
        <f>IF(NOT(P1445="Cancelled"),"Fulfilled","Cancelled")</f>
        <v/>
      </c>
      <c r="Z1445" s="25">
        <f>IFERROR(Q1445,0)</f>
        <v/>
      </c>
    </row>
    <row r="1446">
      <c r="A1446" s="17" t="inlineStr">
        <is>
          <t>ORD2445</t>
        </is>
      </c>
      <c r="B1446" s="17" t="inlineStr">
        <is>
          <t>2025-10-28</t>
        </is>
      </c>
      <c r="C1446" s="17" t="inlineStr">
        <is>
          <t>21:10:02</t>
        </is>
      </c>
      <c r="D1446" s="17" t="n">
        <v>1235</v>
      </c>
      <c r="E1446" s="17" t="n">
        <v>102</v>
      </c>
      <c r="F1446" s="17" t="n">
        <v>215</v>
      </c>
      <c r="G1446" s="17" t="inlineStr">
        <is>
          <t>Hyderabad</t>
        </is>
      </c>
      <c r="H1446" s="17" t="inlineStr">
        <is>
          <t>Biryani</t>
        </is>
      </c>
      <c r="I1446" s="22" t="n">
        <v>927</v>
      </c>
      <c r="J1446" s="22" t="n">
        <v>0</v>
      </c>
      <c r="K1446" s="22" t="n">
        <v>39</v>
      </c>
      <c r="L1446" s="23" t="n">
        <v>0.22</v>
      </c>
      <c r="M1446" s="22" t="n">
        <v>213.69</v>
      </c>
      <c r="N1446" s="24" t="n">
        <v>5.8</v>
      </c>
      <c r="O1446" s="24" t="n">
        <v>39.6</v>
      </c>
      <c r="P1446" s="17" t="inlineStr">
        <is>
          <t>Cash on Delivery</t>
        </is>
      </c>
      <c r="Q1446" s="17" t="inlineStr">
        <is>
          <t>Delivered</t>
        </is>
      </c>
      <c r="R1446" s="17" t="n">
        <v>2</v>
      </c>
      <c r="S1446" s="17">
        <f>TEXT(B1446,"yyyy-mm")</f>
        <v/>
      </c>
      <c r="T1446" s="17">
        <f>VLOOKUP(D1446,Customers!A:D,4,FALSE)</f>
        <v/>
      </c>
      <c r="U1446" s="17">
        <f>CONCATENATE(A1446,"-",G1446)</f>
        <v/>
      </c>
      <c r="V1446" s="17">
        <f>IF(N1446="","",IF(N1446&lt;=30,"Fast (&lt;30m)",IF(N1446&lt;=45,"Moderate (30-45m)","Delayed (&gt;45m)")))</f>
        <v/>
      </c>
      <c r="W1446" s="17">
        <f>IF(AND(I1446&gt;600,P1446="Delivered"),"High Value Delivered","Standard")</f>
        <v/>
      </c>
      <c r="X1446" s="17">
        <f>IF(OR(N1446&gt;50,Q1446&lt;=2),"High Risk / Delayed","Normal")</f>
        <v/>
      </c>
      <c r="Y1446" s="17">
        <f>IF(NOT(P1446="Cancelled"),"Fulfilled","Cancelled")</f>
        <v/>
      </c>
      <c r="Z1446" s="17">
        <f>IFERROR(Q1446,0)</f>
        <v/>
      </c>
    </row>
    <row r="1447">
      <c r="A1447" s="25" t="inlineStr">
        <is>
          <t>ORD2446</t>
        </is>
      </c>
      <c r="B1447" s="25" t="inlineStr">
        <is>
          <t>2025-08-26</t>
        </is>
      </c>
      <c r="C1447" s="25" t="inlineStr">
        <is>
          <t>12:28:09</t>
        </is>
      </c>
      <c r="D1447" s="25" t="n">
        <v>1259</v>
      </c>
      <c r="E1447" s="25" t="n">
        <v>114</v>
      </c>
      <c r="F1447" s="25" t="n">
        <v>215</v>
      </c>
      <c r="G1447" s="25" t="inlineStr">
        <is>
          <t>Hyderabad</t>
        </is>
      </c>
      <c r="H1447" s="25" t="inlineStr">
        <is>
          <t>Biryani</t>
        </is>
      </c>
      <c r="I1447" s="26" t="n">
        <v>365</v>
      </c>
      <c r="J1447" s="26" t="n">
        <v>11.26</v>
      </c>
      <c r="K1447" s="26" t="n">
        <v>26</v>
      </c>
      <c r="L1447" s="27" t="n">
        <v>0.22</v>
      </c>
      <c r="M1447" s="26" t="n">
        <v>86.8</v>
      </c>
      <c r="N1447" s="28" t="n">
        <v>3.2</v>
      </c>
      <c r="O1447" s="28" t="n">
        <v>34.3</v>
      </c>
      <c r="P1447" s="25" t="inlineStr">
        <is>
          <t>Credit Card</t>
        </is>
      </c>
      <c r="Q1447" s="25" t="inlineStr">
        <is>
          <t>Delivered</t>
        </is>
      </c>
      <c r="R1447" s="25" t="n">
        <v>5</v>
      </c>
      <c r="S1447" s="25">
        <f>TEXT(B1447,"yyyy-mm")</f>
        <v/>
      </c>
      <c r="T1447" s="25">
        <f>VLOOKUP(D1447,Customers!A:D,4,FALSE)</f>
        <v/>
      </c>
      <c r="U1447" s="25">
        <f>CONCATENATE(A1447,"-",G1447)</f>
        <v/>
      </c>
      <c r="V1447" s="25">
        <f>IF(N1447="","",IF(N1447&lt;=30,"Fast (&lt;30m)",IF(N1447&lt;=45,"Moderate (30-45m)","Delayed (&gt;45m)")))</f>
        <v/>
      </c>
      <c r="W1447" s="25">
        <f>IF(AND(I1447&gt;600,P1447="Delivered"),"High Value Delivered","Standard")</f>
        <v/>
      </c>
      <c r="X1447" s="25">
        <f>IF(OR(N1447&gt;50,Q1447&lt;=2),"High Risk / Delayed","Normal")</f>
        <v/>
      </c>
      <c r="Y1447" s="25">
        <f>IF(NOT(P1447="Cancelled"),"Fulfilled","Cancelled")</f>
        <v/>
      </c>
      <c r="Z1447" s="25">
        <f>IFERROR(Q1447,0)</f>
        <v/>
      </c>
    </row>
    <row r="1448">
      <c r="A1448" s="17" t="inlineStr">
        <is>
          <t>ORD2447</t>
        </is>
      </c>
      <c r="B1448" s="17" t="inlineStr">
        <is>
          <t>2025-07-24</t>
        </is>
      </c>
      <c r="C1448" s="17" t="inlineStr">
        <is>
          <t>23:23:00</t>
        </is>
      </c>
      <c r="D1448" s="17" t="n">
        <v>1088</v>
      </c>
      <c r="E1448" s="17" t="n">
        <v>120</v>
      </c>
      <c r="F1448" s="17" t="n">
        <v>207</v>
      </c>
      <c r="G1448" s="17" t="inlineStr">
        <is>
          <t>Pune</t>
        </is>
      </c>
      <c r="H1448" s="17" t="inlineStr">
        <is>
          <t>Fast Food</t>
        </is>
      </c>
      <c r="I1448" s="22" t="n">
        <v>664</v>
      </c>
      <c r="J1448" s="22" t="n">
        <v>69.98</v>
      </c>
      <c r="K1448" s="22" t="n">
        <v>40.5</v>
      </c>
      <c r="L1448" s="23" t="n">
        <v>0.18</v>
      </c>
      <c r="M1448" s="22" t="n">
        <v>129.64</v>
      </c>
      <c r="N1448" s="24" t="n">
        <v>6.1</v>
      </c>
      <c r="O1448" s="24" t="n">
        <v>39.5</v>
      </c>
      <c r="P1448" s="17" t="inlineStr">
        <is>
          <t>Credit Card</t>
        </is>
      </c>
      <c r="Q1448" s="17" t="inlineStr">
        <is>
          <t>Delivered</t>
        </is>
      </c>
      <c r="R1448" s="17" t="n">
        <v>5</v>
      </c>
      <c r="S1448" s="17">
        <f>TEXT(B1448,"yyyy-mm")</f>
        <v/>
      </c>
      <c r="T1448" s="17">
        <f>VLOOKUP(D1448,Customers!A:D,4,FALSE)</f>
        <v/>
      </c>
      <c r="U1448" s="17">
        <f>CONCATENATE(A1448,"-",G1448)</f>
        <v/>
      </c>
      <c r="V1448" s="17">
        <f>IF(N1448="","",IF(N1448&lt;=30,"Fast (&lt;30m)",IF(N1448&lt;=45,"Moderate (30-45m)","Delayed (&gt;45m)")))</f>
        <v/>
      </c>
      <c r="W1448" s="17">
        <f>IF(AND(I1448&gt;600,P1448="Delivered"),"High Value Delivered","Standard")</f>
        <v/>
      </c>
      <c r="X1448" s="17">
        <f>IF(OR(N1448&gt;50,Q1448&lt;=2),"High Risk / Delayed","Normal")</f>
        <v/>
      </c>
      <c r="Y1448" s="17">
        <f>IF(NOT(P1448="Cancelled"),"Fulfilled","Cancelled")</f>
        <v/>
      </c>
      <c r="Z1448" s="17">
        <f>IFERROR(Q1448,0)</f>
        <v/>
      </c>
    </row>
    <row r="1449">
      <c r="A1449" s="25" t="inlineStr">
        <is>
          <t>ORD2448</t>
        </is>
      </c>
      <c r="B1449" s="25" t="inlineStr">
        <is>
          <t>2025-04-22</t>
        </is>
      </c>
      <c r="C1449" s="25" t="inlineStr">
        <is>
          <t>17:06:01</t>
        </is>
      </c>
      <c r="D1449" s="25" t="n">
        <v>1057</v>
      </c>
      <c r="E1449" s="25" t="n">
        <v>103</v>
      </c>
      <c r="F1449" s="25" t="n">
        <v>222</v>
      </c>
      <c r="G1449" s="25" t="inlineStr">
        <is>
          <t>Mumbai</t>
        </is>
      </c>
      <c r="H1449" s="25" t="inlineStr">
        <is>
          <t>Italian</t>
        </is>
      </c>
      <c r="I1449" s="26" t="n">
        <v>620</v>
      </c>
      <c r="J1449" s="26" t="n">
        <v>0</v>
      </c>
      <c r="K1449" s="26" t="n">
        <v>25</v>
      </c>
      <c r="L1449" s="27" t="n">
        <v>0.18</v>
      </c>
      <c r="M1449" s="26" t="n">
        <v>117.85</v>
      </c>
      <c r="N1449" s="28" t="n">
        <v>2.7</v>
      </c>
      <c r="O1449" s="28" t="n">
        <v>22.8</v>
      </c>
      <c r="P1449" s="25" t="inlineStr">
        <is>
          <t>Credit Card</t>
        </is>
      </c>
      <c r="Q1449" s="25" t="inlineStr">
        <is>
          <t>Delivered</t>
        </is>
      </c>
      <c r="R1449" s="25" t="n">
        <v>5</v>
      </c>
      <c r="S1449" s="25">
        <f>TEXT(B1449,"yyyy-mm")</f>
        <v/>
      </c>
      <c r="T1449" s="25">
        <f>VLOOKUP(D1449,Customers!A:D,4,FALSE)</f>
        <v/>
      </c>
      <c r="U1449" s="25">
        <f>CONCATENATE(A1449,"-",G1449)</f>
        <v/>
      </c>
      <c r="V1449" s="25">
        <f>IF(N1449="","",IF(N1449&lt;=30,"Fast (&lt;30m)",IF(N1449&lt;=45,"Moderate (30-45m)","Delayed (&gt;45m)")))</f>
        <v/>
      </c>
      <c r="W1449" s="25">
        <f>IF(AND(I1449&gt;600,P1449="Delivered"),"High Value Delivered","Standard")</f>
        <v/>
      </c>
      <c r="X1449" s="25">
        <f>IF(OR(N1449&gt;50,Q1449&lt;=2),"High Risk / Delayed","Normal")</f>
        <v/>
      </c>
      <c r="Y1449" s="25">
        <f>IF(NOT(P1449="Cancelled"),"Fulfilled","Cancelled")</f>
        <v/>
      </c>
      <c r="Z1449" s="25">
        <f>IFERROR(Q1449,0)</f>
        <v/>
      </c>
    </row>
    <row r="1450">
      <c r="A1450" s="17" t="inlineStr">
        <is>
          <t>ORD2449</t>
        </is>
      </c>
      <c r="B1450" s="17" t="inlineStr">
        <is>
          <t>2025-07-20</t>
        </is>
      </c>
      <c r="C1450" s="17" t="inlineStr">
        <is>
          <t>21:10:19</t>
        </is>
      </c>
      <c r="D1450" s="17" t="n">
        <v>1085</v>
      </c>
      <c r="E1450" s="17" t="n">
        <v>114</v>
      </c>
      <c r="F1450" s="17" t="n">
        <v>215</v>
      </c>
      <c r="G1450" s="17" t="inlineStr">
        <is>
          <t>Hyderabad</t>
        </is>
      </c>
      <c r="H1450" s="17" t="inlineStr">
        <is>
          <t>Biryani</t>
        </is>
      </c>
      <c r="I1450" s="22" t="n">
        <v>782</v>
      </c>
      <c r="J1450" s="22" t="n">
        <v>0</v>
      </c>
      <c r="K1450" s="22" t="n">
        <v>27</v>
      </c>
      <c r="L1450" s="23" t="n">
        <v>0.22</v>
      </c>
      <c r="M1450" s="22" t="n">
        <v>178.79</v>
      </c>
      <c r="N1450" s="24" t="n">
        <v>3.4</v>
      </c>
      <c r="O1450" s="24" t="n">
        <v>30.9</v>
      </c>
      <c r="P1450" s="17" t="inlineStr">
        <is>
          <t>Digital Wallet</t>
        </is>
      </c>
      <c r="Q1450" s="17" t="inlineStr">
        <is>
          <t>Delivered</t>
        </is>
      </c>
      <c r="R1450" s="17" t="n">
        <v>5</v>
      </c>
      <c r="S1450" s="17">
        <f>TEXT(B1450,"yyyy-mm")</f>
        <v/>
      </c>
      <c r="T1450" s="17">
        <f>VLOOKUP(D1450,Customers!A:D,4,FALSE)</f>
        <v/>
      </c>
      <c r="U1450" s="17">
        <f>CONCATENATE(A1450,"-",G1450)</f>
        <v/>
      </c>
      <c r="V1450" s="17">
        <f>IF(N1450="","",IF(N1450&lt;=30,"Fast (&lt;30m)",IF(N1450&lt;=45,"Moderate (30-45m)","Delayed (&gt;45m)")))</f>
        <v/>
      </c>
      <c r="W1450" s="17">
        <f>IF(AND(I1450&gt;600,P1450="Delivered"),"High Value Delivered","Standard")</f>
        <v/>
      </c>
      <c r="X1450" s="17">
        <f>IF(OR(N1450&gt;50,Q1450&lt;=2),"High Risk / Delayed","Normal")</f>
        <v/>
      </c>
      <c r="Y1450" s="17">
        <f>IF(NOT(P1450="Cancelled"),"Fulfilled","Cancelled")</f>
        <v/>
      </c>
      <c r="Z1450" s="17">
        <f>IFERROR(Q1450,0)</f>
        <v/>
      </c>
    </row>
    <row r="1451">
      <c r="A1451" s="25" t="inlineStr">
        <is>
          <t>ORD2450</t>
        </is>
      </c>
      <c r="B1451" s="25" t="inlineStr">
        <is>
          <t>2025-03-23</t>
        </is>
      </c>
      <c r="C1451" s="25" t="inlineStr">
        <is>
          <t>10:31:42</t>
        </is>
      </c>
      <c r="D1451" s="25" t="n">
        <v>1147</v>
      </c>
      <c r="E1451" s="25" t="n">
        <v>107</v>
      </c>
      <c r="F1451" s="25" t="n">
        <v>206</v>
      </c>
      <c r="G1451" s="25" t="inlineStr">
        <is>
          <t>Mumbai</t>
        </is>
      </c>
      <c r="H1451" s="25" t="inlineStr">
        <is>
          <t>Desserts</t>
        </is>
      </c>
      <c r="I1451" s="26" t="n">
        <v>281</v>
      </c>
      <c r="J1451" s="26" t="n">
        <v>21</v>
      </c>
      <c r="K1451" s="26" t="n">
        <v>29.5</v>
      </c>
      <c r="L1451" s="27" t="n">
        <v>0.25</v>
      </c>
      <c r="M1451" s="26" t="n">
        <v>77.62</v>
      </c>
      <c r="N1451" s="28" t="n">
        <v>3.9</v>
      </c>
      <c r="O1451" s="28" t="n">
        <v>82.5</v>
      </c>
      <c r="P1451" s="25" t="inlineStr">
        <is>
          <t>Cash on Delivery</t>
        </is>
      </c>
      <c r="Q1451" s="25" t="inlineStr">
        <is>
          <t>Delivered</t>
        </is>
      </c>
      <c r="R1451" s="25" t="n">
        <v>1</v>
      </c>
      <c r="S1451" s="25">
        <f>TEXT(B1451,"yyyy-mm")</f>
        <v/>
      </c>
      <c r="T1451" s="25">
        <f>VLOOKUP(D1451,Customers!A:D,4,FALSE)</f>
        <v/>
      </c>
      <c r="U1451" s="25">
        <f>CONCATENATE(A1451,"-",G1451)</f>
        <v/>
      </c>
      <c r="V1451" s="25">
        <f>IF(N1451="","",IF(N1451&lt;=30,"Fast (&lt;30m)",IF(N1451&lt;=45,"Moderate (30-45m)","Delayed (&gt;45m)")))</f>
        <v/>
      </c>
      <c r="W1451" s="25">
        <f>IF(AND(I1451&gt;600,P1451="Delivered"),"High Value Delivered","Standard")</f>
        <v/>
      </c>
      <c r="X1451" s="25">
        <f>IF(OR(N1451&gt;50,Q1451&lt;=2),"High Risk / Delayed","Normal")</f>
        <v/>
      </c>
      <c r="Y1451" s="25">
        <f>IF(NOT(P1451="Cancelled"),"Fulfilled","Cancelled")</f>
        <v/>
      </c>
      <c r="Z1451" s="25">
        <f>IFERROR(Q1451,0)</f>
        <v/>
      </c>
    </row>
    <row r="1452">
      <c r="A1452" s="17" t="inlineStr">
        <is>
          <t>ORD2451</t>
        </is>
      </c>
      <c r="B1452" s="17" t="inlineStr">
        <is>
          <t>2025-09-23</t>
        </is>
      </c>
      <c r="C1452" s="17" t="inlineStr">
        <is>
          <t>09:31:51</t>
        </is>
      </c>
      <c r="D1452" s="17" t="n">
        <v>1156</v>
      </c>
      <c r="E1452" s="17" t="n">
        <v>110</v>
      </c>
      <c r="F1452" s="17" t="n">
        <v>226</v>
      </c>
      <c r="G1452" s="17" t="inlineStr">
        <is>
          <t>Pune</t>
        </is>
      </c>
      <c r="H1452" s="17" t="inlineStr">
        <is>
          <t>North Indian</t>
        </is>
      </c>
      <c r="I1452" s="22" t="n">
        <v>441</v>
      </c>
      <c r="J1452" s="22" t="n">
        <v>0</v>
      </c>
      <c r="K1452" s="22" t="n">
        <v>49</v>
      </c>
      <c r="L1452" s="23" t="n">
        <v>0.18</v>
      </c>
      <c r="M1452" s="22" t="n">
        <v>91.63</v>
      </c>
      <c r="N1452" s="24" t="n">
        <v>7.8</v>
      </c>
      <c r="O1452" s="24" t="n">
        <v>34.9</v>
      </c>
      <c r="P1452" s="17" t="inlineStr">
        <is>
          <t>Debit Card</t>
        </is>
      </c>
      <c r="Q1452" s="17" t="inlineStr">
        <is>
          <t>Delivered</t>
        </is>
      </c>
      <c r="R1452" s="17" t="n">
        <v>4</v>
      </c>
      <c r="S1452" s="17">
        <f>TEXT(B1452,"yyyy-mm")</f>
        <v/>
      </c>
      <c r="T1452" s="17">
        <f>VLOOKUP(D1452,Customers!A:D,4,FALSE)</f>
        <v/>
      </c>
      <c r="U1452" s="17">
        <f>CONCATENATE(A1452,"-",G1452)</f>
        <v/>
      </c>
      <c r="V1452" s="17">
        <f>IF(N1452="","",IF(N1452&lt;=30,"Fast (&lt;30m)",IF(N1452&lt;=45,"Moderate (30-45m)","Delayed (&gt;45m)")))</f>
        <v/>
      </c>
      <c r="W1452" s="17">
        <f>IF(AND(I1452&gt;600,P1452="Delivered"),"High Value Delivered","Standard")</f>
        <v/>
      </c>
      <c r="X1452" s="17">
        <f>IF(OR(N1452&gt;50,Q1452&lt;=2),"High Risk / Delayed","Normal")</f>
        <v/>
      </c>
      <c r="Y1452" s="17">
        <f>IF(NOT(P1452="Cancelled"),"Fulfilled","Cancelled")</f>
        <v/>
      </c>
      <c r="Z1452" s="17">
        <f>IFERROR(Q1452,0)</f>
        <v/>
      </c>
    </row>
    <row r="1453">
      <c r="A1453" s="25" t="inlineStr">
        <is>
          <t>ORD2452</t>
        </is>
      </c>
      <c r="B1453" s="25" t="inlineStr">
        <is>
          <t>2025-12-17</t>
        </is>
      </c>
      <c r="C1453" s="25" t="inlineStr">
        <is>
          <t>20:39:27</t>
        </is>
      </c>
      <c r="D1453" s="25" t="n">
        <v>1176</v>
      </c>
      <c r="E1453" s="25" t="n">
        <v>119</v>
      </c>
      <c r="F1453" s="25" t="n">
        <v>215</v>
      </c>
      <c r="G1453" s="25" t="inlineStr">
        <is>
          <t>Hyderabad</t>
        </is>
      </c>
      <c r="H1453" s="25" t="inlineStr">
        <is>
          <t>Biryani</t>
        </is>
      </c>
      <c r="I1453" s="26" t="n">
        <v>846</v>
      </c>
      <c r="J1453" s="26" t="n">
        <v>0</v>
      </c>
      <c r="K1453" s="26" t="n">
        <v>31.5</v>
      </c>
      <c r="L1453" s="27" t="n">
        <v>0.2</v>
      </c>
      <c r="M1453" s="26" t="n">
        <v>177.08</v>
      </c>
      <c r="N1453" s="28" t="n">
        <v>4.3</v>
      </c>
      <c r="O1453" s="28" t="n">
        <v>31.6</v>
      </c>
      <c r="P1453" s="25" t="inlineStr">
        <is>
          <t>Debit Card</t>
        </is>
      </c>
      <c r="Q1453" s="25" t="inlineStr">
        <is>
          <t>Delivered</t>
        </is>
      </c>
      <c r="R1453" s="25" t="n">
        <v>1</v>
      </c>
      <c r="S1453" s="25">
        <f>TEXT(B1453,"yyyy-mm")</f>
        <v/>
      </c>
      <c r="T1453" s="25">
        <f>VLOOKUP(D1453,Customers!A:D,4,FALSE)</f>
        <v/>
      </c>
      <c r="U1453" s="25">
        <f>CONCATENATE(A1453,"-",G1453)</f>
        <v/>
      </c>
      <c r="V1453" s="25">
        <f>IF(N1453="","",IF(N1453&lt;=30,"Fast (&lt;30m)",IF(N1453&lt;=45,"Moderate (30-45m)","Delayed (&gt;45m)")))</f>
        <v/>
      </c>
      <c r="W1453" s="25">
        <f>IF(AND(I1453&gt;600,P1453="Delivered"),"High Value Delivered","Standard")</f>
        <v/>
      </c>
      <c r="X1453" s="25">
        <f>IF(OR(N1453&gt;50,Q1453&lt;=2),"High Risk / Delayed","Normal")</f>
        <v/>
      </c>
      <c r="Y1453" s="25">
        <f>IF(NOT(P1453="Cancelled"),"Fulfilled","Cancelled")</f>
        <v/>
      </c>
      <c r="Z1453" s="25">
        <f>IFERROR(Q1453,0)</f>
        <v/>
      </c>
    </row>
    <row r="1454">
      <c r="A1454" s="17" t="inlineStr">
        <is>
          <t>ORD2453</t>
        </is>
      </c>
      <c r="B1454" s="17" t="inlineStr">
        <is>
          <t>2025-07-09</t>
        </is>
      </c>
      <c r="C1454" s="17" t="inlineStr">
        <is>
          <t>14:36:30</t>
        </is>
      </c>
      <c r="D1454" s="17" t="n">
        <v>1038</v>
      </c>
      <c r="E1454" s="17" t="n">
        <v>115</v>
      </c>
      <c r="F1454" s="17" t="n">
        <v>227</v>
      </c>
      <c r="G1454" s="17" t="inlineStr">
        <is>
          <t>Bangalore</t>
        </is>
      </c>
      <c r="H1454" s="17" t="inlineStr">
        <is>
          <t>Italian</t>
        </is>
      </c>
      <c r="I1454" s="22" t="n">
        <v>284</v>
      </c>
      <c r="J1454" s="22" t="n">
        <v>0</v>
      </c>
      <c r="K1454" s="22" t="n">
        <v>25</v>
      </c>
      <c r="L1454" s="23" t="n">
        <v>0.2</v>
      </c>
      <c r="M1454" s="22" t="n">
        <v>63.05</v>
      </c>
      <c r="N1454" s="24" t="n">
        <v>2.1</v>
      </c>
      <c r="O1454" s="24" t="n">
        <v>24</v>
      </c>
      <c r="P1454" s="17" t="inlineStr">
        <is>
          <t>Credit Card</t>
        </is>
      </c>
      <c r="Q1454" s="17" t="inlineStr">
        <is>
          <t>Delivered</t>
        </is>
      </c>
      <c r="R1454" s="17" t="n">
        <v>4</v>
      </c>
      <c r="S1454" s="17">
        <f>TEXT(B1454,"yyyy-mm")</f>
        <v/>
      </c>
      <c r="T1454" s="17">
        <f>VLOOKUP(D1454,Customers!A:D,4,FALSE)</f>
        <v/>
      </c>
      <c r="U1454" s="17">
        <f>CONCATENATE(A1454,"-",G1454)</f>
        <v/>
      </c>
      <c r="V1454" s="17">
        <f>IF(N1454="","",IF(N1454&lt;=30,"Fast (&lt;30m)",IF(N1454&lt;=45,"Moderate (30-45m)","Delayed (&gt;45m)")))</f>
        <v/>
      </c>
      <c r="W1454" s="17">
        <f>IF(AND(I1454&gt;600,P1454="Delivered"),"High Value Delivered","Standard")</f>
        <v/>
      </c>
      <c r="X1454" s="17">
        <f>IF(OR(N1454&gt;50,Q1454&lt;=2),"High Risk / Delayed","Normal")</f>
        <v/>
      </c>
      <c r="Y1454" s="17">
        <f>IF(NOT(P1454="Cancelled"),"Fulfilled","Cancelled")</f>
        <v/>
      </c>
      <c r="Z1454" s="17">
        <f>IFERROR(Q1454,0)</f>
        <v/>
      </c>
    </row>
    <row r="1455">
      <c r="A1455" s="25" t="inlineStr">
        <is>
          <t>ORD2454</t>
        </is>
      </c>
      <c r="B1455" s="25" t="inlineStr">
        <is>
          <t>2025-12-19</t>
        </is>
      </c>
      <c r="C1455" s="25" t="inlineStr">
        <is>
          <t>12:14:58</t>
        </is>
      </c>
      <c r="D1455" s="25" t="n">
        <v>1075</v>
      </c>
      <c r="E1455" s="25" t="n">
        <v>112</v>
      </c>
      <c r="F1455" s="25" t="n">
        <v>230</v>
      </c>
      <c r="G1455" s="25" t="inlineStr">
        <is>
          <t>Delhi NCR</t>
        </is>
      </c>
      <c r="H1455" s="25" t="inlineStr">
        <is>
          <t>North Indian</t>
        </is>
      </c>
      <c r="I1455" s="26" t="n">
        <v>540</v>
      </c>
      <c r="J1455" s="26" t="n">
        <v>50.96</v>
      </c>
      <c r="K1455" s="26" t="n">
        <v>61</v>
      </c>
      <c r="L1455" s="27" t="n">
        <v>0.22</v>
      </c>
      <c r="M1455" s="26" t="n">
        <v>134.05</v>
      </c>
      <c r="N1455" s="28" t="n">
        <v>10.2</v>
      </c>
      <c r="O1455" s="28" t="n">
        <v>63.1</v>
      </c>
      <c r="P1455" s="25" t="inlineStr">
        <is>
          <t>Cash on Delivery</t>
        </is>
      </c>
      <c r="Q1455" s="25" t="inlineStr">
        <is>
          <t>Delivered</t>
        </is>
      </c>
      <c r="R1455" s="25" t="n">
        <v>2</v>
      </c>
      <c r="S1455" s="25">
        <f>TEXT(B1455,"yyyy-mm")</f>
        <v/>
      </c>
      <c r="T1455" s="25">
        <f>VLOOKUP(D1455,Customers!A:D,4,FALSE)</f>
        <v/>
      </c>
      <c r="U1455" s="25">
        <f>CONCATENATE(A1455,"-",G1455)</f>
        <v/>
      </c>
      <c r="V1455" s="25">
        <f>IF(N1455="","",IF(N1455&lt;=30,"Fast (&lt;30m)",IF(N1455&lt;=45,"Moderate (30-45m)","Delayed (&gt;45m)")))</f>
        <v/>
      </c>
      <c r="W1455" s="25">
        <f>IF(AND(I1455&gt;600,P1455="Delivered"),"High Value Delivered","Standard")</f>
        <v/>
      </c>
      <c r="X1455" s="25">
        <f>IF(OR(N1455&gt;50,Q1455&lt;=2),"High Risk / Delayed","Normal")</f>
        <v/>
      </c>
      <c r="Y1455" s="25">
        <f>IF(NOT(P1455="Cancelled"),"Fulfilled","Cancelled")</f>
        <v/>
      </c>
      <c r="Z1455" s="25">
        <f>IFERROR(Q1455,0)</f>
        <v/>
      </c>
    </row>
    <row r="1456">
      <c r="A1456" s="17" t="inlineStr">
        <is>
          <t>ORD2455</t>
        </is>
      </c>
      <c r="B1456" s="17" t="inlineStr">
        <is>
          <t>2025-12-24</t>
        </is>
      </c>
      <c r="C1456" s="17" t="inlineStr">
        <is>
          <t>20:12:57</t>
        </is>
      </c>
      <c r="D1456" s="17" t="n">
        <v>1075</v>
      </c>
      <c r="E1456" s="17" t="n">
        <v>118</v>
      </c>
      <c r="F1456" s="17" t="n">
        <v>230</v>
      </c>
      <c r="G1456" s="17" t="inlineStr">
        <is>
          <t>Delhi NCR</t>
        </is>
      </c>
      <c r="H1456" s="17" t="inlineStr">
        <is>
          <t>North Indian</t>
        </is>
      </c>
      <c r="I1456" s="22" t="n">
        <v>350</v>
      </c>
      <c r="J1456" s="22" t="n">
        <v>41.15</v>
      </c>
      <c r="K1456" s="22" t="n">
        <v>27.5</v>
      </c>
      <c r="L1456" s="23" t="n">
        <v>0.2</v>
      </c>
      <c r="M1456" s="22" t="n">
        <v>76.88</v>
      </c>
      <c r="N1456" s="24" t="n">
        <v>3.5</v>
      </c>
      <c r="O1456" s="24" t="n">
        <v/>
      </c>
      <c r="P1456" s="17" t="inlineStr">
        <is>
          <t>Digital Wallet</t>
        </is>
      </c>
      <c r="Q1456" s="17" t="inlineStr">
        <is>
          <t>Cancelled</t>
        </is>
      </c>
      <c r="R1456" s="17" t="n">
        <v/>
      </c>
      <c r="S1456" s="17">
        <f>TEXT(B1456,"yyyy-mm")</f>
        <v/>
      </c>
      <c r="T1456" s="17">
        <f>VLOOKUP(D1456,Customers!A:D,4,FALSE)</f>
        <v/>
      </c>
      <c r="U1456" s="17">
        <f>CONCATENATE(A1456,"-",G1456)</f>
        <v/>
      </c>
      <c r="V1456" s="17">
        <f>IF(N1456="","",IF(N1456&lt;=30,"Fast (&lt;30m)",IF(N1456&lt;=45,"Moderate (30-45m)","Delayed (&gt;45m)")))</f>
        <v/>
      </c>
      <c r="W1456" s="17">
        <f>IF(AND(I1456&gt;600,P1456="Delivered"),"High Value Delivered","Standard")</f>
        <v/>
      </c>
      <c r="X1456" s="17">
        <f>IF(OR(N1456&gt;50,Q1456&lt;=2),"High Risk / Delayed","Normal")</f>
        <v/>
      </c>
      <c r="Y1456" s="17">
        <f>IF(NOT(P1456="Cancelled"),"Fulfilled","Cancelled")</f>
        <v/>
      </c>
      <c r="Z1456" s="17">
        <f>IFERROR(Q1456,0)</f>
        <v/>
      </c>
    </row>
    <row r="1457">
      <c r="A1457" s="25" t="inlineStr">
        <is>
          <t>ORD2456</t>
        </is>
      </c>
      <c r="B1457" s="25" t="inlineStr">
        <is>
          <t>2025-05-08</t>
        </is>
      </c>
      <c r="C1457" s="25" t="inlineStr">
        <is>
          <t>19:31:36</t>
        </is>
      </c>
      <c r="D1457" s="25" t="n">
        <v>1121</v>
      </c>
      <c r="E1457" s="25" t="n">
        <v>111</v>
      </c>
      <c r="F1457" s="25" t="n">
        <v>201</v>
      </c>
      <c r="G1457" s="25" t="inlineStr">
        <is>
          <t>Bangalore</t>
        </is>
      </c>
      <c r="H1457" s="25" t="inlineStr">
        <is>
          <t>South Indian</t>
        </is>
      </c>
      <c r="I1457" s="26" t="n">
        <v>701</v>
      </c>
      <c r="J1457" s="26" t="n">
        <v>78.75</v>
      </c>
      <c r="K1457" s="26" t="n">
        <v>67</v>
      </c>
      <c r="L1457" s="27" t="n">
        <v>0.15</v>
      </c>
      <c r="M1457" s="26" t="n">
        <v>121.9</v>
      </c>
      <c r="N1457" s="28" t="n">
        <v>11.4</v>
      </c>
      <c r="O1457" s="28" t="n">
        <v>58.7</v>
      </c>
      <c r="P1457" s="25" t="inlineStr">
        <is>
          <t>UPI</t>
        </is>
      </c>
      <c r="Q1457" s="25" t="inlineStr">
        <is>
          <t>Delivered</t>
        </is>
      </c>
      <c r="R1457" s="25" t="n">
        <v>2</v>
      </c>
      <c r="S1457" s="25">
        <f>TEXT(B1457,"yyyy-mm")</f>
        <v/>
      </c>
      <c r="T1457" s="25">
        <f>VLOOKUP(D1457,Customers!A:D,4,FALSE)</f>
        <v/>
      </c>
      <c r="U1457" s="25">
        <f>CONCATENATE(A1457,"-",G1457)</f>
        <v/>
      </c>
      <c r="V1457" s="25">
        <f>IF(N1457="","",IF(N1457&lt;=30,"Fast (&lt;30m)",IF(N1457&lt;=45,"Moderate (30-45m)","Delayed (&gt;45m)")))</f>
        <v/>
      </c>
      <c r="W1457" s="25">
        <f>IF(AND(I1457&gt;600,P1457="Delivered"),"High Value Delivered","Standard")</f>
        <v/>
      </c>
      <c r="X1457" s="25">
        <f>IF(OR(N1457&gt;50,Q1457&lt;=2),"High Risk / Delayed","Normal")</f>
        <v/>
      </c>
      <c r="Y1457" s="25">
        <f>IF(NOT(P1457="Cancelled"),"Fulfilled","Cancelled")</f>
        <v/>
      </c>
      <c r="Z1457" s="25">
        <f>IFERROR(Q1457,0)</f>
        <v/>
      </c>
    </row>
    <row r="1458">
      <c r="A1458" s="17" t="inlineStr">
        <is>
          <t>ORD2457</t>
        </is>
      </c>
      <c r="B1458" s="17" t="inlineStr">
        <is>
          <t>2025-02-11</t>
        </is>
      </c>
      <c r="C1458" s="17" t="inlineStr">
        <is>
          <t>18:33:31</t>
        </is>
      </c>
      <c r="D1458" s="17" t="n">
        <v>1286</v>
      </c>
      <c r="E1458" s="17" t="n">
        <v>112</v>
      </c>
      <c r="F1458" s="17" t="n">
        <v>219</v>
      </c>
      <c r="G1458" s="17" t="inlineStr">
        <is>
          <t>Delhi NCR</t>
        </is>
      </c>
      <c r="H1458" s="17" t="inlineStr">
        <is>
          <t>North Indian</t>
        </is>
      </c>
      <c r="I1458" s="22" t="n">
        <v>693</v>
      </c>
      <c r="J1458" s="22" t="n">
        <v>49.39</v>
      </c>
      <c r="K1458" s="22" t="n">
        <v>25</v>
      </c>
      <c r="L1458" s="23" t="n">
        <v>0.22</v>
      </c>
      <c r="M1458" s="22" t="n">
        <v>158.71</v>
      </c>
      <c r="N1458" s="24" t="n">
        <v>1.4</v>
      </c>
      <c r="O1458" s="24" t="n">
        <v>31.6</v>
      </c>
      <c r="P1458" s="17" t="inlineStr">
        <is>
          <t>Debit Card</t>
        </is>
      </c>
      <c r="Q1458" s="17" t="inlineStr">
        <is>
          <t>Delivered</t>
        </is>
      </c>
      <c r="R1458" s="17" t="n">
        <v>4</v>
      </c>
      <c r="S1458" s="17">
        <f>TEXT(B1458,"yyyy-mm")</f>
        <v/>
      </c>
      <c r="T1458" s="17">
        <f>VLOOKUP(D1458,Customers!A:D,4,FALSE)</f>
        <v/>
      </c>
      <c r="U1458" s="17">
        <f>CONCATENATE(A1458,"-",G1458)</f>
        <v/>
      </c>
      <c r="V1458" s="17">
        <f>IF(N1458="","",IF(N1458&lt;=30,"Fast (&lt;30m)",IF(N1458&lt;=45,"Moderate (30-45m)","Delayed (&gt;45m)")))</f>
        <v/>
      </c>
      <c r="W1458" s="17">
        <f>IF(AND(I1458&gt;600,P1458="Delivered"),"High Value Delivered","Standard")</f>
        <v/>
      </c>
      <c r="X1458" s="17">
        <f>IF(OR(N1458&gt;50,Q1458&lt;=2),"High Risk / Delayed","Normal")</f>
        <v/>
      </c>
      <c r="Y1458" s="17">
        <f>IF(NOT(P1458="Cancelled"),"Fulfilled","Cancelled")</f>
        <v/>
      </c>
      <c r="Z1458" s="17">
        <f>IFERROR(Q1458,0)</f>
        <v/>
      </c>
    </row>
    <row r="1459">
      <c r="A1459" s="25" t="inlineStr">
        <is>
          <t>ORD2458</t>
        </is>
      </c>
      <c r="B1459" s="25" t="inlineStr">
        <is>
          <t>2025-07-19</t>
        </is>
      </c>
      <c r="C1459" s="25" t="inlineStr">
        <is>
          <t>12:49:12</t>
        </is>
      </c>
      <c r="D1459" s="25" t="n">
        <v>1183</v>
      </c>
      <c r="E1459" s="25" t="n">
        <v>103</v>
      </c>
      <c r="F1459" s="25" t="n">
        <v>229</v>
      </c>
      <c r="G1459" s="25" t="inlineStr">
        <is>
          <t>Mumbai</t>
        </is>
      </c>
      <c r="H1459" s="25" t="inlineStr">
        <is>
          <t>Italian</t>
        </is>
      </c>
      <c r="I1459" s="26" t="n">
        <v>784</v>
      </c>
      <c r="J1459" s="26" t="n">
        <v>89.62</v>
      </c>
      <c r="K1459" s="26" t="n">
        <v>0</v>
      </c>
      <c r="L1459" s="27" t="n">
        <v>0.18</v>
      </c>
      <c r="M1459" s="26" t="n">
        <v>141.12</v>
      </c>
      <c r="N1459" s="28" t="n">
        <v>6.1</v>
      </c>
      <c r="O1459" s="28" t="n">
        <v>46.8</v>
      </c>
      <c r="P1459" s="25" t="inlineStr">
        <is>
          <t>UPI</t>
        </is>
      </c>
      <c r="Q1459" s="25" t="inlineStr">
        <is>
          <t>Delivered</t>
        </is>
      </c>
      <c r="R1459" s="25" t="n">
        <v>4</v>
      </c>
      <c r="S1459" s="25">
        <f>TEXT(B1459,"yyyy-mm")</f>
        <v/>
      </c>
      <c r="T1459" s="25">
        <f>VLOOKUP(D1459,Customers!A:D,4,FALSE)</f>
        <v/>
      </c>
      <c r="U1459" s="25">
        <f>CONCATENATE(A1459,"-",G1459)</f>
        <v/>
      </c>
      <c r="V1459" s="25">
        <f>IF(N1459="","",IF(N1459&lt;=30,"Fast (&lt;30m)",IF(N1459&lt;=45,"Moderate (30-45m)","Delayed (&gt;45m)")))</f>
        <v/>
      </c>
      <c r="W1459" s="25">
        <f>IF(AND(I1459&gt;600,P1459="Delivered"),"High Value Delivered","Standard")</f>
        <v/>
      </c>
      <c r="X1459" s="25">
        <f>IF(OR(N1459&gt;50,Q1459&lt;=2),"High Risk / Delayed","Normal")</f>
        <v/>
      </c>
      <c r="Y1459" s="25">
        <f>IF(NOT(P1459="Cancelled"),"Fulfilled","Cancelled")</f>
        <v/>
      </c>
      <c r="Z1459" s="25">
        <f>IFERROR(Q1459,0)</f>
        <v/>
      </c>
    </row>
    <row r="1460">
      <c r="A1460" s="17" t="inlineStr">
        <is>
          <t>ORD2459</t>
        </is>
      </c>
      <c r="B1460" s="17" t="inlineStr">
        <is>
          <t>2025-11-21</t>
        </is>
      </c>
      <c r="C1460" s="17" t="inlineStr">
        <is>
          <t>13:00:20</t>
        </is>
      </c>
      <c r="D1460" s="17" t="n">
        <v>1097</v>
      </c>
      <c r="E1460" s="17" t="n">
        <v>111</v>
      </c>
      <c r="F1460" s="17" t="n">
        <v>220</v>
      </c>
      <c r="G1460" s="17" t="inlineStr">
        <is>
          <t>Bangalore</t>
        </is>
      </c>
      <c r="H1460" s="17" t="inlineStr">
        <is>
          <t>South Indian</t>
        </is>
      </c>
      <c r="I1460" s="22" t="n">
        <v>584</v>
      </c>
      <c r="J1460" s="22" t="n">
        <v>22.54</v>
      </c>
      <c r="K1460" s="22" t="n">
        <v>40</v>
      </c>
      <c r="L1460" s="23" t="n">
        <v>0.15</v>
      </c>
      <c r="M1460" s="22" t="n">
        <v>97.59999999999999</v>
      </c>
      <c r="N1460" s="24" t="n">
        <v>6</v>
      </c>
      <c r="O1460" s="24" t="n">
        <v>40.5</v>
      </c>
      <c r="P1460" s="17" t="inlineStr">
        <is>
          <t>Debit Card</t>
        </is>
      </c>
      <c r="Q1460" s="17" t="inlineStr">
        <is>
          <t>Delivered</t>
        </is>
      </c>
      <c r="R1460" s="17" t="n">
        <v>1</v>
      </c>
      <c r="S1460" s="17">
        <f>TEXT(B1460,"yyyy-mm")</f>
        <v/>
      </c>
      <c r="T1460" s="17">
        <f>VLOOKUP(D1460,Customers!A:D,4,FALSE)</f>
        <v/>
      </c>
      <c r="U1460" s="17">
        <f>CONCATENATE(A1460,"-",G1460)</f>
        <v/>
      </c>
      <c r="V1460" s="17">
        <f>IF(N1460="","",IF(N1460&lt;=30,"Fast (&lt;30m)",IF(N1460&lt;=45,"Moderate (30-45m)","Delayed (&gt;45m)")))</f>
        <v/>
      </c>
      <c r="W1460" s="17">
        <f>IF(AND(I1460&gt;600,P1460="Delivered"),"High Value Delivered","Standard")</f>
        <v/>
      </c>
      <c r="X1460" s="17">
        <f>IF(OR(N1460&gt;50,Q1460&lt;=2),"High Risk / Delayed","Normal")</f>
        <v/>
      </c>
      <c r="Y1460" s="17">
        <f>IF(NOT(P1460="Cancelled"),"Fulfilled","Cancelled")</f>
        <v/>
      </c>
      <c r="Z1460" s="17">
        <f>IFERROR(Q1460,0)</f>
        <v/>
      </c>
    </row>
    <row r="1461">
      <c r="A1461" s="25" t="inlineStr">
        <is>
          <t>ORD2460</t>
        </is>
      </c>
      <c r="B1461" s="25" t="inlineStr">
        <is>
          <t>2025-11-06</t>
        </is>
      </c>
      <c r="C1461" s="25" t="inlineStr">
        <is>
          <t>20:56:34</t>
        </is>
      </c>
      <c r="D1461" s="25" t="n">
        <v>1153</v>
      </c>
      <c r="E1461" s="25" t="n">
        <v>115</v>
      </c>
      <c r="F1461" s="25" t="n">
        <v>220</v>
      </c>
      <c r="G1461" s="25" t="inlineStr">
        <is>
          <t>Bangalore</t>
        </is>
      </c>
      <c r="H1461" s="25" t="inlineStr">
        <is>
          <t>Italian</t>
        </is>
      </c>
      <c r="I1461" s="26" t="n">
        <v>424</v>
      </c>
      <c r="J1461" s="26" t="n">
        <v>21.91</v>
      </c>
      <c r="K1461" s="26" t="n">
        <v>35</v>
      </c>
      <c r="L1461" s="27" t="n">
        <v>0.2</v>
      </c>
      <c r="M1461" s="26" t="n">
        <v>93.55</v>
      </c>
      <c r="N1461" s="28" t="n">
        <v>5</v>
      </c>
      <c r="O1461" s="28" t="n">
        <v>41.8</v>
      </c>
      <c r="P1461" s="25" t="inlineStr">
        <is>
          <t>Digital Wallet</t>
        </is>
      </c>
      <c r="Q1461" s="25" t="inlineStr">
        <is>
          <t>Delivered</t>
        </is>
      </c>
      <c r="R1461" s="25" t="n">
        <v>2</v>
      </c>
      <c r="S1461" s="25">
        <f>TEXT(B1461,"yyyy-mm")</f>
        <v/>
      </c>
      <c r="T1461" s="25">
        <f>VLOOKUP(D1461,Customers!A:D,4,FALSE)</f>
        <v/>
      </c>
      <c r="U1461" s="25">
        <f>CONCATENATE(A1461,"-",G1461)</f>
        <v/>
      </c>
      <c r="V1461" s="25">
        <f>IF(N1461="","",IF(N1461&lt;=30,"Fast (&lt;30m)",IF(N1461&lt;=45,"Moderate (30-45m)","Delayed (&gt;45m)")))</f>
        <v/>
      </c>
      <c r="W1461" s="25">
        <f>IF(AND(I1461&gt;600,P1461="Delivered"),"High Value Delivered","Standard")</f>
        <v/>
      </c>
      <c r="X1461" s="25">
        <f>IF(OR(N1461&gt;50,Q1461&lt;=2),"High Risk / Delayed","Normal")</f>
        <v/>
      </c>
      <c r="Y1461" s="25">
        <f>IF(NOT(P1461="Cancelled"),"Fulfilled","Cancelled")</f>
        <v/>
      </c>
      <c r="Z1461" s="25">
        <f>IFERROR(Q1461,0)</f>
        <v/>
      </c>
    </row>
    <row r="1462">
      <c r="A1462" s="17" t="inlineStr">
        <is>
          <t>ORD2461</t>
        </is>
      </c>
      <c r="B1462" s="17" t="inlineStr">
        <is>
          <t>2025-04-10</t>
        </is>
      </c>
      <c r="C1462" s="17" t="inlineStr">
        <is>
          <t>20:33:51</t>
        </is>
      </c>
      <c r="D1462" s="17" t="n">
        <v>1116</v>
      </c>
      <c r="E1462" s="17" t="n">
        <v>103</v>
      </c>
      <c r="F1462" s="17" t="n">
        <v>202</v>
      </c>
      <c r="G1462" s="17" t="inlineStr">
        <is>
          <t>Mumbai</t>
        </is>
      </c>
      <c r="H1462" s="17" t="inlineStr">
        <is>
          <t>Italian</t>
        </is>
      </c>
      <c r="I1462" s="22" t="n">
        <v>908</v>
      </c>
      <c r="J1462" s="22" t="n">
        <v>113.34</v>
      </c>
      <c r="K1462" s="22" t="n">
        <v>0</v>
      </c>
      <c r="L1462" s="23" t="n">
        <v>0.18</v>
      </c>
      <c r="M1462" s="22" t="n">
        <v>163.44</v>
      </c>
      <c r="N1462" s="24" t="n">
        <v>3.9</v>
      </c>
      <c r="O1462" s="24" t="n">
        <v>33.6</v>
      </c>
      <c r="P1462" s="17" t="inlineStr">
        <is>
          <t>UPI</t>
        </is>
      </c>
      <c r="Q1462" s="17" t="inlineStr">
        <is>
          <t>Delivered</t>
        </is>
      </c>
      <c r="R1462" s="17" t="n">
        <v>4</v>
      </c>
      <c r="S1462" s="17">
        <f>TEXT(B1462,"yyyy-mm")</f>
        <v/>
      </c>
      <c r="T1462" s="17">
        <f>VLOOKUP(D1462,Customers!A:D,4,FALSE)</f>
        <v/>
      </c>
      <c r="U1462" s="17">
        <f>CONCATENATE(A1462,"-",G1462)</f>
        <v/>
      </c>
      <c r="V1462" s="17">
        <f>IF(N1462="","",IF(N1462&lt;=30,"Fast (&lt;30m)",IF(N1462&lt;=45,"Moderate (30-45m)","Delayed (&gt;45m)")))</f>
        <v/>
      </c>
      <c r="W1462" s="17">
        <f>IF(AND(I1462&gt;600,P1462="Delivered"),"High Value Delivered","Standard")</f>
        <v/>
      </c>
      <c r="X1462" s="17">
        <f>IF(OR(N1462&gt;50,Q1462&lt;=2),"High Risk / Delayed","Normal")</f>
        <v/>
      </c>
      <c r="Y1462" s="17">
        <f>IF(NOT(P1462="Cancelled"),"Fulfilled","Cancelled")</f>
        <v/>
      </c>
      <c r="Z1462" s="17">
        <f>IFERROR(Q1462,0)</f>
        <v/>
      </c>
    </row>
    <row r="1463">
      <c r="A1463" s="25" t="inlineStr">
        <is>
          <t>ORD2462</t>
        </is>
      </c>
      <c r="B1463" s="25" t="inlineStr">
        <is>
          <t>2025-03-15</t>
        </is>
      </c>
      <c r="C1463" s="25" t="inlineStr">
        <is>
          <t>07:18:01</t>
        </is>
      </c>
      <c r="D1463" s="25" t="n">
        <v>1009</v>
      </c>
      <c r="E1463" s="25" t="n">
        <v>109</v>
      </c>
      <c r="F1463" s="25" t="n">
        <v>215</v>
      </c>
      <c r="G1463" s="25" t="inlineStr">
        <is>
          <t>Hyderabad</t>
        </is>
      </c>
      <c r="H1463" s="25" t="inlineStr">
        <is>
          <t>Biryani</t>
        </is>
      </c>
      <c r="I1463" s="26" t="n">
        <v>249</v>
      </c>
      <c r="J1463" s="26" t="n">
        <v>23.81</v>
      </c>
      <c r="K1463" s="26" t="n">
        <v>25</v>
      </c>
      <c r="L1463" s="27" t="n">
        <v>0.2</v>
      </c>
      <c r="M1463" s="26" t="n">
        <v>56.05</v>
      </c>
      <c r="N1463" s="28" t="n">
        <v>2.1</v>
      </c>
      <c r="O1463" s="28" t="n">
        <v>35.4</v>
      </c>
      <c r="P1463" s="25" t="inlineStr">
        <is>
          <t>UPI</t>
        </is>
      </c>
      <c r="Q1463" s="25" t="inlineStr">
        <is>
          <t>Delivered</t>
        </is>
      </c>
      <c r="R1463" s="25" t="n">
        <v>4</v>
      </c>
      <c r="S1463" s="25">
        <f>TEXT(B1463,"yyyy-mm")</f>
        <v/>
      </c>
      <c r="T1463" s="25">
        <f>VLOOKUP(D1463,Customers!A:D,4,FALSE)</f>
        <v/>
      </c>
      <c r="U1463" s="25">
        <f>CONCATENATE(A1463,"-",G1463)</f>
        <v/>
      </c>
      <c r="V1463" s="25">
        <f>IF(N1463="","",IF(N1463&lt;=30,"Fast (&lt;30m)",IF(N1463&lt;=45,"Moderate (30-45m)","Delayed (&gt;45m)")))</f>
        <v/>
      </c>
      <c r="W1463" s="25">
        <f>IF(AND(I1463&gt;600,P1463="Delivered"),"High Value Delivered","Standard")</f>
        <v/>
      </c>
      <c r="X1463" s="25">
        <f>IF(OR(N1463&gt;50,Q1463&lt;=2),"High Risk / Delayed","Normal")</f>
        <v/>
      </c>
      <c r="Y1463" s="25">
        <f>IF(NOT(P1463="Cancelled"),"Fulfilled","Cancelled")</f>
        <v/>
      </c>
      <c r="Z1463" s="25">
        <f>IFERROR(Q1463,0)</f>
        <v/>
      </c>
    </row>
    <row r="1464">
      <c r="A1464" s="17" t="inlineStr">
        <is>
          <t>ORD2463</t>
        </is>
      </c>
      <c r="B1464" s="17" t="inlineStr">
        <is>
          <t>2025-08-17</t>
        </is>
      </c>
      <c r="C1464" s="17" t="inlineStr">
        <is>
          <t>12:40:24</t>
        </is>
      </c>
      <c r="D1464" s="17" t="n">
        <v>1274</v>
      </c>
      <c r="E1464" s="17" t="n">
        <v>117</v>
      </c>
      <c r="F1464" s="17" t="n">
        <v>206</v>
      </c>
      <c r="G1464" s="17" t="inlineStr">
        <is>
          <t>Mumbai</t>
        </is>
      </c>
      <c r="H1464" s="17" t="inlineStr">
        <is>
          <t>Chinese</t>
        </is>
      </c>
      <c r="I1464" s="22" t="n">
        <v>928</v>
      </c>
      <c r="J1464" s="22" t="n">
        <v>147.91</v>
      </c>
      <c r="K1464" s="22" t="n">
        <v>0</v>
      </c>
      <c r="L1464" s="23" t="n">
        <v>0.2</v>
      </c>
      <c r="M1464" s="22" t="n">
        <v>185.6</v>
      </c>
      <c r="N1464" s="24" t="n">
        <v>3.2</v>
      </c>
      <c r="O1464" s="24" t="n">
        <v/>
      </c>
      <c r="P1464" s="17" t="inlineStr">
        <is>
          <t>UPI</t>
        </is>
      </c>
      <c r="Q1464" s="17" t="inlineStr">
        <is>
          <t>Cancelled</t>
        </is>
      </c>
      <c r="R1464" s="17" t="n">
        <v/>
      </c>
      <c r="S1464" s="17">
        <f>TEXT(B1464,"yyyy-mm")</f>
        <v/>
      </c>
      <c r="T1464" s="17">
        <f>VLOOKUP(D1464,Customers!A:D,4,FALSE)</f>
        <v/>
      </c>
      <c r="U1464" s="17">
        <f>CONCATENATE(A1464,"-",G1464)</f>
        <v/>
      </c>
      <c r="V1464" s="17">
        <f>IF(N1464="","",IF(N1464&lt;=30,"Fast (&lt;30m)",IF(N1464&lt;=45,"Moderate (30-45m)","Delayed (&gt;45m)")))</f>
        <v/>
      </c>
      <c r="W1464" s="17">
        <f>IF(AND(I1464&gt;600,P1464="Delivered"),"High Value Delivered","Standard")</f>
        <v/>
      </c>
      <c r="X1464" s="17">
        <f>IF(OR(N1464&gt;50,Q1464&lt;=2),"High Risk / Delayed","Normal")</f>
        <v/>
      </c>
      <c r="Y1464" s="17">
        <f>IF(NOT(P1464="Cancelled"),"Fulfilled","Cancelled")</f>
        <v/>
      </c>
      <c r="Z1464" s="17">
        <f>IFERROR(Q1464,0)</f>
        <v/>
      </c>
    </row>
    <row r="1465">
      <c r="A1465" s="25" t="inlineStr">
        <is>
          <t>ORD2464</t>
        </is>
      </c>
      <c r="B1465" s="25" t="inlineStr">
        <is>
          <t>2025-04-12</t>
        </is>
      </c>
      <c r="C1465" s="25" t="inlineStr">
        <is>
          <t>13:45:38</t>
        </is>
      </c>
      <c r="D1465" s="25" t="n">
        <v>1077</v>
      </c>
      <c r="E1465" s="25" t="n">
        <v>114</v>
      </c>
      <c r="F1465" s="25" t="n">
        <v>215</v>
      </c>
      <c r="G1465" s="25" t="inlineStr">
        <is>
          <t>Hyderabad</t>
        </is>
      </c>
      <c r="H1465" s="25" t="inlineStr">
        <is>
          <t>Biryani</t>
        </is>
      </c>
      <c r="I1465" s="26" t="n">
        <v>684</v>
      </c>
      <c r="J1465" s="26" t="n">
        <v>47.83</v>
      </c>
      <c r="K1465" s="26" t="n">
        <v>30</v>
      </c>
      <c r="L1465" s="27" t="n">
        <v>0.22</v>
      </c>
      <c r="M1465" s="26" t="n">
        <v>157.98</v>
      </c>
      <c r="N1465" s="28" t="n">
        <v>4</v>
      </c>
      <c r="O1465" s="28" t="n">
        <v/>
      </c>
      <c r="P1465" s="25" t="inlineStr">
        <is>
          <t>Debit Card</t>
        </is>
      </c>
      <c r="Q1465" s="25" t="inlineStr">
        <is>
          <t>Cancelled</t>
        </is>
      </c>
      <c r="R1465" s="25" t="n">
        <v/>
      </c>
      <c r="S1465" s="25">
        <f>TEXT(B1465,"yyyy-mm")</f>
        <v/>
      </c>
      <c r="T1465" s="25">
        <f>VLOOKUP(D1465,Customers!A:D,4,FALSE)</f>
        <v/>
      </c>
      <c r="U1465" s="25">
        <f>CONCATENATE(A1465,"-",G1465)</f>
        <v/>
      </c>
      <c r="V1465" s="25">
        <f>IF(N1465="","",IF(N1465&lt;=30,"Fast (&lt;30m)",IF(N1465&lt;=45,"Moderate (30-45m)","Delayed (&gt;45m)")))</f>
        <v/>
      </c>
      <c r="W1465" s="25">
        <f>IF(AND(I1465&gt;600,P1465="Delivered"),"High Value Delivered","Standard")</f>
        <v/>
      </c>
      <c r="X1465" s="25">
        <f>IF(OR(N1465&gt;50,Q1465&lt;=2),"High Risk / Delayed","Normal")</f>
        <v/>
      </c>
      <c r="Y1465" s="25">
        <f>IF(NOT(P1465="Cancelled"),"Fulfilled","Cancelled")</f>
        <v/>
      </c>
      <c r="Z1465" s="25">
        <f>IFERROR(Q1465,0)</f>
        <v/>
      </c>
    </row>
    <row r="1466">
      <c r="A1466" s="17" t="inlineStr">
        <is>
          <t>ORD2465</t>
        </is>
      </c>
      <c r="B1466" s="17" t="inlineStr">
        <is>
          <t>2025-01-27</t>
        </is>
      </c>
      <c r="C1466" s="17" t="inlineStr">
        <is>
          <t>22:55:20</t>
        </is>
      </c>
      <c r="D1466" s="17" t="n">
        <v>1013</v>
      </c>
      <c r="E1466" s="17" t="n">
        <v>115</v>
      </c>
      <c r="F1466" s="17" t="n">
        <v>227</v>
      </c>
      <c r="G1466" s="17" t="inlineStr">
        <is>
          <t>Bangalore</t>
        </is>
      </c>
      <c r="H1466" s="17" t="inlineStr">
        <is>
          <t>Italian</t>
        </is>
      </c>
      <c r="I1466" s="22" t="n">
        <v>785</v>
      </c>
      <c r="J1466" s="22" t="n">
        <v>65.47</v>
      </c>
      <c r="K1466" s="22" t="n">
        <v>25</v>
      </c>
      <c r="L1466" s="23" t="n">
        <v>0.2</v>
      </c>
      <c r="M1466" s="22" t="n">
        <v>163.25</v>
      </c>
      <c r="N1466" s="24" t="n">
        <v>2.6</v>
      </c>
      <c r="O1466" s="24" t="n">
        <v>31.8</v>
      </c>
      <c r="P1466" s="17" t="inlineStr">
        <is>
          <t>Cash on Delivery</t>
        </is>
      </c>
      <c r="Q1466" s="17" t="inlineStr">
        <is>
          <t>Delivered</t>
        </is>
      </c>
      <c r="R1466" s="17" t="n">
        <v>2</v>
      </c>
      <c r="S1466" s="17">
        <f>TEXT(B1466,"yyyy-mm")</f>
        <v/>
      </c>
      <c r="T1466" s="17">
        <f>VLOOKUP(D1466,Customers!A:D,4,FALSE)</f>
        <v/>
      </c>
      <c r="U1466" s="17">
        <f>CONCATENATE(A1466,"-",G1466)</f>
        <v/>
      </c>
      <c r="V1466" s="17">
        <f>IF(N1466="","",IF(N1466&lt;=30,"Fast (&lt;30m)",IF(N1466&lt;=45,"Moderate (30-45m)","Delayed (&gt;45m)")))</f>
        <v/>
      </c>
      <c r="W1466" s="17">
        <f>IF(AND(I1466&gt;600,P1466="Delivered"),"High Value Delivered","Standard")</f>
        <v/>
      </c>
      <c r="X1466" s="17">
        <f>IF(OR(N1466&gt;50,Q1466&lt;=2),"High Risk / Delayed","Normal")</f>
        <v/>
      </c>
      <c r="Y1466" s="17">
        <f>IF(NOT(P1466="Cancelled"),"Fulfilled","Cancelled")</f>
        <v/>
      </c>
      <c r="Z1466" s="17">
        <f>IFERROR(Q1466,0)</f>
        <v/>
      </c>
    </row>
    <row r="1467">
      <c r="A1467" s="25" t="inlineStr">
        <is>
          <t>ORD2466</t>
        </is>
      </c>
      <c r="B1467" s="25" t="inlineStr">
        <is>
          <t>2025-07-22</t>
        </is>
      </c>
      <c r="C1467" s="25" t="inlineStr">
        <is>
          <t>22:11:20</t>
        </is>
      </c>
      <c r="D1467" s="25" t="n">
        <v>1198</v>
      </c>
      <c r="E1467" s="25" t="n">
        <v>111</v>
      </c>
      <c r="F1467" s="25" t="n">
        <v>205</v>
      </c>
      <c r="G1467" s="25" t="inlineStr">
        <is>
          <t>Bangalore</t>
        </is>
      </c>
      <c r="H1467" s="25" t="inlineStr">
        <is>
          <t>South Indian</t>
        </is>
      </c>
      <c r="I1467" s="26" t="n">
        <v>1161</v>
      </c>
      <c r="J1467" s="26" t="n">
        <v>204.4</v>
      </c>
      <c r="K1467" s="26" t="n">
        <v>0</v>
      </c>
      <c r="L1467" s="27" t="n">
        <v>0.15</v>
      </c>
      <c r="M1467" s="26" t="n">
        <v>174.15</v>
      </c>
      <c r="N1467" s="28" t="n">
        <v>3.7</v>
      </c>
      <c r="O1467" s="28" t="n">
        <v>29.3</v>
      </c>
      <c r="P1467" s="25" t="inlineStr">
        <is>
          <t>Debit Card</t>
        </is>
      </c>
      <c r="Q1467" s="25" t="inlineStr">
        <is>
          <t>Delivered</t>
        </is>
      </c>
      <c r="R1467" s="25" t="n">
        <v>5</v>
      </c>
      <c r="S1467" s="25">
        <f>TEXT(B1467,"yyyy-mm")</f>
        <v/>
      </c>
      <c r="T1467" s="25">
        <f>VLOOKUP(D1467,Customers!A:D,4,FALSE)</f>
        <v/>
      </c>
      <c r="U1467" s="25">
        <f>CONCATENATE(A1467,"-",G1467)</f>
        <v/>
      </c>
      <c r="V1467" s="25">
        <f>IF(N1467="","",IF(N1467&lt;=30,"Fast (&lt;30m)",IF(N1467&lt;=45,"Moderate (30-45m)","Delayed (&gt;45m)")))</f>
        <v/>
      </c>
      <c r="W1467" s="25">
        <f>IF(AND(I1467&gt;600,P1467="Delivered"),"High Value Delivered","Standard")</f>
        <v/>
      </c>
      <c r="X1467" s="25">
        <f>IF(OR(N1467&gt;50,Q1467&lt;=2),"High Risk / Delayed","Normal")</f>
        <v/>
      </c>
      <c r="Y1467" s="25">
        <f>IF(NOT(P1467="Cancelled"),"Fulfilled","Cancelled")</f>
        <v/>
      </c>
      <c r="Z1467" s="25">
        <f>IFERROR(Q1467,0)</f>
        <v/>
      </c>
    </row>
    <row r="1468">
      <c r="A1468" s="17" t="inlineStr">
        <is>
          <t>ORD2467</t>
        </is>
      </c>
      <c r="B1468" s="17" t="inlineStr">
        <is>
          <t>2025-09-12</t>
        </is>
      </c>
      <c r="C1468" s="17" t="inlineStr">
        <is>
          <t>17:04:59</t>
        </is>
      </c>
      <c r="D1468" s="17" t="n">
        <v>1096</v>
      </c>
      <c r="E1468" s="17" t="n">
        <v>109</v>
      </c>
      <c r="F1468" s="17" t="n">
        <v>216</v>
      </c>
      <c r="G1468" s="17" t="inlineStr">
        <is>
          <t>Hyderabad</t>
        </is>
      </c>
      <c r="H1468" s="17" t="inlineStr">
        <is>
          <t>Biryani</t>
        </is>
      </c>
      <c r="I1468" s="22" t="n">
        <v>289</v>
      </c>
      <c r="J1468" s="22" t="n">
        <v>0</v>
      </c>
      <c r="K1468" s="22" t="n">
        <v>30</v>
      </c>
      <c r="L1468" s="23" t="n">
        <v>0.2</v>
      </c>
      <c r="M1468" s="22" t="n">
        <v>65.3</v>
      </c>
      <c r="N1468" s="24" t="n">
        <v>4</v>
      </c>
      <c r="O1468" s="24" t="n">
        <v>30.1</v>
      </c>
      <c r="P1468" s="17" t="inlineStr">
        <is>
          <t>Credit Card</t>
        </is>
      </c>
      <c r="Q1468" s="17" t="inlineStr">
        <is>
          <t>Delivered</t>
        </is>
      </c>
      <c r="R1468" s="17" t="n">
        <v>3</v>
      </c>
      <c r="S1468" s="17">
        <f>TEXT(B1468,"yyyy-mm")</f>
        <v/>
      </c>
      <c r="T1468" s="17">
        <f>VLOOKUP(D1468,Customers!A:D,4,FALSE)</f>
        <v/>
      </c>
      <c r="U1468" s="17">
        <f>CONCATENATE(A1468,"-",G1468)</f>
        <v/>
      </c>
      <c r="V1468" s="17">
        <f>IF(N1468="","",IF(N1468&lt;=30,"Fast (&lt;30m)",IF(N1468&lt;=45,"Moderate (30-45m)","Delayed (&gt;45m)")))</f>
        <v/>
      </c>
      <c r="W1468" s="17">
        <f>IF(AND(I1468&gt;600,P1468="Delivered"),"High Value Delivered","Standard")</f>
        <v/>
      </c>
      <c r="X1468" s="17">
        <f>IF(OR(N1468&gt;50,Q1468&lt;=2),"High Risk / Delayed","Normal")</f>
        <v/>
      </c>
      <c r="Y1468" s="17">
        <f>IF(NOT(P1468="Cancelled"),"Fulfilled","Cancelled")</f>
        <v/>
      </c>
      <c r="Z1468" s="17">
        <f>IFERROR(Q1468,0)</f>
        <v/>
      </c>
    </row>
    <row r="1469">
      <c r="A1469" s="25" t="inlineStr">
        <is>
          <t>ORD2468</t>
        </is>
      </c>
      <c r="B1469" s="25" t="inlineStr">
        <is>
          <t>2025-07-02</t>
        </is>
      </c>
      <c r="C1469" s="25" t="inlineStr">
        <is>
          <t>12:21:05</t>
        </is>
      </c>
      <c r="D1469" s="25" t="n">
        <v>1274</v>
      </c>
      <c r="E1469" s="25" t="n">
        <v>113</v>
      </c>
      <c r="F1469" s="25" t="n">
        <v>229</v>
      </c>
      <c r="G1469" s="25" t="inlineStr">
        <is>
          <t>Mumbai</t>
        </is>
      </c>
      <c r="H1469" s="25" t="inlineStr">
        <is>
          <t>Fast Food</t>
        </is>
      </c>
      <c r="I1469" s="26" t="n">
        <v>829</v>
      </c>
      <c r="J1469" s="26" t="n">
        <v>145.15</v>
      </c>
      <c r="K1469" s="26" t="n">
        <v>0</v>
      </c>
      <c r="L1469" s="27" t="n">
        <v>0.18</v>
      </c>
      <c r="M1469" s="26" t="n">
        <v>149.22</v>
      </c>
      <c r="N1469" s="28" t="n">
        <v>7</v>
      </c>
      <c r="O1469" s="28" t="n">
        <v>46.7</v>
      </c>
      <c r="P1469" s="25" t="inlineStr">
        <is>
          <t>Digital Wallet</t>
        </is>
      </c>
      <c r="Q1469" s="25" t="inlineStr">
        <is>
          <t>Delivered</t>
        </is>
      </c>
      <c r="R1469" s="25" t="n">
        <v>4</v>
      </c>
      <c r="S1469" s="25">
        <f>TEXT(B1469,"yyyy-mm")</f>
        <v/>
      </c>
      <c r="T1469" s="25">
        <f>VLOOKUP(D1469,Customers!A:D,4,FALSE)</f>
        <v/>
      </c>
      <c r="U1469" s="25">
        <f>CONCATENATE(A1469,"-",G1469)</f>
        <v/>
      </c>
      <c r="V1469" s="25">
        <f>IF(N1469="","",IF(N1469&lt;=30,"Fast (&lt;30m)",IF(N1469&lt;=45,"Moderate (30-45m)","Delayed (&gt;45m)")))</f>
        <v/>
      </c>
      <c r="W1469" s="25">
        <f>IF(AND(I1469&gt;600,P1469="Delivered"),"High Value Delivered","Standard")</f>
        <v/>
      </c>
      <c r="X1469" s="25">
        <f>IF(OR(N1469&gt;50,Q1469&lt;=2),"High Risk / Delayed","Normal")</f>
        <v/>
      </c>
      <c r="Y1469" s="25">
        <f>IF(NOT(P1469="Cancelled"),"Fulfilled","Cancelled")</f>
        <v/>
      </c>
      <c r="Z1469" s="25">
        <f>IFERROR(Q1469,0)</f>
        <v/>
      </c>
    </row>
    <row r="1470">
      <c r="A1470" s="17" t="inlineStr">
        <is>
          <t>ORD2469</t>
        </is>
      </c>
      <c r="B1470" s="17" t="inlineStr">
        <is>
          <t>2025-11-25</t>
        </is>
      </c>
      <c r="C1470" s="17" t="inlineStr">
        <is>
          <t>20:50:25</t>
        </is>
      </c>
      <c r="D1470" s="17" t="n">
        <v>1149</v>
      </c>
      <c r="E1470" s="17" t="n">
        <v>120</v>
      </c>
      <c r="F1470" s="17" t="n">
        <v>224</v>
      </c>
      <c r="G1470" s="17" t="inlineStr">
        <is>
          <t>Pune</t>
        </is>
      </c>
      <c r="H1470" s="17" t="inlineStr">
        <is>
          <t>Fast Food</t>
        </is>
      </c>
      <c r="I1470" s="22" t="n">
        <v>931</v>
      </c>
      <c r="J1470" s="22" t="n">
        <v>0</v>
      </c>
      <c r="K1470" s="22" t="n">
        <v>25</v>
      </c>
      <c r="L1470" s="23" t="n">
        <v>0.18</v>
      </c>
      <c r="M1470" s="22" t="n">
        <v>173.83</v>
      </c>
      <c r="N1470" s="24" t="n">
        <v>2.4</v>
      </c>
      <c r="O1470" s="24" t="n">
        <v>34</v>
      </c>
      <c r="P1470" s="17" t="inlineStr">
        <is>
          <t>Credit Card</t>
        </is>
      </c>
      <c r="Q1470" s="17" t="inlineStr">
        <is>
          <t>Delivered</t>
        </is>
      </c>
      <c r="R1470" s="17" t="n">
        <v>5</v>
      </c>
      <c r="S1470" s="17">
        <f>TEXT(B1470,"yyyy-mm")</f>
        <v/>
      </c>
      <c r="T1470" s="17">
        <f>VLOOKUP(D1470,Customers!A:D,4,FALSE)</f>
        <v/>
      </c>
      <c r="U1470" s="17">
        <f>CONCATENATE(A1470,"-",G1470)</f>
        <v/>
      </c>
      <c r="V1470" s="17">
        <f>IF(N1470="","",IF(N1470&lt;=30,"Fast (&lt;30m)",IF(N1470&lt;=45,"Moderate (30-45m)","Delayed (&gt;45m)")))</f>
        <v/>
      </c>
      <c r="W1470" s="17">
        <f>IF(AND(I1470&gt;600,P1470="Delivered"),"High Value Delivered","Standard")</f>
        <v/>
      </c>
      <c r="X1470" s="17">
        <f>IF(OR(N1470&gt;50,Q1470&lt;=2),"High Risk / Delayed","Normal")</f>
        <v/>
      </c>
      <c r="Y1470" s="17">
        <f>IF(NOT(P1470="Cancelled"),"Fulfilled","Cancelled")</f>
        <v/>
      </c>
      <c r="Z1470" s="17">
        <f>IFERROR(Q1470,0)</f>
        <v/>
      </c>
    </row>
    <row r="1471">
      <c r="A1471" s="25" t="inlineStr">
        <is>
          <t>ORD2470</t>
        </is>
      </c>
      <c r="B1471" s="25" t="inlineStr">
        <is>
          <t>2025-05-14</t>
        </is>
      </c>
      <c r="C1471" s="25" t="inlineStr">
        <is>
          <t>19:14:15</t>
        </is>
      </c>
      <c r="D1471" s="25" t="n">
        <v>1165</v>
      </c>
      <c r="E1471" s="25" t="n">
        <v>103</v>
      </c>
      <c r="F1471" s="25" t="n">
        <v>222</v>
      </c>
      <c r="G1471" s="25" t="inlineStr">
        <is>
          <t>Mumbai</t>
        </is>
      </c>
      <c r="H1471" s="25" t="inlineStr">
        <is>
          <t>Italian</t>
        </is>
      </c>
      <c r="I1471" s="26" t="n">
        <v>277</v>
      </c>
      <c r="J1471" s="26" t="n">
        <v>12.36</v>
      </c>
      <c r="K1471" s="26" t="n">
        <v>25</v>
      </c>
      <c r="L1471" s="27" t="n">
        <v>0.18</v>
      </c>
      <c r="M1471" s="26" t="n">
        <v>56.11</v>
      </c>
      <c r="N1471" s="28" t="n">
        <v>1.5</v>
      </c>
      <c r="O1471" s="28" t="n">
        <v>19.8</v>
      </c>
      <c r="P1471" s="25" t="inlineStr">
        <is>
          <t>Credit Card</t>
        </is>
      </c>
      <c r="Q1471" s="25" t="inlineStr">
        <is>
          <t>Delivered</t>
        </is>
      </c>
      <c r="R1471" s="25" t="n">
        <v>5</v>
      </c>
      <c r="S1471" s="25">
        <f>TEXT(B1471,"yyyy-mm")</f>
        <v/>
      </c>
      <c r="T1471" s="25">
        <f>VLOOKUP(D1471,Customers!A:D,4,FALSE)</f>
        <v/>
      </c>
      <c r="U1471" s="25">
        <f>CONCATENATE(A1471,"-",G1471)</f>
        <v/>
      </c>
      <c r="V1471" s="25">
        <f>IF(N1471="","",IF(N1471&lt;=30,"Fast (&lt;30m)",IF(N1471&lt;=45,"Moderate (30-45m)","Delayed (&gt;45m)")))</f>
        <v/>
      </c>
      <c r="W1471" s="25">
        <f>IF(AND(I1471&gt;600,P1471="Delivered"),"High Value Delivered","Standard")</f>
        <v/>
      </c>
      <c r="X1471" s="25">
        <f>IF(OR(N1471&gt;50,Q1471&lt;=2),"High Risk / Delayed","Normal")</f>
        <v/>
      </c>
      <c r="Y1471" s="25">
        <f>IF(NOT(P1471="Cancelled"),"Fulfilled","Cancelled")</f>
        <v/>
      </c>
      <c r="Z1471" s="25">
        <f>IFERROR(Q1471,0)</f>
        <v/>
      </c>
    </row>
    <row r="1472">
      <c r="A1472" s="17" t="inlineStr">
        <is>
          <t>ORD2471</t>
        </is>
      </c>
      <c r="B1472" s="17" t="inlineStr">
        <is>
          <t>2025-04-23</t>
        </is>
      </c>
      <c r="C1472" s="17" t="inlineStr">
        <is>
          <t>11:48:14</t>
        </is>
      </c>
      <c r="D1472" s="17" t="n">
        <v>1059</v>
      </c>
      <c r="E1472" s="17" t="n">
        <v>102</v>
      </c>
      <c r="F1472" s="17" t="n">
        <v>215</v>
      </c>
      <c r="G1472" s="17" t="inlineStr">
        <is>
          <t>Hyderabad</t>
        </is>
      </c>
      <c r="H1472" s="17" t="inlineStr">
        <is>
          <t>Biryani</t>
        </is>
      </c>
      <c r="I1472" s="22" t="n">
        <v>376</v>
      </c>
      <c r="J1472" s="22" t="n">
        <v>4.14</v>
      </c>
      <c r="K1472" s="22" t="n">
        <v>46</v>
      </c>
      <c r="L1472" s="23" t="n">
        <v>0.22</v>
      </c>
      <c r="M1472" s="22" t="n">
        <v>94.22</v>
      </c>
      <c r="N1472" s="24" t="n">
        <v>7.2</v>
      </c>
      <c r="O1472" s="24" t="n">
        <v/>
      </c>
      <c r="P1472" s="17" t="inlineStr">
        <is>
          <t>Cash on Delivery</t>
        </is>
      </c>
      <c r="Q1472" s="17" t="inlineStr">
        <is>
          <t>Cancelled</t>
        </is>
      </c>
      <c r="R1472" s="17" t="n">
        <v/>
      </c>
      <c r="S1472" s="17">
        <f>TEXT(B1472,"yyyy-mm")</f>
        <v/>
      </c>
      <c r="T1472" s="17">
        <f>VLOOKUP(D1472,Customers!A:D,4,FALSE)</f>
        <v/>
      </c>
      <c r="U1472" s="17">
        <f>CONCATENATE(A1472,"-",G1472)</f>
        <v/>
      </c>
      <c r="V1472" s="17">
        <f>IF(N1472="","",IF(N1472&lt;=30,"Fast (&lt;30m)",IF(N1472&lt;=45,"Moderate (30-45m)","Delayed (&gt;45m)")))</f>
        <v/>
      </c>
      <c r="W1472" s="17">
        <f>IF(AND(I1472&gt;600,P1472="Delivered"),"High Value Delivered","Standard")</f>
        <v/>
      </c>
      <c r="X1472" s="17">
        <f>IF(OR(N1472&gt;50,Q1472&lt;=2),"High Risk / Delayed","Normal")</f>
        <v/>
      </c>
      <c r="Y1472" s="17">
        <f>IF(NOT(P1472="Cancelled"),"Fulfilled","Cancelled")</f>
        <v/>
      </c>
      <c r="Z1472" s="17">
        <f>IFERROR(Q1472,0)</f>
        <v/>
      </c>
    </row>
    <row r="1473">
      <c r="A1473" s="25" t="inlineStr">
        <is>
          <t>ORD2472</t>
        </is>
      </c>
      <c r="B1473" s="25" t="inlineStr">
        <is>
          <t>2025-09-10</t>
        </is>
      </c>
      <c r="C1473" s="25" t="inlineStr">
        <is>
          <t>14:01:42</t>
        </is>
      </c>
      <c r="D1473" s="25" t="n">
        <v>1079</v>
      </c>
      <c r="E1473" s="25" t="n">
        <v>101</v>
      </c>
      <c r="F1473" s="25" t="n">
        <v>227</v>
      </c>
      <c r="G1473" s="25" t="inlineStr">
        <is>
          <t>Bangalore</t>
        </is>
      </c>
      <c r="H1473" s="25" t="inlineStr">
        <is>
          <t>North Indian</t>
        </is>
      </c>
      <c r="I1473" s="26" t="n">
        <v>933</v>
      </c>
      <c r="J1473" s="26" t="n">
        <v>0</v>
      </c>
      <c r="K1473" s="26" t="n">
        <v>33.5</v>
      </c>
      <c r="L1473" s="27" t="n">
        <v>0.2</v>
      </c>
      <c r="M1473" s="26" t="n">
        <v>194.98</v>
      </c>
      <c r="N1473" s="28" t="n">
        <v>4.7</v>
      </c>
      <c r="O1473" s="28" t="n">
        <v>32</v>
      </c>
      <c r="P1473" s="25" t="inlineStr">
        <is>
          <t>Credit Card</t>
        </is>
      </c>
      <c r="Q1473" s="25" t="inlineStr">
        <is>
          <t>Delivered</t>
        </is>
      </c>
      <c r="R1473" s="25" t="n">
        <v>4</v>
      </c>
      <c r="S1473" s="25">
        <f>TEXT(B1473,"yyyy-mm")</f>
        <v/>
      </c>
      <c r="T1473" s="25">
        <f>VLOOKUP(D1473,Customers!A:D,4,FALSE)</f>
        <v/>
      </c>
      <c r="U1473" s="25">
        <f>CONCATENATE(A1473,"-",G1473)</f>
        <v/>
      </c>
      <c r="V1473" s="25">
        <f>IF(N1473="","",IF(N1473&lt;=30,"Fast (&lt;30m)",IF(N1473&lt;=45,"Moderate (30-45m)","Delayed (&gt;45m)")))</f>
        <v/>
      </c>
      <c r="W1473" s="25">
        <f>IF(AND(I1473&gt;600,P1473="Delivered"),"High Value Delivered","Standard")</f>
        <v/>
      </c>
      <c r="X1473" s="25">
        <f>IF(OR(N1473&gt;50,Q1473&lt;=2),"High Risk / Delayed","Normal")</f>
        <v/>
      </c>
      <c r="Y1473" s="25">
        <f>IF(NOT(P1473="Cancelled"),"Fulfilled","Cancelled")</f>
        <v/>
      </c>
      <c r="Z1473" s="25">
        <f>IFERROR(Q1473,0)</f>
        <v/>
      </c>
    </row>
    <row r="1474">
      <c r="A1474" s="17" t="inlineStr">
        <is>
          <t>ORD2473</t>
        </is>
      </c>
      <c r="B1474" s="17" t="inlineStr">
        <is>
          <t>2025-10-26</t>
        </is>
      </c>
      <c r="C1474" s="17" t="inlineStr">
        <is>
          <t>20:31:00</t>
        </is>
      </c>
      <c r="D1474" s="17" t="n">
        <v>1213</v>
      </c>
      <c r="E1474" s="17" t="n">
        <v>112</v>
      </c>
      <c r="F1474" s="17" t="n">
        <v>221</v>
      </c>
      <c r="G1474" s="17" t="inlineStr">
        <is>
          <t>Delhi NCR</t>
        </is>
      </c>
      <c r="H1474" s="17" t="inlineStr">
        <is>
          <t>North Indian</t>
        </is>
      </c>
      <c r="I1474" s="22" t="n">
        <v>577</v>
      </c>
      <c r="J1474" s="22" t="n">
        <v>57.2</v>
      </c>
      <c r="K1474" s="22" t="n">
        <v>42.5</v>
      </c>
      <c r="L1474" s="23" t="n">
        <v>0.22</v>
      </c>
      <c r="M1474" s="22" t="n">
        <v>137.56</v>
      </c>
      <c r="N1474" s="24" t="n">
        <v>6.5</v>
      </c>
      <c r="O1474" s="24" t="n">
        <v>42.4</v>
      </c>
      <c r="P1474" s="17" t="inlineStr">
        <is>
          <t>Debit Card</t>
        </is>
      </c>
      <c r="Q1474" s="17" t="inlineStr">
        <is>
          <t>Delivered</t>
        </is>
      </c>
      <c r="R1474" s="17" t="n">
        <v>5</v>
      </c>
      <c r="S1474" s="17">
        <f>TEXT(B1474,"yyyy-mm")</f>
        <v/>
      </c>
      <c r="T1474" s="17">
        <f>VLOOKUP(D1474,Customers!A:D,4,FALSE)</f>
        <v/>
      </c>
      <c r="U1474" s="17">
        <f>CONCATENATE(A1474,"-",G1474)</f>
        <v/>
      </c>
      <c r="V1474" s="17">
        <f>IF(N1474="","",IF(N1474&lt;=30,"Fast (&lt;30m)",IF(N1474&lt;=45,"Moderate (30-45m)","Delayed (&gt;45m)")))</f>
        <v/>
      </c>
      <c r="W1474" s="17">
        <f>IF(AND(I1474&gt;600,P1474="Delivered"),"High Value Delivered","Standard")</f>
        <v/>
      </c>
      <c r="X1474" s="17">
        <f>IF(OR(N1474&gt;50,Q1474&lt;=2),"High Risk / Delayed","Normal")</f>
        <v/>
      </c>
      <c r="Y1474" s="17">
        <f>IF(NOT(P1474="Cancelled"),"Fulfilled","Cancelled")</f>
        <v/>
      </c>
      <c r="Z1474" s="17">
        <f>IFERROR(Q1474,0)</f>
        <v/>
      </c>
    </row>
    <row r="1475">
      <c r="A1475" s="25" t="inlineStr">
        <is>
          <t>ORD2474</t>
        </is>
      </c>
      <c r="B1475" s="25" t="inlineStr">
        <is>
          <t>2025-03-19</t>
        </is>
      </c>
      <c r="C1475" s="25" t="inlineStr">
        <is>
          <t>07:34:00</t>
        </is>
      </c>
      <c r="D1475" s="25" t="n">
        <v>1059</v>
      </c>
      <c r="E1475" s="25" t="n">
        <v>109</v>
      </c>
      <c r="F1475" s="25" t="n">
        <v>215</v>
      </c>
      <c r="G1475" s="25" t="inlineStr">
        <is>
          <t>Hyderabad</t>
        </is>
      </c>
      <c r="H1475" s="25" t="inlineStr">
        <is>
          <t>Biryani</t>
        </is>
      </c>
      <c r="I1475" s="26" t="n">
        <v>862</v>
      </c>
      <c r="J1475" s="26" t="n">
        <v>19.41</v>
      </c>
      <c r="K1475" s="26" t="n">
        <v>29</v>
      </c>
      <c r="L1475" s="27" t="n">
        <v>0.2</v>
      </c>
      <c r="M1475" s="26" t="n">
        <v>179.65</v>
      </c>
      <c r="N1475" s="28" t="n">
        <v>3.8</v>
      </c>
      <c r="O1475" s="28" t="n">
        <v>29.7</v>
      </c>
      <c r="P1475" s="25" t="inlineStr">
        <is>
          <t>Digital Wallet</t>
        </is>
      </c>
      <c r="Q1475" s="25" t="inlineStr">
        <is>
          <t>Delivered</t>
        </is>
      </c>
      <c r="R1475" s="25" t="n">
        <v>3</v>
      </c>
      <c r="S1475" s="25">
        <f>TEXT(B1475,"yyyy-mm")</f>
        <v/>
      </c>
      <c r="T1475" s="25">
        <f>VLOOKUP(D1475,Customers!A:D,4,FALSE)</f>
        <v/>
      </c>
      <c r="U1475" s="25">
        <f>CONCATENATE(A1475,"-",G1475)</f>
        <v/>
      </c>
      <c r="V1475" s="25">
        <f>IF(N1475="","",IF(N1475&lt;=30,"Fast (&lt;30m)",IF(N1475&lt;=45,"Moderate (30-45m)","Delayed (&gt;45m)")))</f>
        <v/>
      </c>
      <c r="W1475" s="25">
        <f>IF(AND(I1475&gt;600,P1475="Delivered"),"High Value Delivered","Standard")</f>
        <v/>
      </c>
      <c r="X1475" s="25">
        <f>IF(OR(N1475&gt;50,Q1475&lt;=2),"High Risk / Delayed","Normal")</f>
        <v/>
      </c>
      <c r="Y1475" s="25">
        <f>IF(NOT(P1475="Cancelled"),"Fulfilled","Cancelled")</f>
        <v/>
      </c>
      <c r="Z1475" s="25">
        <f>IFERROR(Q1475,0)</f>
        <v/>
      </c>
    </row>
    <row r="1476">
      <c r="A1476" s="17" t="inlineStr">
        <is>
          <t>ORD2475</t>
        </is>
      </c>
      <c r="B1476" s="17" t="inlineStr">
        <is>
          <t>2025-11-08</t>
        </is>
      </c>
      <c r="C1476" s="17" t="inlineStr">
        <is>
          <t>19:16:21</t>
        </is>
      </c>
      <c r="D1476" s="17" t="n">
        <v>1108</v>
      </c>
      <c r="E1476" s="17" t="n">
        <v>120</v>
      </c>
      <c r="F1476" s="17" t="n">
        <v>214</v>
      </c>
      <c r="G1476" s="17" t="inlineStr">
        <is>
          <t>Pune</t>
        </is>
      </c>
      <c r="H1476" s="17" t="inlineStr">
        <is>
          <t>Fast Food</t>
        </is>
      </c>
      <c r="I1476" s="22" t="n">
        <v>420</v>
      </c>
      <c r="J1476" s="22" t="n">
        <v>30.62</v>
      </c>
      <c r="K1476" s="22" t="n">
        <v>38.5</v>
      </c>
      <c r="L1476" s="23" t="n">
        <v>0.18</v>
      </c>
      <c r="M1476" s="22" t="n">
        <v>85.22</v>
      </c>
      <c r="N1476" s="24" t="n">
        <v>5.7</v>
      </c>
      <c r="O1476" s="24" t="n">
        <v>38.1</v>
      </c>
      <c r="P1476" s="17" t="inlineStr">
        <is>
          <t>UPI</t>
        </is>
      </c>
      <c r="Q1476" s="17" t="inlineStr">
        <is>
          <t>Delivered</t>
        </is>
      </c>
      <c r="R1476" s="17" t="n">
        <v>4</v>
      </c>
      <c r="S1476" s="17">
        <f>TEXT(B1476,"yyyy-mm")</f>
        <v/>
      </c>
      <c r="T1476" s="17">
        <f>VLOOKUP(D1476,Customers!A:D,4,FALSE)</f>
        <v/>
      </c>
      <c r="U1476" s="17">
        <f>CONCATENATE(A1476,"-",G1476)</f>
        <v/>
      </c>
      <c r="V1476" s="17">
        <f>IF(N1476="","",IF(N1476&lt;=30,"Fast (&lt;30m)",IF(N1476&lt;=45,"Moderate (30-45m)","Delayed (&gt;45m)")))</f>
        <v/>
      </c>
      <c r="W1476" s="17">
        <f>IF(AND(I1476&gt;600,P1476="Delivered"),"High Value Delivered","Standard")</f>
        <v/>
      </c>
      <c r="X1476" s="17">
        <f>IF(OR(N1476&gt;50,Q1476&lt;=2),"High Risk / Delayed","Normal")</f>
        <v/>
      </c>
      <c r="Y1476" s="17">
        <f>IF(NOT(P1476="Cancelled"),"Fulfilled","Cancelled")</f>
        <v/>
      </c>
      <c r="Z1476" s="17">
        <f>IFERROR(Q1476,0)</f>
        <v/>
      </c>
    </row>
    <row r="1477">
      <c r="A1477" s="25" t="inlineStr">
        <is>
          <t>ORD2476</t>
        </is>
      </c>
      <c r="B1477" s="25" t="inlineStr">
        <is>
          <t>2025-08-17</t>
        </is>
      </c>
      <c r="C1477" s="25" t="inlineStr">
        <is>
          <t>20:38:41</t>
        </is>
      </c>
      <c r="D1477" s="25" t="n">
        <v>1247</v>
      </c>
      <c r="E1477" s="25" t="n">
        <v>105</v>
      </c>
      <c r="F1477" s="25" t="n">
        <v>220</v>
      </c>
      <c r="G1477" s="25" t="inlineStr">
        <is>
          <t>Bangalore</t>
        </is>
      </c>
      <c r="H1477" s="25" t="inlineStr">
        <is>
          <t>Chinese</t>
        </is>
      </c>
      <c r="I1477" s="26" t="n">
        <v>907</v>
      </c>
      <c r="J1477" s="26" t="n">
        <v>29.44</v>
      </c>
      <c r="K1477" s="26" t="n">
        <v>25</v>
      </c>
      <c r="L1477" s="27" t="n">
        <v>0.2</v>
      </c>
      <c r="M1477" s="26" t="n">
        <v>187.65</v>
      </c>
      <c r="N1477" s="28" t="n">
        <v>2.2</v>
      </c>
      <c r="O1477" s="28" t="n">
        <v>24</v>
      </c>
      <c r="P1477" s="25" t="inlineStr">
        <is>
          <t>UPI</t>
        </is>
      </c>
      <c r="Q1477" s="25" t="inlineStr">
        <is>
          <t>Delivered</t>
        </is>
      </c>
      <c r="R1477" s="25" t="n">
        <v>4</v>
      </c>
      <c r="S1477" s="25">
        <f>TEXT(B1477,"yyyy-mm")</f>
        <v/>
      </c>
      <c r="T1477" s="25">
        <f>VLOOKUP(D1477,Customers!A:D,4,FALSE)</f>
        <v/>
      </c>
      <c r="U1477" s="25">
        <f>CONCATENATE(A1477,"-",G1477)</f>
        <v/>
      </c>
      <c r="V1477" s="25">
        <f>IF(N1477="","",IF(N1477&lt;=30,"Fast (&lt;30m)",IF(N1477&lt;=45,"Moderate (30-45m)","Delayed (&gt;45m)")))</f>
        <v/>
      </c>
      <c r="W1477" s="25">
        <f>IF(AND(I1477&gt;600,P1477="Delivered"),"High Value Delivered","Standard")</f>
        <v/>
      </c>
      <c r="X1477" s="25">
        <f>IF(OR(N1477&gt;50,Q1477&lt;=2),"High Risk / Delayed","Normal")</f>
        <v/>
      </c>
      <c r="Y1477" s="25">
        <f>IF(NOT(P1477="Cancelled"),"Fulfilled","Cancelled")</f>
        <v/>
      </c>
      <c r="Z1477" s="25">
        <f>IFERROR(Q1477,0)</f>
        <v/>
      </c>
    </row>
    <row r="1478">
      <c r="A1478" s="17" t="inlineStr">
        <is>
          <t>ORD2477</t>
        </is>
      </c>
      <c r="B1478" s="17" t="inlineStr">
        <is>
          <t>2025-04-13</t>
        </is>
      </c>
      <c r="C1478" s="17" t="inlineStr">
        <is>
          <t>17:48:36</t>
        </is>
      </c>
      <c r="D1478" s="17" t="n">
        <v>1219</v>
      </c>
      <c r="E1478" s="17" t="n">
        <v>112</v>
      </c>
      <c r="F1478" s="17" t="n">
        <v>221</v>
      </c>
      <c r="G1478" s="17" t="inlineStr">
        <is>
          <t>Delhi NCR</t>
        </is>
      </c>
      <c r="H1478" s="17" t="inlineStr">
        <is>
          <t>North Indian</t>
        </is>
      </c>
      <c r="I1478" s="22" t="n">
        <v>525</v>
      </c>
      <c r="J1478" s="22" t="n">
        <v>56.86</v>
      </c>
      <c r="K1478" s="22" t="n">
        <v>31</v>
      </c>
      <c r="L1478" s="23" t="n">
        <v>0.22</v>
      </c>
      <c r="M1478" s="22" t="n">
        <v>123.25</v>
      </c>
      <c r="N1478" s="24" t="n">
        <v>4.2</v>
      </c>
      <c r="O1478" s="24" t="n">
        <v/>
      </c>
      <c r="P1478" s="17" t="inlineStr">
        <is>
          <t>Digital Wallet</t>
        </is>
      </c>
      <c r="Q1478" s="17" t="inlineStr">
        <is>
          <t>Cancelled</t>
        </is>
      </c>
      <c r="R1478" s="17" t="n">
        <v/>
      </c>
      <c r="S1478" s="17">
        <f>TEXT(B1478,"yyyy-mm")</f>
        <v/>
      </c>
      <c r="T1478" s="17">
        <f>VLOOKUP(D1478,Customers!A:D,4,FALSE)</f>
        <v/>
      </c>
      <c r="U1478" s="17">
        <f>CONCATENATE(A1478,"-",G1478)</f>
        <v/>
      </c>
      <c r="V1478" s="17">
        <f>IF(N1478="","",IF(N1478&lt;=30,"Fast (&lt;30m)",IF(N1478&lt;=45,"Moderate (30-45m)","Delayed (&gt;45m)")))</f>
        <v/>
      </c>
      <c r="W1478" s="17">
        <f>IF(AND(I1478&gt;600,P1478="Delivered"),"High Value Delivered","Standard")</f>
        <v/>
      </c>
      <c r="X1478" s="17">
        <f>IF(OR(N1478&gt;50,Q1478&lt;=2),"High Risk / Delayed","Normal")</f>
        <v/>
      </c>
      <c r="Y1478" s="17">
        <f>IF(NOT(P1478="Cancelled"),"Fulfilled","Cancelled")</f>
        <v/>
      </c>
      <c r="Z1478" s="17">
        <f>IFERROR(Q1478,0)</f>
        <v/>
      </c>
    </row>
    <row r="1479">
      <c r="A1479" s="25" t="inlineStr">
        <is>
          <t>ORD2478</t>
        </is>
      </c>
      <c r="B1479" s="25" t="inlineStr">
        <is>
          <t>2025-01-28</t>
        </is>
      </c>
      <c r="C1479" s="25" t="inlineStr">
        <is>
          <t>19:41:40</t>
        </is>
      </c>
      <c r="D1479" s="25" t="n">
        <v>1156</v>
      </c>
      <c r="E1479" s="25" t="n">
        <v>106</v>
      </c>
      <c r="F1479" s="25" t="n">
        <v>209</v>
      </c>
      <c r="G1479" s="25" t="inlineStr">
        <is>
          <t>Pune</t>
        </is>
      </c>
      <c r="H1479" s="25" t="inlineStr">
        <is>
          <t>South Indian</t>
        </is>
      </c>
      <c r="I1479" s="26" t="n">
        <v>455</v>
      </c>
      <c r="J1479" s="26" t="n">
        <v>32.19</v>
      </c>
      <c r="K1479" s="26" t="n">
        <v>59.5</v>
      </c>
      <c r="L1479" s="27" t="n">
        <v>0.15</v>
      </c>
      <c r="M1479" s="26" t="n">
        <v>83.12</v>
      </c>
      <c r="N1479" s="28" t="n">
        <v>9.9</v>
      </c>
      <c r="O1479" s="28" t="n">
        <v>56.8</v>
      </c>
      <c r="P1479" s="25" t="inlineStr">
        <is>
          <t>Digital Wallet</t>
        </is>
      </c>
      <c r="Q1479" s="25" t="inlineStr">
        <is>
          <t>Delivered</t>
        </is>
      </c>
      <c r="R1479" s="25" t="n">
        <v>3</v>
      </c>
      <c r="S1479" s="25">
        <f>TEXT(B1479,"yyyy-mm")</f>
        <v/>
      </c>
      <c r="T1479" s="25">
        <f>VLOOKUP(D1479,Customers!A:D,4,FALSE)</f>
        <v/>
      </c>
      <c r="U1479" s="25">
        <f>CONCATENATE(A1479,"-",G1479)</f>
        <v/>
      </c>
      <c r="V1479" s="25">
        <f>IF(N1479="","",IF(N1479&lt;=30,"Fast (&lt;30m)",IF(N1479&lt;=45,"Moderate (30-45m)","Delayed (&gt;45m)")))</f>
        <v/>
      </c>
      <c r="W1479" s="25">
        <f>IF(AND(I1479&gt;600,P1479="Delivered"),"High Value Delivered","Standard")</f>
        <v/>
      </c>
      <c r="X1479" s="25">
        <f>IF(OR(N1479&gt;50,Q1479&lt;=2),"High Risk / Delayed","Normal")</f>
        <v/>
      </c>
      <c r="Y1479" s="25">
        <f>IF(NOT(P1479="Cancelled"),"Fulfilled","Cancelled")</f>
        <v/>
      </c>
      <c r="Z1479" s="25">
        <f>IFERROR(Q1479,0)</f>
        <v/>
      </c>
    </row>
    <row r="1480">
      <c r="A1480" s="17" t="inlineStr">
        <is>
          <t>ORD2479</t>
        </is>
      </c>
      <c r="B1480" s="17" t="inlineStr">
        <is>
          <t>2025-01-07</t>
        </is>
      </c>
      <c r="C1480" s="17" t="inlineStr">
        <is>
          <t>17:13:53</t>
        </is>
      </c>
      <c r="D1480" s="17" t="n">
        <v>1109</v>
      </c>
      <c r="E1480" s="17" t="n">
        <v>113</v>
      </c>
      <c r="F1480" s="17" t="n">
        <v>202</v>
      </c>
      <c r="G1480" s="17" t="inlineStr">
        <is>
          <t>Mumbai</t>
        </is>
      </c>
      <c r="H1480" s="17" t="inlineStr">
        <is>
          <t>Fast Food</t>
        </is>
      </c>
      <c r="I1480" s="22" t="n">
        <v>405</v>
      </c>
      <c r="J1480" s="22" t="n">
        <v>6.69</v>
      </c>
      <c r="K1480" s="22" t="n">
        <v>60.5</v>
      </c>
      <c r="L1480" s="23" t="n">
        <v>0.18</v>
      </c>
      <c r="M1480" s="22" t="n">
        <v>88.02</v>
      </c>
      <c r="N1480" s="24" t="n">
        <v>10.1</v>
      </c>
      <c r="O1480" s="24" t="n">
        <v>54.6</v>
      </c>
      <c r="P1480" s="17" t="inlineStr">
        <is>
          <t>Cash on Delivery</t>
        </is>
      </c>
      <c r="Q1480" s="17" t="inlineStr">
        <is>
          <t>Delivered</t>
        </is>
      </c>
      <c r="R1480" s="17" t="n">
        <v>1</v>
      </c>
      <c r="S1480" s="17">
        <f>TEXT(B1480,"yyyy-mm")</f>
        <v/>
      </c>
      <c r="T1480" s="17">
        <f>VLOOKUP(D1480,Customers!A:D,4,FALSE)</f>
        <v/>
      </c>
      <c r="U1480" s="17">
        <f>CONCATENATE(A1480,"-",G1480)</f>
        <v/>
      </c>
      <c r="V1480" s="17">
        <f>IF(N1480="","",IF(N1480&lt;=30,"Fast (&lt;30m)",IF(N1480&lt;=45,"Moderate (30-45m)","Delayed (&gt;45m)")))</f>
        <v/>
      </c>
      <c r="W1480" s="17">
        <f>IF(AND(I1480&gt;600,P1480="Delivered"),"High Value Delivered","Standard")</f>
        <v/>
      </c>
      <c r="X1480" s="17">
        <f>IF(OR(N1480&gt;50,Q1480&lt;=2),"High Risk / Delayed","Normal")</f>
        <v/>
      </c>
      <c r="Y1480" s="17">
        <f>IF(NOT(P1480="Cancelled"),"Fulfilled","Cancelled")</f>
        <v/>
      </c>
      <c r="Z1480" s="17">
        <f>IFERROR(Q1480,0)</f>
        <v/>
      </c>
    </row>
    <row r="1481">
      <c r="A1481" s="25" t="inlineStr">
        <is>
          <t>ORD2480</t>
        </is>
      </c>
      <c r="B1481" s="25" t="inlineStr">
        <is>
          <t>2025-11-05</t>
        </is>
      </c>
      <c r="C1481" s="25" t="inlineStr">
        <is>
          <t>19:48:10</t>
        </is>
      </c>
      <c r="D1481" s="25" t="n">
        <v>1291</v>
      </c>
      <c r="E1481" s="25" t="n">
        <v>109</v>
      </c>
      <c r="F1481" s="25" t="n">
        <v>216</v>
      </c>
      <c r="G1481" s="25" t="inlineStr">
        <is>
          <t>Hyderabad</t>
        </is>
      </c>
      <c r="H1481" s="25" t="inlineStr">
        <is>
          <t>Biryani</t>
        </is>
      </c>
      <c r="I1481" s="26" t="n">
        <v>723</v>
      </c>
      <c r="J1481" s="26" t="n">
        <v>0</v>
      </c>
      <c r="K1481" s="26" t="n">
        <v>28</v>
      </c>
      <c r="L1481" s="27" t="n">
        <v>0.2</v>
      </c>
      <c r="M1481" s="26" t="n">
        <v>151.6</v>
      </c>
      <c r="N1481" s="28" t="n">
        <v>3.6</v>
      </c>
      <c r="O1481" s="28" t="n">
        <v>36.3</v>
      </c>
      <c r="P1481" s="25" t="inlineStr">
        <is>
          <t>Credit Card</t>
        </is>
      </c>
      <c r="Q1481" s="25" t="inlineStr">
        <is>
          <t>Delivered</t>
        </is>
      </c>
      <c r="R1481" s="25" t="n">
        <v>4</v>
      </c>
      <c r="S1481" s="25">
        <f>TEXT(B1481,"yyyy-mm")</f>
        <v/>
      </c>
      <c r="T1481" s="25">
        <f>VLOOKUP(D1481,Customers!A:D,4,FALSE)</f>
        <v/>
      </c>
      <c r="U1481" s="25">
        <f>CONCATENATE(A1481,"-",G1481)</f>
        <v/>
      </c>
      <c r="V1481" s="25">
        <f>IF(N1481="","",IF(N1481&lt;=30,"Fast (&lt;30m)",IF(N1481&lt;=45,"Moderate (30-45m)","Delayed (&gt;45m)")))</f>
        <v/>
      </c>
      <c r="W1481" s="25">
        <f>IF(AND(I1481&gt;600,P1481="Delivered"),"High Value Delivered","Standard")</f>
        <v/>
      </c>
      <c r="X1481" s="25">
        <f>IF(OR(N1481&gt;50,Q1481&lt;=2),"High Risk / Delayed","Normal")</f>
        <v/>
      </c>
      <c r="Y1481" s="25">
        <f>IF(NOT(P1481="Cancelled"),"Fulfilled","Cancelled")</f>
        <v/>
      </c>
      <c r="Z1481" s="25">
        <f>IFERROR(Q1481,0)</f>
        <v/>
      </c>
    </row>
    <row r="1482">
      <c r="A1482" s="17" t="inlineStr">
        <is>
          <t>ORD2481</t>
        </is>
      </c>
      <c r="B1482" s="17" t="inlineStr">
        <is>
          <t>2025-01-01</t>
        </is>
      </c>
      <c r="C1482" s="17" t="inlineStr">
        <is>
          <t>13:54:01</t>
        </is>
      </c>
      <c r="D1482" s="17" t="n">
        <v>1180</v>
      </c>
      <c r="E1482" s="17" t="n">
        <v>118</v>
      </c>
      <c r="F1482" s="17" t="n">
        <v>219</v>
      </c>
      <c r="G1482" s="17" t="inlineStr">
        <is>
          <t>Delhi NCR</t>
        </is>
      </c>
      <c r="H1482" s="17" t="inlineStr">
        <is>
          <t>North Indian</t>
        </is>
      </c>
      <c r="I1482" s="22" t="n">
        <v>854</v>
      </c>
      <c r="J1482" s="22" t="n">
        <v>0</v>
      </c>
      <c r="K1482" s="22" t="n">
        <v>36</v>
      </c>
      <c r="L1482" s="23" t="n">
        <v>0.2</v>
      </c>
      <c r="M1482" s="22" t="n">
        <v>179.8</v>
      </c>
      <c r="N1482" s="24" t="n">
        <v>5.2</v>
      </c>
      <c r="O1482" s="24" t="n">
        <v>33.6</v>
      </c>
      <c r="P1482" s="17" t="inlineStr">
        <is>
          <t>Debit Card</t>
        </is>
      </c>
      <c r="Q1482" s="17" t="inlineStr">
        <is>
          <t>Delivered</t>
        </is>
      </c>
      <c r="R1482" s="17" t="n">
        <v>2</v>
      </c>
      <c r="S1482" s="17">
        <f>TEXT(B1482,"yyyy-mm")</f>
        <v/>
      </c>
      <c r="T1482" s="17">
        <f>VLOOKUP(D1482,Customers!A:D,4,FALSE)</f>
        <v/>
      </c>
      <c r="U1482" s="17">
        <f>CONCATENATE(A1482,"-",G1482)</f>
        <v/>
      </c>
      <c r="V1482" s="17">
        <f>IF(N1482="","",IF(N1482&lt;=30,"Fast (&lt;30m)",IF(N1482&lt;=45,"Moderate (30-45m)","Delayed (&gt;45m)")))</f>
        <v/>
      </c>
      <c r="W1482" s="17">
        <f>IF(AND(I1482&gt;600,P1482="Delivered"),"High Value Delivered","Standard")</f>
        <v/>
      </c>
      <c r="X1482" s="17">
        <f>IF(OR(N1482&gt;50,Q1482&lt;=2),"High Risk / Delayed","Normal")</f>
        <v/>
      </c>
      <c r="Y1482" s="17">
        <f>IF(NOT(P1482="Cancelled"),"Fulfilled","Cancelled")</f>
        <v/>
      </c>
      <c r="Z1482" s="17">
        <f>IFERROR(Q1482,0)</f>
        <v/>
      </c>
    </row>
    <row r="1483">
      <c r="A1483" s="25" t="inlineStr">
        <is>
          <t>ORD2482</t>
        </is>
      </c>
      <c r="B1483" s="25" t="inlineStr">
        <is>
          <t>2025-08-16</t>
        </is>
      </c>
      <c r="C1483" s="25" t="inlineStr">
        <is>
          <t>21:24:46</t>
        </is>
      </c>
      <c r="D1483" s="25" t="n">
        <v>1164</v>
      </c>
      <c r="E1483" s="25" t="n">
        <v>110</v>
      </c>
      <c r="F1483" s="25" t="n">
        <v>208</v>
      </c>
      <c r="G1483" s="25" t="inlineStr">
        <is>
          <t>Pune</t>
        </is>
      </c>
      <c r="H1483" s="25" t="inlineStr">
        <is>
          <t>North Indian</t>
        </is>
      </c>
      <c r="I1483" s="26" t="n">
        <v>801</v>
      </c>
      <c r="J1483" s="26" t="n">
        <v>6.23</v>
      </c>
      <c r="K1483" s="26" t="n">
        <v>27.5</v>
      </c>
      <c r="L1483" s="27" t="n">
        <v>0.18</v>
      </c>
      <c r="M1483" s="26" t="n">
        <v>151.06</v>
      </c>
      <c r="N1483" s="28" t="n">
        <v>3.5</v>
      </c>
      <c r="O1483" s="28" t="n">
        <v>30.5</v>
      </c>
      <c r="P1483" s="25" t="inlineStr">
        <is>
          <t>Credit Card</t>
        </is>
      </c>
      <c r="Q1483" s="25" t="inlineStr">
        <is>
          <t>Delivered</t>
        </is>
      </c>
      <c r="R1483" s="25" t="n">
        <v>2</v>
      </c>
      <c r="S1483" s="25">
        <f>TEXT(B1483,"yyyy-mm")</f>
        <v/>
      </c>
      <c r="T1483" s="25">
        <f>VLOOKUP(D1483,Customers!A:D,4,FALSE)</f>
        <v/>
      </c>
      <c r="U1483" s="25">
        <f>CONCATENATE(A1483,"-",G1483)</f>
        <v/>
      </c>
      <c r="V1483" s="25">
        <f>IF(N1483="","",IF(N1483&lt;=30,"Fast (&lt;30m)",IF(N1483&lt;=45,"Moderate (30-45m)","Delayed (&gt;45m)")))</f>
        <v/>
      </c>
      <c r="W1483" s="25">
        <f>IF(AND(I1483&gt;600,P1483="Delivered"),"High Value Delivered","Standard")</f>
        <v/>
      </c>
      <c r="X1483" s="25">
        <f>IF(OR(N1483&gt;50,Q1483&lt;=2),"High Risk / Delayed","Normal")</f>
        <v/>
      </c>
      <c r="Y1483" s="25">
        <f>IF(NOT(P1483="Cancelled"),"Fulfilled","Cancelled")</f>
        <v/>
      </c>
      <c r="Z1483" s="25">
        <f>IFERROR(Q1483,0)</f>
        <v/>
      </c>
    </row>
    <row r="1484">
      <c r="A1484" s="17" t="inlineStr">
        <is>
          <t>ORD2483</t>
        </is>
      </c>
      <c r="B1484" s="17" t="inlineStr">
        <is>
          <t>2025-05-24</t>
        </is>
      </c>
      <c r="C1484" s="17" t="inlineStr">
        <is>
          <t>18:26:41</t>
        </is>
      </c>
      <c r="D1484" s="17" t="n">
        <v>1142</v>
      </c>
      <c r="E1484" s="17" t="n">
        <v>119</v>
      </c>
      <c r="F1484" s="17" t="n">
        <v>225</v>
      </c>
      <c r="G1484" s="17" t="inlineStr">
        <is>
          <t>Hyderabad</t>
        </is>
      </c>
      <c r="H1484" s="17" t="inlineStr">
        <is>
          <t>Biryani</t>
        </is>
      </c>
      <c r="I1484" s="22" t="n">
        <v>242</v>
      </c>
      <c r="J1484" s="22" t="n">
        <v>0</v>
      </c>
      <c r="K1484" s="22" t="n">
        <v>25</v>
      </c>
      <c r="L1484" s="23" t="n">
        <v>0.2</v>
      </c>
      <c r="M1484" s="22" t="n">
        <v>54.65</v>
      </c>
      <c r="N1484" s="24" t="n">
        <v>3</v>
      </c>
      <c r="O1484" s="24" t="n">
        <v>25.9</v>
      </c>
      <c r="P1484" s="17" t="inlineStr">
        <is>
          <t>UPI</t>
        </is>
      </c>
      <c r="Q1484" s="17" t="inlineStr">
        <is>
          <t>Delivered</t>
        </is>
      </c>
      <c r="R1484" s="17" t="n">
        <v>4</v>
      </c>
      <c r="S1484" s="17">
        <f>TEXT(B1484,"yyyy-mm")</f>
        <v/>
      </c>
      <c r="T1484" s="17">
        <f>VLOOKUP(D1484,Customers!A:D,4,FALSE)</f>
        <v/>
      </c>
      <c r="U1484" s="17">
        <f>CONCATENATE(A1484,"-",G1484)</f>
        <v/>
      </c>
      <c r="V1484" s="17">
        <f>IF(N1484="","",IF(N1484&lt;=30,"Fast (&lt;30m)",IF(N1484&lt;=45,"Moderate (30-45m)","Delayed (&gt;45m)")))</f>
        <v/>
      </c>
      <c r="W1484" s="17">
        <f>IF(AND(I1484&gt;600,P1484="Delivered"),"High Value Delivered","Standard")</f>
        <v/>
      </c>
      <c r="X1484" s="17">
        <f>IF(OR(N1484&gt;50,Q1484&lt;=2),"High Risk / Delayed","Normal")</f>
        <v/>
      </c>
      <c r="Y1484" s="17">
        <f>IF(NOT(P1484="Cancelled"),"Fulfilled","Cancelled")</f>
        <v/>
      </c>
      <c r="Z1484" s="17">
        <f>IFERROR(Q1484,0)</f>
        <v/>
      </c>
    </row>
    <row r="1485">
      <c r="A1485" s="25" t="inlineStr">
        <is>
          <t>ORD2484</t>
        </is>
      </c>
      <c r="B1485" s="25" t="inlineStr">
        <is>
          <t>2025-08-22</t>
        </is>
      </c>
      <c r="C1485" s="25" t="inlineStr">
        <is>
          <t>19:59:59</t>
        </is>
      </c>
      <c r="D1485" s="25" t="n">
        <v>1274</v>
      </c>
      <c r="E1485" s="25" t="n">
        <v>107</v>
      </c>
      <c r="F1485" s="25" t="n">
        <v>202</v>
      </c>
      <c r="G1485" s="25" t="inlineStr">
        <is>
          <t>Mumbai</t>
        </is>
      </c>
      <c r="H1485" s="25" t="inlineStr">
        <is>
          <t>Desserts</t>
        </is>
      </c>
      <c r="I1485" s="26" t="n">
        <v>559</v>
      </c>
      <c r="J1485" s="26" t="n">
        <v>107.29</v>
      </c>
      <c r="K1485" s="26" t="n">
        <v>0</v>
      </c>
      <c r="L1485" s="27" t="n">
        <v>0.25</v>
      </c>
      <c r="M1485" s="26" t="n">
        <v>139.75</v>
      </c>
      <c r="N1485" s="28" t="n">
        <v>6.5</v>
      </c>
      <c r="O1485" s="28" t="n">
        <v>46.2</v>
      </c>
      <c r="P1485" s="25" t="inlineStr">
        <is>
          <t>UPI</t>
        </is>
      </c>
      <c r="Q1485" s="25" t="inlineStr">
        <is>
          <t>Delivered</t>
        </is>
      </c>
      <c r="R1485" s="25" t="n">
        <v>3</v>
      </c>
      <c r="S1485" s="25">
        <f>TEXT(B1485,"yyyy-mm")</f>
        <v/>
      </c>
      <c r="T1485" s="25">
        <f>VLOOKUP(D1485,Customers!A:D,4,FALSE)</f>
        <v/>
      </c>
      <c r="U1485" s="25">
        <f>CONCATENATE(A1485,"-",G1485)</f>
        <v/>
      </c>
      <c r="V1485" s="25">
        <f>IF(N1485="","",IF(N1485&lt;=30,"Fast (&lt;30m)",IF(N1485&lt;=45,"Moderate (30-45m)","Delayed (&gt;45m)")))</f>
        <v/>
      </c>
      <c r="W1485" s="25">
        <f>IF(AND(I1485&gt;600,P1485="Delivered"),"High Value Delivered","Standard")</f>
        <v/>
      </c>
      <c r="X1485" s="25">
        <f>IF(OR(N1485&gt;50,Q1485&lt;=2),"High Risk / Delayed","Normal")</f>
        <v/>
      </c>
      <c r="Y1485" s="25">
        <f>IF(NOT(P1485="Cancelled"),"Fulfilled","Cancelled")</f>
        <v/>
      </c>
      <c r="Z1485" s="25">
        <f>IFERROR(Q1485,0)</f>
        <v/>
      </c>
    </row>
    <row r="1486">
      <c r="A1486" s="17" t="inlineStr">
        <is>
          <t>ORD2485</t>
        </is>
      </c>
      <c r="B1486" s="17" t="inlineStr">
        <is>
          <t>2025-02-27</t>
        </is>
      </c>
      <c r="C1486" s="17" t="inlineStr">
        <is>
          <t>20:05:46</t>
        </is>
      </c>
      <c r="D1486" s="17" t="n">
        <v>1067</v>
      </c>
      <c r="E1486" s="17" t="n">
        <v>106</v>
      </c>
      <c r="F1486" s="17" t="n">
        <v>207</v>
      </c>
      <c r="G1486" s="17" t="inlineStr">
        <is>
          <t>Pune</t>
        </is>
      </c>
      <c r="H1486" s="17" t="inlineStr">
        <is>
          <t>South Indian</t>
        </is>
      </c>
      <c r="I1486" s="22" t="n">
        <v>460</v>
      </c>
      <c r="J1486" s="22" t="n">
        <v>0</v>
      </c>
      <c r="K1486" s="22" t="n">
        <v>25.5</v>
      </c>
      <c r="L1486" s="23" t="n">
        <v>0.15</v>
      </c>
      <c r="M1486" s="22" t="n">
        <v>75.38</v>
      </c>
      <c r="N1486" s="24" t="n">
        <v>3.1</v>
      </c>
      <c r="O1486" s="24" t="n">
        <v>32.6</v>
      </c>
      <c r="P1486" s="17" t="inlineStr">
        <is>
          <t>Digital Wallet</t>
        </is>
      </c>
      <c r="Q1486" s="17" t="inlineStr">
        <is>
          <t>Delivered</t>
        </is>
      </c>
      <c r="R1486" s="17" t="n">
        <v>2</v>
      </c>
      <c r="S1486" s="17">
        <f>TEXT(B1486,"yyyy-mm")</f>
        <v/>
      </c>
      <c r="T1486" s="17">
        <f>VLOOKUP(D1486,Customers!A:D,4,FALSE)</f>
        <v/>
      </c>
      <c r="U1486" s="17">
        <f>CONCATENATE(A1486,"-",G1486)</f>
        <v/>
      </c>
      <c r="V1486" s="17">
        <f>IF(N1486="","",IF(N1486&lt;=30,"Fast (&lt;30m)",IF(N1486&lt;=45,"Moderate (30-45m)","Delayed (&gt;45m)")))</f>
        <v/>
      </c>
      <c r="W1486" s="17">
        <f>IF(AND(I1486&gt;600,P1486="Delivered"),"High Value Delivered","Standard")</f>
        <v/>
      </c>
      <c r="X1486" s="17">
        <f>IF(OR(N1486&gt;50,Q1486&lt;=2),"High Risk / Delayed","Normal")</f>
        <v/>
      </c>
      <c r="Y1486" s="17">
        <f>IF(NOT(P1486="Cancelled"),"Fulfilled","Cancelled")</f>
        <v/>
      </c>
      <c r="Z1486" s="17">
        <f>IFERROR(Q1486,0)</f>
        <v/>
      </c>
    </row>
    <row r="1487">
      <c r="A1487" s="25" t="inlineStr">
        <is>
          <t>ORD2486</t>
        </is>
      </c>
      <c r="B1487" s="25" t="inlineStr">
        <is>
          <t>2025-12-26</t>
        </is>
      </c>
      <c r="C1487" s="25" t="inlineStr">
        <is>
          <t>11:36:30</t>
        </is>
      </c>
      <c r="D1487" s="25" t="n">
        <v>1208</v>
      </c>
      <c r="E1487" s="25" t="n">
        <v>120</v>
      </c>
      <c r="F1487" s="25" t="n">
        <v>207</v>
      </c>
      <c r="G1487" s="25" t="inlineStr">
        <is>
          <t>Pune</t>
        </is>
      </c>
      <c r="H1487" s="25" t="inlineStr">
        <is>
          <t>Fast Food</t>
        </is>
      </c>
      <c r="I1487" s="26" t="n">
        <v>284</v>
      </c>
      <c r="J1487" s="26" t="n">
        <v>28.74</v>
      </c>
      <c r="K1487" s="26" t="n">
        <v>28</v>
      </c>
      <c r="L1487" s="27" t="n">
        <v>0.18</v>
      </c>
      <c r="M1487" s="26" t="n">
        <v>58.12</v>
      </c>
      <c r="N1487" s="28" t="n">
        <v>3.6</v>
      </c>
      <c r="O1487" s="28" t="n">
        <v>24.4</v>
      </c>
      <c r="P1487" s="25" t="inlineStr">
        <is>
          <t>UPI</t>
        </is>
      </c>
      <c r="Q1487" s="25" t="inlineStr">
        <is>
          <t>Delivered</t>
        </is>
      </c>
      <c r="R1487" s="25" t="n">
        <v>4</v>
      </c>
      <c r="S1487" s="25">
        <f>TEXT(B1487,"yyyy-mm")</f>
        <v/>
      </c>
      <c r="T1487" s="25">
        <f>VLOOKUP(D1487,Customers!A:D,4,FALSE)</f>
        <v/>
      </c>
      <c r="U1487" s="25">
        <f>CONCATENATE(A1487,"-",G1487)</f>
        <v/>
      </c>
      <c r="V1487" s="25">
        <f>IF(N1487="","",IF(N1487&lt;=30,"Fast (&lt;30m)",IF(N1487&lt;=45,"Moderate (30-45m)","Delayed (&gt;45m)")))</f>
        <v/>
      </c>
      <c r="W1487" s="25">
        <f>IF(AND(I1487&gt;600,P1487="Delivered"),"High Value Delivered","Standard")</f>
        <v/>
      </c>
      <c r="X1487" s="25">
        <f>IF(OR(N1487&gt;50,Q1487&lt;=2),"High Risk / Delayed","Normal")</f>
        <v/>
      </c>
      <c r="Y1487" s="25">
        <f>IF(NOT(P1487="Cancelled"),"Fulfilled","Cancelled")</f>
        <v/>
      </c>
      <c r="Z1487" s="25">
        <f>IFERROR(Q1487,0)</f>
        <v/>
      </c>
    </row>
    <row r="1488">
      <c r="A1488" s="17" t="inlineStr">
        <is>
          <t>ORD2487</t>
        </is>
      </c>
      <c r="B1488" s="17" t="inlineStr">
        <is>
          <t>2025-01-20</t>
        </is>
      </c>
      <c r="C1488" s="17" t="inlineStr">
        <is>
          <t>22:31:27</t>
        </is>
      </c>
      <c r="D1488" s="17" t="n">
        <v>1073</v>
      </c>
      <c r="E1488" s="17" t="n">
        <v>105</v>
      </c>
      <c r="F1488" s="17" t="n">
        <v>203</v>
      </c>
      <c r="G1488" s="17" t="inlineStr">
        <is>
          <t>Bangalore</t>
        </is>
      </c>
      <c r="H1488" s="17" t="inlineStr">
        <is>
          <t>Chinese</t>
        </is>
      </c>
      <c r="I1488" s="22" t="n">
        <v>696</v>
      </c>
      <c r="J1488" s="22" t="n">
        <v>0</v>
      </c>
      <c r="K1488" s="22" t="n">
        <v>36</v>
      </c>
      <c r="L1488" s="23" t="n">
        <v>0.2</v>
      </c>
      <c r="M1488" s="22" t="n">
        <v>148.2</v>
      </c>
      <c r="N1488" s="24" t="n">
        <v>5.2</v>
      </c>
      <c r="O1488" s="24" t="n">
        <v>38.4</v>
      </c>
      <c r="P1488" s="17" t="inlineStr">
        <is>
          <t>Digital Wallet</t>
        </is>
      </c>
      <c r="Q1488" s="17" t="inlineStr">
        <is>
          <t>Delivered</t>
        </is>
      </c>
      <c r="R1488" s="17" t="n">
        <v>1</v>
      </c>
      <c r="S1488" s="17">
        <f>TEXT(B1488,"yyyy-mm")</f>
        <v/>
      </c>
      <c r="T1488" s="17">
        <f>VLOOKUP(D1488,Customers!A:D,4,FALSE)</f>
        <v/>
      </c>
      <c r="U1488" s="17">
        <f>CONCATENATE(A1488,"-",G1488)</f>
        <v/>
      </c>
      <c r="V1488" s="17">
        <f>IF(N1488="","",IF(N1488&lt;=30,"Fast (&lt;30m)",IF(N1488&lt;=45,"Moderate (30-45m)","Delayed (&gt;45m)")))</f>
        <v/>
      </c>
      <c r="W1488" s="17">
        <f>IF(AND(I1488&gt;600,P1488="Delivered"),"High Value Delivered","Standard")</f>
        <v/>
      </c>
      <c r="X1488" s="17">
        <f>IF(OR(N1488&gt;50,Q1488&lt;=2),"High Risk / Delayed","Normal")</f>
        <v/>
      </c>
      <c r="Y1488" s="17">
        <f>IF(NOT(P1488="Cancelled"),"Fulfilled","Cancelled")</f>
        <v/>
      </c>
      <c r="Z1488" s="17">
        <f>IFERROR(Q1488,0)</f>
        <v/>
      </c>
    </row>
    <row r="1489">
      <c r="A1489" s="25" t="inlineStr">
        <is>
          <t>ORD2488</t>
        </is>
      </c>
      <c r="B1489" s="25" t="inlineStr">
        <is>
          <t>2025-05-24</t>
        </is>
      </c>
      <c r="C1489" s="25" t="inlineStr">
        <is>
          <t>19:45:18</t>
        </is>
      </c>
      <c r="D1489" s="25" t="n">
        <v>1165</v>
      </c>
      <c r="E1489" s="25" t="n">
        <v>117</v>
      </c>
      <c r="F1489" s="25" t="n">
        <v>222</v>
      </c>
      <c r="G1489" s="25" t="inlineStr">
        <is>
          <t>Mumbai</t>
        </is>
      </c>
      <c r="H1489" s="25" t="inlineStr">
        <is>
          <t>Chinese</t>
        </is>
      </c>
      <c r="I1489" s="26" t="n">
        <v>710</v>
      </c>
      <c r="J1489" s="26" t="n">
        <v>0</v>
      </c>
      <c r="K1489" s="26" t="n">
        <v>51</v>
      </c>
      <c r="L1489" s="27" t="n">
        <v>0.2</v>
      </c>
      <c r="M1489" s="26" t="n">
        <v>154.75</v>
      </c>
      <c r="N1489" s="28" t="n">
        <v>8.199999999999999</v>
      </c>
      <c r="O1489" s="28" t="n">
        <v>50.4</v>
      </c>
      <c r="P1489" s="25" t="inlineStr">
        <is>
          <t>Debit Card</t>
        </is>
      </c>
      <c r="Q1489" s="25" t="inlineStr">
        <is>
          <t>Delivered</t>
        </is>
      </c>
      <c r="R1489" s="25" t="n">
        <v>1</v>
      </c>
      <c r="S1489" s="25">
        <f>TEXT(B1489,"yyyy-mm")</f>
        <v/>
      </c>
      <c r="T1489" s="25">
        <f>VLOOKUP(D1489,Customers!A:D,4,FALSE)</f>
        <v/>
      </c>
      <c r="U1489" s="25">
        <f>CONCATENATE(A1489,"-",G1489)</f>
        <v/>
      </c>
      <c r="V1489" s="25">
        <f>IF(N1489="","",IF(N1489&lt;=30,"Fast (&lt;30m)",IF(N1489&lt;=45,"Moderate (30-45m)","Delayed (&gt;45m)")))</f>
        <v/>
      </c>
      <c r="W1489" s="25">
        <f>IF(AND(I1489&gt;600,P1489="Delivered"),"High Value Delivered","Standard")</f>
        <v/>
      </c>
      <c r="X1489" s="25">
        <f>IF(OR(N1489&gt;50,Q1489&lt;=2),"High Risk / Delayed","Normal")</f>
        <v/>
      </c>
      <c r="Y1489" s="25">
        <f>IF(NOT(P1489="Cancelled"),"Fulfilled","Cancelled")</f>
        <v/>
      </c>
      <c r="Z1489" s="25">
        <f>IFERROR(Q1489,0)</f>
        <v/>
      </c>
    </row>
    <row r="1490">
      <c r="A1490" s="17" t="inlineStr">
        <is>
          <t>ORD2489</t>
        </is>
      </c>
      <c r="B1490" s="17" t="inlineStr">
        <is>
          <t>2025-12-20</t>
        </is>
      </c>
      <c r="C1490" s="17" t="inlineStr">
        <is>
          <t>22:28:51</t>
        </is>
      </c>
      <c r="D1490" s="17" t="n">
        <v>1222</v>
      </c>
      <c r="E1490" s="17" t="n">
        <v>119</v>
      </c>
      <c r="F1490" s="17" t="n">
        <v>225</v>
      </c>
      <c r="G1490" s="17" t="inlineStr">
        <is>
          <t>Hyderabad</t>
        </is>
      </c>
      <c r="H1490" s="17" t="inlineStr">
        <is>
          <t>Biryani</t>
        </is>
      </c>
      <c r="I1490" s="22" t="n">
        <v>221</v>
      </c>
      <c r="J1490" s="22" t="n">
        <v>0.78</v>
      </c>
      <c r="K1490" s="22" t="n">
        <v>40.5</v>
      </c>
      <c r="L1490" s="23" t="n">
        <v>0.2</v>
      </c>
      <c r="M1490" s="22" t="n">
        <v>54.32</v>
      </c>
      <c r="N1490" s="24" t="n">
        <v>6.1</v>
      </c>
      <c r="O1490" s="24" t="n">
        <v>36.5</v>
      </c>
      <c r="P1490" s="17" t="inlineStr">
        <is>
          <t>Cash on Delivery</t>
        </is>
      </c>
      <c r="Q1490" s="17" t="inlineStr">
        <is>
          <t>Delivered</t>
        </is>
      </c>
      <c r="R1490" s="17" t="n">
        <v>4</v>
      </c>
      <c r="S1490" s="17">
        <f>TEXT(B1490,"yyyy-mm")</f>
        <v/>
      </c>
      <c r="T1490" s="17">
        <f>VLOOKUP(D1490,Customers!A:D,4,FALSE)</f>
        <v/>
      </c>
      <c r="U1490" s="17">
        <f>CONCATENATE(A1490,"-",G1490)</f>
        <v/>
      </c>
      <c r="V1490" s="17">
        <f>IF(N1490="","",IF(N1490&lt;=30,"Fast (&lt;30m)",IF(N1490&lt;=45,"Moderate (30-45m)","Delayed (&gt;45m)")))</f>
        <v/>
      </c>
      <c r="W1490" s="17">
        <f>IF(AND(I1490&gt;600,P1490="Delivered"),"High Value Delivered","Standard")</f>
        <v/>
      </c>
      <c r="X1490" s="17">
        <f>IF(OR(N1490&gt;50,Q1490&lt;=2),"High Risk / Delayed","Normal")</f>
        <v/>
      </c>
      <c r="Y1490" s="17">
        <f>IF(NOT(P1490="Cancelled"),"Fulfilled","Cancelled")</f>
        <v/>
      </c>
      <c r="Z1490" s="17">
        <f>IFERROR(Q1490,0)</f>
        <v/>
      </c>
    </row>
    <row r="1491">
      <c r="A1491" s="25" t="inlineStr">
        <is>
          <t>ORD2490</t>
        </is>
      </c>
      <c r="B1491" s="25" t="inlineStr">
        <is>
          <t>2025-05-27</t>
        </is>
      </c>
      <c r="C1491" s="25" t="inlineStr">
        <is>
          <t>08:23:05</t>
        </is>
      </c>
      <c r="D1491" s="25" t="n">
        <v>1206</v>
      </c>
      <c r="E1491" s="25" t="n">
        <v>107</v>
      </c>
      <c r="F1491" s="25" t="n">
        <v>229</v>
      </c>
      <c r="G1491" s="25" t="inlineStr">
        <is>
          <t>Mumbai</t>
        </is>
      </c>
      <c r="H1491" s="25" t="inlineStr">
        <is>
          <t>Desserts</t>
        </is>
      </c>
      <c r="I1491" s="26" t="n">
        <v>832</v>
      </c>
      <c r="J1491" s="26" t="n">
        <v>0</v>
      </c>
      <c r="K1491" s="26" t="n">
        <v>25</v>
      </c>
      <c r="L1491" s="27" t="n">
        <v>0.25</v>
      </c>
      <c r="M1491" s="26" t="n">
        <v>214.25</v>
      </c>
      <c r="N1491" s="28" t="n">
        <v>2.4</v>
      </c>
      <c r="O1491" s="28" t="n">
        <v>38.6</v>
      </c>
      <c r="P1491" s="25" t="inlineStr">
        <is>
          <t>Digital Wallet</t>
        </is>
      </c>
      <c r="Q1491" s="25" t="inlineStr">
        <is>
          <t>Delivered</t>
        </is>
      </c>
      <c r="R1491" s="25" t="n">
        <v>5</v>
      </c>
      <c r="S1491" s="25">
        <f>TEXT(B1491,"yyyy-mm")</f>
        <v/>
      </c>
      <c r="T1491" s="25">
        <f>VLOOKUP(D1491,Customers!A:D,4,FALSE)</f>
        <v/>
      </c>
      <c r="U1491" s="25">
        <f>CONCATENATE(A1491,"-",G1491)</f>
        <v/>
      </c>
      <c r="V1491" s="25">
        <f>IF(N1491="","",IF(N1491&lt;=30,"Fast (&lt;30m)",IF(N1491&lt;=45,"Moderate (30-45m)","Delayed (&gt;45m)")))</f>
        <v/>
      </c>
      <c r="W1491" s="25">
        <f>IF(AND(I1491&gt;600,P1491="Delivered"),"High Value Delivered","Standard")</f>
        <v/>
      </c>
      <c r="X1491" s="25">
        <f>IF(OR(N1491&gt;50,Q1491&lt;=2),"High Risk / Delayed","Normal")</f>
        <v/>
      </c>
      <c r="Y1491" s="25">
        <f>IF(NOT(P1491="Cancelled"),"Fulfilled","Cancelled")</f>
        <v/>
      </c>
      <c r="Z1491" s="25">
        <f>IFERROR(Q1491,0)</f>
        <v/>
      </c>
    </row>
    <row r="1492">
      <c r="A1492" s="17" t="inlineStr">
        <is>
          <t>ORD2491</t>
        </is>
      </c>
      <c r="B1492" s="17" t="inlineStr">
        <is>
          <t>2025-12-04</t>
        </is>
      </c>
      <c r="C1492" s="17" t="inlineStr">
        <is>
          <t>21:57:23</t>
        </is>
      </c>
      <c r="D1492" s="17" t="n">
        <v>1140</v>
      </c>
      <c r="E1492" s="17" t="n">
        <v>106</v>
      </c>
      <c r="F1492" s="17" t="n">
        <v>226</v>
      </c>
      <c r="G1492" s="17" t="inlineStr">
        <is>
          <t>Pune</t>
        </is>
      </c>
      <c r="H1492" s="17" t="inlineStr">
        <is>
          <t>South Indian</t>
        </is>
      </c>
      <c r="I1492" s="22" t="n">
        <v>1022</v>
      </c>
      <c r="J1492" s="22" t="n">
        <v>117.09</v>
      </c>
      <c r="K1492" s="22" t="n">
        <v>0</v>
      </c>
      <c r="L1492" s="23" t="n">
        <v>0.15</v>
      </c>
      <c r="M1492" s="22" t="n">
        <v>153.3</v>
      </c>
      <c r="N1492" s="24" t="n">
        <v>5.8</v>
      </c>
      <c r="O1492" s="24" t="n">
        <v>42.7</v>
      </c>
      <c r="P1492" s="17" t="inlineStr">
        <is>
          <t>Debit Card</t>
        </is>
      </c>
      <c r="Q1492" s="17" t="inlineStr">
        <is>
          <t>Delivered</t>
        </is>
      </c>
      <c r="R1492" s="17" t="n">
        <v>1</v>
      </c>
      <c r="S1492" s="17">
        <f>TEXT(B1492,"yyyy-mm")</f>
        <v/>
      </c>
      <c r="T1492" s="17">
        <f>VLOOKUP(D1492,Customers!A:D,4,FALSE)</f>
        <v/>
      </c>
      <c r="U1492" s="17">
        <f>CONCATENATE(A1492,"-",G1492)</f>
        <v/>
      </c>
      <c r="V1492" s="17">
        <f>IF(N1492="","",IF(N1492&lt;=30,"Fast (&lt;30m)",IF(N1492&lt;=45,"Moderate (30-45m)","Delayed (&gt;45m)")))</f>
        <v/>
      </c>
      <c r="W1492" s="17">
        <f>IF(AND(I1492&gt;600,P1492="Delivered"),"High Value Delivered","Standard")</f>
        <v/>
      </c>
      <c r="X1492" s="17">
        <f>IF(OR(N1492&gt;50,Q1492&lt;=2),"High Risk / Delayed","Normal")</f>
        <v/>
      </c>
      <c r="Y1492" s="17">
        <f>IF(NOT(P1492="Cancelled"),"Fulfilled","Cancelled")</f>
        <v/>
      </c>
      <c r="Z1492" s="17">
        <f>IFERROR(Q1492,0)</f>
        <v/>
      </c>
    </row>
    <row r="1493">
      <c r="A1493" s="25" t="inlineStr">
        <is>
          <t>ORD2492</t>
        </is>
      </c>
      <c r="B1493" s="25" t="inlineStr">
        <is>
          <t>2025-07-10</t>
        </is>
      </c>
      <c r="C1493" s="25" t="inlineStr">
        <is>
          <t>20:29:22</t>
        </is>
      </c>
      <c r="D1493" s="25" t="n">
        <v>1148</v>
      </c>
      <c r="E1493" s="25" t="n">
        <v>115</v>
      </c>
      <c r="F1493" s="25" t="n">
        <v>210</v>
      </c>
      <c r="G1493" s="25" t="inlineStr">
        <is>
          <t>Bangalore</t>
        </is>
      </c>
      <c r="H1493" s="25" t="inlineStr">
        <is>
          <t>Italian</t>
        </is>
      </c>
      <c r="I1493" s="26" t="n">
        <v>519</v>
      </c>
      <c r="J1493" s="26" t="n">
        <v>0</v>
      </c>
      <c r="K1493" s="26" t="n">
        <v>33.5</v>
      </c>
      <c r="L1493" s="27" t="n">
        <v>0.2</v>
      </c>
      <c r="M1493" s="26" t="n">
        <v>112.18</v>
      </c>
      <c r="N1493" s="28" t="n">
        <v>4.7</v>
      </c>
      <c r="O1493" s="28" t="n">
        <v>37.5</v>
      </c>
      <c r="P1493" s="25" t="inlineStr">
        <is>
          <t>Cash on Delivery</t>
        </is>
      </c>
      <c r="Q1493" s="25" t="inlineStr">
        <is>
          <t>Delivered</t>
        </is>
      </c>
      <c r="R1493" s="25" t="n">
        <v>5</v>
      </c>
      <c r="S1493" s="25">
        <f>TEXT(B1493,"yyyy-mm")</f>
        <v/>
      </c>
      <c r="T1493" s="25">
        <f>VLOOKUP(D1493,Customers!A:D,4,FALSE)</f>
        <v/>
      </c>
      <c r="U1493" s="25">
        <f>CONCATENATE(A1493,"-",G1493)</f>
        <v/>
      </c>
      <c r="V1493" s="25">
        <f>IF(N1493="","",IF(N1493&lt;=30,"Fast (&lt;30m)",IF(N1493&lt;=45,"Moderate (30-45m)","Delayed (&gt;45m)")))</f>
        <v/>
      </c>
      <c r="W1493" s="25">
        <f>IF(AND(I1493&gt;600,P1493="Delivered"),"High Value Delivered","Standard")</f>
        <v/>
      </c>
      <c r="X1493" s="25">
        <f>IF(OR(N1493&gt;50,Q1493&lt;=2),"High Risk / Delayed","Normal")</f>
        <v/>
      </c>
      <c r="Y1493" s="25">
        <f>IF(NOT(P1493="Cancelled"),"Fulfilled","Cancelled")</f>
        <v/>
      </c>
      <c r="Z1493" s="25">
        <f>IFERROR(Q1493,0)</f>
        <v/>
      </c>
    </row>
    <row r="1494">
      <c r="A1494" s="17" t="inlineStr">
        <is>
          <t>ORD2493</t>
        </is>
      </c>
      <c r="B1494" s="17" t="inlineStr">
        <is>
          <t>2025-02-14</t>
        </is>
      </c>
      <c r="C1494" s="17" t="inlineStr">
        <is>
          <t>21:38:16</t>
        </is>
      </c>
      <c r="D1494" s="17" t="n">
        <v>1139</v>
      </c>
      <c r="E1494" s="17" t="n">
        <v>112</v>
      </c>
      <c r="F1494" s="17" t="n">
        <v>228</v>
      </c>
      <c r="G1494" s="17" t="inlineStr">
        <is>
          <t>Delhi NCR</t>
        </is>
      </c>
      <c r="H1494" s="17" t="inlineStr">
        <is>
          <t>North Indian</t>
        </is>
      </c>
      <c r="I1494" s="22" t="n">
        <v>360</v>
      </c>
      <c r="J1494" s="22" t="n">
        <v>0</v>
      </c>
      <c r="K1494" s="22" t="n">
        <v>42.5</v>
      </c>
      <c r="L1494" s="23" t="n">
        <v>0.22</v>
      </c>
      <c r="M1494" s="22" t="n">
        <v>89.81999999999999</v>
      </c>
      <c r="N1494" s="24" t="n">
        <v>6.5</v>
      </c>
      <c r="O1494" s="24" t="n">
        <v/>
      </c>
      <c r="P1494" s="17" t="inlineStr">
        <is>
          <t>Cash on Delivery</t>
        </is>
      </c>
      <c r="Q1494" s="17" t="inlineStr">
        <is>
          <t>Cancelled</t>
        </is>
      </c>
      <c r="R1494" s="17" t="n">
        <v/>
      </c>
      <c r="S1494" s="17">
        <f>TEXT(B1494,"yyyy-mm")</f>
        <v/>
      </c>
      <c r="T1494" s="17">
        <f>VLOOKUP(D1494,Customers!A:D,4,FALSE)</f>
        <v/>
      </c>
      <c r="U1494" s="17">
        <f>CONCATENATE(A1494,"-",G1494)</f>
        <v/>
      </c>
      <c r="V1494" s="17">
        <f>IF(N1494="","",IF(N1494&lt;=30,"Fast (&lt;30m)",IF(N1494&lt;=45,"Moderate (30-45m)","Delayed (&gt;45m)")))</f>
        <v/>
      </c>
      <c r="W1494" s="17">
        <f>IF(AND(I1494&gt;600,P1494="Delivered"),"High Value Delivered","Standard")</f>
        <v/>
      </c>
      <c r="X1494" s="17">
        <f>IF(OR(N1494&gt;50,Q1494&lt;=2),"High Risk / Delayed","Normal")</f>
        <v/>
      </c>
      <c r="Y1494" s="17">
        <f>IF(NOT(P1494="Cancelled"),"Fulfilled","Cancelled")</f>
        <v/>
      </c>
      <c r="Z1494" s="17">
        <f>IFERROR(Q1494,0)</f>
        <v/>
      </c>
    </row>
    <row r="1495">
      <c r="A1495" s="25" t="inlineStr">
        <is>
          <t>ORD2494</t>
        </is>
      </c>
      <c r="B1495" s="25" t="inlineStr">
        <is>
          <t>2025-06-25</t>
        </is>
      </c>
      <c r="C1495" s="25" t="inlineStr">
        <is>
          <t>10:32:58</t>
        </is>
      </c>
      <c r="D1495" s="25" t="n">
        <v>1189</v>
      </c>
      <c r="E1495" s="25" t="n">
        <v>102</v>
      </c>
      <c r="F1495" s="25" t="n">
        <v>225</v>
      </c>
      <c r="G1495" s="25" t="inlineStr">
        <is>
          <t>Hyderabad</t>
        </is>
      </c>
      <c r="H1495" s="25" t="inlineStr">
        <is>
          <t>Biryani</t>
        </is>
      </c>
      <c r="I1495" s="26" t="n">
        <v>860</v>
      </c>
      <c r="J1495" s="26" t="n">
        <v>0</v>
      </c>
      <c r="K1495" s="26" t="n">
        <v>38.5</v>
      </c>
      <c r="L1495" s="27" t="n">
        <v>0.22</v>
      </c>
      <c r="M1495" s="26" t="n">
        <v>198.82</v>
      </c>
      <c r="N1495" s="28" t="n">
        <v>5.7</v>
      </c>
      <c r="O1495" s="28" t="n">
        <v>35.8</v>
      </c>
      <c r="P1495" s="25" t="inlineStr">
        <is>
          <t>Credit Card</t>
        </is>
      </c>
      <c r="Q1495" s="25" t="inlineStr">
        <is>
          <t>Delivered</t>
        </is>
      </c>
      <c r="R1495" s="25" t="n">
        <v>3</v>
      </c>
      <c r="S1495" s="25">
        <f>TEXT(B1495,"yyyy-mm")</f>
        <v/>
      </c>
      <c r="T1495" s="25">
        <f>VLOOKUP(D1495,Customers!A:D,4,FALSE)</f>
        <v/>
      </c>
      <c r="U1495" s="25">
        <f>CONCATENATE(A1495,"-",G1495)</f>
        <v/>
      </c>
      <c r="V1495" s="25">
        <f>IF(N1495="","",IF(N1495&lt;=30,"Fast (&lt;30m)",IF(N1495&lt;=45,"Moderate (30-45m)","Delayed (&gt;45m)")))</f>
        <v/>
      </c>
      <c r="W1495" s="25">
        <f>IF(AND(I1495&gt;600,P1495="Delivered"),"High Value Delivered","Standard")</f>
        <v/>
      </c>
      <c r="X1495" s="25">
        <f>IF(OR(N1495&gt;50,Q1495&lt;=2),"High Risk / Delayed","Normal")</f>
        <v/>
      </c>
      <c r="Y1495" s="25">
        <f>IF(NOT(P1495="Cancelled"),"Fulfilled","Cancelled")</f>
        <v/>
      </c>
      <c r="Z1495" s="25">
        <f>IFERROR(Q1495,0)</f>
        <v/>
      </c>
    </row>
    <row r="1496">
      <c r="A1496" s="17" t="inlineStr">
        <is>
          <t>ORD2495</t>
        </is>
      </c>
      <c r="B1496" s="17" t="inlineStr">
        <is>
          <t>2025-02-11</t>
        </is>
      </c>
      <c r="C1496" s="17" t="inlineStr">
        <is>
          <t>19:52:26</t>
        </is>
      </c>
      <c r="D1496" s="17" t="n">
        <v>1201</v>
      </c>
      <c r="E1496" s="17" t="n">
        <v>111</v>
      </c>
      <c r="F1496" s="17" t="n">
        <v>213</v>
      </c>
      <c r="G1496" s="17" t="inlineStr">
        <is>
          <t>Bangalore</t>
        </is>
      </c>
      <c r="H1496" s="17" t="inlineStr">
        <is>
          <t>South Indian</t>
        </is>
      </c>
      <c r="I1496" s="22" t="n">
        <v>334</v>
      </c>
      <c r="J1496" s="22" t="n">
        <v>39.86</v>
      </c>
      <c r="K1496" s="22" t="n">
        <v>50.5</v>
      </c>
      <c r="L1496" s="23" t="n">
        <v>0.15</v>
      </c>
      <c r="M1496" s="22" t="n">
        <v>62.72</v>
      </c>
      <c r="N1496" s="24" t="n">
        <v>8.1</v>
      </c>
      <c r="O1496" s="24" t="n">
        <v>48.3</v>
      </c>
      <c r="P1496" s="17" t="inlineStr">
        <is>
          <t>Digital Wallet</t>
        </is>
      </c>
      <c r="Q1496" s="17" t="inlineStr">
        <is>
          <t>Delivered</t>
        </is>
      </c>
      <c r="R1496" s="17" t="n">
        <v>3</v>
      </c>
      <c r="S1496" s="17">
        <f>TEXT(B1496,"yyyy-mm")</f>
        <v/>
      </c>
      <c r="T1496" s="17">
        <f>VLOOKUP(D1496,Customers!A:D,4,FALSE)</f>
        <v/>
      </c>
      <c r="U1496" s="17">
        <f>CONCATENATE(A1496,"-",G1496)</f>
        <v/>
      </c>
      <c r="V1496" s="17">
        <f>IF(N1496="","",IF(N1496&lt;=30,"Fast (&lt;30m)",IF(N1496&lt;=45,"Moderate (30-45m)","Delayed (&gt;45m)")))</f>
        <v/>
      </c>
      <c r="W1496" s="17">
        <f>IF(AND(I1496&gt;600,P1496="Delivered"),"High Value Delivered","Standard")</f>
        <v/>
      </c>
      <c r="X1496" s="17">
        <f>IF(OR(N1496&gt;50,Q1496&lt;=2),"High Risk / Delayed","Normal")</f>
        <v/>
      </c>
      <c r="Y1496" s="17">
        <f>IF(NOT(P1496="Cancelled"),"Fulfilled","Cancelled")</f>
        <v/>
      </c>
      <c r="Z1496" s="17">
        <f>IFERROR(Q1496,0)</f>
        <v/>
      </c>
    </row>
    <row r="1497">
      <c r="A1497" s="25" t="inlineStr">
        <is>
          <t>ORD2496</t>
        </is>
      </c>
      <c r="B1497" s="25" t="inlineStr">
        <is>
          <t>2025-05-11</t>
        </is>
      </c>
      <c r="C1497" s="25" t="inlineStr">
        <is>
          <t>20:59:35</t>
        </is>
      </c>
      <c r="D1497" s="25" t="n">
        <v>1113</v>
      </c>
      <c r="E1497" s="25" t="n">
        <v>115</v>
      </c>
      <c r="F1497" s="25" t="n">
        <v>218</v>
      </c>
      <c r="G1497" s="25" t="inlineStr">
        <is>
          <t>Bangalore</t>
        </is>
      </c>
      <c r="H1497" s="25" t="inlineStr">
        <is>
          <t>Italian</t>
        </is>
      </c>
      <c r="I1497" s="26" t="n">
        <v>1241</v>
      </c>
      <c r="J1497" s="26" t="n">
        <v>144.54</v>
      </c>
      <c r="K1497" s="26" t="n">
        <v>0</v>
      </c>
      <c r="L1497" s="27" t="n">
        <v>0.2</v>
      </c>
      <c r="M1497" s="26" t="n">
        <v>248.2</v>
      </c>
      <c r="N1497" s="28" t="n">
        <v>2.3</v>
      </c>
      <c r="O1497" s="28" t="n">
        <v>31.8</v>
      </c>
      <c r="P1497" s="25" t="inlineStr">
        <is>
          <t>Debit Card</t>
        </is>
      </c>
      <c r="Q1497" s="25" t="inlineStr">
        <is>
          <t>Delivered</t>
        </is>
      </c>
      <c r="R1497" s="25" t="n">
        <v>4</v>
      </c>
      <c r="S1497" s="25">
        <f>TEXT(B1497,"yyyy-mm")</f>
        <v/>
      </c>
      <c r="T1497" s="25">
        <f>VLOOKUP(D1497,Customers!A:D,4,FALSE)</f>
        <v/>
      </c>
      <c r="U1497" s="25">
        <f>CONCATENATE(A1497,"-",G1497)</f>
        <v/>
      </c>
      <c r="V1497" s="25">
        <f>IF(N1497="","",IF(N1497&lt;=30,"Fast (&lt;30m)",IF(N1497&lt;=45,"Moderate (30-45m)","Delayed (&gt;45m)")))</f>
        <v/>
      </c>
      <c r="W1497" s="25">
        <f>IF(AND(I1497&gt;600,P1497="Delivered"),"High Value Delivered","Standard")</f>
        <v/>
      </c>
      <c r="X1497" s="25">
        <f>IF(OR(N1497&gt;50,Q1497&lt;=2),"High Risk / Delayed","Normal")</f>
        <v/>
      </c>
      <c r="Y1497" s="25">
        <f>IF(NOT(P1497="Cancelled"),"Fulfilled","Cancelled")</f>
        <v/>
      </c>
      <c r="Z1497" s="25">
        <f>IFERROR(Q1497,0)</f>
        <v/>
      </c>
    </row>
    <row r="1498">
      <c r="A1498" s="17" t="inlineStr">
        <is>
          <t>ORD2497</t>
        </is>
      </c>
      <c r="B1498" s="17" t="inlineStr">
        <is>
          <t>2025-07-11</t>
        </is>
      </c>
      <c r="C1498" s="17" t="inlineStr">
        <is>
          <t>12:35:59</t>
        </is>
      </c>
      <c r="D1498" s="17" t="n">
        <v>1255</v>
      </c>
      <c r="E1498" s="17" t="n">
        <v>110</v>
      </c>
      <c r="F1498" s="17" t="n">
        <v>226</v>
      </c>
      <c r="G1498" s="17" t="inlineStr">
        <is>
          <t>Pune</t>
        </is>
      </c>
      <c r="H1498" s="17" t="inlineStr">
        <is>
          <t>North Indian</t>
        </is>
      </c>
      <c r="I1498" s="22" t="n">
        <v>624</v>
      </c>
      <c r="J1498" s="22" t="n">
        <v>40.9</v>
      </c>
      <c r="K1498" s="22" t="n">
        <v>25</v>
      </c>
      <c r="L1498" s="23" t="n">
        <v>0.18</v>
      </c>
      <c r="M1498" s="22" t="n">
        <v>118.57</v>
      </c>
      <c r="N1498" s="24" t="n">
        <v>3</v>
      </c>
      <c r="O1498" s="24" t="n">
        <v>28.2</v>
      </c>
      <c r="P1498" s="17" t="inlineStr">
        <is>
          <t>Debit Card</t>
        </is>
      </c>
      <c r="Q1498" s="17" t="inlineStr">
        <is>
          <t>Delivered</t>
        </is>
      </c>
      <c r="R1498" s="17" t="n">
        <v>2</v>
      </c>
      <c r="S1498" s="17">
        <f>TEXT(B1498,"yyyy-mm")</f>
        <v/>
      </c>
      <c r="T1498" s="17">
        <f>VLOOKUP(D1498,Customers!A:D,4,FALSE)</f>
        <v/>
      </c>
      <c r="U1498" s="17">
        <f>CONCATENATE(A1498,"-",G1498)</f>
        <v/>
      </c>
      <c r="V1498" s="17">
        <f>IF(N1498="","",IF(N1498&lt;=30,"Fast (&lt;30m)",IF(N1498&lt;=45,"Moderate (30-45m)","Delayed (&gt;45m)")))</f>
        <v/>
      </c>
      <c r="W1498" s="17">
        <f>IF(AND(I1498&gt;600,P1498="Delivered"),"High Value Delivered","Standard")</f>
        <v/>
      </c>
      <c r="X1498" s="17">
        <f>IF(OR(N1498&gt;50,Q1498&lt;=2),"High Risk / Delayed","Normal")</f>
        <v/>
      </c>
      <c r="Y1498" s="17">
        <f>IF(NOT(P1498="Cancelled"),"Fulfilled","Cancelled")</f>
        <v/>
      </c>
      <c r="Z1498" s="17">
        <f>IFERROR(Q1498,0)</f>
        <v/>
      </c>
    </row>
    <row r="1499">
      <c r="A1499" s="25" t="inlineStr">
        <is>
          <t>ORD2498</t>
        </is>
      </c>
      <c r="B1499" s="25" t="inlineStr">
        <is>
          <t>2025-11-24</t>
        </is>
      </c>
      <c r="C1499" s="25" t="inlineStr">
        <is>
          <t>11:41:29</t>
        </is>
      </c>
      <c r="D1499" s="25" t="n">
        <v>1273</v>
      </c>
      <c r="E1499" s="25" t="n">
        <v>114</v>
      </c>
      <c r="F1499" s="25" t="n">
        <v>215</v>
      </c>
      <c r="G1499" s="25" t="inlineStr">
        <is>
          <t>Hyderabad</t>
        </is>
      </c>
      <c r="H1499" s="25" t="inlineStr">
        <is>
          <t>Biryani</t>
        </is>
      </c>
      <c r="I1499" s="26" t="n">
        <v>692</v>
      </c>
      <c r="J1499" s="26" t="n">
        <v>117.22</v>
      </c>
      <c r="K1499" s="26" t="n">
        <v>0</v>
      </c>
      <c r="L1499" s="27" t="n">
        <v>0.22</v>
      </c>
      <c r="M1499" s="26" t="n">
        <v>152.24</v>
      </c>
      <c r="N1499" s="28" t="n">
        <v>2.7</v>
      </c>
      <c r="O1499" s="28" t="n">
        <v>27.7</v>
      </c>
      <c r="P1499" s="25" t="inlineStr">
        <is>
          <t>UPI</t>
        </is>
      </c>
      <c r="Q1499" s="25" t="inlineStr">
        <is>
          <t>Delivered</t>
        </is>
      </c>
      <c r="R1499" s="25" t="n">
        <v>5</v>
      </c>
      <c r="S1499" s="25">
        <f>TEXT(B1499,"yyyy-mm")</f>
        <v/>
      </c>
      <c r="T1499" s="25">
        <f>VLOOKUP(D1499,Customers!A:D,4,FALSE)</f>
        <v/>
      </c>
      <c r="U1499" s="25">
        <f>CONCATENATE(A1499,"-",G1499)</f>
        <v/>
      </c>
      <c r="V1499" s="25">
        <f>IF(N1499="","",IF(N1499&lt;=30,"Fast (&lt;30m)",IF(N1499&lt;=45,"Moderate (30-45m)","Delayed (&gt;45m)")))</f>
        <v/>
      </c>
      <c r="W1499" s="25">
        <f>IF(AND(I1499&gt;600,P1499="Delivered"),"High Value Delivered","Standard")</f>
        <v/>
      </c>
      <c r="X1499" s="25">
        <f>IF(OR(N1499&gt;50,Q1499&lt;=2),"High Risk / Delayed","Normal")</f>
        <v/>
      </c>
      <c r="Y1499" s="25">
        <f>IF(NOT(P1499="Cancelled"),"Fulfilled","Cancelled")</f>
        <v/>
      </c>
      <c r="Z1499" s="25">
        <f>IFERROR(Q1499,0)</f>
        <v/>
      </c>
    </row>
    <row r="1500">
      <c r="A1500" s="17" t="inlineStr">
        <is>
          <t>ORD2499</t>
        </is>
      </c>
      <c r="B1500" s="17" t="inlineStr">
        <is>
          <t>2025-02-06</t>
        </is>
      </c>
      <c r="C1500" s="17" t="inlineStr">
        <is>
          <t>19:44:19</t>
        </is>
      </c>
      <c r="D1500" s="17" t="n">
        <v>1224</v>
      </c>
      <c r="E1500" s="17" t="n">
        <v>112</v>
      </c>
      <c r="F1500" s="17" t="n">
        <v>212</v>
      </c>
      <c r="G1500" s="17" t="inlineStr">
        <is>
          <t>Delhi NCR</t>
        </is>
      </c>
      <c r="H1500" s="17" t="inlineStr">
        <is>
          <t>North Indian</t>
        </is>
      </c>
      <c r="I1500" s="22" t="n">
        <v>467</v>
      </c>
      <c r="J1500" s="22" t="n">
        <v>11.31</v>
      </c>
      <c r="K1500" s="22" t="n">
        <v>26</v>
      </c>
      <c r="L1500" s="23" t="n">
        <v>0.22</v>
      </c>
      <c r="M1500" s="22" t="n">
        <v>109.24</v>
      </c>
      <c r="N1500" s="24" t="n">
        <v>3.2</v>
      </c>
      <c r="O1500" s="24" t="n">
        <v>26.4</v>
      </c>
      <c r="P1500" s="17" t="inlineStr">
        <is>
          <t>UPI</t>
        </is>
      </c>
      <c r="Q1500" s="17" t="inlineStr">
        <is>
          <t>Delivered</t>
        </is>
      </c>
      <c r="R1500" s="17" t="n">
        <v>4</v>
      </c>
      <c r="S1500" s="17">
        <f>TEXT(B1500,"yyyy-mm")</f>
        <v/>
      </c>
      <c r="T1500" s="17">
        <f>VLOOKUP(D1500,Customers!A:D,4,FALSE)</f>
        <v/>
      </c>
      <c r="U1500" s="17">
        <f>CONCATENATE(A1500,"-",G1500)</f>
        <v/>
      </c>
      <c r="V1500" s="17">
        <f>IF(N1500="","",IF(N1500&lt;=30,"Fast (&lt;30m)",IF(N1500&lt;=45,"Moderate (30-45m)","Delayed (&gt;45m)")))</f>
        <v/>
      </c>
      <c r="W1500" s="17">
        <f>IF(AND(I1500&gt;600,P1500="Delivered"),"High Value Delivered","Standard")</f>
        <v/>
      </c>
      <c r="X1500" s="17">
        <f>IF(OR(N1500&gt;50,Q1500&lt;=2),"High Risk / Delayed","Normal")</f>
        <v/>
      </c>
      <c r="Y1500" s="17">
        <f>IF(NOT(P1500="Cancelled"),"Fulfilled","Cancelled")</f>
        <v/>
      </c>
      <c r="Z1500" s="17">
        <f>IFERROR(Q1500,0)</f>
        <v/>
      </c>
    </row>
    <row r="1501">
      <c r="A1501" s="25" t="inlineStr">
        <is>
          <t>ORD2500</t>
        </is>
      </c>
      <c r="B1501" s="25" t="inlineStr">
        <is>
          <t>2025-01-09</t>
        </is>
      </c>
      <c r="C1501" s="25" t="inlineStr">
        <is>
          <t>17:01:18</t>
        </is>
      </c>
      <c r="D1501" s="25" t="n">
        <v>1170</v>
      </c>
      <c r="E1501" s="25" t="n">
        <v>113</v>
      </c>
      <c r="F1501" s="25" t="n">
        <v>222</v>
      </c>
      <c r="G1501" s="25" t="inlineStr">
        <is>
          <t>Mumbai</t>
        </is>
      </c>
      <c r="H1501" s="25" t="inlineStr">
        <is>
          <t>Fast Food</t>
        </is>
      </c>
      <c r="I1501" s="26" t="n">
        <v>343</v>
      </c>
      <c r="J1501" s="26" t="n">
        <v>0</v>
      </c>
      <c r="K1501" s="26" t="n">
        <v>27.5</v>
      </c>
      <c r="L1501" s="27" t="n">
        <v>0.18</v>
      </c>
      <c r="M1501" s="26" t="n">
        <v>68.61</v>
      </c>
      <c r="N1501" s="28" t="n">
        <v>3.5</v>
      </c>
      <c r="O1501" s="28" t="n">
        <v>42</v>
      </c>
      <c r="P1501" s="25" t="inlineStr">
        <is>
          <t>UPI</t>
        </is>
      </c>
      <c r="Q1501" s="25" t="inlineStr">
        <is>
          <t>Delivered</t>
        </is>
      </c>
      <c r="R1501" s="25" t="n">
        <v>1</v>
      </c>
      <c r="S1501" s="25">
        <f>TEXT(B1501,"yyyy-mm")</f>
        <v/>
      </c>
      <c r="T1501" s="25">
        <f>VLOOKUP(D1501,Customers!A:D,4,FALSE)</f>
        <v/>
      </c>
      <c r="U1501" s="25">
        <f>CONCATENATE(A1501,"-",G1501)</f>
        <v/>
      </c>
      <c r="V1501" s="25">
        <f>IF(N1501="","",IF(N1501&lt;=30,"Fast (&lt;30m)",IF(N1501&lt;=45,"Moderate (30-45m)","Delayed (&gt;45m)")))</f>
        <v/>
      </c>
      <c r="W1501" s="25">
        <f>IF(AND(I1501&gt;600,P1501="Delivered"),"High Value Delivered","Standard")</f>
        <v/>
      </c>
      <c r="X1501" s="25">
        <f>IF(OR(N1501&gt;50,Q1501&lt;=2),"High Risk / Delayed","Normal")</f>
        <v/>
      </c>
      <c r="Y1501" s="25">
        <f>IF(NOT(P1501="Cancelled"),"Fulfilled","Cancelled")</f>
        <v/>
      </c>
      <c r="Z1501" s="25">
        <f>IFERROR(Q1501,0)</f>
        <v/>
      </c>
    </row>
    <row r="1502">
      <c r="A1502" s="17" t="inlineStr">
        <is>
          <t>ORD2501</t>
        </is>
      </c>
      <c r="B1502" s="17" t="inlineStr">
        <is>
          <t>2025-08-20</t>
        </is>
      </c>
      <c r="C1502" s="17" t="inlineStr">
        <is>
          <t>13:07:27</t>
        </is>
      </c>
      <c r="D1502" s="17" t="n">
        <v>1212</v>
      </c>
      <c r="E1502" s="17" t="n">
        <v>102</v>
      </c>
      <c r="F1502" s="17" t="n">
        <v>215</v>
      </c>
      <c r="G1502" s="17" t="inlineStr">
        <is>
          <t>Hyderabad</t>
        </is>
      </c>
      <c r="H1502" s="17" t="inlineStr">
        <is>
          <t>Biryani</t>
        </is>
      </c>
      <c r="I1502" s="22" t="n">
        <v>586</v>
      </c>
      <c r="J1502" s="22" t="n">
        <v>56.44</v>
      </c>
      <c r="K1502" s="22" t="n">
        <v>31</v>
      </c>
      <c r="L1502" s="23" t="n">
        <v>0.22</v>
      </c>
      <c r="M1502" s="22" t="n">
        <v>136.67</v>
      </c>
      <c r="N1502" s="24" t="n">
        <v>4.2</v>
      </c>
      <c r="O1502" s="24" t="n">
        <v>46.2</v>
      </c>
      <c r="P1502" s="17" t="inlineStr">
        <is>
          <t>Digital Wallet</t>
        </is>
      </c>
      <c r="Q1502" s="17" t="inlineStr">
        <is>
          <t>Delivered</t>
        </is>
      </c>
      <c r="R1502" s="17" t="n">
        <v>3</v>
      </c>
      <c r="S1502" s="17">
        <f>TEXT(B1502,"yyyy-mm")</f>
        <v/>
      </c>
      <c r="T1502" s="17">
        <f>VLOOKUP(D1502,Customers!A:D,4,FALSE)</f>
        <v/>
      </c>
      <c r="U1502" s="17">
        <f>CONCATENATE(A1502,"-",G1502)</f>
        <v/>
      </c>
      <c r="V1502" s="17">
        <f>IF(N1502="","",IF(N1502&lt;=30,"Fast (&lt;30m)",IF(N1502&lt;=45,"Moderate (30-45m)","Delayed (&gt;45m)")))</f>
        <v/>
      </c>
      <c r="W1502" s="17">
        <f>IF(AND(I1502&gt;600,P1502="Delivered"),"High Value Delivered","Standard")</f>
        <v/>
      </c>
      <c r="X1502" s="17">
        <f>IF(OR(N1502&gt;50,Q1502&lt;=2),"High Risk / Delayed","Normal")</f>
        <v/>
      </c>
      <c r="Y1502" s="17">
        <f>IF(NOT(P1502="Cancelled"),"Fulfilled","Cancelled")</f>
        <v/>
      </c>
      <c r="Z1502" s="17">
        <f>IFERROR(Q1502,0)</f>
        <v/>
      </c>
    </row>
    <row r="1503">
      <c r="A1503" s="25" t="inlineStr">
        <is>
          <t>ORD2502</t>
        </is>
      </c>
      <c r="B1503" s="25" t="inlineStr">
        <is>
          <t>2025-07-11</t>
        </is>
      </c>
      <c r="C1503" s="25" t="inlineStr">
        <is>
          <t>21:13:19</t>
        </is>
      </c>
      <c r="D1503" s="25" t="n">
        <v>1141</v>
      </c>
      <c r="E1503" s="25" t="n">
        <v>112</v>
      </c>
      <c r="F1503" s="25" t="n">
        <v>211</v>
      </c>
      <c r="G1503" s="25" t="inlineStr">
        <is>
          <t>Delhi NCR</t>
        </is>
      </c>
      <c r="H1503" s="25" t="inlineStr">
        <is>
          <t>North Indian</t>
        </is>
      </c>
      <c r="I1503" s="26" t="n">
        <v>916</v>
      </c>
      <c r="J1503" s="26" t="n">
        <v>145.62</v>
      </c>
      <c r="K1503" s="26" t="n">
        <v>0</v>
      </c>
      <c r="L1503" s="27" t="n">
        <v>0.22</v>
      </c>
      <c r="M1503" s="26" t="n">
        <v>201.52</v>
      </c>
      <c r="N1503" s="28" t="n">
        <v>2.6</v>
      </c>
      <c r="O1503" s="28" t="n">
        <v>32.2</v>
      </c>
      <c r="P1503" s="25" t="inlineStr">
        <is>
          <t>Digital Wallet</t>
        </is>
      </c>
      <c r="Q1503" s="25" t="inlineStr">
        <is>
          <t>Delivered</t>
        </is>
      </c>
      <c r="R1503" s="25" t="n">
        <v>2</v>
      </c>
      <c r="S1503" s="25">
        <f>TEXT(B1503,"yyyy-mm")</f>
        <v/>
      </c>
      <c r="T1503" s="25">
        <f>VLOOKUP(D1503,Customers!A:D,4,FALSE)</f>
        <v/>
      </c>
      <c r="U1503" s="25">
        <f>CONCATENATE(A1503,"-",G1503)</f>
        <v/>
      </c>
      <c r="V1503" s="25">
        <f>IF(N1503="","",IF(N1503&lt;=30,"Fast (&lt;30m)",IF(N1503&lt;=45,"Moderate (30-45m)","Delayed (&gt;45m)")))</f>
        <v/>
      </c>
      <c r="W1503" s="25">
        <f>IF(AND(I1503&gt;600,P1503="Delivered"),"High Value Delivered","Standard")</f>
        <v/>
      </c>
      <c r="X1503" s="25">
        <f>IF(OR(N1503&gt;50,Q1503&lt;=2),"High Risk / Delayed","Normal")</f>
        <v/>
      </c>
      <c r="Y1503" s="25">
        <f>IF(NOT(P1503="Cancelled"),"Fulfilled","Cancelled")</f>
        <v/>
      </c>
      <c r="Z1503" s="25">
        <f>IFERROR(Q1503,0)</f>
        <v/>
      </c>
    </row>
    <row r="1504">
      <c r="A1504" s="17" t="inlineStr">
        <is>
          <t>ORD2503</t>
        </is>
      </c>
      <c r="B1504" s="17" t="inlineStr">
        <is>
          <t>2025-09-13</t>
        </is>
      </c>
      <c r="C1504" s="17" t="inlineStr">
        <is>
          <t>20:20:22</t>
        </is>
      </c>
      <c r="D1504" s="17" t="n">
        <v>1058</v>
      </c>
      <c r="E1504" s="17" t="n">
        <v>103</v>
      </c>
      <c r="F1504" s="17" t="n">
        <v>202</v>
      </c>
      <c r="G1504" s="17" t="inlineStr">
        <is>
          <t>Mumbai</t>
        </is>
      </c>
      <c r="H1504" s="17" t="inlineStr">
        <is>
          <t>Italian</t>
        </is>
      </c>
      <c r="I1504" s="22" t="n">
        <v>251</v>
      </c>
      <c r="J1504" s="22" t="n">
        <v>0</v>
      </c>
      <c r="K1504" s="22" t="n">
        <v>38</v>
      </c>
      <c r="L1504" s="23" t="n">
        <v>0.18</v>
      </c>
      <c r="M1504" s="22" t="n">
        <v>54.68</v>
      </c>
      <c r="N1504" s="24" t="n">
        <v>5.6</v>
      </c>
      <c r="O1504" s="24" t="n">
        <v>40.6</v>
      </c>
      <c r="P1504" s="17" t="inlineStr">
        <is>
          <t>Cash on Delivery</t>
        </is>
      </c>
      <c r="Q1504" s="17" t="inlineStr">
        <is>
          <t>Delivered</t>
        </is>
      </c>
      <c r="R1504" s="17" t="n">
        <v>2</v>
      </c>
      <c r="S1504" s="17">
        <f>TEXT(B1504,"yyyy-mm")</f>
        <v/>
      </c>
      <c r="T1504" s="17">
        <f>VLOOKUP(D1504,Customers!A:D,4,FALSE)</f>
        <v/>
      </c>
      <c r="U1504" s="17">
        <f>CONCATENATE(A1504,"-",G1504)</f>
        <v/>
      </c>
      <c r="V1504" s="17">
        <f>IF(N1504="","",IF(N1504&lt;=30,"Fast (&lt;30m)",IF(N1504&lt;=45,"Moderate (30-45m)","Delayed (&gt;45m)")))</f>
        <v/>
      </c>
      <c r="W1504" s="17">
        <f>IF(AND(I1504&gt;600,P1504="Delivered"),"High Value Delivered","Standard")</f>
        <v/>
      </c>
      <c r="X1504" s="17">
        <f>IF(OR(N1504&gt;50,Q1504&lt;=2),"High Risk / Delayed","Normal")</f>
        <v/>
      </c>
      <c r="Y1504" s="17">
        <f>IF(NOT(P1504="Cancelled"),"Fulfilled","Cancelled")</f>
        <v/>
      </c>
      <c r="Z1504" s="17">
        <f>IFERROR(Q1504,0)</f>
        <v/>
      </c>
    </row>
    <row r="1505">
      <c r="A1505" s="25" t="inlineStr">
        <is>
          <t>ORD2504</t>
        </is>
      </c>
      <c r="B1505" s="25" t="inlineStr">
        <is>
          <t>2025-12-17</t>
        </is>
      </c>
      <c r="C1505" s="25" t="inlineStr">
        <is>
          <t>12:31:01</t>
        </is>
      </c>
      <c r="D1505" s="25" t="n">
        <v>1215</v>
      </c>
      <c r="E1505" s="25" t="n">
        <v>106</v>
      </c>
      <c r="F1505" s="25" t="n">
        <v>207</v>
      </c>
      <c r="G1505" s="25" t="inlineStr">
        <is>
          <t>Pune</t>
        </is>
      </c>
      <c r="H1505" s="25" t="inlineStr">
        <is>
          <t>South Indian</t>
        </is>
      </c>
      <c r="I1505" s="26" t="n">
        <v>609</v>
      </c>
      <c r="J1505" s="26" t="n">
        <v>32.1</v>
      </c>
      <c r="K1505" s="26" t="n">
        <v>25</v>
      </c>
      <c r="L1505" s="27" t="n">
        <v>0.15</v>
      </c>
      <c r="M1505" s="26" t="n">
        <v>97.59999999999999</v>
      </c>
      <c r="N1505" s="28" t="n">
        <v>2.7</v>
      </c>
      <c r="O1505" s="28" t="n">
        <v>28.9</v>
      </c>
      <c r="P1505" s="25" t="inlineStr">
        <is>
          <t>UPI</t>
        </is>
      </c>
      <c r="Q1505" s="25" t="inlineStr">
        <is>
          <t>Delivered</t>
        </is>
      </c>
      <c r="R1505" s="25" t="n">
        <v>4</v>
      </c>
      <c r="S1505" s="25">
        <f>TEXT(B1505,"yyyy-mm")</f>
        <v/>
      </c>
      <c r="T1505" s="25">
        <f>VLOOKUP(D1505,Customers!A:D,4,FALSE)</f>
        <v/>
      </c>
      <c r="U1505" s="25">
        <f>CONCATENATE(A1505,"-",G1505)</f>
        <v/>
      </c>
      <c r="V1505" s="25">
        <f>IF(N1505="","",IF(N1505&lt;=30,"Fast (&lt;30m)",IF(N1505&lt;=45,"Moderate (30-45m)","Delayed (&gt;45m)")))</f>
        <v/>
      </c>
      <c r="W1505" s="25">
        <f>IF(AND(I1505&gt;600,P1505="Delivered"),"High Value Delivered","Standard")</f>
        <v/>
      </c>
      <c r="X1505" s="25">
        <f>IF(OR(N1505&gt;50,Q1505&lt;=2),"High Risk / Delayed","Normal")</f>
        <v/>
      </c>
      <c r="Y1505" s="25">
        <f>IF(NOT(P1505="Cancelled"),"Fulfilled","Cancelled")</f>
        <v/>
      </c>
      <c r="Z1505" s="25">
        <f>IFERROR(Q1505,0)</f>
        <v/>
      </c>
    </row>
    <row r="1506">
      <c r="A1506" s="17" t="inlineStr">
        <is>
          <t>ORD2505</t>
        </is>
      </c>
      <c r="B1506" s="17" t="inlineStr">
        <is>
          <t>2025-02-12</t>
        </is>
      </c>
      <c r="C1506" s="17" t="inlineStr">
        <is>
          <t>08:15:46</t>
        </is>
      </c>
      <c r="D1506" s="17" t="n">
        <v>1010</v>
      </c>
      <c r="E1506" s="17" t="n">
        <v>109</v>
      </c>
      <c r="F1506" s="17" t="n">
        <v>216</v>
      </c>
      <c r="G1506" s="17" t="inlineStr">
        <is>
          <t>Hyderabad</t>
        </is>
      </c>
      <c r="H1506" s="17" t="inlineStr">
        <is>
          <t>Biryani</t>
        </is>
      </c>
      <c r="I1506" s="22" t="n">
        <v>866</v>
      </c>
      <c r="J1506" s="22" t="n">
        <v>99.20999999999999</v>
      </c>
      <c r="K1506" s="22" t="n">
        <v>25</v>
      </c>
      <c r="L1506" s="23" t="n">
        <v>0.2</v>
      </c>
      <c r="M1506" s="22" t="n">
        <v>179.45</v>
      </c>
      <c r="N1506" s="24" t="n">
        <v>2.8</v>
      </c>
      <c r="O1506" s="24" t="n">
        <v>24.5</v>
      </c>
      <c r="P1506" s="17" t="inlineStr">
        <is>
          <t>Debit Card</t>
        </is>
      </c>
      <c r="Q1506" s="17" t="inlineStr">
        <is>
          <t>Delivered</t>
        </is>
      </c>
      <c r="R1506" s="17" t="n">
        <v>3</v>
      </c>
      <c r="S1506" s="17">
        <f>TEXT(B1506,"yyyy-mm")</f>
        <v/>
      </c>
      <c r="T1506" s="17">
        <f>VLOOKUP(D1506,Customers!A:D,4,FALSE)</f>
        <v/>
      </c>
      <c r="U1506" s="17">
        <f>CONCATENATE(A1506,"-",G1506)</f>
        <v/>
      </c>
      <c r="V1506" s="17">
        <f>IF(N1506="","",IF(N1506&lt;=30,"Fast (&lt;30m)",IF(N1506&lt;=45,"Moderate (30-45m)","Delayed (&gt;45m)")))</f>
        <v/>
      </c>
      <c r="W1506" s="17">
        <f>IF(AND(I1506&gt;600,P1506="Delivered"),"High Value Delivered","Standard")</f>
        <v/>
      </c>
      <c r="X1506" s="17">
        <f>IF(OR(N1506&gt;50,Q1506&lt;=2),"High Risk / Delayed","Normal")</f>
        <v/>
      </c>
      <c r="Y1506" s="17">
        <f>IF(NOT(P1506="Cancelled"),"Fulfilled","Cancelled")</f>
        <v/>
      </c>
      <c r="Z1506" s="17">
        <f>IFERROR(Q1506,0)</f>
        <v/>
      </c>
    </row>
    <row r="1507">
      <c r="A1507" s="25" t="inlineStr">
        <is>
          <t>ORD2506</t>
        </is>
      </c>
      <c r="B1507" s="25" t="inlineStr">
        <is>
          <t>2025-01-18</t>
        </is>
      </c>
      <c r="C1507" s="25" t="inlineStr">
        <is>
          <t>11:20:19</t>
        </is>
      </c>
      <c r="D1507" s="25" t="n">
        <v>1206</v>
      </c>
      <c r="E1507" s="25" t="n">
        <v>103</v>
      </c>
      <c r="F1507" s="25" t="n">
        <v>222</v>
      </c>
      <c r="G1507" s="25" t="inlineStr">
        <is>
          <t>Mumbai</t>
        </is>
      </c>
      <c r="H1507" s="25" t="inlineStr">
        <is>
          <t>Italian</t>
        </is>
      </c>
      <c r="I1507" s="26" t="n">
        <v>785</v>
      </c>
      <c r="J1507" s="26" t="n">
        <v>53.67</v>
      </c>
      <c r="K1507" s="26" t="n">
        <v>25</v>
      </c>
      <c r="L1507" s="27" t="n">
        <v>0.18</v>
      </c>
      <c r="M1507" s="26" t="n">
        <v>147.55</v>
      </c>
      <c r="N1507" s="28" t="n">
        <v>2.1</v>
      </c>
      <c r="O1507" s="28" t="n">
        <v>20.3</v>
      </c>
      <c r="P1507" s="25" t="inlineStr">
        <is>
          <t>Cash on Delivery</t>
        </is>
      </c>
      <c r="Q1507" s="25" t="inlineStr">
        <is>
          <t>Delivered</t>
        </is>
      </c>
      <c r="R1507" s="25" t="n">
        <v>5</v>
      </c>
      <c r="S1507" s="25">
        <f>TEXT(B1507,"yyyy-mm")</f>
        <v/>
      </c>
      <c r="T1507" s="25">
        <f>VLOOKUP(D1507,Customers!A:D,4,FALSE)</f>
        <v/>
      </c>
      <c r="U1507" s="25">
        <f>CONCATENATE(A1507,"-",G1507)</f>
        <v/>
      </c>
      <c r="V1507" s="25">
        <f>IF(N1507="","",IF(N1507&lt;=30,"Fast (&lt;30m)",IF(N1507&lt;=45,"Moderate (30-45m)","Delayed (&gt;45m)")))</f>
        <v/>
      </c>
      <c r="W1507" s="25">
        <f>IF(AND(I1507&gt;600,P1507="Delivered"),"High Value Delivered","Standard")</f>
        <v/>
      </c>
      <c r="X1507" s="25">
        <f>IF(OR(N1507&gt;50,Q1507&lt;=2),"High Risk / Delayed","Normal")</f>
        <v/>
      </c>
      <c r="Y1507" s="25">
        <f>IF(NOT(P1507="Cancelled"),"Fulfilled","Cancelled")</f>
        <v/>
      </c>
      <c r="Z1507" s="25">
        <f>IFERROR(Q1507,0)</f>
        <v/>
      </c>
    </row>
    <row r="1508">
      <c r="A1508" s="17" t="inlineStr">
        <is>
          <t>ORD2507</t>
        </is>
      </c>
      <c r="B1508" s="17" t="inlineStr">
        <is>
          <t>2025-12-17</t>
        </is>
      </c>
      <c r="C1508" s="17" t="inlineStr">
        <is>
          <t>20:08:37</t>
        </is>
      </c>
      <c r="D1508" s="17" t="n">
        <v>1215</v>
      </c>
      <c r="E1508" s="17" t="n">
        <v>106</v>
      </c>
      <c r="F1508" s="17" t="n">
        <v>207</v>
      </c>
      <c r="G1508" s="17" t="inlineStr">
        <is>
          <t>Pune</t>
        </is>
      </c>
      <c r="H1508" s="17" t="inlineStr">
        <is>
          <t>South Indian</t>
        </is>
      </c>
      <c r="I1508" s="22" t="n">
        <v>911</v>
      </c>
      <c r="J1508" s="22" t="n">
        <v>95.34</v>
      </c>
      <c r="K1508" s="22" t="n">
        <v>27</v>
      </c>
      <c r="L1508" s="23" t="n">
        <v>0.15</v>
      </c>
      <c r="M1508" s="22" t="n">
        <v>143.4</v>
      </c>
      <c r="N1508" s="24" t="n">
        <v>3.4</v>
      </c>
      <c r="O1508" s="24" t="n">
        <v>34.6</v>
      </c>
      <c r="P1508" s="17" t="inlineStr">
        <is>
          <t>Cash on Delivery</t>
        </is>
      </c>
      <c r="Q1508" s="17" t="inlineStr">
        <is>
          <t>Delivered</t>
        </is>
      </c>
      <c r="R1508" s="17" t="n">
        <v>2</v>
      </c>
      <c r="S1508" s="17">
        <f>TEXT(B1508,"yyyy-mm")</f>
        <v/>
      </c>
      <c r="T1508" s="17">
        <f>VLOOKUP(D1508,Customers!A:D,4,FALSE)</f>
        <v/>
      </c>
      <c r="U1508" s="17">
        <f>CONCATENATE(A1508,"-",G1508)</f>
        <v/>
      </c>
      <c r="V1508" s="17">
        <f>IF(N1508="","",IF(N1508&lt;=30,"Fast (&lt;30m)",IF(N1508&lt;=45,"Moderate (30-45m)","Delayed (&gt;45m)")))</f>
        <v/>
      </c>
      <c r="W1508" s="17">
        <f>IF(AND(I1508&gt;600,P1508="Delivered"),"High Value Delivered","Standard")</f>
        <v/>
      </c>
      <c r="X1508" s="17">
        <f>IF(OR(N1508&gt;50,Q1508&lt;=2),"High Risk / Delayed","Normal")</f>
        <v/>
      </c>
      <c r="Y1508" s="17">
        <f>IF(NOT(P1508="Cancelled"),"Fulfilled","Cancelled")</f>
        <v/>
      </c>
      <c r="Z1508" s="17">
        <f>IFERROR(Q1508,0)</f>
        <v/>
      </c>
    </row>
    <row r="1509">
      <c r="A1509" s="25" t="inlineStr">
        <is>
          <t>ORD2508</t>
        </is>
      </c>
      <c r="B1509" s="25" t="inlineStr">
        <is>
          <t>2025-08-26</t>
        </is>
      </c>
      <c r="C1509" s="25" t="inlineStr">
        <is>
          <t>21:17:44</t>
        </is>
      </c>
      <c r="D1509" s="25" t="n">
        <v>1119</v>
      </c>
      <c r="E1509" s="25" t="n">
        <v>118</v>
      </c>
      <c r="F1509" s="25" t="n">
        <v>211</v>
      </c>
      <c r="G1509" s="25" t="inlineStr">
        <is>
          <t>Delhi NCR</t>
        </is>
      </c>
      <c r="H1509" s="25" t="inlineStr">
        <is>
          <t>North Indian</t>
        </is>
      </c>
      <c r="I1509" s="26" t="n">
        <v>997</v>
      </c>
      <c r="J1509" s="26" t="n">
        <v>179.59</v>
      </c>
      <c r="K1509" s="26" t="n">
        <v>0</v>
      </c>
      <c r="L1509" s="27" t="n">
        <v>0.2</v>
      </c>
      <c r="M1509" s="26" t="n">
        <v>199.4</v>
      </c>
      <c r="N1509" s="28" t="n">
        <v>1.7</v>
      </c>
      <c r="O1509" s="28" t="n">
        <v>24.8</v>
      </c>
      <c r="P1509" s="25" t="inlineStr">
        <is>
          <t>UPI</t>
        </is>
      </c>
      <c r="Q1509" s="25" t="inlineStr">
        <is>
          <t>Delivered</t>
        </is>
      </c>
      <c r="R1509" s="25" t="n">
        <v>5</v>
      </c>
      <c r="S1509" s="25">
        <f>TEXT(B1509,"yyyy-mm")</f>
        <v/>
      </c>
      <c r="T1509" s="25">
        <f>VLOOKUP(D1509,Customers!A:D,4,FALSE)</f>
        <v/>
      </c>
      <c r="U1509" s="25">
        <f>CONCATENATE(A1509,"-",G1509)</f>
        <v/>
      </c>
      <c r="V1509" s="25">
        <f>IF(N1509="","",IF(N1509&lt;=30,"Fast (&lt;30m)",IF(N1509&lt;=45,"Moderate (30-45m)","Delayed (&gt;45m)")))</f>
        <v/>
      </c>
      <c r="W1509" s="25">
        <f>IF(AND(I1509&gt;600,P1509="Delivered"),"High Value Delivered","Standard")</f>
        <v/>
      </c>
      <c r="X1509" s="25">
        <f>IF(OR(N1509&gt;50,Q1509&lt;=2),"High Risk / Delayed","Normal")</f>
        <v/>
      </c>
      <c r="Y1509" s="25">
        <f>IF(NOT(P1509="Cancelled"),"Fulfilled","Cancelled")</f>
        <v/>
      </c>
      <c r="Z1509" s="25">
        <f>IFERROR(Q1509,0)</f>
        <v/>
      </c>
    </row>
    <row r="1510">
      <c r="A1510" s="17" t="inlineStr">
        <is>
          <t>ORD2509</t>
        </is>
      </c>
      <c r="B1510" s="17" t="inlineStr">
        <is>
          <t>2025-03-31</t>
        </is>
      </c>
      <c r="C1510" s="17" t="inlineStr">
        <is>
          <t>15:57:28</t>
        </is>
      </c>
      <c r="D1510" s="17" t="n">
        <v>1264</v>
      </c>
      <c r="E1510" s="17" t="n">
        <v>101</v>
      </c>
      <c r="F1510" s="17" t="n">
        <v>213</v>
      </c>
      <c r="G1510" s="17" t="inlineStr">
        <is>
          <t>Bangalore</t>
        </is>
      </c>
      <c r="H1510" s="17" t="inlineStr">
        <is>
          <t>North Indian</t>
        </is>
      </c>
      <c r="I1510" s="22" t="n">
        <v>520</v>
      </c>
      <c r="J1510" s="22" t="n">
        <v>1.66</v>
      </c>
      <c r="K1510" s="22" t="n">
        <v>38.5</v>
      </c>
      <c r="L1510" s="23" t="n">
        <v>0.2</v>
      </c>
      <c r="M1510" s="22" t="n">
        <v>113.62</v>
      </c>
      <c r="N1510" s="24" t="n">
        <v>5.7</v>
      </c>
      <c r="O1510" s="24" t="n">
        <v>34.4</v>
      </c>
      <c r="P1510" s="17" t="inlineStr">
        <is>
          <t>Cash on Delivery</t>
        </is>
      </c>
      <c r="Q1510" s="17" t="inlineStr">
        <is>
          <t>Delivered</t>
        </is>
      </c>
      <c r="R1510" s="17" t="n">
        <v>4</v>
      </c>
      <c r="S1510" s="17">
        <f>TEXT(B1510,"yyyy-mm")</f>
        <v/>
      </c>
      <c r="T1510" s="17">
        <f>VLOOKUP(D1510,Customers!A:D,4,FALSE)</f>
        <v/>
      </c>
      <c r="U1510" s="17">
        <f>CONCATENATE(A1510,"-",G1510)</f>
        <v/>
      </c>
      <c r="V1510" s="17">
        <f>IF(N1510="","",IF(N1510&lt;=30,"Fast (&lt;30m)",IF(N1510&lt;=45,"Moderate (30-45m)","Delayed (&gt;45m)")))</f>
        <v/>
      </c>
      <c r="W1510" s="17">
        <f>IF(AND(I1510&gt;600,P1510="Delivered"),"High Value Delivered","Standard")</f>
        <v/>
      </c>
      <c r="X1510" s="17">
        <f>IF(OR(N1510&gt;50,Q1510&lt;=2),"High Risk / Delayed","Normal")</f>
        <v/>
      </c>
      <c r="Y1510" s="17">
        <f>IF(NOT(P1510="Cancelled"),"Fulfilled","Cancelled")</f>
        <v/>
      </c>
      <c r="Z1510" s="17">
        <f>IFERROR(Q1510,0)</f>
        <v/>
      </c>
    </row>
    <row r="1511">
      <c r="A1511" s="25" t="inlineStr">
        <is>
          <t>ORD2510</t>
        </is>
      </c>
      <c r="B1511" s="25" t="inlineStr">
        <is>
          <t>2025-02-09</t>
        </is>
      </c>
      <c r="C1511" s="25" t="inlineStr">
        <is>
          <t>13:12:30</t>
        </is>
      </c>
      <c r="D1511" s="25" t="n">
        <v>1236</v>
      </c>
      <c r="E1511" s="25" t="n">
        <v>118</v>
      </c>
      <c r="F1511" s="25" t="n">
        <v>219</v>
      </c>
      <c r="G1511" s="25" t="inlineStr">
        <is>
          <t>Delhi NCR</t>
        </is>
      </c>
      <c r="H1511" s="25" t="inlineStr">
        <is>
          <t>North Indian</t>
        </is>
      </c>
      <c r="I1511" s="26" t="n">
        <v>717</v>
      </c>
      <c r="J1511" s="26" t="n">
        <v>48.35</v>
      </c>
      <c r="K1511" s="26" t="n">
        <v>26</v>
      </c>
      <c r="L1511" s="27" t="n">
        <v>0.2</v>
      </c>
      <c r="M1511" s="26" t="n">
        <v>149.9</v>
      </c>
      <c r="N1511" s="28" t="n">
        <v>3.2</v>
      </c>
      <c r="O1511" s="28" t="n">
        <v>28.4</v>
      </c>
      <c r="P1511" s="25" t="inlineStr">
        <is>
          <t>Credit Card</t>
        </is>
      </c>
      <c r="Q1511" s="25" t="inlineStr">
        <is>
          <t>Returned</t>
        </is>
      </c>
      <c r="R1511" s="25" t="n">
        <v>4</v>
      </c>
      <c r="S1511" s="25">
        <f>TEXT(B1511,"yyyy-mm")</f>
        <v/>
      </c>
      <c r="T1511" s="25">
        <f>VLOOKUP(D1511,Customers!A:D,4,FALSE)</f>
        <v/>
      </c>
      <c r="U1511" s="25">
        <f>CONCATENATE(A1511,"-",G1511)</f>
        <v/>
      </c>
      <c r="V1511" s="25">
        <f>IF(N1511="","",IF(N1511&lt;=30,"Fast (&lt;30m)",IF(N1511&lt;=45,"Moderate (30-45m)","Delayed (&gt;45m)")))</f>
        <v/>
      </c>
      <c r="W1511" s="25">
        <f>IF(AND(I1511&gt;600,P1511="Delivered"),"High Value Delivered","Standard")</f>
        <v/>
      </c>
      <c r="X1511" s="25">
        <f>IF(OR(N1511&gt;50,Q1511&lt;=2),"High Risk / Delayed","Normal")</f>
        <v/>
      </c>
      <c r="Y1511" s="25">
        <f>IF(NOT(P1511="Cancelled"),"Fulfilled","Cancelled")</f>
        <v/>
      </c>
      <c r="Z1511" s="25">
        <f>IFERROR(Q1511,0)</f>
        <v/>
      </c>
    </row>
    <row r="1512">
      <c r="A1512" s="17" t="inlineStr">
        <is>
          <t>ORD2511</t>
        </is>
      </c>
      <c r="B1512" s="17" t="inlineStr">
        <is>
          <t>2025-04-04</t>
        </is>
      </c>
      <c r="C1512" s="17" t="inlineStr">
        <is>
          <t>19:14:21</t>
        </is>
      </c>
      <c r="D1512" s="17" t="n">
        <v>1165</v>
      </c>
      <c r="E1512" s="17" t="n">
        <v>103</v>
      </c>
      <c r="F1512" s="17" t="n">
        <v>202</v>
      </c>
      <c r="G1512" s="17" t="inlineStr">
        <is>
          <t>Mumbai</t>
        </is>
      </c>
      <c r="H1512" s="17" t="inlineStr">
        <is>
          <t>Italian</t>
        </is>
      </c>
      <c r="I1512" s="22" t="n">
        <v>919</v>
      </c>
      <c r="J1512" s="22" t="n">
        <v>36.27</v>
      </c>
      <c r="K1512" s="22" t="n">
        <v>29.5</v>
      </c>
      <c r="L1512" s="23" t="n">
        <v>0.18</v>
      </c>
      <c r="M1512" s="22" t="n">
        <v>172.8</v>
      </c>
      <c r="N1512" s="24" t="n">
        <v>3.9</v>
      </c>
      <c r="O1512" s="24" t="n">
        <v>36.5</v>
      </c>
      <c r="P1512" s="17" t="inlineStr">
        <is>
          <t>UPI</t>
        </is>
      </c>
      <c r="Q1512" s="17" t="inlineStr">
        <is>
          <t>Delivered</t>
        </is>
      </c>
      <c r="R1512" s="17" t="n">
        <v>4</v>
      </c>
      <c r="S1512" s="17">
        <f>TEXT(B1512,"yyyy-mm")</f>
        <v/>
      </c>
      <c r="T1512" s="17">
        <f>VLOOKUP(D1512,Customers!A:D,4,FALSE)</f>
        <v/>
      </c>
      <c r="U1512" s="17">
        <f>CONCATENATE(A1512,"-",G1512)</f>
        <v/>
      </c>
      <c r="V1512" s="17">
        <f>IF(N1512="","",IF(N1512&lt;=30,"Fast (&lt;30m)",IF(N1512&lt;=45,"Moderate (30-45m)","Delayed (&gt;45m)")))</f>
        <v/>
      </c>
      <c r="W1512" s="17">
        <f>IF(AND(I1512&gt;600,P1512="Delivered"),"High Value Delivered","Standard")</f>
        <v/>
      </c>
      <c r="X1512" s="17">
        <f>IF(OR(N1512&gt;50,Q1512&lt;=2),"High Risk / Delayed","Normal")</f>
        <v/>
      </c>
      <c r="Y1512" s="17">
        <f>IF(NOT(P1512="Cancelled"),"Fulfilled","Cancelled")</f>
        <v/>
      </c>
      <c r="Z1512" s="17">
        <f>IFERROR(Q1512,0)</f>
        <v/>
      </c>
    </row>
    <row r="1513">
      <c r="A1513" s="25" t="inlineStr">
        <is>
          <t>ORD2512</t>
        </is>
      </c>
      <c r="B1513" s="25" t="inlineStr">
        <is>
          <t>2025-03-13</t>
        </is>
      </c>
      <c r="C1513" s="25" t="inlineStr">
        <is>
          <t>14:08:47</t>
        </is>
      </c>
      <c r="D1513" s="25" t="n">
        <v>1166</v>
      </c>
      <c r="E1513" s="25" t="n">
        <v>101</v>
      </c>
      <c r="F1513" s="25" t="n">
        <v>220</v>
      </c>
      <c r="G1513" s="25" t="inlineStr">
        <is>
          <t>Bangalore</t>
        </is>
      </c>
      <c r="H1513" s="25" t="inlineStr">
        <is>
          <t>North Indian</t>
        </is>
      </c>
      <c r="I1513" s="26" t="n">
        <v>839</v>
      </c>
      <c r="J1513" s="26" t="n">
        <v>75</v>
      </c>
      <c r="K1513" s="26" t="n">
        <v>26</v>
      </c>
      <c r="L1513" s="27" t="n">
        <v>0.2</v>
      </c>
      <c r="M1513" s="26" t="n">
        <v>174.3</v>
      </c>
      <c r="N1513" s="28" t="n">
        <v>3.2</v>
      </c>
      <c r="O1513" s="28" t="n">
        <v>29.1</v>
      </c>
      <c r="P1513" s="25" t="inlineStr">
        <is>
          <t>Debit Card</t>
        </is>
      </c>
      <c r="Q1513" s="25" t="inlineStr">
        <is>
          <t>Delivered</t>
        </is>
      </c>
      <c r="R1513" s="25" t="n">
        <v>4</v>
      </c>
      <c r="S1513" s="25">
        <f>TEXT(B1513,"yyyy-mm")</f>
        <v/>
      </c>
      <c r="T1513" s="25">
        <f>VLOOKUP(D1513,Customers!A:D,4,FALSE)</f>
        <v/>
      </c>
      <c r="U1513" s="25">
        <f>CONCATENATE(A1513,"-",G1513)</f>
        <v/>
      </c>
      <c r="V1513" s="25">
        <f>IF(N1513="","",IF(N1513&lt;=30,"Fast (&lt;30m)",IF(N1513&lt;=45,"Moderate (30-45m)","Delayed (&gt;45m)")))</f>
        <v/>
      </c>
      <c r="W1513" s="25">
        <f>IF(AND(I1513&gt;600,P1513="Delivered"),"High Value Delivered","Standard")</f>
        <v/>
      </c>
      <c r="X1513" s="25">
        <f>IF(OR(N1513&gt;50,Q1513&lt;=2),"High Risk / Delayed","Normal")</f>
        <v/>
      </c>
      <c r="Y1513" s="25">
        <f>IF(NOT(P1513="Cancelled"),"Fulfilled","Cancelled")</f>
        <v/>
      </c>
      <c r="Z1513" s="25">
        <f>IFERROR(Q1513,0)</f>
        <v/>
      </c>
    </row>
    <row r="1514">
      <c r="A1514" s="17" t="inlineStr">
        <is>
          <t>ORD2513</t>
        </is>
      </c>
      <c r="B1514" s="17" t="inlineStr">
        <is>
          <t>2025-11-22</t>
        </is>
      </c>
      <c r="C1514" s="17" t="inlineStr">
        <is>
          <t>21:34:06</t>
        </is>
      </c>
      <c r="D1514" s="17" t="n">
        <v>1195</v>
      </c>
      <c r="E1514" s="17" t="n">
        <v>113</v>
      </c>
      <c r="F1514" s="17" t="n">
        <v>202</v>
      </c>
      <c r="G1514" s="17" t="inlineStr">
        <is>
          <t>Mumbai</t>
        </is>
      </c>
      <c r="H1514" s="17" t="inlineStr">
        <is>
          <t>Fast Food</t>
        </is>
      </c>
      <c r="I1514" s="22" t="n">
        <v>648</v>
      </c>
      <c r="J1514" s="22" t="n">
        <v>0</v>
      </c>
      <c r="K1514" s="22" t="n">
        <v>36.5</v>
      </c>
      <c r="L1514" s="23" t="n">
        <v>0.18</v>
      </c>
      <c r="M1514" s="22" t="n">
        <v>125.76</v>
      </c>
      <c r="N1514" s="24" t="n">
        <v>5.3</v>
      </c>
      <c r="O1514" s="24" t="n">
        <v>40.7</v>
      </c>
      <c r="P1514" s="17" t="inlineStr">
        <is>
          <t>Digital Wallet</t>
        </is>
      </c>
      <c r="Q1514" s="17" t="inlineStr">
        <is>
          <t>Delivered</t>
        </is>
      </c>
      <c r="R1514" s="17" t="n">
        <v>3</v>
      </c>
      <c r="S1514" s="17">
        <f>TEXT(B1514,"yyyy-mm")</f>
        <v/>
      </c>
      <c r="T1514" s="17">
        <f>VLOOKUP(D1514,Customers!A:D,4,FALSE)</f>
        <v/>
      </c>
      <c r="U1514" s="17">
        <f>CONCATENATE(A1514,"-",G1514)</f>
        <v/>
      </c>
      <c r="V1514" s="17">
        <f>IF(N1514="","",IF(N1514&lt;=30,"Fast (&lt;30m)",IF(N1514&lt;=45,"Moderate (30-45m)","Delayed (&gt;45m)")))</f>
        <v/>
      </c>
      <c r="W1514" s="17">
        <f>IF(AND(I1514&gt;600,P1514="Delivered"),"High Value Delivered","Standard")</f>
        <v/>
      </c>
      <c r="X1514" s="17">
        <f>IF(OR(N1514&gt;50,Q1514&lt;=2),"High Risk / Delayed","Normal")</f>
        <v/>
      </c>
      <c r="Y1514" s="17">
        <f>IF(NOT(P1514="Cancelled"),"Fulfilled","Cancelled")</f>
        <v/>
      </c>
      <c r="Z1514" s="17">
        <f>IFERROR(Q1514,0)</f>
        <v/>
      </c>
    </row>
    <row r="1515">
      <c r="A1515" s="25" t="inlineStr">
        <is>
          <t>ORD2514</t>
        </is>
      </c>
      <c r="B1515" s="25" t="inlineStr">
        <is>
          <t>2025-02-14</t>
        </is>
      </c>
      <c r="C1515" s="25" t="inlineStr">
        <is>
          <t>19:16:56</t>
        </is>
      </c>
      <c r="D1515" s="25" t="n">
        <v>1055</v>
      </c>
      <c r="E1515" s="25" t="n">
        <v>101</v>
      </c>
      <c r="F1515" s="25" t="n">
        <v>213</v>
      </c>
      <c r="G1515" s="25" t="inlineStr">
        <is>
          <t>Bangalore</t>
        </is>
      </c>
      <c r="H1515" s="25" t="inlineStr">
        <is>
          <t>North Indian</t>
        </is>
      </c>
      <c r="I1515" s="26" t="n">
        <v>900</v>
      </c>
      <c r="J1515" s="26" t="n">
        <v>0</v>
      </c>
      <c r="K1515" s="26" t="n">
        <v>32</v>
      </c>
      <c r="L1515" s="27" t="n">
        <v>0.2</v>
      </c>
      <c r="M1515" s="26" t="n">
        <v>188</v>
      </c>
      <c r="N1515" s="28" t="n">
        <v>4.4</v>
      </c>
      <c r="O1515" s="28" t="n">
        <v/>
      </c>
      <c r="P1515" s="25" t="inlineStr">
        <is>
          <t>Credit Card</t>
        </is>
      </c>
      <c r="Q1515" s="25" t="inlineStr">
        <is>
          <t>Cancelled</t>
        </is>
      </c>
      <c r="R1515" s="25" t="n">
        <v/>
      </c>
      <c r="S1515" s="25">
        <f>TEXT(B1515,"yyyy-mm")</f>
        <v/>
      </c>
      <c r="T1515" s="25">
        <f>VLOOKUP(D1515,Customers!A:D,4,FALSE)</f>
        <v/>
      </c>
      <c r="U1515" s="25">
        <f>CONCATENATE(A1515,"-",G1515)</f>
        <v/>
      </c>
      <c r="V1515" s="25">
        <f>IF(N1515="","",IF(N1515&lt;=30,"Fast (&lt;30m)",IF(N1515&lt;=45,"Moderate (30-45m)","Delayed (&gt;45m)")))</f>
        <v/>
      </c>
      <c r="W1515" s="25">
        <f>IF(AND(I1515&gt;600,P1515="Delivered"),"High Value Delivered","Standard")</f>
        <v/>
      </c>
      <c r="X1515" s="25">
        <f>IF(OR(N1515&gt;50,Q1515&lt;=2),"High Risk / Delayed","Normal")</f>
        <v/>
      </c>
      <c r="Y1515" s="25">
        <f>IF(NOT(P1515="Cancelled"),"Fulfilled","Cancelled")</f>
        <v/>
      </c>
      <c r="Z1515" s="25">
        <f>IFERROR(Q1515,0)</f>
        <v/>
      </c>
    </row>
    <row r="1516">
      <c r="A1516" s="17" t="inlineStr">
        <is>
          <t>ORD2515</t>
        </is>
      </c>
      <c r="B1516" s="17" t="inlineStr">
        <is>
          <t>2025-01-13</t>
        </is>
      </c>
      <c r="C1516" s="17" t="inlineStr">
        <is>
          <t>10:10:05</t>
        </is>
      </c>
      <c r="D1516" s="17" t="n">
        <v>1293</v>
      </c>
      <c r="E1516" s="17" t="n">
        <v>109</v>
      </c>
      <c r="F1516" s="17" t="n">
        <v>216</v>
      </c>
      <c r="G1516" s="17" t="inlineStr">
        <is>
          <t>Hyderabad</t>
        </is>
      </c>
      <c r="H1516" s="17" t="inlineStr">
        <is>
          <t>Biryani</t>
        </is>
      </c>
      <c r="I1516" s="22" t="n">
        <v>804</v>
      </c>
      <c r="J1516" s="22" t="n">
        <v>50.71</v>
      </c>
      <c r="K1516" s="22" t="n">
        <v>33</v>
      </c>
      <c r="L1516" s="23" t="n">
        <v>0.2</v>
      </c>
      <c r="M1516" s="22" t="n">
        <v>169.05</v>
      </c>
      <c r="N1516" s="24" t="n">
        <v>4.6</v>
      </c>
      <c r="O1516" s="24" t="n">
        <v>30.7</v>
      </c>
      <c r="P1516" s="17" t="inlineStr">
        <is>
          <t>Digital Wallet</t>
        </is>
      </c>
      <c r="Q1516" s="17" t="inlineStr">
        <is>
          <t>Delivered</t>
        </is>
      </c>
      <c r="R1516" s="17" t="n">
        <v>4</v>
      </c>
      <c r="S1516" s="17">
        <f>TEXT(B1516,"yyyy-mm")</f>
        <v/>
      </c>
      <c r="T1516" s="17">
        <f>VLOOKUP(D1516,Customers!A:D,4,FALSE)</f>
        <v/>
      </c>
      <c r="U1516" s="17">
        <f>CONCATENATE(A1516,"-",G1516)</f>
        <v/>
      </c>
      <c r="V1516" s="17">
        <f>IF(N1516="","",IF(N1516&lt;=30,"Fast (&lt;30m)",IF(N1516&lt;=45,"Moderate (30-45m)","Delayed (&gt;45m)")))</f>
        <v/>
      </c>
      <c r="W1516" s="17">
        <f>IF(AND(I1516&gt;600,P1516="Delivered"),"High Value Delivered","Standard")</f>
        <v/>
      </c>
      <c r="X1516" s="17">
        <f>IF(OR(N1516&gt;50,Q1516&lt;=2),"High Risk / Delayed","Normal")</f>
        <v/>
      </c>
      <c r="Y1516" s="17">
        <f>IF(NOT(P1516="Cancelled"),"Fulfilled","Cancelled")</f>
        <v/>
      </c>
      <c r="Z1516" s="17">
        <f>IFERROR(Q1516,0)</f>
        <v/>
      </c>
    </row>
    <row r="1517">
      <c r="A1517" s="25" t="inlineStr">
        <is>
          <t>ORD2516</t>
        </is>
      </c>
      <c r="B1517" s="25" t="inlineStr">
        <is>
          <t>2025-02-04</t>
        </is>
      </c>
      <c r="C1517" s="25" t="inlineStr">
        <is>
          <t>21:50:42</t>
        </is>
      </c>
      <c r="D1517" s="25" t="n">
        <v>1101</v>
      </c>
      <c r="E1517" s="25" t="n">
        <v>105</v>
      </c>
      <c r="F1517" s="25" t="n">
        <v>210</v>
      </c>
      <c r="G1517" s="25" t="inlineStr">
        <is>
          <t>Bangalore</t>
        </is>
      </c>
      <c r="H1517" s="25" t="inlineStr">
        <is>
          <t>Chinese</t>
        </is>
      </c>
      <c r="I1517" s="26" t="n">
        <v>409</v>
      </c>
      <c r="J1517" s="26" t="n">
        <v>3.79</v>
      </c>
      <c r="K1517" s="26" t="n">
        <v>37.5</v>
      </c>
      <c r="L1517" s="27" t="n">
        <v>0.2</v>
      </c>
      <c r="M1517" s="26" t="n">
        <v>91.18000000000001</v>
      </c>
      <c r="N1517" s="28" t="n">
        <v>5.5</v>
      </c>
      <c r="O1517" s="28" t="n">
        <v>34.2</v>
      </c>
      <c r="P1517" s="25" t="inlineStr">
        <is>
          <t>Credit Card</t>
        </is>
      </c>
      <c r="Q1517" s="25" t="inlineStr">
        <is>
          <t>Delivered</t>
        </is>
      </c>
      <c r="R1517" s="25" t="n">
        <v>5</v>
      </c>
      <c r="S1517" s="25">
        <f>TEXT(B1517,"yyyy-mm")</f>
        <v/>
      </c>
      <c r="T1517" s="25">
        <f>VLOOKUP(D1517,Customers!A:D,4,FALSE)</f>
        <v/>
      </c>
      <c r="U1517" s="25">
        <f>CONCATENATE(A1517,"-",G1517)</f>
        <v/>
      </c>
      <c r="V1517" s="25">
        <f>IF(N1517="","",IF(N1517&lt;=30,"Fast (&lt;30m)",IF(N1517&lt;=45,"Moderate (30-45m)","Delayed (&gt;45m)")))</f>
        <v/>
      </c>
      <c r="W1517" s="25">
        <f>IF(AND(I1517&gt;600,P1517="Delivered"),"High Value Delivered","Standard")</f>
        <v/>
      </c>
      <c r="X1517" s="25">
        <f>IF(OR(N1517&gt;50,Q1517&lt;=2),"High Risk / Delayed","Normal")</f>
        <v/>
      </c>
      <c r="Y1517" s="25">
        <f>IF(NOT(P1517="Cancelled"),"Fulfilled","Cancelled")</f>
        <v/>
      </c>
      <c r="Z1517" s="25">
        <f>IFERROR(Q1517,0)</f>
        <v/>
      </c>
    </row>
    <row r="1518">
      <c r="A1518" s="17" t="inlineStr">
        <is>
          <t>ORD2517</t>
        </is>
      </c>
      <c r="B1518" s="17" t="inlineStr">
        <is>
          <t>2025-03-10</t>
        </is>
      </c>
      <c r="C1518" s="17" t="inlineStr">
        <is>
          <t>14:47:44</t>
        </is>
      </c>
      <c r="D1518" s="17" t="n">
        <v>1255</v>
      </c>
      <c r="E1518" s="17" t="n">
        <v>120</v>
      </c>
      <c r="F1518" s="17" t="n">
        <v>214</v>
      </c>
      <c r="G1518" s="17" t="inlineStr">
        <is>
          <t>Pune</t>
        </is>
      </c>
      <c r="H1518" s="17" t="inlineStr">
        <is>
          <t>Fast Food</t>
        </is>
      </c>
      <c r="I1518" s="22" t="n">
        <v>620</v>
      </c>
      <c r="J1518" s="22" t="n">
        <v>0</v>
      </c>
      <c r="K1518" s="22" t="n">
        <v>25</v>
      </c>
      <c r="L1518" s="23" t="n">
        <v>0.18</v>
      </c>
      <c r="M1518" s="22" t="n">
        <v>117.85</v>
      </c>
      <c r="N1518" s="24" t="n">
        <v>2.8</v>
      </c>
      <c r="O1518" s="24" t="n">
        <v>26.2</v>
      </c>
      <c r="P1518" s="17" t="inlineStr">
        <is>
          <t>UPI</t>
        </is>
      </c>
      <c r="Q1518" s="17" t="inlineStr">
        <is>
          <t>Delivered</t>
        </is>
      </c>
      <c r="R1518" s="17" t="n">
        <v>5</v>
      </c>
      <c r="S1518" s="17">
        <f>TEXT(B1518,"yyyy-mm")</f>
        <v/>
      </c>
      <c r="T1518" s="17">
        <f>VLOOKUP(D1518,Customers!A:D,4,FALSE)</f>
        <v/>
      </c>
      <c r="U1518" s="17">
        <f>CONCATENATE(A1518,"-",G1518)</f>
        <v/>
      </c>
      <c r="V1518" s="17">
        <f>IF(N1518="","",IF(N1518&lt;=30,"Fast (&lt;30m)",IF(N1518&lt;=45,"Moderate (30-45m)","Delayed (&gt;45m)")))</f>
        <v/>
      </c>
      <c r="W1518" s="17">
        <f>IF(AND(I1518&gt;600,P1518="Delivered"),"High Value Delivered","Standard")</f>
        <v/>
      </c>
      <c r="X1518" s="17">
        <f>IF(OR(N1518&gt;50,Q1518&lt;=2),"High Risk / Delayed","Normal")</f>
        <v/>
      </c>
      <c r="Y1518" s="17">
        <f>IF(NOT(P1518="Cancelled"),"Fulfilled","Cancelled")</f>
        <v/>
      </c>
      <c r="Z1518" s="17">
        <f>IFERROR(Q1518,0)</f>
        <v/>
      </c>
    </row>
    <row r="1519">
      <c r="A1519" s="25" t="inlineStr">
        <is>
          <t>ORD2518</t>
        </is>
      </c>
      <c r="B1519" s="25" t="inlineStr">
        <is>
          <t>2025-10-27</t>
        </is>
      </c>
      <c r="C1519" s="25" t="inlineStr">
        <is>
          <t>00:33:00</t>
        </is>
      </c>
      <c r="D1519" s="25" t="n">
        <v>1205</v>
      </c>
      <c r="E1519" s="25" t="n">
        <v>117</v>
      </c>
      <c r="F1519" s="25" t="n">
        <v>229</v>
      </c>
      <c r="G1519" s="25" t="inlineStr">
        <is>
          <t>Mumbai</t>
        </is>
      </c>
      <c r="H1519" s="25" t="inlineStr">
        <is>
          <t>Chinese</t>
        </is>
      </c>
      <c r="I1519" s="26" t="n">
        <v>530</v>
      </c>
      <c r="J1519" s="26" t="n">
        <v>59.16</v>
      </c>
      <c r="K1519" s="26" t="n">
        <v>26.5</v>
      </c>
      <c r="L1519" s="27" t="n">
        <v>0.2</v>
      </c>
      <c r="M1519" s="26" t="n">
        <v>112.62</v>
      </c>
      <c r="N1519" s="28" t="n">
        <v>3.3</v>
      </c>
      <c r="O1519" s="28" t="n">
        <v>26.4</v>
      </c>
      <c r="P1519" s="25" t="inlineStr">
        <is>
          <t>Credit Card</t>
        </is>
      </c>
      <c r="Q1519" s="25" t="inlineStr">
        <is>
          <t>Delivered</t>
        </is>
      </c>
      <c r="R1519" s="25" t="n">
        <v>4</v>
      </c>
      <c r="S1519" s="25">
        <f>TEXT(B1519,"yyyy-mm")</f>
        <v/>
      </c>
      <c r="T1519" s="25">
        <f>VLOOKUP(D1519,Customers!A:D,4,FALSE)</f>
        <v/>
      </c>
      <c r="U1519" s="25">
        <f>CONCATENATE(A1519,"-",G1519)</f>
        <v/>
      </c>
      <c r="V1519" s="25">
        <f>IF(N1519="","",IF(N1519&lt;=30,"Fast (&lt;30m)",IF(N1519&lt;=45,"Moderate (30-45m)","Delayed (&gt;45m)")))</f>
        <v/>
      </c>
      <c r="W1519" s="25">
        <f>IF(AND(I1519&gt;600,P1519="Delivered"),"High Value Delivered","Standard")</f>
        <v/>
      </c>
      <c r="X1519" s="25">
        <f>IF(OR(N1519&gt;50,Q1519&lt;=2),"High Risk / Delayed","Normal")</f>
        <v/>
      </c>
      <c r="Y1519" s="25">
        <f>IF(NOT(P1519="Cancelled"),"Fulfilled","Cancelled")</f>
        <v/>
      </c>
      <c r="Z1519" s="25">
        <f>IFERROR(Q1519,0)</f>
        <v/>
      </c>
    </row>
    <row r="1520">
      <c r="A1520" s="17" t="inlineStr">
        <is>
          <t>ORD2519</t>
        </is>
      </c>
      <c r="B1520" s="17" t="inlineStr">
        <is>
          <t>2025-12-06</t>
        </is>
      </c>
      <c r="C1520" s="17" t="inlineStr">
        <is>
          <t>18:30:30</t>
        </is>
      </c>
      <c r="D1520" s="17" t="n">
        <v>1175</v>
      </c>
      <c r="E1520" s="17" t="n">
        <v>111</v>
      </c>
      <c r="F1520" s="17" t="n">
        <v>213</v>
      </c>
      <c r="G1520" s="17" t="inlineStr">
        <is>
          <t>Bangalore</t>
        </is>
      </c>
      <c r="H1520" s="17" t="inlineStr">
        <is>
          <t>South Indian</t>
        </is>
      </c>
      <c r="I1520" s="22" t="n">
        <v>710</v>
      </c>
      <c r="J1520" s="22" t="n">
        <v>46.14</v>
      </c>
      <c r="K1520" s="22" t="n">
        <v>45</v>
      </c>
      <c r="L1520" s="23" t="n">
        <v>0.15</v>
      </c>
      <c r="M1520" s="22" t="n">
        <v>117.75</v>
      </c>
      <c r="N1520" s="24" t="n">
        <v>7</v>
      </c>
      <c r="O1520" s="24" t="n">
        <v>37.7</v>
      </c>
      <c r="P1520" s="17" t="inlineStr">
        <is>
          <t>Digital Wallet</t>
        </is>
      </c>
      <c r="Q1520" s="17" t="inlineStr">
        <is>
          <t>Delivered</t>
        </is>
      </c>
      <c r="R1520" s="17" t="n">
        <v>4</v>
      </c>
      <c r="S1520" s="17">
        <f>TEXT(B1520,"yyyy-mm")</f>
        <v/>
      </c>
      <c r="T1520" s="17">
        <f>VLOOKUP(D1520,Customers!A:D,4,FALSE)</f>
        <v/>
      </c>
      <c r="U1520" s="17">
        <f>CONCATENATE(A1520,"-",G1520)</f>
        <v/>
      </c>
      <c r="V1520" s="17">
        <f>IF(N1520="","",IF(N1520&lt;=30,"Fast (&lt;30m)",IF(N1520&lt;=45,"Moderate (30-45m)","Delayed (&gt;45m)")))</f>
        <v/>
      </c>
      <c r="W1520" s="17">
        <f>IF(AND(I1520&gt;600,P1520="Delivered"),"High Value Delivered","Standard")</f>
        <v/>
      </c>
      <c r="X1520" s="17">
        <f>IF(OR(N1520&gt;50,Q1520&lt;=2),"High Risk / Delayed","Normal")</f>
        <v/>
      </c>
      <c r="Y1520" s="17">
        <f>IF(NOT(P1520="Cancelled"),"Fulfilled","Cancelled")</f>
        <v/>
      </c>
      <c r="Z1520" s="17">
        <f>IFERROR(Q1520,0)</f>
        <v/>
      </c>
    </row>
    <row r="1521">
      <c r="A1521" s="25" t="inlineStr">
        <is>
          <t>ORD2520</t>
        </is>
      </c>
      <c r="B1521" s="25" t="inlineStr">
        <is>
          <t>2025-09-19</t>
        </is>
      </c>
      <c r="C1521" s="25" t="inlineStr">
        <is>
          <t>11:09:55</t>
        </is>
      </c>
      <c r="D1521" s="25" t="n">
        <v>1072</v>
      </c>
      <c r="E1521" s="25" t="n">
        <v>110</v>
      </c>
      <c r="F1521" s="25" t="n">
        <v>224</v>
      </c>
      <c r="G1521" s="25" t="inlineStr">
        <is>
          <t>Pune</t>
        </is>
      </c>
      <c r="H1521" s="25" t="inlineStr">
        <is>
          <t>North Indian</t>
        </is>
      </c>
      <c r="I1521" s="26" t="n">
        <v>289</v>
      </c>
      <c r="J1521" s="26" t="n">
        <v>0</v>
      </c>
      <c r="K1521" s="26" t="n">
        <v>25</v>
      </c>
      <c r="L1521" s="27" t="n">
        <v>0.18</v>
      </c>
      <c r="M1521" s="26" t="n">
        <v>58.27</v>
      </c>
      <c r="N1521" s="28" t="n">
        <v>2</v>
      </c>
      <c r="O1521" s="28" t="n">
        <v>31.5</v>
      </c>
      <c r="P1521" s="25" t="inlineStr">
        <is>
          <t>UPI</t>
        </is>
      </c>
      <c r="Q1521" s="25" t="inlineStr">
        <is>
          <t>Delivered</t>
        </is>
      </c>
      <c r="R1521" s="25" t="n">
        <v>4</v>
      </c>
      <c r="S1521" s="25">
        <f>TEXT(B1521,"yyyy-mm")</f>
        <v/>
      </c>
      <c r="T1521" s="25">
        <f>VLOOKUP(D1521,Customers!A:D,4,FALSE)</f>
        <v/>
      </c>
      <c r="U1521" s="25">
        <f>CONCATENATE(A1521,"-",G1521)</f>
        <v/>
      </c>
      <c r="V1521" s="25">
        <f>IF(N1521="","",IF(N1521&lt;=30,"Fast (&lt;30m)",IF(N1521&lt;=45,"Moderate (30-45m)","Delayed (&gt;45m)")))</f>
        <v/>
      </c>
      <c r="W1521" s="25">
        <f>IF(AND(I1521&gt;600,P1521="Delivered"),"High Value Delivered","Standard")</f>
        <v/>
      </c>
      <c r="X1521" s="25">
        <f>IF(OR(N1521&gt;50,Q1521&lt;=2),"High Risk / Delayed","Normal")</f>
        <v/>
      </c>
      <c r="Y1521" s="25">
        <f>IF(NOT(P1521="Cancelled"),"Fulfilled","Cancelled")</f>
        <v/>
      </c>
      <c r="Z1521" s="25">
        <f>IFERROR(Q1521,0)</f>
        <v/>
      </c>
    </row>
    <row r="1522">
      <c r="A1522" s="17" t="inlineStr">
        <is>
          <t>ORD2521</t>
        </is>
      </c>
      <c r="B1522" s="17" t="inlineStr">
        <is>
          <t>2025-11-17</t>
        </is>
      </c>
      <c r="C1522" s="17" t="inlineStr">
        <is>
          <t>12:23:14</t>
        </is>
      </c>
      <c r="D1522" s="17" t="n">
        <v>1232</v>
      </c>
      <c r="E1522" s="17" t="n">
        <v>114</v>
      </c>
      <c r="F1522" s="17" t="n">
        <v>216</v>
      </c>
      <c r="G1522" s="17" t="inlineStr">
        <is>
          <t>Hyderabad</t>
        </is>
      </c>
      <c r="H1522" s="17" t="inlineStr">
        <is>
          <t>Biryani</t>
        </is>
      </c>
      <c r="I1522" s="22" t="n">
        <v>488</v>
      </c>
      <c r="J1522" s="22" t="n">
        <v>0</v>
      </c>
      <c r="K1522" s="22" t="n">
        <v>26</v>
      </c>
      <c r="L1522" s="23" t="n">
        <v>0.22</v>
      </c>
      <c r="M1522" s="22" t="n">
        <v>113.86</v>
      </c>
      <c r="N1522" s="24" t="n">
        <v>3.2</v>
      </c>
      <c r="O1522" s="24" t="n">
        <v>33.9</v>
      </c>
      <c r="P1522" s="17" t="inlineStr">
        <is>
          <t>UPI</t>
        </is>
      </c>
      <c r="Q1522" s="17" t="inlineStr">
        <is>
          <t>Delivered</t>
        </is>
      </c>
      <c r="R1522" s="17" t="n">
        <v>4</v>
      </c>
      <c r="S1522" s="17">
        <f>TEXT(B1522,"yyyy-mm")</f>
        <v/>
      </c>
      <c r="T1522" s="17">
        <f>VLOOKUP(D1522,Customers!A:D,4,FALSE)</f>
        <v/>
      </c>
      <c r="U1522" s="17">
        <f>CONCATENATE(A1522,"-",G1522)</f>
        <v/>
      </c>
      <c r="V1522" s="17">
        <f>IF(N1522="","",IF(N1522&lt;=30,"Fast (&lt;30m)",IF(N1522&lt;=45,"Moderate (30-45m)","Delayed (&gt;45m)")))</f>
        <v/>
      </c>
      <c r="W1522" s="17">
        <f>IF(AND(I1522&gt;600,P1522="Delivered"),"High Value Delivered","Standard")</f>
        <v/>
      </c>
      <c r="X1522" s="17">
        <f>IF(OR(N1522&gt;50,Q1522&lt;=2),"High Risk / Delayed","Normal")</f>
        <v/>
      </c>
      <c r="Y1522" s="17">
        <f>IF(NOT(P1522="Cancelled"),"Fulfilled","Cancelled")</f>
        <v/>
      </c>
      <c r="Z1522" s="17">
        <f>IFERROR(Q1522,0)</f>
        <v/>
      </c>
    </row>
    <row r="1523">
      <c r="A1523" s="25" t="inlineStr">
        <is>
          <t>ORD2522</t>
        </is>
      </c>
      <c r="B1523" s="25" t="inlineStr">
        <is>
          <t>2025-04-09</t>
        </is>
      </c>
      <c r="C1523" s="25" t="inlineStr">
        <is>
          <t>08:42:46</t>
        </is>
      </c>
      <c r="D1523" s="25" t="n">
        <v>1265</v>
      </c>
      <c r="E1523" s="25" t="n">
        <v>105</v>
      </c>
      <c r="F1523" s="25" t="n">
        <v>210</v>
      </c>
      <c r="G1523" s="25" t="inlineStr">
        <is>
          <t>Bangalore</t>
        </is>
      </c>
      <c r="H1523" s="25" t="inlineStr">
        <is>
          <t>Chinese</t>
        </is>
      </c>
      <c r="I1523" s="26" t="n">
        <v>802</v>
      </c>
      <c r="J1523" s="26" t="n">
        <v>116.28</v>
      </c>
      <c r="K1523" s="26" t="n">
        <v>0</v>
      </c>
      <c r="L1523" s="27" t="n">
        <v>0.2</v>
      </c>
      <c r="M1523" s="26" t="n">
        <v>160.4</v>
      </c>
      <c r="N1523" s="28" t="n">
        <v>2.8</v>
      </c>
      <c r="O1523" s="28" t="n">
        <v>38.1</v>
      </c>
      <c r="P1523" s="25" t="inlineStr">
        <is>
          <t>Credit Card</t>
        </is>
      </c>
      <c r="Q1523" s="25" t="inlineStr">
        <is>
          <t>Delivered</t>
        </is>
      </c>
      <c r="R1523" s="25" t="n">
        <v>5</v>
      </c>
      <c r="S1523" s="25">
        <f>TEXT(B1523,"yyyy-mm")</f>
        <v/>
      </c>
      <c r="T1523" s="25">
        <f>VLOOKUP(D1523,Customers!A:D,4,FALSE)</f>
        <v/>
      </c>
      <c r="U1523" s="25">
        <f>CONCATENATE(A1523,"-",G1523)</f>
        <v/>
      </c>
      <c r="V1523" s="25">
        <f>IF(N1523="","",IF(N1523&lt;=30,"Fast (&lt;30m)",IF(N1523&lt;=45,"Moderate (30-45m)","Delayed (&gt;45m)")))</f>
        <v/>
      </c>
      <c r="W1523" s="25">
        <f>IF(AND(I1523&gt;600,P1523="Delivered"),"High Value Delivered","Standard")</f>
        <v/>
      </c>
      <c r="X1523" s="25">
        <f>IF(OR(N1523&gt;50,Q1523&lt;=2),"High Risk / Delayed","Normal")</f>
        <v/>
      </c>
      <c r="Y1523" s="25">
        <f>IF(NOT(P1523="Cancelled"),"Fulfilled","Cancelled")</f>
        <v/>
      </c>
      <c r="Z1523" s="25">
        <f>IFERROR(Q1523,0)</f>
        <v/>
      </c>
    </row>
    <row r="1524">
      <c r="A1524" s="17" t="inlineStr">
        <is>
          <t>ORD2523</t>
        </is>
      </c>
      <c r="B1524" s="17" t="inlineStr">
        <is>
          <t>2025-11-27</t>
        </is>
      </c>
      <c r="C1524" s="17" t="inlineStr">
        <is>
          <t>20:55:48</t>
        </is>
      </c>
      <c r="D1524" s="17" t="n">
        <v>1284</v>
      </c>
      <c r="E1524" s="17" t="n">
        <v>109</v>
      </c>
      <c r="F1524" s="17" t="n">
        <v>215</v>
      </c>
      <c r="G1524" s="17" t="inlineStr">
        <is>
          <t>Hyderabad</t>
        </is>
      </c>
      <c r="H1524" s="17" t="inlineStr">
        <is>
          <t>Biryani</t>
        </is>
      </c>
      <c r="I1524" s="22" t="n">
        <v>870</v>
      </c>
      <c r="J1524" s="22" t="n">
        <v>0</v>
      </c>
      <c r="K1524" s="22" t="n">
        <v>60</v>
      </c>
      <c r="L1524" s="23" t="n">
        <v>0.2</v>
      </c>
      <c r="M1524" s="22" t="n">
        <v>189</v>
      </c>
      <c r="N1524" s="24" t="n">
        <v>10</v>
      </c>
      <c r="O1524" s="24" t="n">
        <v>59.7</v>
      </c>
      <c r="P1524" s="17" t="inlineStr">
        <is>
          <t>Debit Card</t>
        </is>
      </c>
      <c r="Q1524" s="17" t="inlineStr">
        <is>
          <t>Delivered</t>
        </is>
      </c>
      <c r="R1524" s="17" t="n">
        <v>1</v>
      </c>
      <c r="S1524" s="17">
        <f>TEXT(B1524,"yyyy-mm")</f>
        <v/>
      </c>
      <c r="T1524" s="17">
        <f>VLOOKUP(D1524,Customers!A:D,4,FALSE)</f>
        <v/>
      </c>
      <c r="U1524" s="17">
        <f>CONCATENATE(A1524,"-",G1524)</f>
        <v/>
      </c>
      <c r="V1524" s="17">
        <f>IF(N1524="","",IF(N1524&lt;=30,"Fast (&lt;30m)",IF(N1524&lt;=45,"Moderate (30-45m)","Delayed (&gt;45m)")))</f>
        <v/>
      </c>
      <c r="W1524" s="17">
        <f>IF(AND(I1524&gt;600,P1524="Delivered"),"High Value Delivered","Standard")</f>
        <v/>
      </c>
      <c r="X1524" s="17">
        <f>IF(OR(N1524&gt;50,Q1524&lt;=2),"High Risk / Delayed","Normal")</f>
        <v/>
      </c>
      <c r="Y1524" s="17">
        <f>IF(NOT(P1524="Cancelled"),"Fulfilled","Cancelled")</f>
        <v/>
      </c>
      <c r="Z1524" s="17">
        <f>IFERROR(Q1524,0)</f>
        <v/>
      </c>
    </row>
    <row r="1525">
      <c r="A1525" s="25" t="inlineStr">
        <is>
          <t>ORD2524</t>
        </is>
      </c>
      <c r="B1525" s="25" t="inlineStr">
        <is>
          <t>2025-11-04</t>
        </is>
      </c>
      <c r="C1525" s="25" t="inlineStr">
        <is>
          <t>21:01:26</t>
        </is>
      </c>
      <c r="D1525" s="25" t="n">
        <v>1029</v>
      </c>
      <c r="E1525" s="25" t="n">
        <v>112</v>
      </c>
      <c r="F1525" s="25" t="n">
        <v>219</v>
      </c>
      <c r="G1525" s="25" t="inlineStr">
        <is>
          <t>Delhi NCR</t>
        </is>
      </c>
      <c r="H1525" s="25" t="inlineStr">
        <is>
          <t>North Indian</t>
        </is>
      </c>
      <c r="I1525" s="26" t="n">
        <v>287</v>
      </c>
      <c r="J1525" s="26" t="n">
        <v>16.17</v>
      </c>
      <c r="K1525" s="26" t="n">
        <v>27</v>
      </c>
      <c r="L1525" s="27" t="n">
        <v>0.22</v>
      </c>
      <c r="M1525" s="26" t="n">
        <v>69.89</v>
      </c>
      <c r="N1525" s="28" t="n">
        <v>3.4</v>
      </c>
      <c r="O1525" s="28" t="n">
        <v>35.3</v>
      </c>
      <c r="P1525" s="25" t="inlineStr">
        <is>
          <t>UPI</t>
        </is>
      </c>
      <c r="Q1525" s="25" t="inlineStr">
        <is>
          <t>Delivered</t>
        </is>
      </c>
      <c r="R1525" s="25" t="n">
        <v>3</v>
      </c>
      <c r="S1525" s="25">
        <f>TEXT(B1525,"yyyy-mm")</f>
        <v/>
      </c>
      <c r="T1525" s="25">
        <f>VLOOKUP(D1525,Customers!A:D,4,FALSE)</f>
        <v/>
      </c>
      <c r="U1525" s="25">
        <f>CONCATENATE(A1525,"-",G1525)</f>
        <v/>
      </c>
      <c r="V1525" s="25">
        <f>IF(N1525="","",IF(N1525&lt;=30,"Fast (&lt;30m)",IF(N1525&lt;=45,"Moderate (30-45m)","Delayed (&gt;45m)")))</f>
        <v/>
      </c>
      <c r="W1525" s="25">
        <f>IF(AND(I1525&gt;600,P1525="Delivered"),"High Value Delivered","Standard")</f>
        <v/>
      </c>
      <c r="X1525" s="25">
        <f>IF(OR(N1525&gt;50,Q1525&lt;=2),"High Risk / Delayed","Normal")</f>
        <v/>
      </c>
      <c r="Y1525" s="25">
        <f>IF(NOT(P1525="Cancelled"),"Fulfilled","Cancelled")</f>
        <v/>
      </c>
      <c r="Z1525" s="25">
        <f>IFERROR(Q1525,0)</f>
        <v/>
      </c>
    </row>
    <row r="1526">
      <c r="A1526" s="17" t="inlineStr">
        <is>
          <t>ORD2525</t>
        </is>
      </c>
      <c r="B1526" s="17" t="inlineStr">
        <is>
          <t>2025-05-24</t>
        </is>
      </c>
      <c r="C1526" s="17" t="inlineStr">
        <is>
          <t>10:29:41</t>
        </is>
      </c>
      <c r="D1526" s="17" t="n">
        <v>1159</v>
      </c>
      <c r="E1526" s="17" t="n">
        <v>104</v>
      </c>
      <c r="F1526" s="17" t="n">
        <v>211</v>
      </c>
      <c r="G1526" s="17" t="inlineStr">
        <is>
          <t>Delhi NCR</t>
        </is>
      </c>
      <c r="H1526" s="17" t="inlineStr">
        <is>
          <t>Fast Food</t>
        </is>
      </c>
      <c r="I1526" s="22" t="n">
        <v>569</v>
      </c>
      <c r="J1526" s="22" t="n">
        <v>0</v>
      </c>
      <c r="K1526" s="22" t="n">
        <v>30.5</v>
      </c>
      <c r="L1526" s="23" t="n">
        <v>0.18</v>
      </c>
      <c r="M1526" s="22" t="n">
        <v>110.04</v>
      </c>
      <c r="N1526" s="24" t="n">
        <v>4.1</v>
      </c>
      <c r="O1526" s="24" t="n">
        <v>29.6</v>
      </c>
      <c r="P1526" s="17" t="inlineStr">
        <is>
          <t>Debit Card</t>
        </is>
      </c>
      <c r="Q1526" s="17" t="inlineStr">
        <is>
          <t>Delivered</t>
        </is>
      </c>
      <c r="R1526" s="17" t="n">
        <v>4</v>
      </c>
      <c r="S1526" s="17">
        <f>TEXT(B1526,"yyyy-mm")</f>
        <v/>
      </c>
      <c r="T1526" s="17">
        <f>VLOOKUP(D1526,Customers!A:D,4,FALSE)</f>
        <v/>
      </c>
      <c r="U1526" s="17">
        <f>CONCATENATE(A1526,"-",G1526)</f>
        <v/>
      </c>
      <c r="V1526" s="17">
        <f>IF(N1526="","",IF(N1526&lt;=30,"Fast (&lt;30m)",IF(N1526&lt;=45,"Moderate (30-45m)","Delayed (&gt;45m)")))</f>
        <v/>
      </c>
      <c r="W1526" s="17">
        <f>IF(AND(I1526&gt;600,P1526="Delivered"),"High Value Delivered","Standard")</f>
        <v/>
      </c>
      <c r="X1526" s="17">
        <f>IF(OR(N1526&gt;50,Q1526&lt;=2),"High Risk / Delayed","Normal")</f>
        <v/>
      </c>
      <c r="Y1526" s="17">
        <f>IF(NOT(P1526="Cancelled"),"Fulfilled","Cancelled")</f>
        <v/>
      </c>
      <c r="Z1526" s="17">
        <f>IFERROR(Q1526,0)</f>
        <v/>
      </c>
    </row>
    <row r="1527">
      <c r="A1527" s="25" t="inlineStr">
        <is>
          <t>ORD2526</t>
        </is>
      </c>
      <c r="B1527" s="25" t="inlineStr">
        <is>
          <t>2025-07-17</t>
        </is>
      </c>
      <c r="C1527" s="25" t="inlineStr">
        <is>
          <t>12:48:55</t>
        </is>
      </c>
      <c r="D1527" s="25" t="n">
        <v>1065</v>
      </c>
      <c r="E1527" s="25" t="n">
        <v>112</v>
      </c>
      <c r="F1527" s="25" t="n">
        <v>228</v>
      </c>
      <c r="G1527" s="25" t="inlineStr">
        <is>
          <t>Delhi NCR</t>
        </is>
      </c>
      <c r="H1527" s="25" t="inlineStr">
        <is>
          <t>North Indian</t>
        </is>
      </c>
      <c r="I1527" s="26" t="n">
        <v>924</v>
      </c>
      <c r="J1527" s="26" t="n">
        <v>41.41</v>
      </c>
      <c r="K1527" s="26" t="n">
        <v>25.5</v>
      </c>
      <c r="L1527" s="27" t="n">
        <v>0.22</v>
      </c>
      <c r="M1527" s="26" t="n">
        <v>209.66</v>
      </c>
      <c r="N1527" s="28" t="n">
        <v>3.1</v>
      </c>
      <c r="O1527" s="28" t="n">
        <v>36.6</v>
      </c>
      <c r="P1527" s="25" t="inlineStr">
        <is>
          <t>Digital Wallet</t>
        </is>
      </c>
      <c r="Q1527" s="25" t="inlineStr">
        <is>
          <t>Delivered</t>
        </is>
      </c>
      <c r="R1527" s="25" t="n">
        <v>5</v>
      </c>
      <c r="S1527" s="25">
        <f>TEXT(B1527,"yyyy-mm")</f>
        <v/>
      </c>
      <c r="T1527" s="25">
        <f>VLOOKUP(D1527,Customers!A:D,4,FALSE)</f>
        <v/>
      </c>
      <c r="U1527" s="25">
        <f>CONCATENATE(A1527,"-",G1527)</f>
        <v/>
      </c>
      <c r="V1527" s="25">
        <f>IF(N1527="","",IF(N1527&lt;=30,"Fast (&lt;30m)",IF(N1527&lt;=45,"Moderate (30-45m)","Delayed (&gt;45m)")))</f>
        <v/>
      </c>
      <c r="W1527" s="25">
        <f>IF(AND(I1527&gt;600,P1527="Delivered"),"High Value Delivered","Standard")</f>
        <v/>
      </c>
      <c r="X1527" s="25">
        <f>IF(OR(N1527&gt;50,Q1527&lt;=2),"High Risk / Delayed","Normal")</f>
        <v/>
      </c>
      <c r="Y1527" s="25">
        <f>IF(NOT(P1527="Cancelled"),"Fulfilled","Cancelled")</f>
        <v/>
      </c>
      <c r="Z1527" s="25">
        <f>IFERROR(Q1527,0)</f>
        <v/>
      </c>
    </row>
    <row r="1528">
      <c r="A1528" s="17" t="inlineStr">
        <is>
          <t>ORD2527</t>
        </is>
      </c>
      <c r="B1528" s="17" t="inlineStr">
        <is>
          <t>2025-02-16</t>
        </is>
      </c>
      <c r="C1528" s="17" t="inlineStr">
        <is>
          <t>22:44:31</t>
        </is>
      </c>
      <c r="D1528" s="17" t="n">
        <v>1232</v>
      </c>
      <c r="E1528" s="17" t="n">
        <v>114</v>
      </c>
      <c r="F1528" s="17" t="n">
        <v>225</v>
      </c>
      <c r="G1528" s="17" t="inlineStr">
        <is>
          <t>Hyderabad</t>
        </is>
      </c>
      <c r="H1528" s="17" t="inlineStr">
        <is>
          <t>Biryani</t>
        </is>
      </c>
      <c r="I1528" s="22" t="n">
        <v>570</v>
      </c>
      <c r="J1528" s="22" t="n">
        <v>28.11</v>
      </c>
      <c r="K1528" s="22" t="n">
        <v>25.5</v>
      </c>
      <c r="L1528" s="23" t="n">
        <v>0.22</v>
      </c>
      <c r="M1528" s="22" t="n">
        <v>131.78</v>
      </c>
      <c r="N1528" s="24" t="n">
        <v>3.1</v>
      </c>
      <c r="O1528" s="24" t="n">
        <v>36.8</v>
      </c>
      <c r="P1528" s="17" t="inlineStr">
        <is>
          <t>Debit Card</t>
        </is>
      </c>
      <c r="Q1528" s="17" t="inlineStr">
        <is>
          <t>Delivered</t>
        </is>
      </c>
      <c r="R1528" s="17" t="n">
        <v>4</v>
      </c>
      <c r="S1528" s="17">
        <f>TEXT(B1528,"yyyy-mm")</f>
        <v/>
      </c>
      <c r="T1528" s="17">
        <f>VLOOKUP(D1528,Customers!A:D,4,FALSE)</f>
        <v/>
      </c>
      <c r="U1528" s="17">
        <f>CONCATENATE(A1528,"-",G1528)</f>
        <v/>
      </c>
      <c r="V1528" s="17">
        <f>IF(N1528="","",IF(N1528&lt;=30,"Fast (&lt;30m)",IF(N1528&lt;=45,"Moderate (30-45m)","Delayed (&gt;45m)")))</f>
        <v/>
      </c>
      <c r="W1528" s="17">
        <f>IF(AND(I1528&gt;600,P1528="Delivered"),"High Value Delivered","Standard")</f>
        <v/>
      </c>
      <c r="X1528" s="17">
        <f>IF(OR(N1528&gt;50,Q1528&lt;=2),"High Risk / Delayed","Normal")</f>
        <v/>
      </c>
      <c r="Y1528" s="17">
        <f>IF(NOT(P1528="Cancelled"),"Fulfilled","Cancelled")</f>
        <v/>
      </c>
      <c r="Z1528" s="17">
        <f>IFERROR(Q1528,0)</f>
        <v/>
      </c>
    </row>
    <row r="1529">
      <c r="A1529" s="25" t="inlineStr">
        <is>
          <t>ORD2528</t>
        </is>
      </c>
      <c r="B1529" s="25" t="inlineStr">
        <is>
          <t>2025-06-10</t>
        </is>
      </c>
      <c r="C1529" s="25" t="inlineStr">
        <is>
          <t>14:59:57</t>
        </is>
      </c>
      <c r="D1529" s="25" t="n">
        <v>1176</v>
      </c>
      <c r="E1529" s="25" t="n">
        <v>102</v>
      </c>
      <c r="F1529" s="25" t="n">
        <v>216</v>
      </c>
      <c r="G1529" s="25" t="inlineStr">
        <is>
          <t>Hyderabad</t>
        </is>
      </c>
      <c r="H1529" s="25" t="inlineStr">
        <is>
          <t>Biryani</t>
        </is>
      </c>
      <c r="I1529" s="26" t="n">
        <v>551</v>
      </c>
      <c r="J1529" s="26" t="n">
        <v>24.95</v>
      </c>
      <c r="K1529" s="26" t="n">
        <v>27.5</v>
      </c>
      <c r="L1529" s="27" t="n">
        <v>0.22</v>
      </c>
      <c r="M1529" s="26" t="n">
        <v>128.1</v>
      </c>
      <c r="N1529" s="28" t="n">
        <v>3.5</v>
      </c>
      <c r="O1529" s="28" t="n">
        <v>31.2</v>
      </c>
      <c r="P1529" s="25" t="inlineStr">
        <is>
          <t>Debit Card</t>
        </is>
      </c>
      <c r="Q1529" s="25" t="inlineStr">
        <is>
          <t>Delivered</t>
        </is>
      </c>
      <c r="R1529" s="25" t="n">
        <v>4</v>
      </c>
      <c r="S1529" s="25">
        <f>TEXT(B1529,"yyyy-mm")</f>
        <v/>
      </c>
      <c r="T1529" s="25">
        <f>VLOOKUP(D1529,Customers!A:D,4,FALSE)</f>
        <v/>
      </c>
      <c r="U1529" s="25">
        <f>CONCATENATE(A1529,"-",G1529)</f>
        <v/>
      </c>
      <c r="V1529" s="25">
        <f>IF(N1529="","",IF(N1529&lt;=30,"Fast (&lt;30m)",IF(N1529&lt;=45,"Moderate (30-45m)","Delayed (&gt;45m)")))</f>
        <v/>
      </c>
      <c r="W1529" s="25">
        <f>IF(AND(I1529&gt;600,P1529="Delivered"),"High Value Delivered","Standard")</f>
        <v/>
      </c>
      <c r="X1529" s="25">
        <f>IF(OR(N1529&gt;50,Q1529&lt;=2),"High Risk / Delayed","Normal")</f>
        <v/>
      </c>
      <c r="Y1529" s="25">
        <f>IF(NOT(P1529="Cancelled"),"Fulfilled","Cancelled")</f>
        <v/>
      </c>
      <c r="Z1529" s="25">
        <f>IFERROR(Q1529,0)</f>
        <v/>
      </c>
    </row>
    <row r="1530">
      <c r="A1530" s="17" t="inlineStr">
        <is>
          <t>ORD2529</t>
        </is>
      </c>
      <c r="B1530" s="17" t="inlineStr">
        <is>
          <t>2025-09-23</t>
        </is>
      </c>
      <c r="C1530" s="17" t="inlineStr">
        <is>
          <t>21:43:26</t>
        </is>
      </c>
      <c r="D1530" s="17" t="n">
        <v>1194</v>
      </c>
      <c r="E1530" s="17" t="n">
        <v>105</v>
      </c>
      <c r="F1530" s="17" t="n">
        <v>203</v>
      </c>
      <c r="G1530" s="17" t="inlineStr">
        <is>
          <t>Bangalore</t>
        </is>
      </c>
      <c r="H1530" s="17" t="inlineStr">
        <is>
          <t>Chinese</t>
        </is>
      </c>
      <c r="I1530" s="22" t="n">
        <v>505</v>
      </c>
      <c r="J1530" s="22" t="n">
        <v>34.58</v>
      </c>
      <c r="K1530" s="22" t="n">
        <v>33</v>
      </c>
      <c r="L1530" s="23" t="n">
        <v>0.2</v>
      </c>
      <c r="M1530" s="22" t="n">
        <v>109.25</v>
      </c>
      <c r="N1530" s="24" t="n">
        <v>4.6</v>
      </c>
      <c r="O1530" s="24" t="n">
        <v>41</v>
      </c>
      <c r="P1530" s="17" t="inlineStr">
        <is>
          <t>Credit Card</t>
        </is>
      </c>
      <c r="Q1530" s="17" t="inlineStr">
        <is>
          <t>Returned</t>
        </is>
      </c>
      <c r="R1530" s="17" t="n">
        <v>3</v>
      </c>
      <c r="S1530" s="17">
        <f>TEXT(B1530,"yyyy-mm")</f>
        <v/>
      </c>
      <c r="T1530" s="17">
        <f>VLOOKUP(D1530,Customers!A:D,4,FALSE)</f>
        <v/>
      </c>
      <c r="U1530" s="17">
        <f>CONCATENATE(A1530,"-",G1530)</f>
        <v/>
      </c>
      <c r="V1530" s="17">
        <f>IF(N1530="","",IF(N1530&lt;=30,"Fast (&lt;30m)",IF(N1530&lt;=45,"Moderate (30-45m)","Delayed (&gt;45m)")))</f>
        <v/>
      </c>
      <c r="W1530" s="17">
        <f>IF(AND(I1530&gt;600,P1530="Delivered"),"High Value Delivered","Standard")</f>
        <v/>
      </c>
      <c r="X1530" s="17">
        <f>IF(OR(N1530&gt;50,Q1530&lt;=2),"High Risk / Delayed","Normal")</f>
        <v/>
      </c>
      <c r="Y1530" s="17">
        <f>IF(NOT(P1530="Cancelled"),"Fulfilled","Cancelled")</f>
        <v/>
      </c>
      <c r="Z1530" s="17">
        <f>IFERROR(Q1530,0)</f>
        <v/>
      </c>
    </row>
    <row r="1531">
      <c r="A1531" s="25" t="inlineStr">
        <is>
          <t>ORD2530</t>
        </is>
      </c>
      <c r="B1531" s="25" t="inlineStr">
        <is>
          <t>2025-12-18</t>
        </is>
      </c>
      <c r="C1531" s="25" t="inlineStr">
        <is>
          <t>13:43:23</t>
        </is>
      </c>
      <c r="D1531" s="25" t="n">
        <v>1010</v>
      </c>
      <c r="E1531" s="25" t="n">
        <v>114</v>
      </c>
      <c r="F1531" s="25" t="n">
        <v>225</v>
      </c>
      <c r="G1531" s="25" t="inlineStr">
        <is>
          <t>Hyderabad</t>
        </is>
      </c>
      <c r="H1531" s="25" t="inlineStr">
        <is>
          <t>Biryani</t>
        </is>
      </c>
      <c r="I1531" s="26" t="n">
        <v>949</v>
      </c>
      <c r="J1531" s="26" t="n">
        <v>83.51000000000001</v>
      </c>
      <c r="K1531" s="26" t="n">
        <v>25</v>
      </c>
      <c r="L1531" s="27" t="n">
        <v>0.22</v>
      </c>
      <c r="M1531" s="26" t="n">
        <v>215.03</v>
      </c>
      <c r="N1531" s="28" t="n">
        <v>2.4</v>
      </c>
      <c r="O1531" s="28" t="n">
        <v>25.3</v>
      </c>
      <c r="P1531" s="25" t="inlineStr">
        <is>
          <t>Cash on Delivery</t>
        </is>
      </c>
      <c r="Q1531" s="25" t="inlineStr">
        <is>
          <t>Returned</t>
        </is>
      </c>
      <c r="R1531" s="25" t="n">
        <v>5</v>
      </c>
      <c r="S1531" s="25">
        <f>TEXT(B1531,"yyyy-mm")</f>
        <v/>
      </c>
      <c r="T1531" s="25">
        <f>VLOOKUP(D1531,Customers!A:D,4,FALSE)</f>
        <v/>
      </c>
      <c r="U1531" s="25">
        <f>CONCATENATE(A1531,"-",G1531)</f>
        <v/>
      </c>
      <c r="V1531" s="25">
        <f>IF(N1531="","",IF(N1531&lt;=30,"Fast (&lt;30m)",IF(N1531&lt;=45,"Moderate (30-45m)","Delayed (&gt;45m)")))</f>
        <v/>
      </c>
      <c r="W1531" s="25">
        <f>IF(AND(I1531&gt;600,P1531="Delivered"),"High Value Delivered","Standard")</f>
        <v/>
      </c>
      <c r="X1531" s="25">
        <f>IF(OR(N1531&gt;50,Q1531&lt;=2),"High Risk / Delayed","Normal")</f>
        <v/>
      </c>
      <c r="Y1531" s="25">
        <f>IF(NOT(P1531="Cancelled"),"Fulfilled","Cancelled")</f>
        <v/>
      </c>
      <c r="Z1531" s="25">
        <f>IFERROR(Q1531,0)</f>
        <v/>
      </c>
    </row>
    <row r="1532">
      <c r="A1532" s="17" t="inlineStr">
        <is>
          <t>ORD2531</t>
        </is>
      </c>
      <c r="B1532" s="17" t="inlineStr">
        <is>
          <t>2025-11-23</t>
        </is>
      </c>
      <c r="C1532" s="17" t="inlineStr">
        <is>
          <t>18:15:13</t>
        </is>
      </c>
      <c r="D1532" s="17" t="n">
        <v>1246</v>
      </c>
      <c r="E1532" s="17" t="n">
        <v>116</v>
      </c>
      <c r="F1532" s="17" t="n">
        <v>204</v>
      </c>
      <c r="G1532" s="17" t="inlineStr">
        <is>
          <t>Pune</t>
        </is>
      </c>
      <c r="H1532" s="17" t="inlineStr">
        <is>
          <t>Desserts</t>
        </is>
      </c>
      <c r="I1532" s="22" t="n">
        <v>1134</v>
      </c>
      <c r="J1532" s="22" t="n">
        <v>185.23</v>
      </c>
      <c r="K1532" s="22" t="n">
        <v>0</v>
      </c>
      <c r="L1532" s="23" t="n">
        <v>0.25</v>
      </c>
      <c r="M1532" s="22" t="n">
        <v>283.5</v>
      </c>
      <c r="N1532" s="24" t="n">
        <v>3.6</v>
      </c>
      <c r="O1532" s="24" t="n">
        <v>27.4</v>
      </c>
      <c r="P1532" s="17" t="inlineStr">
        <is>
          <t>Cash on Delivery</t>
        </is>
      </c>
      <c r="Q1532" s="17" t="inlineStr">
        <is>
          <t>Delivered</t>
        </is>
      </c>
      <c r="R1532" s="17" t="n">
        <v>4</v>
      </c>
      <c r="S1532" s="17">
        <f>TEXT(B1532,"yyyy-mm")</f>
        <v/>
      </c>
      <c r="T1532" s="17">
        <f>VLOOKUP(D1532,Customers!A:D,4,FALSE)</f>
        <v/>
      </c>
      <c r="U1532" s="17">
        <f>CONCATENATE(A1532,"-",G1532)</f>
        <v/>
      </c>
      <c r="V1532" s="17">
        <f>IF(N1532="","",IF(N1532&lt;=30,"Fast (&lt;30m)",IF(N1532&lt;=45,"Moderate (30-45m)","Delayed (&gt;45m)")))</f>
        <v/>
      </c>
      <c r="W1532" s="17">
        <f>IF(AND(I1532&gt;600,P1532="Delivered"),"High Value Delivered","Standard")</f>
        <v/>
      </c>
      <c r="X1532" s="17">
        <f>IF(OR(N1532&gt;50,Q1532&lt;=2),"High Risk / Delayed","Normal")</f>
        <v/>
      </c>
      <c r="Y1532" s="17">
        <f>IF(NOT(P1532="Cancelled"),"Fulfilled","Cancelled")</f>
        <v/>
      </c>
      <c r="Z1532" s="17">
        <f>IFERROR(Q1532,0)</f>
        <v/>
      </c>
    </row>
    <row r="1533">
      <c r="A1533" s="25" t="inlineStr">
        <is>
          <t>ORD2532</t>
        </is>
      </c>
      <c r="B1533" s="25" t="inlineStr">
        <is>
          <t>2025-09-05</t>
        </is>
      </c>
      <c r="C1533" s="25" t="inlineStr">
        <is>
          <t>11:45:17</t>
        </is>
      </c>
      <c r="D1533" s="25" t="n">
        <v>1001</v>
      </c>
      <c r="E1533" s="25" t="n">
        <v>109</v>
      </c>
      <c r="F1533" s="25" t="n">
        <v>216</v>
      </c>
      <c r="G1533" s="25" t="inlineStr">
        <is>
          <t>Hyderabad</t>
        </is>
      </c>
      <c r="H1533" s="25" t="inlineStr">
        <is>
          <t>Biryani</t>
        </is>
      </c>
      <c r="I1533" s="26" t="n">
        <v>801</v>
      </c>
      <c r="J1533" s="26" t="n">
        <v>0</v>
      </c>
      <c r="K1533" s="26" t="n">
        <v>25</v>
      </c>
      <c r="L1533" s="27" t="n">
        <v>0.2</v>
      </c>
      <c r="M1533" s="26" t="n">
        <v>166.45</v>
      </c>
      <c r="N1533" s="28" t="n">
        <v>2.4</v>
      </c>
      <c r="O1533" s="28" t="n">
        <v>33.9</v>
      </c>
      <c r="P1533" s="25" t="inlineStr">
        <is>
          <t>Debit Card</t>
        </is>
      </c>
      <c r="Q1533" s="25" t="inlineStr">
        <is>
          <t>Delivered</t>
        </is>
      </c>
      <c r="R1533" s="25" t="n">
        <v>4</v>
      </c>
      <c r="S1533" s="25">
        <f>TEXT(B1533,"yyyy-mm")</f>
        <v/>
      </c>
      <c r="T1533" s="25">
        <f>VLOOKUP(D1533,Customers!A:D,4,FALSE)</f>
        <v/>
      </c>
      <c r="U1533" s="25">
        <f>CONCATENATE(A1533,"-",G1533)</f>
        <v/>
      </c>
      <c r="V1533" s="25">
        <f>IF(N1533="","",IF(N1533&lt;=30,"Fast (&lt;30m)",IF(N1533&lt;=45,"Moderate (30-45m)","Delayed (&gt;45m)")))</f>
        <v/>
      </c>
      <c r="W1533" s="25">
        <f>IF(AND(I1533&gt;600,P1533="Delivered"),"High Value Delivered","Standard")</f>
        <v/>
      </c>
      <c r="X1533" s="25">
        <f>IF(OR(N1533&gt;50,Q1533&lt;=2),"High Risk / Delayed","Normal")</f>
        <v/>
      </c>
      <c r="Y1533" s="25">
        <f>IF(NOT(P1533="Cancelled"),"Fulfilled","Cancelled")</f>
        <v/>
      </c>
      <c r="Z1533" s="25">
        <f>IFERROR(Q1533,0)</f>
        <v/>
      </c>
    </row>
    <row r="1534">
      <c r="A1534" s="17" t="inlineStr">
        <is>
          <t>ORD2533</t>
        </is>
      </c>
      <c r="B1534" s="17" t="inlineStr">
        <is>
          <t>2025-07-12</t>
        </is>
      </c>
      <c r="C1534" s="17" t="inlineStr">
        <is>
          <t>21:52:35</t>
        </is>
      </c>
      <c r="D1534" s="17" t="n">
        <v>1244</v>
      </c>
      <c r="E1534" s="17" t="n">
        <v>112</v>
      </c>
      <c r="F1534" s="17" t="n">
        <v>228</v>
      </c>
      <c r="G1534" s="17" t="inlineStr">
        <is>
          <t>Delhi NCR</t>
        </is>
      </c>
      <c r="H1534" s="17" t="inlineStr">
        <is>
          <t>North Indian</t>
        </is>
      </c>
      <c r="I1534" s="22" t="n">
        <v>622</v>
      </c>
      <c r="J1534" s="22" t="n">
        <v>0</v>
      </c>
      <c r="K1534" s="22" t="n">
        <v>49</v>
      </c>
      <c r="L1534" s="23" t="n">
        <v>0.22</v>
      </c>
      <c r="M1534" s="22" t="n">
        <v>149.09</v>
      </c>
      <c r="N1534" s="24" t="n">
        <v>7.8</v>
      </c>
      <c r="O1534" s="24" t="n">
        <v>48.3</v>
      </c>
      <c r="P1534" s="17" t="inlineStr">
        <is>
          <t>Debit Card</t>
        </is>
      </c>
      <c r="Q1534" s="17" t="inlineStr">
        <is>
          <t>Delivered</t>
        </is>
      </c>
      <c r="R1534" s="17" t="n">
        <v>2</v>
      </c>
      <c r="S1534" s="17">
        <f>TEXT(B1534,"yyyy-mm")</f>
        <v/>
      </c>
      <c r="T1534" s="17">
        <f>VLOOKUP(D1534,Customers!A:D,4,FALSE)</f>
        <v/>
      </c>
      <c r="U1534" s="17">
        <f>CONCATENATE(A1534,"-",G1534)</f>
        <v/>
      </c>
      <c r="V1534" s="17">
        <f>IF(N1534="","",IF(N1534&lt;=30,"Fast (&lt;30m)",IF(N1534&lt;=45,"Moderate (30-45m)","Delayed (&gt;45m)")))</f>
        <v/>
      </c>
      <c r="W1534" s="17">
        <f>IF(AND(I1534&gt;600,P1534="Delivered"),"High Value Delivered","Standard")</f>
        <v/>
      </c>
      <c r="X1534" s="17">
        <f>IF(OR(N1534&gt;50,Q1534&lt;=2),"High Risk / Delayed","Normal")</f>
        <v/>
      </c>
      <c r="Y1534" s="17">
        <f>IF(NOT(P1534="Cancelled"),"Fulfilled","Cancelled")</f>
        <v/>
      </c>
      <c r="Z1534" s="17">
        <f>IFERROR(Q1534,0)</f>
        <v/>
      </c>
    </row>
    <row r="1535">
      <c r="A1535" s="25" t="inlineStr">
        <is>
          <t>ORD2534</t>
        </is>
      </c>
      <c r="B1535" s="25" t="inlineStr">
        <is>
          <t>2025-09-19</t>
        </is>
      </c>
      <c r="C1535" s="25" t="inlineStr">
        <is>
          <t>10:36:26</t>
        </is>
      </c>
      <c r="D1535" s="25" t="n">
        <v>1299</v>
      </c>
      <c r="E1535" s="25" t="n">
        <v>109</v>
      </c>
      <c r="F1535" s="25" t="n">
        <v>225</v>
      </c>
      <c r="G1535" s="25" t="inlineStr">
        <is>
          <t>Hyderabad</t>
        </is>
      </c>
      <c r="H1535" s="25" t="inlineStr">
        <is>
          <t>Biryani</t>
        </is>
      </c>
      <c r="I1535" s="26" t="n">
        <v>423</v>
      </c>
      <c r="J1535" s="26" t="n">
        <v>29.02</v>
      </c>
      <c r="K1535" s="26" t="n">
        <v>25</v>
      </c>
      <c r="L1535" s="27" t="n">
        <v>0.2</v>
      </c>
      <c r="M1535" s="26" t="n">
        <v>90.84999999999999</v>
      </c>
      <c r="N1535" s="28" t="n">
        <v>2.5</v>
      </c>
      <c r="O1535" s="28" t="n">
        <v>30.1</v>
      </c>
      <c r="P1535" s="25" t="inlineStr">
        <is>
          <t>Cash on Delivery</t>
        </is>
      </c>
      <c r="Q1535" s="25" t="inlineStr">
        <is>
          <t>Delivered</t>
        </is>
      </c>
      <c r="R1535" s="25" t="n">
        <v>3</v>
      </c>
      <c r="S1535" s="25">
        <f>TEXT(B1535,"yyyy-mm")</f>
        <v/>
      </c>
      <c r="T1535" s="25">
        <f>VLOOKUP(D1535,Customers!A:D,4,FALSE)</f>
        <v/>
      </c>
      <c r="U1535" s="25">
        <f>CONCATENATE(A1535,"-",G1535)</f>
        <v/>
      </c>
      <c r="V1535" s="25">
        <f>IF(N1535="","",IF(N1535&lt;=30,"Fast (&lt;30m)",IF(N1535&lt;=45,"Moderate (30-45m)","Delayed (&gt;45m)")))</f>
        <v/>
      </c>
      <c r="W1535" s="25">
        <f>IF(AND(I1535&gt;600,P1535="Delivered"),"High Value Delivered","Standard")</f>
        <v/>
      </c>
      <c r="X1535" s="25">
        <f>IF(OR(N1535&gt;50,Q1535&lt;=2),"High Risk / Delayed","Normal")</f>
        <v/>
      </c>
      <c r="Y1535" s="25">
        <f>IF(NOT(P1535="Cancelled"),"Fulfilled","Cancelled")</f>
        <v/>
      </c>
      <c r="Z1535" s="25">
        <f>IFERROR(Q1535,0)</f>
        <v/>
      </c>
    </row>
    <row r="1536">
      <c r="A1536" s="17" t="inlineStr">
        <is>
          <t>ORD2535</t>
        </is>
      </c>
      <c r="B1536" s="17" t="inlineStr">
        <is>
          <t>2025-07-18</t>
        </is>
      </c>
      <c r="C1536" s="17" t="inlineStr">
        <is>
          <t>08:20:07</t>
        </is>
      </c>
      <c r="D1536" s="17" t="n">
        <v>1157</v>
      </c>
      <c r="E1536" s="17" t="n">
        <v>109</v>
      </c>
      <c r="F1536" s="17" t="n">
        <v>225</v>
      </c>
      <c r="G1536" s="17" t="inlineStr">
        <is>
          <t>Hyderabad</t>
        </is>
      </c>
      <c r="H1536" s="17" t="inlineStr">
        <is>
          <t>Biryani</t>
        </is>
      </c>
      <c r="I1536" s="22" t="n">
        <v>363</v>
      </c>
      <c r="J1536" s="22" t="n">
        <v>22.75</v>
      </c>
      <c r="K1536" s="22" t="n">
        <v>25</v>
      </c>
      <c r="L1536" s="23" t="n">
        <v>0.2</v>
      </c>
      <c r="M1536" s="22" t="n">
        <v>78.84999999999999</v>
      </c>
      <c r="N1536" s="24" t="n">
        <v>2.2</v>
      </c>
      <c r="O1536" s="24" t="n">
        <v>26.3</v>
      </c>
      <c r="P1536" s="17" t="inlineStr">
        <is>
          <t>UPI</t>
        </is>
      </c>
      <c r="Q1536" s="17" t="inlineStr">
        <is>
          <t>Delivered</t>
        </is>
      </c>
      <c r="R1536" s="17" t="n">
        <v>4</v>
      </c>
      <c r="S1536" s="17">
        <f>TEXT(B1536,"yyyy-mm")</f>
        <v/>
      </c>
      <c r="T1536" s="17">
        <f>VLOOKUP(D1536,Customers!A:D,4,FALSE)</f>
        <v/>
      </c>
      <c r="U1536" s="17">
        <f>CONCATENATE(A1536,"-",G1536)</f>
        <v/>
      </c>
      <c r="V1536" s="17">
        <f>IF(N1536="","",IF(N1536&lt;=30,"Fast (&lt;30m)",IF(N1536&lt;=45,"Moderate (30-45m)","Delayed (&gt;45m)")))</f>
        <v/>
      </c>
      <c r="W1536" s="17">
        <f>IF(AND(I1536&gt;600,P1536="Delivered"),"High Value Delivered","Standard")</f>
        <v/>
      </c>
      <c r="X1536" s="17">
        <f>IF(OR(N1536&gt;50,Q1536&lt;=2),"High Risk / Delayed","Normal")</f>
        <v/>
      </c>
      <c r="Y1536" s="17">
        <f>IF(NOT(P1536="Cancelled"),"Fulfilled","Cancelled")</f>
        <v/>
      </c>
      <c r="Z1536" s="17">
        <f>IFERROR(Q1536,0)</f>
        <v/>
      </c>
    </row>
    <row r="1537">
      <c r="A1537" s="25" t="inlineStr">
        <is>
          <t>ORD2536</t>
        </is>
      </c>
      <c r="B1537" s="25" t="inlineStr">
        <is>
          <t>2025-05-23</t>
        </is>
      </c>
      <c r="C1537" s="25" t="inlineStr">
        <is>
          <t>23:06:35</t>
        </is>
      </c>
      <c r="D1537" s="25" t="n">
        <v>1247</v>
      </c>
      <c r="E1537" s="25" t="n">
        <v>111</v>
      </c>
      <c r="F1537" s="25" t="n">
        <v>227</v>
      </c>
      <c r="G1537" s="25" t="inlineStr">
        <is>
          <t>Bangalore</t>
        </is>
      </c>
      <c r="H1537" s="25" t="inlineStr">
        <is>
          <t>South Indian</t>
        </is>
      </c>
      <c r="I1537" s="26" t="n">
        <v>768</v>
      </c>
      <c r="J1537" s="26" t="n">
        <v>0</v>
      </c>
      <c r="K1537" s="26" t="n">
        <v>31</v>
      </c>
      <c r="L1537" s="27" t="n">
        <v>0.15</v>
      </c>
      <c r="M1537" s="26" t="n">
        <v>122.95</v>
      </c>
      <c r="N1537" s="28" t="n">
        <v>4.2</v>
      </c>
      <c r="O1537" s="28" t="n">
        <v>33.3</v>
      </c>
      <c r="P1537" s="25" t="inlineStr">
        <is>
          <t>Cash on Delivery</t>
        </is>
      </c>
      <c r="Q1537" s="25" t="inlineStr">
        <is>
          <t>Delivered</t>
        </is>
      </c>
      <c r="R1537" s="25" t="n">
        <v>4</v>
      </c>
      <c r="S1537" s="25">
        <f>TEXT(B1537,"yyyy-mm")</f>
        <v/>
      </c>
      <c r="T1537" s="25">
        <f>VLOOKUP(D1537,Customers!A:D,4,FALSE)</f>
        <v/>
      </c>
      <c r="U1537" s="25">
        <f>CONCATENATE(A1537,"-",G1537)</f>
        <v/>
      </c>
      <c r="V1537" s="25">
        <f>IF(N1537="","",IF(N1537&lt;=30,"Fast (&lt;30m)",IF(N1537&lt;=45,"Moderate (30-45m)","Delayed (&gt;45m)")))</f>
        <v/>
      </c>
      <c r="W1537" s="25">
        <f>IF(AND(I1537&gt;600,P1537="Delivered"),"High Value Delivered","Standard")</f>
        <v/>
      </c>
      <c r="X1537" s="25">
        <f>IF(OR(N1537&gt;50,Q1537&lt;=2),"High Risk / Delayed","Normal")</f>
        <v/>
      </c>
      <c r="Y1537" s="25">
        <f>IF(NOT(P1537="Cancelled"),"Fulfilled","Cancelled")</f>
        <v/>
      </c>
      <c r="Z1537" s="25">
        <f>IFERROR(Q1537,0)</f>
        <v/>
      </c>
    </row>
    <row r="1538">
      <c r="A1538" s="17" t="inlineStr">
        <is>
          <t>ORD2537</t>
        </is>
      </c>
      <c r="B1538" s="17" t="inlineStr">
        <is>
          <t>2025-12-05</t>
        </is>
      </c>
      <c r="C1538" s="17" t="inlineStr">
        <is>
          <t>19:36:03</t>
        </is>
      </c>
      <c r="D1538" s="17" t="n">
        <v>1258</v>
      </c>
      <c r="E1538" s="17" t="n">
        <v>107</v>
      </c>
      <c r="F1538" s="17" t="n">
        <v>202</v>
      </c>
      <c r="G1538" s="17" t="inlineStr">
        <is>
          <t>Mumbai</t>
        </is>
      </c>
      <c r="H1538" s="17" t="inlineStr">
        <is>
          <t>Desserts</t>
        </is>
      </c>
      <c r="I1538" s="22" t="n">
        <v>230</v>
      </c>
      <c r="J1538" s="22" t="n">
        <v>13.29</v>
      </c>
      <c r="K1538" s="22" t="n">
        <v>32.5</v>
      </c>
      <c r="L1538" s="23" t="n">
        <v>0.25</v>
      </c>
      <c r="M1538" s="22" t="n">
        <v>65.62</v>
      </c>
      <c r="N1538" s="24" t="n">
        <v>4.5</v>
      </c>
      <c r="O1538" s="24" t="n">
        <v>43.8</v>
      </c>
      <c r="P1538" s="17" t="inlineStr">
        <is>
          <t>Debit Card</t>
        </is>
      </c>
      <c r="Q1538" s="17" t="inlineStr">
        <is>
          <t>Delivered</t>
        </is>
      </c>
      <c r="R1538" s="17" t="n">
        <v>3</v>
      </c>
      <c r="S1538" s="17">
        <f>TEXT(B1538,"yyyy-mm")</f>
        <v/>
      </c>
      <c r="T1538" s="17">
        <f>VLOOKUP(D1538,Customers!A:D,4,FALSE)</f>
        <v/>
      </c>
      <c r="U1538" s="17">
        <f>CONCATENATE(A1538,"-",G1538)</f>
        <v/>
      </c>
      <c r="V1538" s="17">
        <f>IF(N1538="","",IF(N1538&lt;=30,"Fast (&lt;30m)",IF(N1538&lt;=45,"Moderate (30-45m)","Delayed (&gt;45m)")))</f>
        <v/>
      </c>
      <c r="W1538" s="17">
        <f>IF(AND(I1538&gt;600,P1538="Delivered"),"High Value Delivered","Standard")</f>
        <v/>
      </c>
      <c r="X1538" s="17">
        <f>IF(OR(N1538&gt;50,Q1538&lt;=2),"High Risk / Delayed","Normal")</f>
        <v/>
      </c>
      <c r="Y1538" s="17">
        <f>IF(NOT(P1538="Cancelled"),"Fulfilled","Cancelled")</f>
        <v/>
      </c>
      <c r="Z1538" s="17">
        <f>IFERROR(Q1538,0)</f>
        <v/>
      </c>
    </row>
    <row r="1539">
      <c r="A1539" s="25" t="inlineStr">
        <is>
          <t>ORD2538</t>
        </is>
      </c>
      <c r="B1539" s="25" t="inlineStr">
        <is>
          <t>2025-04-29</t>
        </is>
      </c>
      <c r="C1539" s="25" t="inlineStr">
        <is>
          <t>19:14:39</t>
        </is>
      </c>
      <c r="D1539" s="25" t="n">
        <v>1094</v>
      </c>
      <c r="E1539" s="25" t="n">
        <v>112</v>
      </c>
      <c r="F1539" s="25" t="n">
        <v>221</v>
      </c>
      <c r="G1539" s="25" t="inlineStr">
        <is>
          <t>Delhi NCR</t>
        </is>
      </c>
      <c r="H1539" s="25" t="inlineStr">
        <is>
          <t>North Indian</t>
        </is>
      </c>
      <c r="I1539" s="26" t="n">
        <v>838</v>
      </c>
      <c r="J1539" s="26" t="n">
        <v>17.88</v>
      </c>
      <c r="K1539" s="26" t="n">
        <v>42</v>
      </c>
      <c r="L1539" s="27" t="n">
        <v>0.22</v>
      </c>
      <c r="M1539" s="26" t="n">
        <v>194.86</v>
      </c>
      <c r="N1539" s="28" t="n">
        <v>6.4</v>
      </c>
      <c r="O1539" s="28" t="n">
        <v/>
      </c>
      <c r="P1539" s="25" t="inlineStr">
        <is>
          <t>Credit Card</t>
        </is>
      </c>
      <c r="Q1539" s="25" t="inlineStr">
        <is>
          <t>Cancelled</t>
        </is>
      </c>
      <c r="R1539" s="25" t="n">
        <v/>
      </c>
      <c r="S1539" s="25">
        <f>TEXT(B1539,"yyyy-mm")</f>
        <v/>
      </c>
      <c r="T1539" s="25">
        <f>VLOOKUP(D1539,Customers!A:D,4,FALSE)</f>
        <v/>
      </c>
      <c r="U1539" s="25">
        <f>CONCATENATE(A1539,"-",G1539)</f>
        <v/>
      </c>
      <c r="V1539" s="25">
        <f>IF(N1539="","",IF(N1539&lt;=30,"Fast (&lt;30m)",IF(N1539&lt;=45,"Moderate (30-45m)","Delayed (&gt;45m)")))</f>
        <v/>
      </c>
      <c r="W1539" s="25">
        <f>IF(AND(I1539&gt;600,P1539="Delivered"),"High Value Delivered","Standard")</f>
        <v/>
      </c>
      <c r="X1539" s="25">
        <f>IF(OR(N1539&gt;50,Q1539&lt;=2),"High Risk / Delayed","Normal")</f>
        <v/>
      </c>
      <c r="Y1539" s="25">
        <f>IF(NOT(P1539="Cancelled"),"Fulfilled","Cancelled")</f>
        <v/>
      </c>
      <c r="Z1539" s="25">
        <f>IFERROR(Q1539,0)</f>
        <v/>
      </c>
    </row>
    <row r="1540">
      <c r="A1540" s="17" t="inlineStr">
        <is>
          <t>ORD2539</t>
        </is>
      </c>
      <c r="B1540" s="17" t="inlineStr">
        <is>
          <t>2025-10-11</t>
        </is>
      </c>
      <c r="C1540" s="17" t="inlineStr">
        <is>
          <t>21:37:20</t>
        </is>
      </c>
      <c r="D1540" s="17" t="n">
        <v>1194</v>
      </c>
      <c r="E1540" s="17" t="n">
        <v>111</v>
      </c>
      <c r="F1540" s="17" t="n">
        <v>205</v>
      </c>
      <c r="G1540" s="17" t="inlineStr">
        <is>
          <t>Bangalore</t>
        </is>
      </c>
      <c r="H1540" s="17" t="inlineStr">
        <is>
          <t>South Indian</t>
        </is>
      </c>
      <c r="I1540" s="22" t="n">
        <v>445</v>
      </c>
      <c r="J1540" s="22" t="n">
        <v>27.6</v>
      </c>
      <c r="K1540" s="22" t="n">
        <v>28.5</v>
      </c>
      <c r="L1540" s="23" t="n">
        <v>0.15</v>
      </c>
      <c r="M1540" s="22" t="n">
        <v>73.88</v>
      </c>
      <c r="N1540" s="24" t="n">
        <v>3.7</v>
      </c>
      <c r="O1540" s="24" t="n">
        <v>46.2</v>
      </c>
      <c r="P1540" s="17" t="inlineStr">
        <is>
          <t>Cash on Delivery</t>
        </is>
      </c>
      <c r="Q1540" s="17" t="inlineStr">
        <is>
          <t>Delivered</t>
        </is>
      </c>
      <c r="R1540" s="17" t="n">
        <v>2</v>
      </c>
      <c r="S1540" s="17">
        <f>TEXT(B1540,"yyyy-mm")</f>
        <v/>
      </c>
      <c r="T1540" s="17">
        <f>VLOOKUP(D1540,Customers!A:D,4,FALSE)</f>
        <v/>
      </c>
      <c r="U1540" s="17">
        <f>CONCATENATE(A1540,"-",G1540)</f>
        <v/>
      </c>
      <c r="V1540" s="17">
        <f>IF(N1540="","",IF(N1540&lt;=30,"Fast (&lt;30m)",IF(N1540&lt;=45,"Moderate (30-45m)","Delayed (&gt;45m)")))</f>
        <v/>
      </c>
      <c r="W1540" s="17">
        <f>IF(AND(I1540&gt;600,P1540="Delivered"),"High Value Delivered","Standard")</f>
        <v/>
      </c>
      <c r="X1540" s="17">
        <f>IF(OR(N1540&gt;50,Q1540&lt;=2),"High Risk / Delayed","Normal")</f>
        <v/>
      </c>
      <c r="Y1540" s="17">
        <f>IF(NOT(P1540="Cancelled"),"Fulfilled","Cancelled")</f>
        <v/>
      </c>
      <c r="Z1540" s="17">
        <f>IFERROR(Q1540,0)</f>
        <v/>
      </c>
    </row>
    <row r="1541">
      <c r="A1541" s="25" t="inlineStr">
        <is>
          <t>ORD2540</t>
        </is>
      </c>
      <c r="B1541" s="25" t="inlineStr">
        <is>
          <t>2025-03-24</t>
        </is>
      </c>
      <c r="C1541" s="25" t="inlineStr">
        <is>
          <t>14:05:36</t>
        </is>
      </c>
      <c r="D1541" s="25" t="n">
        <v>1260</v>
      </c>
      <c r="E1541" s="25" t="n">
        <v>106</v>
      </c>
      <c r="F1541" s="25" t="n">
        <v>204</v>
      </c>
      <c r="G1541" s="25" t="inlineStr">
        <is>
          <t>Pune</t>
        </is>
      </c>
      <c r="H1541" s="25" t="inlineStr">
        <is>
          <t>South Indian</t>
        </is>
      </c>
      <c r="I1541" s="26" t="n">
        <v>848</v>
      </c>
      <c r="J1541" s="26" t="n">
        <v>18.3</v>
      </c>
      <c r="K1541" s="26" t="n">
        <v>25</v>
      </c>
      <c r="L1541" s="27" t="n">
        <v>0.15</v>
      </c>
      <c r="M1541" s="26" t="n">
        <v>133.45</v>
      </c>
      <c r="N1541" s="28" t="n">
        <v>2.9</v>
      </c>
      <c r="O1541" s="28" t="n">
        <v>31.5</v>
      </c>
      <c r="P1541" s="25" t="inlineStr">
        <is>
          <t>UPI</t>
        </is>
      </c>
      <c r="Q1541" s="25" t="inlineStr">
        <is>
          <t>Delivered</t>
        </is>
      </c>
      <c r="R1541" s="25" t="n">
        <v>5</v>
      </c>
      <c r="S1541" s="25">
        <f>TEXT(B1541,"yyyy-mm")</f>
        <v/>
      </c>
      <c r="T1541" s="25">
        <f>VLOOKUP(D1541,Customers!A:D,4,FALSE)</f>
        <v/>
      </c>
      <c r="U1541" s="25">
        <f>CONCATENATE(A1541,"-",G1541)</f>
        <v/>
      </c>
      <c r="V1541" s="25">
        <f>IF(N1541="","",IF(N1541&lt;=30,"Fast (&lt;30m)",IF(N1541&lt;=45,"Moderate (30-45m)","Delayed (&gt;45m)")))</f>
        <v/>
      </c>
      <c r="W1541" s="25">
        <f>IF(AND(I1541&gt;600,P1541="Delivered"),"High Value Delivered","Standard")</f>
        <v/>
      </c>
      <c r="X1541" s="25">
        <f>IF(OR(N1541&gt;50,Q1541&lt;=2),"High Risk / Delayed","Normal")</f>
        <v/>
      </c>
      <c r="Y1541" s="25">
        <f>IF(NOT(P1541="Cancelled"),"Fulfilled","Cancelled")</f>
        <v/>
      </c>
      <c r="Z1541" s="25">
        <f>IFERROR(Q1541,0)</f>
        <v/>
      </c>
    </row>
    <row r="1542">
      <c r="A1542" s="17" t="inlineStr">
        <is>
          <t>ORD2541</t>
        </is>
      </c>
      <c r="B1542" s="17" t="inlineStr">
        <is>
          <t>2025-04-24</t>
        </is>
      </c>
      <c r="C1542" s="17" t="inlineStr">
        <is>
          <t>21:15:29</t>
        </is>
      </c>
      <c r="D1542" s="17" t="n">
        <v>1025</v>
      </c>
      <c r="E1542" s="17" t="n">
        <v>110</v>
      </c>
      <c r="F1542" s="17" t="n">
        <v>207</v>
      </c>
      <c r="G1542" s="17" t="inlineStr">
        <is>
          <t>Pune</t>
        </is>
      </c>
      <c r="H1542" s="17" t="inlineStr">
        <is>
          <t>North Indian</t>
        </is>
      </c>
      <c r="I1542" s="22" t="n">
        <v>844</v>
      </c>
      <c r="J1542" s="22" t="n">
        <v>0</v>
      </c>
      <c r="K1542" s="22" t="n">
        <v>31.5</v>
      </c>
      <c r="L1542" s="23" t="n">
        <v>0.18</v>
      </c>
      <c r="M1542" s="22" t="n">
        <v>159.79</v>
      </c>
      <c r="N1542" s="24" t="n">
        <v>4.3</v>
      </c>
      <c r="O1542" s="24" t="n">
        <v>32.7</v>
      </c>
      <c r="P1542" s="17" t="inlineStr">
        <is>
          <t>Credit Card</t>
        </is>
      </c>
      <c r="Q1542" s="17" t="inlineStr">
        <is>
          <t>Delivered</t>
        </is>
      </c>
      <c r="R1542" s="17" t="n">
        <v>4</v>
      </c>
      <c r="S1542" s="17">
        <f>TEXT(B1542,"yyyy-mm")</f>
        <v/>
      </c>
      <c r="T1542" s="17">
        <f>VLOOKUP(D1542,Customers!A:D,4,FALSE)</f>
        <v/>
      </c>
      <c r="U1542" s="17">
        <f>CONCATENATE(A1542,"-",G1542)</f>
        <v/>
      </c>
      <c r="V1542" s="17">
        <f>IF(N1542="","",IF(N1542&lt;=30,"Fast (&lt;30m)",IF(N1542&lt;=45,"Moderate (30-45m)","Delayed (&gt;45m)")))</f>
        <v/>
      </c>
      <c r="W1542" s="17">
        <f>IF(AND(I1542&gt;600,P1542="Delivered"),"High Value Delivered","Standard")</f>
        <v/>
      </c>
      <c r="X1542" s="17">
        <f>IF(OR(N1542&gt;50,Q1542&lt;=2),"High Risk / Delayed","Normal")</f>
        <v/>
      </c>
      <c r="Y1542" s="17">
        <f>IF(NOT(P1542="Cancelled"),"Fulfilled","Cancelled")</f>
        <v/>
      </c>
      <c r="Z1542" s="17">
        <f>IFERROR(Q1542,0)</f>
        <v/>
      </c>
    </row>
    <row r="1543">
      <c r="A1543" s="25" t="inlineStr">
        <is>
          <t>ORD2542</t>
        </is>
      </c>
      <c r="B1543" s="25" t="inlineStr">
        <is>
          <t>2025-05-03</t>
        </is>
      </c>
      <c r="C1543" s="25" t="inlineStr">
        <is>
          <t>20:42:19</t>
        </is>
      </c>
      <c r="D1543" s="25" t="n">
        <v>1114</v>
      </c>
      <c r="E1543" s="25" t="n">
        <v>114</v>
      </c>
      <c r="F1543" s="25" t="n">
        <v>216</v>
      </c>
      <c r="G1543" s="25" t="inlineStr">
        <is>
          <t>Hyderabad</t>
        </is>
      </c>
      <c r="H1543" s="25" t="inlineStr">
        <is>
          <t>Biryani</t>
        </is>
      </c>
      <c r="I1543" s="26" t="n">
        <v>665</v>
      </c>
      <c r="J1543" s="26" t="n">
        <v>60.23</v>
      </c>
      <c r="K1543" s="26" t="n">
        <v>34</v>
      </c>
      <c r="L1543" s="27" t="n">
        <v>0.22</v>
      </c>
      <c r="M1543" s="26" t="n">
        <v>154.8</v>
      </c>
      <c r="N1543" s="28" t="n">
        <v>4.8</v>
      </c>
      <c r="O1543" s="28" t="n">
        <v>49.8</v>
      </c>
      <c r="P1543" s="25" t="inlineStr">
        <is>
          <t>Cash on Delivery</t>
        </is>
      </c>
      <c r="Q1543" s="25" t="inlineStr">
        <is>
          <t>Delivered</t>
        </is>
      </c>
      <c r="R1543" s="25" t="n">
        <v>3</v>
      </c>
      <c r="S1543" s="25">
        <f>TEXT(B1543,"yyyy-mm")</f>
        <v/>
      </c>
      <c r="T1543" s="25">
        <f>VLOOKUP(D1543,Customers!A:D,4,FALSE)</f>
        <v/>
      </c>
      <c r="U1543" s="25">
        <f>CONCATENATE(A1543,"-",G1543)</f>
        <v/>
      </c>
      <c r="V1543" s="25">
        <f>IF(N1543="","",IF(N1543&lt;=30,"Fast (&lt;30m)",IF(N1543&lt;=45,"Moderate (30-45m)","Delayed (&gt;45m)")))</f>
        <v/>
      </c>
      <c r="W1543" s="25">
        <f>IF(AND(I1543&gt;600,P1543="Delivered"),"High Value Delivered","Standard")</f>
        <v/>
      </c>
      <c r="X1543" s="25">
        <f>IF(OR(N1543&gt;50,Q1543&lt;=2),"High Risk / Delayed","Normal")</f>
        <v/>
      </c>
      <c r="Y1543" s="25">
        <f>IF(NOT(P1543="Cancelled"),"Fulfilled","Cancelled")</f>
        <v/>
      </c>
      <c r="Z1543" s="25">
        <f>IFERROR(Q1543,0)</f>
        <v/>
      </c>
    </row>
    <row r="1544">
      <c r="A1544" s="17" t="inlineStr">
        <is>
          <t>ORD2543</t>
        </is>
      </c>
      <c r="B1544" s="17" t="inlineStr">
        <is>
          <t>2025-02-21</t>
        </is>
      </c>
      <c r="C1544" s="17" t="inlineStr">
        <is>
          <t>12:54:05</t>
        </is>
      </c>
      <c r="D1544" s="17" t="n">
        <v>1167</v>
      </c>
      <c r="E1544" s="17" t="n">
        <v>108</v>
      </c>
      <c r="F1544" s="17" t="n">
        <v>212</v>
      </c>
      <c r="G1544" s="17" t="inlineStr">
        <is>
          <t>Delhi NCR</t>
        </is>
      </c>
      <c r="H1544" s="17" t="inlineStr">
        <is>
          <t>Fast Food</t>
        </is>
      </c>
      <c r="I1544" s="22" t="n">
        <v>638</v>
      </c>
      <c r="J1544" s="22" t="n">
        <v>22.59</v>
      </c>
      <c r="K1544" s="22" t="n">
        <v>74.5</v>
      </c>
      <c r="L1544" s="23" t="n">
        <v>0.18</v>
      </c>
      <c r="M1544" s="22" t="n">
        <v>133.46</v>
      </c>
      <c r="N1544" s="24" t="n">
        <v>12.9</v>
      </c>
      <c r="O1544" s="24" t="n">
        <v>71.5</v>
      </c>
      <c r="P1544" s="17" t="inlineStr">
        <is>
          <t>Cash on Delivery</t>
        </is>
      </c>
      <c r="Q1544" s="17" t="inlineStr">
        <is>
          <t>Delivered</t>
        </is>
      </c>
      <c r="R1544" s="17" t="n">
        <v>2</v>
      </c>
      <c r="S1544" s="17">
        <f>TEXT(B1544,"yyyy-mm")</f>
        <v/>
      </c>
      <c r="T1544" s="17">
        <f>VLOOKUP(D1544,Customers!A:D,4,FALSE)</f>
        <v/>
      </c>
      <c r="U1544" s="17">
        <f>CONCATENATE(A1544,"-",G1544)</f>
        <v/>
      </c>
      <c r="V1544" s="17">
        <f>IF(N1544="","",IF(N1544&lt;=30,"Fast (&lt;30m)",IF(N1544&lt;=45,"Moderate (30-45m)","Delayed (&gt;45m)")))</f>
        <v/>
      </c>
      <c r="W1544" s="17">
        <f>IF(AND(I1544&gt;600,P1544="Delivered"),"High Value Delivered","Standard")</f>
        <v/>
      </c>
      <c r="X1544" s="17">
        <f>IF(OR(N1544&gt;50,Q1544&lt;=2),"High Risk / Delayed","Normal")</f>
        <v/>
      </c>
      <c r="Y1544" s="17">
        <f>IF(NOT(P1544="Cancelled"),"Fulfilled","Cancelled")</f>
        <v/>
      </c>
      <c r="Z1544" s="17">
        <f>IFERROR(Q1544,0)</f>
        <v/>
      </c>
    </row>
    <row r="1545">
      <c r="A1545" s="25" t="inlineStr">
        <is>
          <t>ORD2544</t>
        </is>
      </c>
      <c r="B1545" s="25" t="inlineStr">
        <is>
          <t>2025-04-16</t>
        </is>
      </c>
      <c r="C1545" s="25" t="inlineStr">
        <is>
          <t>13:56:43</t>
        </is>
      </c>
      <c r="D1545" s="25" t="n">
        <v>1123</v>
      </c>
      <c r="E1545" s="25" t="n">
        <v>111</v>
      </c>
      <c r="F1545" s="25" t="n">
        <v>201</v>
      </c>
      <c r="G1545" s="25" t="inlineStr">
        <is>
          <t>Bangalore</t>
        </is>
      </c>
      <c r="H1545" s="25" t="inlineStr">
        <is>
          <t>South Indian</t>
        </is>
      </c>
      <c r="I1545" s="26" t="n">
        <v>723</v>
      </c>
      <c r="J1545" s="26" t="n">
        <v>0</v>
      </c>
      <c r="K1545" s="26" t="n">
        <v>26.5</v>
      </c>
      <c r="L1545" s="27" t="n">
        <v>0.15</v>
      </c>
      <c r="M1545" s="26" t="n">
        <v>115.08</v>
      </c>
      <c r="N1545" s="28" t="n">
        <v>3.3</v>
      </c>
      <c r="O1545" s="28" t="n">
        <v>33.4</v>
      </c>
      <c r="P1545" s="25" t="inlineStr">
        <is>
          <t>Debit Card</t>
        </is>
      </c>
      <c r="Q1545" s="25" t="inlineStr">
        <is>
          <t>Delivered</t>
        </is>
      </c>
      <c r="R1545" s="25" t="n">
        <v>5</v>
      </c>
      <c r="S1545" s="25">
        <f>TEXT(B1545,"yyyy-mm")</f>
        <v/>
      </c>
      <c r="T1545" s="25">
        <f>VLOOKUP(D1545,Customers!A:D,4,FALSE)</f>
        <v/>
      </c>
      <c r="U1545" s="25">
        <f>CONCATENATE(A1545,"-",G1545)</f>
        <v/>
      </c>
      <c r="V1545" s="25">
        <f>IF(N1545="","",IF(N1545&lt;=30,"Fast (&lt;30m)",IF(N1545&lt;=45,"Moderate (30-45m)","Delayed (&gt;45m)")))</f>
        <v/>
      </c>
      <c r="W1545" s="25">
        <f>IF(AND(I1545&gt;600,P1545="Delivered"),"High Value Delivered","Standard")</f>
        <v/>
      </c>
      <c r="X1545" s="25">
        <f>IF(OR(N1545&gt;50,Q1545&lt;=2),"High Risk / Delayed","Normal")</f>
        <v/>
      </c>
      <c r="Y1545" s="25">
        <f>IF(NOT(P1545="Cancelled"),"Fulfilled","Cancelled")</f>
        <v/>
      </c>
      <c r="Z1545" s="25">
        <f>IFERROR(Q1545,0)</f>
        <v/>
      </c>
    </row>
    <row r="1546">
      <c r="A1546" s="17" t="inlineStr">
        <is>
          <t>ORD2545</t>
        </is>
      </c>
      <c r="B1546" s="17" t="inlineStr">
        <is>
          <t>2025-09-17</t>
        </is>
      </c>
      <c r="C1546" s="17" t="inlineStr">
        <is>
          <t>13:39:24</t>
        </is>
      </c>
      <c r="D1546" s="17" t="n">
        <v>1126</v>
      </c>
      <c r="E1546" s="17" t="n">
        <v>119</v>
      </c>
      <c r="F1546" s="17" t="n">
        <v>225</v>
      </c>
      <c r="G1546" s="17" t="inlineStr">
        <is>
          <t>Hyderabad</t>
        </is>
      </c>
      <c r="H1546" s="17" t="inlineStr">
        <is>
          <t>Biryani</t>
        </is>
      </c>
      <c r="I1546" s="22" t="n">
        <v>672</v>
      </c>
      <c r="J1546" s="22" t="n">
        <v>20.05</v>
      </c>
      <c r="K1546" s="22" t="n">
        <v>28.5</v>
      </c>
      <c r="L1546" s="23" t="n">
        <v>0.2</v>
      </c>
      <c r="M1546" s="22" t="n">
        <v>141.52</v>
      </c>
      <c r="N1546" s="24" t="n">
        <v>3.7</v>
      </c>
      <c r="O1546" s="24" t="n">
        <v>35.4</v>
      </c>
      <c r="P1546" s="17" t="inlineStr">
        <is>
          <t>Digital Wallet</t>
        </is>
      </c>
      <c r="Q1546" s="17" t="inlineStr">
        <is>
          <t>Delivered</t>
        </is>
      </c>
      <c r="R1546" s="17" t="n">
        <v>5</v>
      </c>
      <c r="S1546" s="17">
        <f>TEXT(B1546,"yyyy-mm")</f>
        <v/>
      </c>
      <c r="T1546" s="17">
        <f>VLOOKUP(D1546,Customers!A:D,4,FALSE)</f>
        <v/>
      </c>
      <c r="U1546" s="17">
        <f>CONCATENATE(A1546,"-",G1546)</f>
        <v/>
      </c>
      <c r="V1546" s="17">
        <f>IF(N1546="","",IF(N1546&lt;=30,"Fast (&lt;30m)",IF(N1546&lt;=45,"Moderate (30-45m)","Delayed (&gt;45m)")))</f>
        <v/>
      </c>
      <c r="W1546" s="17">
        <f>IF(AND(I1546&gt;600,P1546="Delivered"),"High Value Delivered","Standard")</f>
        <v/>
      </c>
      <c r="X1546" s="17">
        <f>IF(OR(N1546&gt;50,Q1546&lt;=2),"High Risk / Delayed","Normal")</f>
        <v/>
      </c>
      <c r="Y1546" s="17">
        <f>IF(NOT(P1546="Cancelled"),"Fulfilled","Cancelled")</f>
        <v/>
      </c>
      <c r="Z1546" s="17">
        <f>IFERROR(Q1546,0)</f>
        <v/>
      </c>
    </row>
    <row r="1547">
      <c r="A1547" s="25" t="inlineStr">
        <is>
          <t>ORD2546</t>
        </is>
      </c>
      <c r="B1547" s="25" t="inlineStr">
        <is>
          <t>2025-04-17</t>
        </is>
      </c>
      <c r="C1547" s="25" t="inlineStr">
        <is>
          <t>11:13:20</t>
        </is>
      </c>
      <c r="D1547" s="25" t="n">
        <v>1197</v>
      </c>
      <c r="E1547" s="25" t="n">
        <v>113</v>
      </c>
      <c r="F1547" s="25" t="n">
        <v>206</v>
      </c>
      <c r="G1547" s="25" t="inlineStr">
        <is>
          <t>Mumbai</t>
        </is>
      </c>
      <c r="H1547" s="25" t="inlineStr">
        <is>
          <t>Fast Food</t>
        </is>
      </c>
      <c r="I1547" s="26" t="n">
        <v>581</v>
      </c>
      <c r="J1547" s="26" t="n">
        <v>45.53</v>
      </c>
      <c r="K1547" s="26" t="n">
        <v>32.5</v>
      </c>
      <c r="L1547" s="27" t="n">
        <v>0.18</v>
      </c>
      <c r="M1547" s="26" t="n">
        <v>112.7</v>
      </c>
      <c r="N1547" s="28" t="n">
        <v>4.5</v>
      </c>
      <c r="O1547" s="28" t="n">
        <v>27.6</v>
      </c>
      <c r="P1547" s="25" t="inlineStr">
        <is>
          <t>Debit Card</t>
        </is>
      </c>
      <c r="Q1547" s="25" t="inlineStr">
        <is>
          <t>Delivered</t>
        </is>
      </c>
      <c r="R1547" s="25" t="n">
        <v>4</v>
      </c>
      <c r="S1547" s="25">
        <f>TEXT(B1547,"yyyy-mm")</f>
        <v/>
      </c>
      <c r="T1547" s="25">
        <f>VLOOKUP(D1547,Customers!A:D,4,FALSE)</f>
        <v/>
      </c>
      <c r="U1547" s="25">
        <f>CONCATENATE(A1547,"-",G1547)</f>
        <v/>
      </c>
      <c r="V1547" s="25">
        <f>IF(N1547="","",IF(N1547&lt;=30,"Fast (&lt;30m)",IF(N1547&lt;=45,"Moderate (30-45m)","Delayed (&gt;45m)")))</f>
        <v/>
      </c>
      <c r="W1547" s="25">
        <f>IF(AND(I1547&gt;600,P1547="Delivered"),"High Value Delivered","Standard")</f>
        <v/>
      </c>
      <c r="X1547" s="25">
        <f>IF(OR(N1547&gt;50,Q1547&lt;=2),"High Risk / Delayed","Normal")</f>
        <v/>
      </c>
      <c r="Y1547" s="25">
        <f>IF(NOT(P1547="Cancelled"),"Fulfilled","Cancelled")</f>
        <v/>
      </c>
      <c r="Z1547" s="25">
        <f>IFERROR(Q1547,0)</f>
        <v/>
      </c>
    </row>
    <row r="1548">
      <c r="A1548" s="17" t="inlineStr">
        <is>
          <t>ORD2547</t>
        </is>
      </c>
      <c r="B1548" s="17" t="inlineStr">
        <is>
          <t>2025-11-04</t>
        </is>
      </c>
      <c r="C1548" s="17" t="inlineStr">
        <is>
          <t>19:56:30</t>
        </is>
      </c>
      <c r="D1548" s="17" t="n">
        <v>1118</v>
      </c>
      <c r="E1548" s="17" t="n">
        <v>104</v>
      </c>
      <c r="F1548" s="17" t="n">
        <v>211</v>
      </c>
      <c r="G1548" s="17" t="inlineStr">
        <is>
          <t>Delhi NCR</t>
        </is>
      </c>
      <c r="H1548" s="17" t="inlineStr">
        <is>
          <t>Fast Food</t>
        </is>
      </c>
      <c r="I1548" s="22" t="n">
        <v>244</v>
      </c>
      <c r="J1548" s="22" t="n">
        <v>11</v>
      </c>
      <c r="K1548" s="22" t="n">
        <v>25</v>
      </c>
      <c r="L1548" s="23" t="n">
        <v>0.18</v>
      </c>
      <c r="M1548" s="22" t="n">
        <v>50.17</v>
      </c>
      <c r="N1548" s="24" t="n">
        <v>2.2</v>
      </c>
      <c r="O1548" s="24" t="n">
        <v>29.9</v>
      </c>
      <c r="P1548" s="17" t="inlineStr">
        <is>
          <t>UPI</t>
        </is>
      </c>
      <c r="Q1548" s="17" t="inlineStr">
        <is>
          <t>Delivered</t>
        </is>
      </c>
      <c r="R1548" s="17" t="n">
        <v>4</v>
      </c>
      <c r="S1548" s="17">
        <f>TEXT(B1548,"yyyy-mm")</f>
        <v/>
      </c>
      <c r="T1548" s="17">
        <f>VLOOKUP(D1548,Customers!A:D,4,FALSE)</f>
        <v/>
      </c>
      <c r="U1548" s="17">
        <f>CONCATENATE(A1548,"-",G1548)</f>
        <v/>
      </c>
      <c r="V1548" s="17">
        <f>IF(N1548="","",IF(N1548&lt;=30,"Fast (&lt;30m)",IF(N1548&lt;=45,"Moderate (30-45m)","Delayed (&gt;45m)")))</f>
        <v/>
      </c>
      <c r="W1548" s="17">
        <f>IF(AND(I1548&gt;600,P1548="Delivered"),"High Value Delivered","Standard")</f>
        <v/>
      </c>
      <c r="X1548" s="17">
        <f>IF(OR(N1548&gt;50,Q1548&lt;=2),"High Risk / Delayed","Normal")</f>
        <v/>
      </c>
      <c r="Y1548" s="17">
        <f>IF(NOT(P1548="Cancelled"),"Fulfilled","Cancelled")</f>
        <v/>
      </c>
      <c r="Z1548" s="17">
        <f>IFERROR(Q1548,0)</f>
        <v/>
      </c>
    </row>
    <row r="1549">
      <c r="A1549" s="25" t="inlineStr">
        <is>
          <t>ORD2548</t>
        </is>
      </c>
      <c r="B1549" s="25" t="inlineStr">
        <is>
          <t>2025-10-20</t>
        </is>
      </c>
      <c r="C1549" s="25" t="inlineStr">
        <is>
          <t>19:22:23</t>
        </is>
      </c>
      <c r="D1549" s="25" t="n">
        <v>1222</v>
      </c>
      <c r="E1549" s="25" t="n">
        <v>114</v>
      </c>
      <c r="F1549" s="25" t="n">
        <v>215</v>
      </c>
      <c r="G1549" s="25" t="inlineStr">
        <is>
          <t>Hyderabad</t>
        </is>
      </c>
      <c r="H1549" s="25" t="inlineStr">
        <is>
          <t>Biryani</t>
        </is>
      </c>
      <c r="I1549" s="26" t="n">
        <v>610</v>
      </c>
      <c r="J1549" s="26" t="n">
        <v>0</v>
      </c>
      <c r="K1549" s="26" t="n">
        <v>25</v>
      </c>
      <c r="L1549" s="27" t="n">
        <v>0.22</v>
      </c>
      <c r="M1549" s="26" t="n">
        <v>140.45</v>
      </c>
      <c r="N1549" s="28" t="n">
        <v>2.9</v>
      </c>
      <c r="O1549" s="28" t="n">
        <v>30.1</v>
      </c>
      <c r="P1549" s="25" t="inlineStr">
        <is>
          <t>Cash on Delivery</t>
        </is>
      </c>
      <c r="Q1549" s="25" t="inlineStr">
        <is>
          <t>Delivered</t>
        </is>
      </c>
      <c r="R1549" s="25" t="n">
        <v>1</v>
      </c>
      <c r="S1549" s="25">
        <f>TEXT(B1549,"yyyy-mm")</f>
        <v/>
      </c>
      <c r="T1549" s="25">
        <f>VLOOKUP(D1549,Customers!A:D,4,FALSE)</f>
        <v/>
      </c>
      <c r="U1549" s="25">
        <f>CONCATENATE(A1549,"-",G1549)</f>
        <v/>
      </c>
      <c r="V1549" s="25">
        <f>IF(N1549="","",IF(N1549&lt;=30,"Fast (&lt;30m)",IF(N1549&lt;=45,"Moderate (30-45m)","Delayed (&gt;45m)")))</f>
        <v/>
      </c>
      <c r="W1549" s="25">
        <f>IF(AND(I1549&gt;600,P1549="Delivered"),"High Value Delivered","Standard")</f>
        <v/>
      </c>
      <c r="X1549" s="25">
        <f>IF(OR(N1549&gt;50,Q1549&lt;=2),"High Risk / Delayed","Normal")</f>
        <v/>
      </c>
      <c r="Y1549" s="25">
        <f>IF(NOT(P1549="Cancelled"),"Fulfilled","Cancelled")</f>
        <v/>
      </c>
      <c r="Z1549" s="25">
        <f>IFERROR(Q1549,0)</f>
        <v/>
      </c>
    </row>
    <row r="1550">
      <c r="A1550" s="17" t="inlineStr">
        <is>
          <t>ORD2549</t>
        </is>
      </c>
      <c r="B1550" s="17" t="inlineStr">
        <is>
          <t>2025-05-11</t>
        </is>
      </c>
      <c r="C1550" s="17" t="inlineStr">
        <is>
          <t>12:22:14</t>
        </is>
      </c>
      <c r="D1550" s="17" t="n">
        <v>1184</v>
      </c>
      <c r="E1550" s="17" t="n">
        <v>105</v>
      </c>
      <c r="F1550" s="17" t="n">
        <v>223</v>
      </c>
      <c r="G1550" s="17" t="inlineStr">
        <is>
          <t>Bangalore</t>
        </is>
      </c>
      <c r="H1550" s="17" t="inlineStr">
        <is>
          <t>Chinese</t>
        </is>
      </c>
      <c r="I1550" s="22" t="n">
        <v>688</v>
      </c>
      <c r="J1550" s="22" t="n">
        <v>131.52</v>
      </c>
      <c r="K1550" s="22" t="n">
        <v>0</v>
      </c>
      <c r="L1550" s="23" t="n">
        <v>0.2</v>
      </c>
      <c r="M1550" s="22" t="n">
        <v>137.6</v>
      </c>
      <c r="N1550" s="24" t="n">
        <v>5.3</v>
      </c>
      <c r="O1550" s="24" t="n">
        <v/>
      </c>
      <c r="P1550" s="17" t="inlineStr">
        <is>
          <t>Credit Card</t>
        </is>
      </c>
      <c r="Q1550" s="17" t="inlineStr">
        <is>
          <t>Cancelled</t>
        </is>
      </c>
      <c r="R1550" s="17" t="n">
        <v/>
      </c>
      <c r="S1550" s="17">
        <f>TEXT(B1550,"yyyy-mm")</f>
        <v/>
      </c>
      <c r="T1550" s="17">
        <f>VLOOKUP(D1550,Customers!A:D,4,FALSE)</f>
        <v/>
      </c>
      <c r="U1550" s="17">
        <f>CONCATENATE(A1550,"-",G1550)</f>
        <v/>
      </c>
      <c r="V1550" s="17">
        <f>IF(N1550="","",IF(N1550&lt;=30,"Fast (&lt;30m)",IF(N1550&lt;=45,"Moderate (30-45m)","Delayed (&gt;45m)")))</f>
        <v/>
      </c>
      <c r="W1550" s="17">
        <f>IF(AND(I1550&gt;600,P1550="Delivered"),"High Value Delivered","Standard")</f>
        <v/>
      </c>
      <c r="X1550" s="17">
        <f>IF(OR(N1550&gt;50,Q1550&lt;=2),"High Risk / Delayed","Normal")</f>
        <v/>
      </c>
      <c r="Y1550" s="17">
        <f>IF(NOT(P1550="Cancelled"),"Fulfilled","Cancelled")</f>
        <v/>
      </c>
      <c r="Z1550" s="17">
        <f>IFERROR(Q1550,0)</f>
        <v/>
      </c>
    </row>
    <row r="1551">
      <c r="A1551" s="25" t="inlineStr">
        <is>
          <t>ORD2550</t>
        </is>
      </c>
      <c r="B1551" s="25" t="inlineStr">
        <is>
          <t>2025-10-27</t>
        </is>
      </c>
      <c r="C1551" s="25" t="inlineStr">
        <is>
          <t>21:41:33</t>
        </is>
      </c>
      <c r="D1551" s="25" t="n">
        <v>1240</v>
      </c>
      <c r="E1551" s="25" t="n">
        <v>103</v>
      </c>
      <c r="F1551" s="25" t="n">
        <v>202</v>
      </c>
      <c r="G1551" s="25" t="inlineStr">
        <is>
          <t>Mumbai</t>
        </is>
      </c>
      <c r="H1551" s="25" t="inlineStr">
        <is>
          <t>Italian</t>
        </is>
      </c>
      <c r="I1551" s="26" t="n">
        <v>833</v>
      </c>
      <c r="J1551" s="26" t="n">
        <v>13.04</v>
      </c>
      <c r="K1551" s="26" t="n">
        <v>25</v>
      </c>
      <c r="L1551" s="27" t="n">
        <v>0.18</v>
      </c>
      <c r="M1551" s="26" t="n">
        <v>156.19</v>
      </c>
      <c r="N1551" s="28" t="n">
        <v>2.2</v>
      </c>
      <c r="O1551" s="28" t="n">
        <v>30.5</v>
      </c>
      <c r="P1551" s="25" t="inlineStr">
        <is>
          <t>Cash on Delivery</t>
        </is>
      </c>
      <c r="Q1551" s="25" t="inlineStr">
        <is>
          <t>Delivered</t>
        </is>
      </c>
      <c r="R1551" s="25" t="n">
        <v>2</v>
      </c>
      <c r="S1551" s="25">
        <f>TEXT(B1551,"yyyy-mm")</f>
        <v/>
      </c>
      <c r="T1551" s="25">
        <f>VLOOKUP(D1551,Customers!A:D,4,FALSE)</f>
        <v/>
      </c>
      <c r="U1551" s="25">
        <f>CONCATENATE(A1551,"-",G1551)</f>
        <v/>
      </c>
      <c r="V1551" s="25">
        <f>IF(N1551="","",IF(N1551&lt;=30,"Fast (&lt;30m)",IF(N1551&lt;=45,"Moderate (30-45m)","Delayed (&gt;45m)")))</f>
        <v/>
      </c>
      <c r="W1551" s="25">
        <f>IF(AND(I1551&gt;600,P1551="Delivered"),"High Value Delivered","Standard")</f>
        <v/>
      </c>
      <c r="X1551" s="25">
        <f>IF(OR(N1551&gt;50,Q1551&lt;=2),"High Risk / Delayed","Normal")</f>
        <v/>
      </c>
      <c r="Y1551" s="25">
        <f>IF(NOT(P1551="Cancelled"),"Fulfilled","Cancelled")</f>
        <v/>
      </c>
      <c r="Z1551" s="25">
        <f>IFERROR(Q1551,0)</f>
        <v/>
      </c>
    </row>
    <row r="1552">
      <c r="A1552" s="17" t="inlineStr">
        <is>
          <t>ORD2551</t>
        </is>
      </c>
      <c r="B1552" s="17" t="inlineStr">
        <is>
          <t>2025-02-16</t>
        </is>
      </c>
      <c r="C1552" s="17" t="inlineStr">
        <is>
          <t>18:45:58</t>
        </is>
      </c>
      <c r="D1552" s="17" t="n">
        <v>1227</v>
      </c>
      <c r="E1552" s="17" t="n">
        <v>105</v>
      </c>
      <c r="F1552" s="17" t="n">
        <v>203</v>
      </c>
      <c r="G1552" s="17" t="inlineStr">
        <is>
          <t>Bangalore</t>
        </is>
      </c>
      <c r="H1552" s="17" t="inlineStr">
        <is>
          <t>Chinese</t>
        </is>
      </c>
      <c r="I1552" s="22" t="n">
        <v>505</v>
      </c>
      <c r="J1552" s="22" t="n">
        <v>81.58</v>
      </c>
      <c r="K1552" s="22" t="n">
        <v>0</v>
      </c>
      <c r="L1552" s="23" t="n">
        <v>0.2</v>
      </c>
      <c r="M1552" s="22" t="n">
        <v>101</v>
      </c>
      <c r="N1552" s="24" t="n">
        <v>2.6</v>
      </c>
      <c r="O1552" s="24" t="n">
        <v>24.9</v>
      </c>
      <c r="P1552" s="17" t="inlineStr">
        <is>
          <t>Debit Card</t>
        </is>
      </c>
      <c r="Q1552" s="17" t="inlineStr">
        <is>
          <t>Delivered</t>
        </is>
      </c>
      <c r="R1552" s="17" t="n">
        <v>5</v>
      </c>
      <c r="S1552" s="17">
        <f>TEXT(B1552,"yyyy-mm")</f>
        <v/>
      </c>
      <c r="T1552" s="17">
        <f>VLOOKUP(D1552,Customers!A:D,4,FALSE)</f>
        <v/>
      </c>
      <c r="U1552" s="17">
        <f>CONCATENATE(A1552,"-",G1552)</f>
        <v/>
      </c>
      <c r="V1552" s="17">
        <f>IF(N1552="","",IF(N1552&lt;=30,"Fast (&lt;30m)",IF(N1552&lt;=45,"Moderate (30-45m)","Delayed (&gt;45m)")))</f>
        <v/>
      </c>
      <c r="W1552" s="17">
        <f>IF(AND(I1552&gt;600,P1552="Delivered"),"High Value Delivered","Standard")</f>
        <v/>
      </c>
      <c r="X1552" s="17">
        <f>IF(OR(N1552&gt;50,Q1552&lt;=2),"High Risk / Delayed","Normal")</f>
        <v/>
      </c>
      <c r="Y1552" s="17">
        <f>IF(NOT(P1552="Cancelled"),"Fulfilled","Cancelled")</f>
        <v/>
      </c>
      <c r="Z1552" s="17">
        <f>IFERROR(Q1552,0)</f>
        <v/>
      </c>
    </row>
    <row r="1553">
      <c r="A1553" s="25" t="inlineStr">
        <is>
          <t>ORD2552</t>
        </is>
      </c>
      <c r="B1553" s="25" t="inlineStr">
        <is>
          <t>2025-08-20</t>
        </is>
      </c>
      <c r="C1553" s="25" t="inlineStr">
        <is>
          <t>19:09:18</t>
        </is>
      </c>
      <c r="D1553" s="25" t="n">
        <v>1019</v>
      </c>
      <c r="E1553" s="25" t="n">
        <v>110</v>
      </c>
      <c r="F1553" s="25" t="n">
        <v>204</v>
      </c>
      <c r="G1553" s="25" t="inlineStr">
        <is>
          <t>Pune</t>
        </is>
      </c>
      <c r="H1553" s="25" t="inlineStr">
        <is>
          <t>North Indian</t>
        </is>
      </c>
      <c r="I1553" s="26" t="n">
        <v>365</v>
      </c>
      <c r="J1553" s="26" t="n">
        <v>8.130000000000001</v>
      </c>
      <c r="K1553" s="26" t="n">
        <v>26</v>
      </c>
      <c r="L1553" s="27" t="n">
        <v>0.18</v>
      </c>
      <c r="M1553" s="26" t="n">
        <v>72.2</v>
      </c>
      <c r="N1553" s="28" t="n">
        <v>3.2</v>
      </c>
      <c r="O1553" s="28" t="n">
        <v>35.7</v>
      </c>
      <c r="P1553" s="25" t="inlineStr">
        <is>
          <t>Credit Card</t>
        </is>
      </c>
      <c r="Q1553" s="25" t="inlineStr">
        <is>
          <t>Delivered</t>
        </is>
      </c>
      <c r="R1553" s="25" t="n">
        <v>5</v>
      </c>
      <c r="S1553" s="25">
        <f>TEXT(B1553,"yyyy-mm")</f>
        <v/>
      </c>
      <c r="T1553" s="25">
        <f>VLOOKUP(D1553,Customers!A:D,4,FALSE)</f>
        <v/>
      </c>
      <c r="U1553" s="25">
        <f>CONCATENATE(A1553,"-",G1553)</f>
        <v/>
      </c>
      <c r="V1553" s="25">
        <f>IF(N1553="","",IF(N1553&lt;=30,"Fast (&lt;30m)",IF(N1553&lt;=45,"Moderate (30-45m)","Delayed (&gt;45m)")))</f>
        <v/>
      </c>
      <c r="W1553" s="25">
        <f>IF(AND(I1553&gt;600,P1553="Delivered"),"High Value Delivered","Standard")</f>
        <v/>
      </c>
      <c r="X1553" s="25">
        <f>IF(OR(N1553&gt;50,Q1553&lt;=2),"High Risk / Delayed","Normal")</f>
        <v/>
      </c>
      <c r="Y1553" s="25">
        <f>IF(NOT(P1553="Cancelled"),"Fulfilled","Cancelled")</f>
        <v/>
      </c>
      <c r="Z1553" s="25">
        <f>IFERROR(Q1553,0)</f>
        <v/>
      </c>
    </row>
    <row r="1554">
      <c r="A1554" s="17" t="inlineStr">
        <is>
          <t>ORD2553</t>
        </is>
      </c>
      <c r="B1554" s="17" t="inlineStr">
        <is>
          <t>2025-09-24</t>
        </is>
      </c>
      <c r="C1554" s="17" t="inlineStr">
        <is>
          <t>21:04:14</t>
        </is>
      </c>
      <c r="D1554" s="17" t="n">
        <v>1145</v>
      </c>
      <c r="E1554" s="17" t="n">
        <v>110</v>
      </c>
      <c r="F1554" s="17" t="n">
        <v>208</v>
      </c>
      <c r="G1554" s="17" t="inlineStr">
        <is>
          <t>Pune</t>
        </is>
      </c>
      <c r="H1554" s="17" t="inlineStr">
        <is>
          <t>North Indian</t>
        </is>
      </c>
      <c r="I1554" s="22" t="n">
        <v>314</v>
      </c>
      <c r="J1554" s="22" t="n">
        <v>14.38</v>
      </c>
      <c r="K1554" s="22" t="n">
        <v>37.5</v>
      </c>
      <c r="L1554" s="23" t="n">
        <v>0.18</v>
      </c>
      <c r="M1554" s="22" t="n">
        <v>65.90000000000001</v>
      </c>
      <c r="N1554" s="24" t="n">
        <v>5.5</v>
      </c>
      <c r="O1554" s="24" t="n">
        <v>42.1</v>
      </c>
      <c r="P1554" s="17" t="inlineStr">
        <is>
          <t>Credit Card</t>
        </is>
      </c>
      <c r="Q1554" s="17" t="inlineStr">
        <is>
          <t>Delivered</t>
        </is>
      </c>
      <c r="R1554" s="17" t="n">
        <v>4</v>
      </c>
      <c r="S1554" s="17">
        <f>TEXT(B1554,"yyyy-mm")</f>
        <v/>
      </c>
      <c r="T1554" s="17">
        <f>VLOOKUP(D1554,Customers!A:D,4,FALSE)</f>
        <v/>
      </c>
      <c r="U1554" s="17">
        <f>CONCATENATE(A1554,"-",G1554)</f>
        <v/>
      </c>
      <c r="V1554" s="17">
        <f>IF(N1554="","",IF(N1554&lt;=30,"Fast (&lt;30m)",IF(N1554&lt;=45,"Moderate (30-45m)","Delayed (&gt;45m)")))</f>
        <v/>
      </c>
      <c r="W1554" s="17">
        <f>IF(AND(I1554&gt;600,P1554="Delivered"),"High Value Delivered","Standard")</f>
        <v/>
      </c>
      <c r="X1554" s="17">
        <f>IF(OR(N1554&gt;50,Q1554&lt;=2),"High Risk / Delayed","Normal")</f>
        <v/>
      </c>
      <c r="Y1554" s="17">
        <f>IF(NOT(P1554="Cancelled"),"Fulfilled","Cancelled")</f>
        <v/>
      </c>
      <c r="Z1554" s="17">
        <f>IFERROR(Q1554,0)</f>
        <v/>
      </c>
    </row>
    <row r="1555">
      <c r="A1555" s="25" t="inlineStr">
        <is>
          <t>ORD2554</t>
        </is>
      </c>
      <c r="B1555" s="25" t="inlineStr">
        <is>
          <t>2025-03-27</t>
        </is>
      </c>
      <c r="C1555" s="25" t="inlineStr">
        <is>
          <t>14:15:01</t>
        </is>
      </c>
      <c r="D1555" s="25" t="n">
        <v>1085</v>
      </c>
      <c r="E1555" s="25" t="n">
        <v>102</v>
      </c>
      <c r="F1555" s="25" t="n">
        <v>216</v>
      </c>
      <c r="G1555" s="25" t="inlineStr">
        <is>
          <t>Hyderabad</t>
        </is>
      </c>
      <c r="H1555" s="25" t="inlineStr">
        <is>
          <t>Biryani</t>
        </is>
      </c>
      <c r="I1555" s="26" t="n">
        <v>420</v>
      </c>
      <c r="J1555" s="26" t="n">
        <v>2.59</v>
      </c>
      <c r="K1555" s="26" t="n">
        <v>25</v>
      </c>
      <c r="L1555" s="27" t="n">
        <v>0.22</v>
      </c>
      <c r="M1555" s="26" t="n">
        <v>98.65000000000001</v>
      </c>
      <c r="N1555" s="28" t="n">
        <v>1.7</v>
      </c>
      <c r="O1555" s="28" t="n">
        <v>27.7</v>
      </c>
      <c r="P1555" s="25" t="inlineStr">
        <is>
          <t>Debit Card</t>
        </is>
      </c>
      <c r="Q1555" s="25" t="inlineStr">
        <is>
          <t>Delivered</t>
        </is>
      </c>
      <c r="R1555" s="25" t="n">
        <v>4</v>
      </c>
      <c r="S1555" s="25">
        <f>TEXT(B1555,"yyyy-mm")</f>
        <v/>
      </c>
      <c r="T1555" s="25">
        <f>VLOOKUP(D1555,Customers!A:D,4,FALSE)</f>
        <v/>
      </c>
      <c r="U1555" s="25">
        <f>CONCATENATE(A1555,"-",G1555)</f>
        <v/>
      </c>
      <c r="V1555" s="25">
        <f>IF(N1555="","",IF(N1555&lt;=30,"Fast (&lt;30m)",IF(N1555&lt;=45,"Moderate (30-45m)","Delayed (&gt;45m)")))</f>
        <v/>
      </c>
      <c r="W1555" s="25">
        <f>IF(AND(I1555&gt;600,P1555="Delivered"),"High Value Delivered","Standard")</f>
        <v/>
      </c>
      <c r="X1555" s="25">
        <f>IF(OR(N1555&gt;50,Q1555&lt;=2),"High Risk / Delayed","Normal")</f>
        <v/>
      </c>
      <c r="Y1555" s="25">
        <f>IF(NOT(P1555="Cancelled"),"Fulfilled","Cancelled")</f>
        <v/>
      </c>
      <c r="Z1555" s="25">
        <f>IFERROR(Q1555,0)</f>
        <v/>
      </c>
    </row>
    <row r="1556">
      <c r="A1556" s="17" t="inlineStr">
        <is>
          <t>ORD2555</t>
        </is>
      </c>
      <c r="B1556" s="17" t="inlineStr">
        <is>
          <t>2025-08-25</t>
        </is>
      </c>
      <c r="C1556" s="17" t="inlineStr">
        <is>
          <t>15:35:48</t>
        </is>
      </c>
      <c r="D1556" s="17" t="n">
        <v>1272</v>
      </c>
      <c r="E1556" s="17" t="n">
        <v>118</v>
      </c>
      <c r="F1556" s="17" t="n">
        <v>221</v>
      </c>
      <c r="G1556" s="17" t="inlineStr">
        <is>
          <t>Delhi NCR</t>
        </is>
      </c>
      <c r="H1556" s="17" t="inlineStr">
        <is>
          <t>North Indian</t>
        </is>
      </c>
      <c r="I1556" s="22" t="n">
        <v>597</v>
      </c>
      <c r="J1556" s="22" t="n">
        <v>60.07</v>
      </c>
      <c r="K1556" s="22" t="n">
        <v>43.5</v>
      </c>
      <c r="L1556" s="23" t="n">
        <v>0.2</v>
      </c>
      <c r="M1556" s="22" t="n">
        <v>130.28</v>
      </c>
      <c r="N1556" s="24" t="n">
        <v>6.7</v>
      </c>
      <c r="O1556" s="24" t="n">
        <v>36</v>
      </c>
      <c r="P1556" s="17" t="inlineStr">
        <is>
          <t>Credit Card</t>
        </is>
      </c>
      <c r="Q1556" s="17" t="inlineStr">
        <is>
          <t>Delivered</t>
        </is>
      </c>
      <c r="R1556" s="17" t="n">
        <v>4</v>
      </c>
      <c r="S1556" s="17">
        <f>TEXT(B1556,"yyyy-mm")</f>
        <v/>
      </c>
      <c r="T1556" s="17">
        <f>VLOOKUP(D1556,Customers!A:D,4,FALSE)</f>
        <v/>
      </c>
      <c r="U1556" s="17">
        <f>CONCATENATE(A1556,"-",G1556)</f>
        <v/>
      </c>
      <c r="V1556" s="17">
        <f>IF(N1556="","",IF(N1556&lt;=30,"Fast (&lt;30m)",IF(N1556&lt;=45,"Moderate (30-45m)","Delayed (&gt;45m)")))</f>
        <v/>
      </c>
      <c r="W1556" s="17">
        <f>IF(AND(I1556&gt;600,P1556="Delivered"),"High Value Delivered","Standard")</f>
        <v/>
      </c>
      <c r="X1556" s="17">
        <f>IF(OR(N1556&gt;50,Q1556&lt;=2),"High Risk / Delayed","Normal")</f>
        <v/>
      </c>
      <c r="Y1556" s="17">
        <f>IF(NOT(P1556="Cancelled"),"Fulfilled","Cancelled")</f>
        <v/>
      </c>
      <c r="Z1556" s="17">
        <f>IFERROR(Q1556,0)</f>
        <v/>
      </c>
    </row>
    <row r="1557">
      <c r="A1557" s="25" t="inlineStr">
        <is>
          <t>ORD2556</t>
        </is>
      </c>
      <c r="B1557" s="25" t="inlineStr">
        <is>
          <t>2025-06-16</t>
        </is>
      </c>
      <c r="C1557" s="25" t="inlineStr">
        <is>
          <t>20:54:10</t>
        </is>
      </c>
      <c r="D1557" s="25" t="n">
        <v>1267</v>
      </c>
      <c r="E1557" s="25" t="n">
        <v>101</v>
      </c>
      <c r="F1557" s="25" t="n">
        <v>227</v>
      </c>
      <c r="G1557" s="25" t="inlineStr">
        <is>
          <t>Bangalore</t>
        </is>
      </c>
      <c r="H1557" s="25" t="inlineStr">
        <is>
          <t>North Indian</t>
        </is>
      </c>
      <c r="I1557" s="26" t="n">
        <v>498</v>
      </c>
      <c r="J1557" s="26" t="n">
        <v>42.79</v>
      </c>
      <c r="K1557" s="26" t="n">
        <v>32</v>
      </c>
      <c r="L1557" s="27" t="n">
        <v>0.2</v>
      </c>
      <c r="M1557" s="26" t="n">
        <v>107.6</v>
      </c>
      <c r="N1557" s="28" t="n">
        <v>4.4</v>
      </c>
      <c r="O1557" s="28" t="n">
        <v>31.9</v>
      </c>
      <c r="P1557" s="25" t="inlineStr">
        <is>
          <t>Digital Wallet</t>
        </is>
      </c>
      <c r="Q1557" s="25" t="inlineStr">
        <is>
          <t>Delivered</t>
        </is>
      </c>
      <c r="R1557" s="25" t="n">
        <v>4</v>
      </c>
      <c r="S1557" s="25">
        <f>TEXT(B1557,"yyyy-mm")</f>
        <v/>
      </c>
      <c r="T1557" s="25">
        <f>VLOOKUP(D1557,Customers!A:D,4,FALSE)</f>
        <v/>
      </c>
      <c r="U1557" s="25">
        <f>CONCATENATE(A1557,"-",G1557)</f>
        <v/>
      </c>
      <c r="V1557" s="25">
        <f>IF(N1557="","",IF(N1557&lt;=30,"Fast (&lt;30m)",IF(N1557&lt;=45,"Moderate (30-45m)","Delayed (&gt;45m)")))</f>
        <v/>
      </c>
      <c r="W1557" s="25">
        <f>IF(AND(I1557&gt;600,P1557="Delivered"),"High Value Delivered","Standard")</f>
        <v/>
      </c>
      <c r="X1557" s="25">
        <f>IF(OR(N1557&gt;50,Q1557&lt;=2),"High Risk / Delayed","Normal")</f>
        <v/>
      </c>
      <c r="Y1557" s="25">
        <f>IF(NOT(P1557="Cancelled"),"Fulfilled","Cancelled")</f>
        <v/>
      </c>
      <c r="Z1557" s="25">
        <f>IFERROR(Q1557,0)</f>
        <v/>
      </c>
    </row>
    <row r="1558">
      <c r="A1558" s="17" t="inlineStr">
        <is>
          <t>ORD2557</t>
        </is>
      </c>
      <c r="B1558" s="17" t="inlineStr">
        <is>
          <t>2025-03-11</t>
        </is>
      </c>
      <c r="C1558" s="17" t="inlineStr">
        <is>
          <t>12:10:03</t>
        </is>
      </c>
      <c r="D1558" s="17" t="n">
        <v>1186</v>
      </c>
      <c r="E1558" s="17" t="n">
        <v>109</v>
      </c>
      <c r="F1558" s="17" t="n">
        <v>216</v>
      </c>
      <c r="G1558" s="17" t="inlineStr">
        <is>
          <t>Hyderabad</t>
        </is>
      </c>
      <c r="H1558" s="17" t="inlineStr">
        <is>
          <t>Biryani</t>
        </is>
      </c>
      <c r="I1558" s="22" t="n">
        <v>700</v>
      </c>
      <c r="J1558" s="22" t="n">
        <v>42.64</v>
      </c>
      <c r="K1558" s="22" t="n">
        <v>25</v>
      </c>
      <c r="L1558" s="23" t="n">
        <v>0.2</v>
      </c>
      <c r="M1558" s="22" t="n">
        <v>146.25</v>
      </c>
      <c r="N1558" s="24" t="n">
        <v>2.6</v>
      </c>
      <c r="O1558" s="24" t="n">
        <v>39.6</v>
      </c>
      <c r="P1558" s="17" t="inlineStr">
        <is>
          <t>Digital Wallet</t>
        </is>
      </c>
      <c r="Q1558" s="17" t="inlineStr">
        <is>
          <t>Delivered</t>
        </is>
      </c>
      <c r="R1558" s="17" t="n">
        <v>4</v>
      </c>
      <c r="S1558" s="17">
        <f>TEXT(B1558,"yyyy-mm")</f>
        <v/>
      </c>
      <c r="T1558" s="17">
        <f>VLOOKUP(D1558,Customers!A:D,4,FALSE)</f>
        <v/>
      </c>
      <c r="U1558" s="17">
        <f>CONCATENATE(A1558,"-",G1558)</f>
        <v/>
      </c>
      <c r="V1558" s="17">
        <f>IF(N1558="","",IF(N1558&lt;=30,"Fast (&lt;30m)",IF(N1558&lt;=45,"Moderate (30-45m)","Delayed (&gt;45m)")))</f>
        <v/>
      </c>
      <c r="W1558" s="17">
        <f>IF(AND(I1558&gt;600,P1558="Delivered"),"High Value Delivered","Standard")</f>
        <v/>
      </c>
      <c r="X1558" s="17">
        <f>IF(OR(N1558&gt;50,Q1558&lt;=2),"High Risk / Delayed","Normal")</f>
        <v/>
      </c>
      <c r="Y1558" s="17">
        <f>IF(NOT(P1558="Cancelled"),"Fulfilled","Cancelled")</f>
        <v/>
      </c>
      <c r="Z1558" s="17">
        <f>IFERROR(Q1558,0)</f>
        <v/>
      </c>
    </row>
    <row r="1559">
      <c r="A1559" s="25" t="inlineStr">
        <is>
          <t>ORD2558</t>
        </is>
      </c>
      <c r="B1559" s="25" t="inlineStr">
        <is>
          <t>2025-05-06</t>
        </is>
      </c>
      <c r="C1559" s="25" t="inlineStr">
        <is>
          <t>14:29:11</t>
        </is>
      </c>
      <c r="D1559" s="25" t="n">
        <v>1087</v>
      </c>
      <c r="E1559" s="25" t="n">
        <v>110</v>
      </c>
      <c r="F1559" s="25" t="n">
        <v>204</v>
      </c>
      <c r="G1559" s="25" t="inlineStr">
        <is>
          <t>Pune</t>
        </is>
      </c>
      <c r="H1559" s="25" t="inlineStr">
        <is>
          <t>North Indian</t>
        </is>
      </c>
      <c r="I1559" s="26" t="n">
        <v>947</v>
      </c>
      <c r="J1559" s="26" t="n">
        <v>54.63</v>
      </c>
      <c r="K1559" s="26" t="n">
        <v>25</v>
      </c>
      <c r="L1559" s="27" t="n">
        <v>0.18</v>
      </c>
      <c r="M1559" s="26" t="n">
        <v>176.71</v>
      </c>
      <c r="N1559" s="28" t="n">
        <v>2.3</v>
      </c>
      <c r="O1559" s="28" t="n">
        <v>23.4</v>
      </c>
      <c r="P1559" s="25" t="inlineStr">
        <is>
          <t>Digital Wallet</t>
        </is>
      </c>
      <c r="Q1559" s="25" t="inlineStr">
        <is>
          <t>Delivered</t>
        </is>
      </c>
      <c r="R1559" s="25" t="n">
        <v>4</v>
      </c>
      <c r="S1559" s="25">
        <f>TEXT(B1559,"yyyy-mm")</f>
        <v/>
      </c>
      <c r="T1559" s="25">
        <f>VLOOKUP(D1559,Customers!A:D,4,FALSE)</f>
        <v/>
      </c>
      <c r="U1559" s="25">
        <f>CONCATENATE(A1559,"-",G1559)</f>
        <v/>
      </c>
      <c r="V1559" s="25">
        <f>IF(N1559="","",IF(N1559&lt;=30,"Fast (&lt;30m)",IF(N1559&lt;=45,"Moderate (30-45m)","Delayed (&gt;45m)")))</f>
        <v/>
      </c>
      <c r="W1559" s="25">
        <f>IF(AND(I1559&gt;600,P1559="Delivered"),"High Value Delivered","Standard")</f>
        <v/>
      </c>
      <c r="X1559" s="25">
        <f>IF(OR(N1559&gt;50,Q1559&lt;=2),"High Risk / Delayed","Normal")</f>
        <v/>
      </c>
      <c r="Y1559" s="25">
        <f>IF(NOT(P1559="Cancelled"),"Fulfilled","Cancelled")</f>
        <v/>
      </c>
      <c r="Z1559" s="25">
        <f>IFERROR(Q1559,0)</f>
        <v/>
      </c>
    </row>
    <row r="1560">
      <c r="A1560" s="17" t="inlineStr">
        <is>
          <t>ORD2559</t>
        </is>
      </c>
      <c r="B1560" s="17" t="inlineStr">
        <is>
          <t>2025-07-13</t>
        </is>
      </c>
      <c r="C1560" s="17" t="inlineStr">
        <is>
          <t>16:08:00</t>
        </is>
      </c>
      <c r="D1560" s="17" t="n">
        <v>1254</v>
      </c>
      <c r="E1560" s="17" t="n">
        <v>102</v>
      </c>
      <c r="F1560" s="17" t="n">
        <v>225</v>
      </c>
      <c r="G1560" s="17" t="inlineStr">
        <is>
          <t>Hyderabad</t>
        </is>
      </c>
      <c r="H1560" s="17" t="inlineStr">
        <is>
          <t>Biryani</t>
        </is>
      </c>
      <c r="I1560" s="22" t="n">
        <v>514</v>
      </c>
      <c r="J1560" s="22" t="n">
        <v>0</v>
      </c>
      <c r="K1560" s="22" t="n">
        <v>32.5</v>
      </c>
      <c r="L1560" s="23" t="n">
        <v>0.22</v>
      </c>
      <c r="M1560" s="22" t="n">
        <v>121.2</v>
      </c>
      <c r="N1560" s="24" t="n">
        <v>4.5</v>
      </c>
      <c r="O1560" s="24" t="n">
        <v>40.6</v>
      </c>
      <c r="P1560" s="17" t="inlineStr">
        <is>
          <t>Cash on Delivery</t>
        </is>
      </c>
      <c r="Q1560" s="17" t="inlineStr">
        <is>
          <t>Delivered</t>
        </is>
      </c>
      <c r="R1560" s="17" t="n">
        <v>3</v>
      </c>
      <c r="S1560" s="17">
        <f>TEXT(B1560,"yyyy-mm")</f>
        <v/>
      </c>
      <c r="T1560" s="17">
        <f>VLOOKUP(D1560,Customers!A:D,4,FALSE)</f>
        <v/>
      </c>
      <c r="U1560" s="17">
        <f>CONCATENATE(A1560,"-",G1560)</f>
        <v/>
      </c>
      <c r="V1560" s="17">
        <f>IF(N1560="","",IF(N1560&lt;=30,"Fast (&lt;30m)",IF(N1560&lt;=45,"Moderate (30-45m)","Delayed (&gt;45m)")))</f>
        <v/>
      </c>
      <c r="W1560" s="17">
        <f>IF(AND(I1560&gt;600,P1560="Delivered"),"High Value Delivered","Standard")</f>
        <v/>
      </c>
      <c r="X1560" s="17">
        <f>IF(OR(N1560&gt;50,Q1560&lt;=2),"High Risk / Delayed","Normal")</f>
        <v/>
      </c>
      <c r="Y1560" s="17">
        <f>IF(NOT(P1560="Cancelled"),"Fulfilled","Cancelled")</f>
        <v/>
      </c>
      <c r="Z1560" s="17">
        <f>IFERROR(Q1560,0)</f>
        <v/>
      </c>
    </row>
    <row r="1561">
      <c r="A1561" s="25" t="inlineStr">
        <is>
          <t>ORD2560</t>
        </is>
      </c>
      <c r="B1561" s="25" t="inlineStr">
        <is>
          <t>2025-11-07</t>
        </is>
      </c>
      <c r="C1561" s="25" t="inlineStr">
        <is>
          <t>20:36:45</t>
        </is>
      </c>
      <c r="D1561" s="25" t="n">
        <v>1111</v>
      </c>
      <c r="E1561" s="25" t="n">
        <v>103</v>
      </c>
      <c r="F1561" s="25" t="n">
        <v>229</v>
      </c>
      <c r="G1561" s="25" t="inlineStr">
        <is>
          <t>Mumbai</t>
        </is>
      </c>
      <c r="H1561" s="25" t="inlineStr">
        <is>
          <t>Italian</t>
        </is>
      </c>
      <c r="I1561" s="26" t="n">
        <v>634</v>
      </c>
      <c r="J1561" s="26" t="n">
        <v>26.55</v>
      </c>
      <c r="K1561" s="26" t="n">
        <v>34</v>
      </c>
      <c r="L1561" s="27" t="n">
        <v>0.18</v>
      </c>
      <c r="M1561" s="26" t="n">
        <v>122.62</v>
      </c>
      <c r="N1561" s="28" t="n">
        <v>4.8</v>
      </c>
      <c r="O1561" s="28" t="n">
        <v>35.5</v>
      </c>
      <c r="P1561" s="25" t="inlineStr">
        <is>
          <t>Digital Wallet</t>
        </is>
      </c>
      <c r="Q1561" s="25" t="inlineStr">
        <is>
          <t>Delivered</t>
        </is>
      </c>
      <c r="R1561" s="25" t="n">
        <v>2</v>
      </c>
      <c r="S1561" s="25">
        <f>TEXT(B1561,"yyyy-mm")</f>
        <v/>
      </c>
      <c r="T1561" s="25">
        <f>VLOOKUP(D1561,Customers!A:D,4,FALSE)</f>
        <v/>
      </c>
      <c r="U1561" s="25">
        <f>CONCATENATE(A1561,"-",G1561)</f>
        <v/>
      </c>
      <c r="V1561" s="25">
        <f>IF(N1561="","",IF(N1561&lt;=30,"Fast (&lt;30m)",IF(N1561&lt;=45,"Moderate (30-45m)","Delayed (&gt;45m)")))</f>
        <v/>
      </c>
      <c r="W1561" s="25">
        <f>IF(AND(I1561&gt;600,P1561="Delivered"),"High Value Delivered","Standard")</f>
        <v/>
      </c>
      <c r="X1561" s="25">
        <f>IF(OR(N1561&gt;50,Q1561&lt;=2),"High Risk / Delayed","Normal")</f>
        <v/>
      </c>
      <c r="Y1561" s="25">
        <f>IF(NOT(P1561="Cancelled"),"Fulfilled","Cancelled")</f>
        <v/>
      </c>
      <c r="Z1561" s="25">
        <f>IFERROR(Q1561,0)</f>
        <v/>
      </c>
    </row>
    <row r="1562">
      <c r="A1562" s="17" t="inlineStr">
        <is>
          <t>ORD2561</t>
        </is>
      </c>
      <c r="B1562" s="17" t="inlineStr">
        <is>
          <t>2025-04-16</t>
        </is>
      </c>
      <c r="C1562" s="17" t="inlineStr">
        <is>
          <t>07:04:38</t>
        </is>
      </c>
      <c r="D1562" s="17" t="n">
        <v>1293</v>
      </c>
      <c r="E1562" s="17" t="n">
        <v>119</v>
      </c>
      <c r="F1562" s="17" t="n">
        <v>216</v>
      </c>
      <c r="G1562" s="17" t="inlineStr">
        <is>
          <t>Hyderabad</t>
        </is>
      </c>
      <c r="H1562" s="17" t="inlineStr">
        <is>
          <t>Biryani</t>
        </is>
      </c>
      <c r="I1562" s="22" t="n">
        <v>596</v>
      </c>
      <c r="J1562" s="22" t="n">
        <v>64.93000000000001</v>
      </c>
      <c r="K1562" s="22" t="n">
        <v>30.5</v>
      </c>
      <c r="L1562" s="23" t="n">
        <v>0.2</v>
      </c>
      <c r="M1562" s="22" t="n">
        <v>126.82</v>
      </c>
      <c r="N1562" s="24" t="n">
        <v>4.1</v>
      </c>
      <c r="O1562" s="24" t="n">
        <v>30.3</v>
      </c>
      <c r="P1562" s="17" t="inlineStr">
        <is>
          <t>Cash on Delivery</t>
        </is>
      </c>
      <c r="Q1562" s="17" t="inlineStr">
        <is>
          <t>Delivered</t>
        </is>
      </c>
      <c r="R1562" s="17" t="n">
        <v>4</v>
      </c>
      <c r="S1562" s="17">
        <f>TEXT(B1562,"yyyy-mm")</f>
        <v/>
      </c>
      <c r="T1562" s="17">
        <f>VLOOKUP(D1562,Customers!A:D,4,FALSE)</f>
        <v/>
      </c>
      <c r="U1562" s="17">
        <f>CONCATENATE(A1562,"-",G1562)</f>
        <v/>
      </c>
      <c r="V1562" s="17">
        <f>IF(N1562="","",IF(N1562&lt;=30,"Fast (&lt;30m)",IF(N1562&lt;=45,"Moderate (30-45m)","Delayed (&gt;45m)")))</f>
        <v/>
      </c>
      <c r="W1562" s="17">
        <f>IF(AND(I1562&gt;600,P1562="Delivered"),"High Value Delivered","Standard")</f>
        <v/>
      </c>
      <c r="X1562" s="17">
        <f>IF(OR(N1562&gt;50,Q1562&lt;=2),"High Risk / Delayed","Normal")</f>
        <v/>
      </c>
      <c r="Y1562" s="17">
        <f>IF(NOT(P1562="Cancelled"),"Fulfilled","Cancelled")</f>
        <v/>
      </c>
      <c r="Z1562" s="17">
        <f>IFERROR(Q1562,0)</f>
        <v/>
      </c>
    </row>
    <row r="1563">
      <c r="A1563" s="25" t="inlineStr">
        <is>
          <t>ORD2562</t>
        </is>
      </c>
      <c r="B1563" s="25" t="inlineStr">
        <is>
          <t>2025-07-11</t>
        </is>
      </c>
      <c r="C1563" s="25" t="inlineStr">
        <is>
          <t>19:01:20</t>
        </is>
      </c>
      <c r="D1563" s="25" t="n">
        <v>1164</v>
      </c>
      <c r="E1563" s="25" t="n">
        <v>106</v>
      </c>
      <c r="F1563" s="25" t="n">
        <v>208</v>
      </c>
      <c r="G1563" s="25" t="inlineStr">
        <is>
          <t>Pune</t>
        </is>
      </c>
      <c r="H1563" s="25" t="inlineStr">
        <is>
          <t>South Indian</t>
        </is>
      </c>
      <c r="I1563" s="26" t="n">
        <v>718</v>
      </c>
      <c r="J1563" s="26" t="n">
        <v>0</v>
      </c>
      <c r="K1563" s="26" t="n">
        <v>25.5</v>
      </c>
      <c r="L1563" s="27" t="n">
        <v>0.15</v>
      </c>
      <c r="M1563" s="26" t="n">
        <v>114.08</v>
      </c>
      <c r="N1563" s="28" t="n">
        <v>3.1</v>
      </c>
      <c r="O1563" s="28" t="n">
        <v>24.5</v>
      </c>
      <c r="P1563" s="25" t="inlineStr">
        <is>
          <t>Cash on Delivery</t>
        </is>
      </c>
      <c r="Q1563" s="25" t="inlineStr">
        <is>
          <t>Delivered</t>
        </is>
      </c>
      <c r="R1563" s="25" t="n">
        <v>5</v>
      </c>
      <c r="S1563" s="25">
        <f>TEXT(B1563,"yyyy-mm")</f>
        <v/>
      </c>
      <c r="T1563" s="25">
        <f>VLOOKUP(D1563,Customers!A:D,4,FALSE)</f>
        <v/>
      </c>
      <c r="U1563" s="25">
        <f>CONCATENATE(A1563,"-",G1563)</f>
        <v/>
      </c>
      <c r="V1563" s="25">
        <f>IF(N1563="","",IF(N1563&lt;=30,"Fast (&lt;30m)",IF(N1563&lt;=45,"Moderate (30-45m)","Delayed (&gt;45m)")))</f>
        <v/>
      </c>
      <c r="W1563" s="25">
        <f>IF(AND(I1563&gt;600,P1563="Delivered"),"High Value Delivered","Standard")</f>
        <v/>
      </c>
      <c r="X1563" s="25">
        <f>IF(OR(N1563&gt;50,Q1563&lt;=2),"High Risk / Delayed","Normal")</f>
        <v/>
      </c>
      <c r="Y1563" s="25">
        <f>IF(NOT(P1563="Cancelled"),"Fulfilled","Cancelled")</f>
        <v/>
      </c>
      <c r="Z1563" s="25">
        <f>IFERROR(Q1563,0)</f>
        <v/>
      </c>
    </row>
    <row r="1564">
      <c r="A1564" s="17" t="inlineStr">
        <is>
          <t>ORD2563</t>
        </is>
      </c>
      <c r="B1564" s="17" t="inlineStr">
        <is>
          <t>2025-11-29</t>
        </is>
      </c>
      <c r="C1564" s="17" t="inlineStr">
        <is>
          <t>12:50:19</t>
        </is>
      </c>
      <c r="D1564" s="17" t="n">
        <v>1020</v>
      </c>
      <c r="E1564" s="17" t="n">
        <v>104</v>
      </c>
      <c r="F1564" s="17" t="n">
        <v>221</v>
      </c>
      <c r="G1564" s="17" t="inlineStr">
        <is>
          <t>Delhi NCR</t>
        </is>
      </c>
      <c r="H1564" s="17" t="inlineStr">
        <is>
          <t>Fast Food</t>
        </is>
      </c>
      <c r="I1564" s="22" t="n">
        <v>625</v>
      </c>
      <c r="J1564" s="22" t="n">
        <v>0</v>
      </c>
      <c r="K1564" s="22" t="n">
        <v>40</v>
      </c>
      <c r="L1564" s="23" t="n">
        <v>0.18</v>
      </c>
      <c r="M1564" s="22" t="n">
        <v>122.5</v>
      </c>
      <c r="N1564" s="24" t="n">
        <v>6</v>
      </c>
      <c r="O1564" s="24" t="n">
        <v>35.8</v>
      </c>
      <c r="P1564" s="17" t="inlineStr">
        <is>
          <t>Credit Card</t>
        </is>
      </c>
      <c r="Q1564" s="17" t="inlineStr">
        <is>
          <t>Delivered</t>
        </is>
      </c>
      <c r="R1564" s="17" t="n">
        <v>3</v>
      </c>
      <c r="S1564" s="17">
        <f>TEXT(B1564,"yyyy-mm")</f>
        <v/>
      </c>
      <c r="T1564" s="17">
        <f>VLOOKUP(D1564,Customers!A:D,4,FALSE)</f>
        <v/>
      </c>
      <c r="U1564" s="17">
        <f>CONCATENATE(A1564,"-",G1564)</f>
        <v/>
      </c>
      <c r="V1564" s="17">
        <f>IF(N1564="","",IF(N1564&lt;=30,"Fast (&lt;30m)",IF(N1564&lt;=45,"Moderate (30-45m)","Delayed (&gt;45m)")))</f>
        <v/>
      </c>
      <c r="W1564" s="17">
        <f>IF(AND(I1564&gt;600,P1564="Delivered"),"High Value Delivered","Standard")</f>
        <v/>
      </c>
      <c r="X1564" s="17">
        <f>IF(OR(N1564&gt;50,Q1564&lt;=2),"High Risk / Delayed","Normal")</f>
        <v/>
      </c>
      <c r="Y1564" s="17">
        <f>IF(NOT(P1564="Cancelled"),"Fulfilled","Cancelled")</f>
        <v/>
      </c>
      <c r="Z1564" s="17">
        <f>IFERROR(Q1564,0)</f>
        <v/>
      </c>
    </row>
    <row r="1565">
      <c r="A1565" s="25" t="inlineStr">
        <is>
          <t>ORD2564</t>
        </is>
      </c>
      <c r="B1565" s="25" t="inlineStr">
        <is>
          <t>2025-07-24</t>
        </is>
      </c>
      <c r="C1565" s="25" t="inlineStr">
        <is>
          <t>21:29:45</t>
        </is>
      </c>
      <c r="D1565" s="25" t="n">
        <v>1290</v>
      </c>
      <c r="E1565" s="25" t="n">
        <v>117</v>
      </c>
      <c r="F1565" s="25" t="n">
        <v>206</v>
      </c>
      <c r="G1565" s="25" t="inlineStr">
        <is>
          <t>Mumbai</t>
        </is>
      </c>
      <c r="H1565" s="25" t="inlineStr">
        <is>
          <t>Chinese</t>
        </is>
      </c>
      <c r="I1565" s="26" t="n">
        <v>696</v>
      </c>
      <c r="J1565" s="26" t="n">
        <v>0</v>
      </c>
      <c r="K1565" s="26" t="n">
        <v>26.5</v>
      </c>
      <c r="L1565" s="27" t="n">
        <v>0.2</v>
      </c>
      <c r="M1565" s="26" t="n">
        <v>145.83</v>
      </c>
      <c r="N1565" s="28" t="n">
        <v>3.3</v>
      </c>
      <c r="O1565" s="28" t="n">
        <v>28.4</v>
      </c>
      <c r="P1565" s="25" t="inlineStr">
        <is>
          <t>Credit Card</t>
        </is>
      </c>
      <c r="Q1565" s="25" t="inlineStr">
        <is>
          <t>Delivered</t>
        </is>
      </c>
      <c r="R1565" s="25" t="n">
        <v>2</v>
      </c>
      <c r="S1565" s="25">
        <f>TEXT(B1565,"yyyy-mm")</f>
        <v/>
      </c>
      <c r="T1565" s="25">
        <f>VLOOKUP(D1565,Customers!A:D,4,FALSE)</f>
        <v/>
      </c>
      <c r="U1565" s="25">
        <f>CONCATENATE(A1565,"-",G1565)</f>
        <v/>
      </c>
      <c r="V1565" s="25">
        <f>IF(N1565="","",IF(N1565&lt;=30,"Fast (&lt;30m)",IF(N1565&lt;=45,"Moderate (30-45m)","Delayed (&gt;45m)")))</f>
        <v/>
      </c>
      <c r="W1565" s="25">
        <f>IF(AND(I1565&gt;600,P1565="Delivered"),"High Value Delivered","Standard")</f>
        <v/>
      </c>
      <c r="X1565" s="25">
        <f>IF(OR(N1565&gt;50,Q1565&lt;=2),"High Risk / Delayed","Normal")</f>
        <v/>
      </c>
      <c r="Y1565" s="25">
        <f>IF(NOT(P1565="Cancelled"),"Fulfilled","Cancelled")</f>
        <v/>
      </c>
      <c r="Z1565" s="25">
        <f>IFERROR(Q1565,0)</f>
        <v/>
      </c>
    </row>
    <row r="1566">
      <c r="A1566" s="17" t="inlineStr">
        <is>
          <t>ORD2565</t>
        </is>
      </c>
      <c r="B1566" s="17" t="inlineStr">
        <is>
          <t>2025-03-16</t>
        </is>
      </c>
      <c r="C1566" s="17" t="inlineStr">
        <is>
          <t>23:57:40</t>
        </is>
      </c>
      <c r="D1566" s="17" t="n">
        <v>1299</v>
      </c>
      <c r="E1566" s="17" t="n">
        <v>119</v>
      </c>
      <c r="F1566" s="17" t="n">
        <v>215</v>
      </c>
      <c r="G1566" s="17" t="inlineStr">
        <is>
          <t>Hyderabad</t>
        </is>
      </c>
      <c r="H1566" s="17" t="inlineStr">
        <is>
          <t>Biryani</t>
        </is>
      </c>
      <c r="I1566" s="22" t="n">
        <v>323</v>
      </c>
      <c r="J1566" s="22" t="n">
        <v>22.83</v>
      </c>
      <c r="K1566" s="22" t="n">
        <v>66.5</v>
      </c>
      <c r="L1566" s="23" t="n">
        <v>0.2</v>
      </c>
      <c r="M1566" s="22" t="n">
        <v>81.23</v>
      </c>
      <c r="N1566" s="24" t="n">
        <v>11.3</v>
      </c>
      <c r="O1566" s="24" t="n">
        <v>51.9</v>
      </c>
      <c r="P1566" s="17" t="inlineStr">
        <is>
          <t>Cash on Delivery</t>
        </is>
      </c>
      <c r="Q1566" s="17" t="inlineStr">
        <is>
          <t>Delivered</t>
        </is>
      </c>
      <c r="R1566" s="17" t="n">
        <v>1</v>
      </c>
      <c r="S1566" s="17">
        <f>TEXT(B1566,"yyyy-mm")</f>
        <v/>
      </c>
      <c r="T1566" s="17">
        <f>VLOOKUP(D1566,Customers!A:D,4,FALSE)</f>
        <v/>
      </c>
      <c r="U1566" s="17">
        <f>CONCATENATE(A1566,"-",G1566)</f>
        <v/>
      </c>
      <c r="V1566" s="17">
        <f>IF(N1566="","",IF(N1566&lt;=30,"Fast (&lt;30m)",IF(N1566&lt;=45,"Moderate (30-45m)","Delayed (&gt;45m)")))</f>
        <v/>
      </c>
      <c r="W1566" s="17">
        <f>IF(AND(I1566&gt;600,P1566="Delivered"),"High Value Delivered","Standard")</f>
        <v/>
      </c>
      <c r="X1566" s="17">
        <f>IF(OR(N1566&gt;50,Q1566&lt;=2),"High Risk / Delayed","Normal")</f>
        <v/>
      </c>
      <c r="Y1566" s="17">
        <f>IF(NOT(P1566="Cancelled"),"Fulfilled","Cancelled")</f>
        <v/>
      </c>
      <c r="Z1566" s="17">
        <f>IFERROR(Q1566,0)</f>
        <v/>
      </c>
    </row>
    <row r="1567">
      <c r="A1567" s="25" t="inlineStr">
        <is>
          <t>ORD2566</t>
        </is>
      </c>
      <c r="B1567" s="25" t="inlineStr">
        <is>
          <t>2025-11-03</t>
        </is>
      </c>
      <c r="C1567" s="25" t="inlineStr">
        <is>
          <t>11:18:22</t>
        </is>
      </c>
      <c r="D1567" s="25" t="n">
        <v>1266</v>
      </c>
      <c r="E1567" s="25" t="n">
        <v>107</v>
      </c>
      <c r="F1567" s="25" t="n">
        <v>206</v>
      </c>
      <c r="G1567" s="25" t="inlineStr">
        <is>
          <t>Mumbai</t>
        </is>
      </c>
      <c r="H1567" s="25" t="inlineStr">
        <is>
          <t>Desserts</t>
        </is>
      </c>
      <c r="I1567" s="26" t="n">
        <v>744</v>
      </c>
      <c r="J1567" s="26" t="n">
        <v>65.93000000000001</v>
      </c>
      <c r="K1567" s="26" t="n">
        <v>25</v>
      </c>
      <c r="L1567" s="27" t="n">
        <v>0.25</v>
      </c>
      <c r="M1567" s="26" t="n">
        <v>192.25</v>
      </c>
      <c r="N1567" s="28" t="n">
        <v>2.8</v>
      </c>
      <c r="O1567" s="28" t="n">
        <v>22.4</v>
      </c>
      <c r="P1567" s="25" t="inlineStr">
        <is>
          <t>Cash on Delivery</t>
        </is>
      </c>
      <c r="Q1567" s="25" t="inlineStr">
        <is>
          <t>Delivered</t>
        </is>
      </c>
      <c r="R1567" s="25" t="n">
        <v>2</v>
      </c>
      <c r="S1567" s="25">
        <f>TEXT(B1567,"yyyy-mm")</f>
        <v/>
      </c>
      <c r="T1567" s="25">
        <f>VLOOKUP(D1567,Customers!A:D,4,FALSE)</f>
        <v/>
      </c>
      <c r="U1567" s="25">
        <f>CONCATENATE(A1567,"-",G1567)</f>
        <v/>
      </c>
      <c r="V1567" s="25">
        <f>IF(N1567="","",IF(N1567&lt;=30,"Fast (&lt;30m)",IF(N1567&lt;=45,"Moderate (30-45m)","Delayed (&gt;45m)")))</f>
        <v/>
      </c>
      <c r="W1567" s="25">
        <f>IF(AND(I1567&gt;600,P1567="Delivered"),"High Value Delivered","Standard")</f>
        <v/>
      </c>
      <c r="X1567" s="25">
        <f>IF(OR(N1567&gt;50,Q1567&lt;=2),"High Risk / Delayed","Normal")</f>
        <v/>
      </c>
      <c r="Y1567" s="25">
        <f>IF(NOT(P1567="Cancelled"),"Fulfilled","Cancelled")</f>
        <v/>
      </c>
      <c r="Z1567" s="25">
        <f>IFERROR(Q1567,0)</f>
        <v/>
      </c>
    </row>
    <row r="1568">
      <c r="A1568" s="17" t="inlineStr">
        <is>
          <t>ORD2567</t>
        </is>
      </c>
      <c r="B1568" s="17" t="inlineStr">
        <is>
          <t>2025-06-19</t>
        </is>
      </c>
      <c r="C1568" s="17" t="inlineStr">
        <is>
          <t>09:12:19</t>
        </is>
      </c>
      <c r="D1568" s="17" t="n">
        <v>1108</v>
      </c>
      <c r="E1568" s="17" t="n">
        <v>116</v>
      </c>
      <c r="F1568" s="17" t="n">
        <v>226</v>
      </c>
      <c r="G1568" s="17" t="inlineStr">
        <is>
          <t>Pune</t>
        </is>
      </c>
      <c r="H1568" s="17" t="inlineStr">
        <is>
          <t>Desserts</t>
        </is>
      </c>
      <c r="I1568" s="22" t="n">
        <v>738</v>
      </c>
      <c r="J1568" s="22" t="n">
        <v>45.47</v>
      </c>
      <c r="K1568" s="22" t="n">
        <v>25</v>
      </c>
      <c r="L1568" s="23" t="n">
        <v>0.25</v>
      </c>
      <c r="M1568" s="22" t="n">
        <v>190.75</v>
      </c>
      <c r="N1568" s="24" t="n">
        <v>2.6</v>
      </c>
      <c r="O1568" s="24" t="n">
        <v>34.5</v>
      </c>
      <c r="P1568" s="17" t="inlineStr">
        <is>
          <t>Credit Card</t>
        </is>
      </c>
      <c r="Q1568" s="17" t="inlineStr">
        <is>
          <t>Delivered</t>
        </is>
      </c>
      <c r="R1568" s="17" t="n">
        <v>4</v>
      </c>
      <c r="S1568" s="17">
        <f>TEXT(B1568,"yyyy-mm")</f>
        <v/>
      </c>
      <c r="T1568" s="17">
        <f>VLOOKUP(D1568,Customers!A:D,4,FALSE)</f>
        <v/>
      </c>
      <c r="U1568" s="17">
        <f>CONCATENATE(A1568,"-",G1568)</f>
        <v/>
      </c>
      <c r="V1568" s="17">
        <f>IF(N1568="","",IF(N1568&lt;=30,"Fast (&lt;30m)",IF(N1568&lt;=45,"Moderate (30-45m)","Delayed (&gt;45m)")))</f>
        <v/>
      </c>
      <c r="W1568" s="17">
        <f>IF(AND(I1568&gt;600,P1568="Delivered"),"High Value Delivered","Standard")</f>
        <v/>
      </c>
      <c r="X1568" s="17">
        <f>IF(OR(N1568&gt;50,Q1568&lt;=2),"High Risk / Delayed","Normal")</f>
        <v/>
      </c>
      <c r="Y1568" s="17">
        <f>IF(NOT(P1568="Cancelled"),"Fulfilled","Cancelled")</f>
        <v/>
      </c>
      <c r="Z1568" s="17">
        <f>IFERROR(Q1568,0)</f>
        <v/>
      </c>
    </row>
    <row r="1569">
      <c r="A1569" s="25" t="inlineStr">
        <is>
          <t>ORD2568</t>
        </is>
      </c>
      <c r="B1569" s="25" t="inlineStr">
        <is>
          <t>2025-09-18</t>
        </is>
      </c>
      <c r="C1569" s="25" t="inlineStr">
        <is>
          <t>13:13:40</t>
        </is>
      </c>
      <c r="D1569" s="25" t="n">
        <v>1248</v>
      </c>
      <c r="E1569" s="25" t="n">
        <v>118</v>
      </c>
      <c r="F1569" s="25" t="n">
        <v>228</v>
      </c>
      <c r="G1569" s="25" t="inlineStr">
        <is>
          <t>Delhi NCR</t>
        </is>
      </c>
      <c r="H1569" s="25" t="inlineStr">
        <is>
          <t>North Indian</t>
        </is>
      </c>
      <c r="I1569" s="26" t="n">
        <v>948</v>
      </c>
      <c r="J1569" s="26" t="n">
        <v>97.09</v>
      </c>
      <c r="K1569" s="26" t="n">
        <v>0</v>
      </c>
      <c r="L1569" s="27" t="n">
        <v>0.2</v>
      </c>
      <c r="M1569" s="26" t="n">
        <v>189.6</v>
      </c>
      <c r="N1569" s="28" t="n">
        <v>8.800000000000001</v>
      </c>
      <c r="O1569" s="28" t="n">
        <v>58.1</v>
      </c>
      <c r="P1569" s="25" t="inlineStr">
        <is>
          <t>Digital Wallet</t>
        </is>
      </c>
      <c r="Q1569" s="25" t="inlineStr">
        <is>
          <t>Delivered</t>
        </is>
      </c>
      <c r="R1569" s="25" t="n">
        <v>2</v>
      </c>
      <c r="S1569" s="25">
        <f>TEXT(B1569,"yyyy-mm")</f>
        <v/>
      </c>
      <c r="T1569" s="25">
        <f>VLOOKUP(D1569,Customers!A:D,4,FALSE)</f>
        <v/>
      </c>
      <c r="U1569" s="25">
        <f>CONCATENATE(A1569,"-",G1569)</f>
        <v/>
      </c>
      <c r="V1569" s="25">
        <f>IF(N1569="","",IF(N1569&lt;=30,"Fast (&lt;30m)",IF(N1569&lt;=45,"Moderate (30-45m)","Delayed (&gt;45m)")))</f>
        <v/>
      </c>
      <c r="W1569" s="25">
        <f>IF(AND(I1569&gt;600,P1569="Delivered"),"High Value Delivered","Standard")</f>
        <v/>
      </c>
      <c r="X1569" s="25">
        <f>IF(OR(N1569&gt;50,Q1569&lt;=2),"High Risk / Delayed","Normal")</f>
        <v/>
      </c>
      <c r="Y1569" s="25">
        <f>IF(NOT(P1569="Cancelled"),"Fulfilled","Cancelled")</f>
        <v/>
      </c>
      <c r="Z1569" s="25">
        <f>IFERROR(Q1569,0)</f>
        <v/>
      </c>
    </row>
    <row r="1570">
      <c r="A1570" s="17" t="inlineStr">
        <is>
          <t>ORD2569</t>
        </is>
      </c>
      <c r="B1570" s="17" t="inlineStr">
        <is>
          <t>2025-05-26</t>
        </is>
      </c>
      <c r="C1570" s="17" t="inlineStr">
        <is>
          <t>17:23:03</t>
        </is>
      </c>
      <c r="D1570" s="17" t="n">
        <v>1155</v>
      </c>
      <c r="E1570" s="17" t="n">
        <v>106</v>
      </c>
      <c r="F1570" s="17" t="n">
        <v>208</v>
      </c>
      <c r="G1570" s="17" t="inlineStr">
        <is>
          <t>Pune</t>
        </is>
      </c>
      <c r="H1570" s="17" t="inlineStr">
        <is>
          <t>South Indian</t>
        </is>
      </c>
      <c r="I1570" s="22" t="n">
        <v>998</v>
      </c>
      <c r="J1570" s="22" t="n">
        <v>112.11</v>
      </c>
      <c r="K1570" s="22" t="n">
        <v>0</v>
      </c>
      <c r="L1570" s="23" t="n">
        <v>0.15</v>
      </c>
      <c r="M1570" s="22" t="n">
        <v>149.7</v>
      </c>
      <c r="N1570" s="24" t="n">
        <v>3</v>
      </c>
      <c r="O1570" s="24" t="n">
        <v>25</v>
      </c>
      <c r="P1570" s="17" t="inlineStr">
        <is>
          <t>Cash on Delivery</t>
        </is>
      </c>
      <c r="Q1570" s="17" t="inlineStr">
        <is>
          <t>Delivered</t>
        </is>
      </c>
      <c r="R1570" s="17" t="n">
        <v>5</v>
      </c>
      <c r="S1570" s="17">
        <f>TEXT(B1570,"yyyy-mm")</f>
        <v/>
      </c>
      <c r="T1570" s="17">
        <f>VLOOKUP(D1570,Customers!A:D,4,FALSE)</f>
        <v/>
      </c>
      <c r="U1570" s="17">
        <f>CONCATENATE(A1570,"-",G1570)</f>
        <v/>
      </c>
      <c r="V1570" s="17">
        <f>IF(N1570="","",IF(N1570&lt;=30,"Fast (&lt;30m)",IF(N1570&lt;=45,"Moderate (30-45m)","Delayed (&gt;45m)")))</f>
        <v/>
      </c>
      <c r="W1570" s="17">
        <f>IF(AND(I1570&gt;600,P1570="Delivered"),"High Value Delivered","Standard")</f>
        <v/>
      </c>
      <c r="X1570" s="17">
        <f>IF(OR(N1570&gt;50,Q1570&lt;=2),"High Risk / Delayed","Normal")</f>
        <v/>
      </c>
      <c r="Y1570" s="17">
        <f>IF(NOT(P1570="Cancelled"),"Fulfilled","Cancelled")</f>
        <v/>
      </c>
      <c r="Z1570" s="17">
        <f>IFERROR(Q1570,0)</f>
        <v/>
      </c>
    </row>
    <row r="1571">
      <c r="A1571" s="25" t="inlineStr">
        <is>
          <t>ORD2570</t>
        </is>
      </c>
      <c r="B1571" s="25" t="inlineStr">
        <is>
          <t>2025-03-20</t>
        </is>
      </c>
      <c r="C1571" s="25" t="inlineStr">
        <is>
          <t>09:59:52</t>
        </is>
      </c>
      <c r="D1571" s="25" t="n">
        <v>1034</v>
      </c>
      <c r="E1571" s="25" t="n">
        <v>103</v>
      </c>
      <c r="F1571" s="25" t="n">
        <v>206</v>
      </c>
      <c r="G1571" s="25" t="inlineStr">
        <is>
          <t>Mumbai</t>
        </is>
      </c>
      <c r="H1571" s="25" t="inlineStr">
        <is>
          <t>Italian</t>
        </is>
      </c>
      <c r="I1571" s="26" t="n">
        <v>790</v>
      </c>
      <c r="J1571" s="26" t="n">
        <v>131.19</v>
      </c>
      <c r="K1571" s="26" t="n">
        <v>0</v>
      </c>
      <c r="L1571" s="27" t="n">
        <v>0.18</v>
      </c>
      <c r="M1571" s="26" t="n">
        <v>142.2</v>
      </c>
      <c r="N1571" s="28" t="n">
        <v>5.8</v>
      </c>
      <c r="O1571" s="28" t="n">
        <v>38.2</v>
      </c>
      <c r="P1571" s="25" t="inlineStr">
        <is>
          <t>Debit Card</t>
        </is>
      </c>
      <c r="Q1571" s="25" t="inlineStr">
        <is>
          <t>Delivered</t>
        </is>
      </c>
      <c r="R1571" s="25" t="n">
        <v>5</v>
      </c>
      <c r="S1571" s="25">
        <f>TEXT(B1571,"yyyy-mm")</f>
        <v/>
      </c>
      <c r="T1571" s="25">
        <f>VLOOKUP(D1571,Customers!A:D,4,FALSE)</f>
        <v/>
      </c>
      <c r="U1571" s="25">
        <f>CONCATENATE(A1571,"-",G1571)</f>
        <v/>
      </c>
      <c r="V1571" s="25">
        <f>IF(N1571="","",IF(N1571&lt;=30,"Fast (&lt;30m)",IF(N1571&lt;=45,"Moderate (30-45m)","Delayed (&gt;45m)")))</f>
        <v/>
      </c>
      <c r="W1571" s="25">
        <f>IF(AND(I1571&gt;600,P1571="Delivered"),"High Value Delivered","Standard")</f>
        <v/>
      </c>
      <c r="X1571" s="25">
        <f>IF(OR(N1571&gt;50,Q1571&lt;=2),"High Risk / Delayed","Normal")</f>
        <v/>
      </c>
      <c r="Y1571" s="25">
        <f>IF(NOT(P1571="Cancelled"),"Fulfilled","Cancelled")</f>
        <v/>
      </c>
      <c r="Z1571" s="25">
        <f>IFERROR(Q1571,0)</f>
        <v/>
      </c>
    </row>
    <row r="1572">
      <c r="A1572" s="17" t="inlineStr">
        <is>
          <t>ORD2571</t>
        </is>
      </c>
      <c r="B1572" s="17" t="inlineStr">
        <is>
          <t>2025-04-11</t>
        </is>
      </c>
      <c r="C1572" s="17" t="inlineStr">
        <is>
          <t>17:05:39</t>
        </is>
      </c>
      <c r="D1572" s="17" t="n">
        <v>1121</v>
      </c>
      <c r="E1572" s="17" t="n">
        <v>115</v>
      </c>
      <c r="F1572" s="17" t="n">
        <v>223</v>
      </c>
      <c r="G1572" s="17" t="inlineStr">
        <is>
          <t>Bangalore</t>
        </is>
      </c>
      <c r="H1572" s="17" t="inlineStr">
        <is>
          <t>Italian</t>
        </is>
      </c>
      <c r="I1572" s="22" t="n">
        <v>613</v>
      </c>
      <c r="J1572" s="22" t="n">
        <v>42.48</v>
      </c>
      <c r="K1572" s="22" t="n">
        <v>33.5</v>
      </c>
      <c r="L1572" s="23" t="n">
        <v>0.2</v>
      </c>
      <c r="M1572" s="22" t="n">
        <v>130.98</v>
      </c>
      <c r="N1572" s="24" t="n">
        <v>4.7</v>
      </c>
      <c r="O1572" s="24" t="n">
        <v>31.8</v>
      </c>
      <c r="P1572" s="17" t="inlineStr">
        <is>
          <t>UPI</t>
        </is>
      </c>
      <c r="Q1572" s="17" t="inlineStr">
        <is>
          <t>Delivered</t>
        </is>
      </c>
      <c r="R1572" s="17" t="n">
        <v>4</v>
      </c>
      <c r="S1572" s="17">
        <f>TEXT(B1572,"yyyy-mm")</f>
        <v/>
      </c>
      <c r="T1572" s="17">
        <f>VLOOKUP(D1572,Customers!A:D,4,FALSE)</f>
        <v/>
      </c>
      <c r="U1572" s="17">
        <f>CONCATENATE(A1572,"-",G1572)</f>
        <v/>
      </c>
      <c r="V1572" s="17">
        <f>IF(N1572="","",IF(N1572&lt;=30,"Fast (&lt;30m)",IF(N1572&lt;=45,"Moderate (30-45m)","Delayed (&gt;45m)")))</f>
        <v/>
      </c>
      <c r="W1572" s="17">
        <f>IF(AND(I1572&gt;600,P1572="Delivered"),"High Value Delivered","Standard")</f>
        <v/>
      </c>
      <c r="X1572" s="17">
        <f>IF(OR(N1572&gt;50,Q1572&lt;=2),"High Risk / Delayed","Normal")</f>
        <v/>
      </c>
      <c r="Y1572" s="17">
        <f>IF(NOT(P1572="Cancelled"),"Fulfilled","Cancelled")</f>
        <v/>
      </c>
      <c r="Z1572" s="17">
        <f>IFERROR(Q1572,0)</f>
        <v/>
      </c>
    </row>
    <row r="1573">
      <c r="A1573" s="25" t="inlineStr">
        <is>
          <t>ORD2572</t>
        </is>
      </c>
      <c r="B1573" s="25" t="inlineStr">
        <is>
          <t>2025-04-10</t>
        </is>
      </c>
      <c r="C1573" s="25" t="inlineStr">
        <is>
          <t>12:26:36</t>
        </is>
      </c>
      <c r="D1573" s="25" t="n">
        <v>1012</v>
      </c>
      <c r="E1573" s="25" t="n">
        <v>106</v>
      </c>
      <c r="F1573" s="25" t="n">
        <v>209</v>
      </c>
      <c r="G1573" s="25" t="inlineStr">
        <is>
          <t>Pune</t>
        </is>
      </c>
      <c r="H1573" s="25" t="inlineStr">
        <is>
          <t>South Indian</t>
        </is>
      </c>
      <c r="I1573" s="26" t="n">
        <v>624</v>
      </c>
      <c r="J1573" s="26" t="n">
        <v>112.29</v>
      </c>
      <c r="K1573" s="26" t="n">
        <v>0</v>
      </c>
      <c r="L1573" s="27" t="n">
        <v>0.15</v>
      </c>
      <c r="M1573" s="26" t="n">
        <v>93.59999999999999</v>
      </c>
      <c r="N1573" s="28" t="n">
        <v>1.8</v>
      </c>
      <c r="O1573" s="28" t="n">
        <v>34.2</v>
      </c>
      <c r="P1573" s="25" t="inlineStr">
        <is>
          <t>Cash on Delivery</t>
        </is>
      </c>
      <c r="Q1573" s="25" t="inlineStr">
        <is>
          <t>Delivered</t>
        </is>
      </c>
      <c r="R1573" s="25" t="n">
        <v>3</v>
      </c>
      <c r="S1573" s="25">
        <f>TEXT(B1573,"yyyy-mm")</f>
        <v/>
      </c>
      <c r="T1573" s="25">
        <f>VLOOKUP(D1573,Customers!A:D,4,FALSE)</f>
        <v/>
      </c>
      <c r="U1573" s="25">
        <f>CONCATENATE(A1573,"-",G1573)</f>
        <v/>
      </c>
      <c r="V1573" s="25">
        <f>IF(N1573="","",IF(N1573&lt;=30,"Fast (&lt;30m)",IF(N1573&lt;=45,"Moderate (30-45m)","Delayed (&gt;45m)")))</f>
        <v/>
      </c>
      <c r="W1573" s="25">
        <f>IF(AND(I1573&gt;600,P1573="Delivered"),"High Value Delivered","Standard")</f>
        <v/>
      </c>
      <c r="X1573" s="25">
        <f>IF(OR(N1573&gt;50,Q1573&lt;=2),"High Risk / Delayed","Normal")</f>
        <v/>
      </c>
      <c r="Y1573" s="25">
        <f>IF(NOT(P1573="Cancelled"),"Fulfilled","Cancelled")</f>
        <v/>
      </c>
      <c r="Z1573" s="25">
        <f>IFERROR(Q1573,0)</f>
        <v/>
      </c>
    </row>
    <row r="1574">
      <c r="A1574" s="17" t="inlineStr">
        <is>
          <t>ORD2573</t>
        </is>
      </c>
      <c r="B1574" s="17" t="inlineStr">
        <is>
          <t>2025-02-03</t>
        </is>
      </c>
      <c r="C1574" s="17" t="inlineStr">
        <is>
          <t>20:10:54</t>
        </is>
      </c>
      <c r="D1574" s="17" t="n">
        <v>1092</v>
      </c>
      <c r="E1574" s="17" t="n">
        <v>112</v>
      </c>
      <c r="F1574" s="17" t="n">
        <v>212</v>
      </c>
      <c r="G1574" s="17" t="inlineStr">
        <is>
          <t>Delhi NCR</t>
        </is>
      </c>
      <c r="H1574" s="17" t="inlineStr">
        <is>
          <t>North Indian</t>
        </is>
      </c>
      <c r="I1574" s="22" t="n">
        <v>258</v>
      </c>
      <c r="J1574" s="22" t="n">
        <v>17.7</v>
      </c>
      <c r="K1574" s="22" t="n">
        <v>29.5</v>
      </c>
      <c r="L1574" s="23" t="n">
        <v>0.22</v>
      </c>
      <c r="M1574" s="22" t="n">
        <v>64.13</v>
      </c>
      <c r="N1574" s="24" t="n">
        <v>3.9</v>
      </c>
      <c r="O1574" s="24" t="n">
        <v>31.7</v>
      </c>
      <c r="P1574" s="17" t="inlineStr">
        <is>
          <t>UPI</t>
        </is>
      </c>
      <c r="Q1574" s="17" t="inlineStr">
        <is>
          <t>Delivered</t>
        </is>
      </c>
      <c r="R1574" s="17" t="n">
        <v>5</v>
      </c>
      <c r="S1574" s="17">
        <f>TEXT(B1574,"yyyy-mm")</f>
        <v/>
      </c>
      <c r="T1574" s="17">
        <f>VLOOKUP(D1574,Customers!A:D,4,FALSE)</f>
        <v/>
      </c>
      <c r="U1574" s="17">
        <f>CONCATENATE(A1574,"-",G1574)</f>
        <v/>
      </c>
      <c r="V1574" s="17">
        <f>IF(N1574="","",IF(N1574&lt;=30,"Fast (&lt;30m)",IF(N1574&lt;=45,"Moderate (30-45m)","Delayed (&gt;45m)")))</f>
        <v/>
      </c>
      <c r="W1574" s="17">
        <f>IF(AND(I1574&gt;600,P1574="Delivered"),"High Value Delivered","Standard")</f>
        <v/>
      </c>
      <c r="X1574" s="17">
        <f>IF(OR(N1574&gt;50,Q1574&lt;=2),"High Risk / Delayed","Normal")</f>
        <v/>
      </c>
      <c r="Y1574" s="17">
        <f>IF(NOT(P1574="Cancelled"),"Fulfilled","Cancelled")</f>
        <v/>
      </c>
      <c r="Z1574" s="17">
        <f>IFERROR(Q1574,0)</f>
        <v/>
      </c>
    </row>
    <row r="1575">
      <c r="A1575" s="25" t="inlineStr">
        <is>
          <t>ORD2574</t>
        </is>
      </c>
      <c r="B1575" s="25" t="inlineStr">
        <is>
          <t>2025-03-26</t>
        </is>
      </c>
      <c r="C1575" s="25" t="inlineStr">
        <is>
          <t>12:59:43</t>
        </is>
      </c>
      <c r="D1575" s="25" t="n">
        <v>1227</v>
      </c>
      <c r="E1575" s="25" t="n">
        <v>101</v>
      </c>
      <c r="F1575" s="25" t="n">
        <v>205</v>
      </c>
      <c r="G1575" s="25" t="inlineStr">
        <is>
          <t>Bangalore</t>
        </is>
      </c>
      <c r="H1575" s="25" t="inlineStr">
        <is>
          <t>North Indian</t>
        </is>
      </c>
      <c r="I1575" s="26" t="n">
        <v>854</v>
      </c>
      <c r="J1575" s="26" t="n">
        <v>92.23</v>
      </c>
      <c r="K1575" s="26" t="n">
        <v>0</v>
      </c>
      <c r="L1575" s="27" t="n">
        <v>0.2</v>
      </c>
      <c r="M1575" s="26" t="n">
        <v>170.8</v>
      </c>
      <c r="N1575" s="28" t="n">
        <v>2.3</v>
      </c>
      <c r="O1575" s="28" t="n">
        <v>32.1</v>
      </c>
      <c r="P1575" s="25" t="inlineStr">
        <is>
          <t>Debit Card</t>
        </is>
      </c>
      <c r="Q1575" s="25" t="inlineStr">
        <is>
          <t>Delivered</t>
        </is>
      </c>
      <c r="R1575" s="25" t="n">
        <v>1</v>
      </c>
      <c r="S1575" s="25">
        <f>TEXT(B1575,"yyyy-mm")</f>
        <v/>
      </c>
      <c r="T1575" s="25">
        <f>VLOOKUP(D1575,Customers!A:D,4,FALSE)</f>
        <v/>
      </c>
      <c r="U1575" s="25">
        <f>CONCATENATE(A1575,"-",G1575)</f>
        <v/>
      </c>
      <c r="V1575" s="25">
        <f>IF(N1575="","",IF(N1575&lt;=30,"Fast (&lt;30m)",IF(N1575&lt;=45,"Moderate (30-45m)","Delayed (&gt;45m)")))</f>
        <v/>
      </c>
      <c r="W1575" s="25">
        <f>IF(AND(I1575&gt;600,P1575="Delivered"),"High Value Delivered","Standard")</f>
        <v/>
      </c>
      <c r="X1575" s="25">
        <f>IF(OR(N1575&gt;50,Q1575&lt;=2),"High Risk / Delayed","Normal")</f>
        <v/>
      </c>
      <c r="Y1575" s="25">
        <f>IF(NOT(P1575="Cancelled"),"Fulfilled","Cancelled")</f>
        <v/>
      </c>
      <c r="Z1575" s="25">
        <f>IFERROR(Q1575,0)</f>
        <v/>
      </c>
    </row>
    <row r="1576">
      <c r="A1576" s="17" t="inlineStr">
        <is>
          <t>ORD2575</t>
        </is>
      </c>
      <c r="B1576" s="17" t="inlineStr">
        <is>
          <t>2025-10-23</t>
        </is>
      </c>
      <c r="C1576" s="17" t="inlineStr">
        <is>
          <t>14:35:35</t>
        </is>
      </c>
      <c r="D1576" s="17" t="n">
        <v>1223</v>
      </c>
      <c r="E1576" s="17" t="n">
        <v>109</v>
      </c>
      <c r="F1576" s="17" t="n">
        <v>216</v>
      </c>
      <c r="G1576" s="17" t="inlineStr">
        <is>
          <t>Hyderabad</t>
        </is>
      </c>
      <c r="H1576" s="17" t="inlineStr">
        <is>
          <t>Biryani</t>
        </is>
      </c>
      <c r="I1576" s="22" t="n">
        <v>558</v>
      </c>
      <c r="J1576" s="22" t="n">
        <v>14.58</v>
      </c>
      <c r="K1576" s="22" t="n">
        <v>25</v>
      </c>
      <c r="L1576" s="23" t="n">
        <v>0.2</v>
      </c>
      <c r="M1576" s="22" t="n">
        <v>117.85</v>
      </c>
      <c r="N1576" s="24" t="n">
        <v>2.7</v>
      </c>
      <c r="O1576" s="24" t="n">
        <v>28.3</v>
      </c>
      <c r="P1576" s="17" t="inlineStr">
        <is>
          <t>Digital Wallet</t>
        </is>
      </c>
      <c r="Q1576" s="17" t="inlineStr">
        <is>
          <t>Delivered</t>
        </is>
      </c>
      <c r="R1576" s="17" t="n">
        <v>3</v>
      </c>
      <c r="S1576" s="17">
        <f>TEXT(B1576,"yyyy-mm")</f>
        <v/>
      </c>
      <c r="T1576" s="17">
        <f>VLOOKUP(D1576,Customers!A:D,4,FALSE)</f>
        <v/>
      </c>
      <c r="U1576" s="17">
        <f>CONCATENATE(A1576,"-",G1576)</f>
        <v/>
      </c>
      <c r="V1576" s="17">
        <f>IF(N1576="","",IF(N1576&lt;=30,"Fast (&lt;30m)",IF(N1576&lt;=45,"Moderate (30-45m)","Delayed (&gt;45m)")))</f>
        <v/>
      </c>
      <c r="W1576" s="17">
        <f>IF(AND(I1576&gt;600,P1576="Delivered"),"High Value Delivered","Standard")</f>
        <v/>
      </c>
      <c r="X1576" s="17">
        <f>IF(OR(N1576&gt;50,Q1576&lt;=2),"High Risk / Delayed","Normal")</f>
        <v/>
      </c>
      <c r="Y1576" s="17">
        <f>IF(NOT(P1576="Cancelled"),"Fulfilled","Cancelled")</f>
        <v/>
      </c>
      <c r="Z1576" s="17">
        <f>IFERROR(Q1576,0)</f>
        <v/>
      </c>
    </row>
    <row r="1577">
      <c r="A1577" s="25" t="inlineStr">
        <is>
          <t>ORD2576</t>
        </is>
      </c>
      <c r="B1577" s="25" t="inlineStr">
        <is>
          <t>2025-01-12</t>
        </is>
      </c>
      <c r="C1577" s="25" t="inlineStr">
        <is>
          <t>17:27:30</t>
        </is>
      </c>
      <c r="D1577" s="25" t="n">
        <v>1116</v>
      </c>
      <c r="E1577" s="25" t="n">
        <v>103</v>
      </c>
      <c r="F1577" s="25" t="n">
        <v>229</v>
      </c>
      <c r="G1577" s="25" t="inlineStr">
        <is>
          <t>Mumbai</t>
        </is>
      </c>
      <c r="H1577" s="25" t="inlineStr">
        <is>
          <t>Italian</t>
        </is>
      </c>
      <c r="I1577" s="26" t="n">
        <v>682</v>
      </c>
      <c r="J1577" s="26" t="n">
        <v>132.3</v>
      </c>
      <c r="K1577" s="26" t="n">
        <v>0</v>
      </c>
      <c r="L1577" s="27" t="n">
        <v>0.18</v>
      </c>
      <c r="M1577" s="26" t="n">
        <v>122.76</v>
      </c>
      <c r="N1577" s="28" t="n">
        <v>2.2</v>
      </c>
      <c r="O1577" s="28" t="n">
        <v>23</v>
      </c>
      <c r="P1577" s="25" t="inlineStr">
        <is>
          <t>Cash on Delivery</t>
        </is>
      </c>
      <c r="Q1577" s="25" t="inlineStr">
        <is>
          <t>Delivered</t>
        </is>
      </c>
      <c r="R1577" s="25" t="n">
        <v>4</v>
      </c>
      <c r="S1577" s="25">
        <f>TEXT(B1577,"yyyy-mm")</f>
        <v/>
      </c>
      <c r="T1577" s="25">
        <f>VLOOKUP(D1577,Customers!A:D,4,FALSE)</f>
        <v/>
      </c>
      <c r="U1577" s="25">
        <f>CONCATENATE(A1577,"-",G1577)</f>
        <v/>
      </c>
      <c r="V1577" s="25">
        <f>IF(N1577="","",IF(N1577&lt;=30,"Fast (&lt;30m)",IF(N1577&lt;=45,"Moderate (30-45m)","Delayed (&gt;45m)")))</f>
        <v/>
      </c>
      <c r="W1577" s="25">
        <f>IF(AND(I1577&gt;600,P1577="Delivered"),"High Value Delivered","Standard")</f>
        <v/>
      </c>
      <c r="X1577" s="25">
        <f>IF(OR(N1577&gt;50,Q1577&lt;=2),"High Risk / Delayed","Normal")</f>
        <v/>
      </c>
      <c r="Y1577" s="25">
        <f>IF(NOT(P1577="Cancelled"),"Fulfilled","Cancelled")</f>
        <v/>
      </c>
      <c r="Z1577" s="25">
        <f>IFERROR(Q1577,0)</f>
        <v/>
      </c>
    </row>
    <row r="1578">
      <c r="A1578" s="17" t="inlineStr">
        <is>
          <t>ORD2577</t>
        </is>
      </c>
      <c r="B1578" s="17" t="inlineStr">
        <is>
          <t>2025-05-12</t>
        </is>
      </c>
      <c r="C1578" s="17" t="inlineStr">
        <is>
          <t>16:06:52</t>
        </is>
      </c>
      <c r="D1578" s="17" t="n">
        <v>1210</v>
      </c>
      <c r="E1578" s="17" t="n">
        <v>104</v>
      </c>
      <c r="F1578" s="17" t="n">
        <v>211</v>
      </c>
      <c r="G1578" s="17" t="inlineStr">
        <is>
          <t>Delhi NCR</t>
        </is>
      </c>
      <c r="H1578" s="17" t="inlineStr">
        <is>
          <t>Fast Food</t>
        </is>
      </c>
      <c r="I1578" s="22" t="n">
        <v>371</v>
      </c>
      <c r="J1578" s="22" t="n">
        <v>25.06</v>
      </c>
      <c r="K1578" s="22" t="n">
        <v>30.5</v>
      </c>
      <c r="L1578" s="23" t="n">
        <v>0.18</v>
      </c>
      <c r="M1578" s="22" t="n">
        <v>74.40000000000001</v>
      </c>
      <c r="N1578" s="24" t="n">
        <v>4.1</v>
      </c>
      <c r="O1578" s="24" t="n">
        <v>33.3</v>
      </c>
      <c r="P1578" s="17" t="inlineStr">
        <is>
          <t>Credit Card</t>
        </is>
      </c>
      <c r="Q1578" s="17" t="inlineStr">
        <is>
          <t>Delivered</t>
        </is>
      </c>
      <c r="R1578" s="17" t="n">
        <v>4</v>
      </c>
      <c r="S1578" s="17">
        <f>TEXT(B1578,"yyyy-mm")</f>
        <v/>
      </c>
      <c r="T1578" s="17">
        <f>VLOOKUP(D1578,Customers!A:D,4,FALSE)</f>
        <v/>
      </c>
      <c r="U1578" s="17">
        <f>CONCATENATE(A1578,"-",G1578)</f>
        <v/>
      </c>
      <c r="V1578" s="17">
        <f>IF(N1578="","",IF(N1578&lt;=30,"Fast (&lt;30m)",IF(N1578&lt;=45,"Moderate (30-45m)","Delayed (&gt;45m)")))</f>
        <v/>
      </c>
      <c r="W1578" s="17">
        <f>IF(AND(I1578&gt;600,P1578="Delivered"),"High Value Delivered","Standard")</f>
        <v/>
      </c>
      <c r="X1578" s="17">
        <f>IF(OR(N1578&gt;50,Q1578&lt;=2),"High Risk / Delayed","Normal")</f>
        <v/>
      </c>
      <c r="Y1578" s="17">
        <f>IF(NOT(P1578="Cancelled"),"Fulfilled","Cancelled")</f>
        <v/>
      </c>
      <c r="Z1578" s="17">
        <f>IFERROR(Q1578,0)</f>
        <v/>
      </c>
    </row>
    <row r="1579">
      <c r="A1579" s="25" t="inlineStr">
        <is>
          <t>ORD2578</t>
        </is>
      </c>
      <c r="B1579" s="25" t="inlineStr">
        <is>
          <t>2025-12-24</t>
        </is>
      </c>
      <c r="C1579" s="25" t="inlineStr">
        <is>
          <t>12:34:32</t>
        </is>
      </c>
      <c r="D1579" s="25" t="n">
        <v>1117</v>
      </c>
      <c r="E1579" s="25" t="n">
        <v>113</v>
      </c>
      <c r="F1579" s="25" t="n">
        <v>222</v>
      </c>
      <c r="G1579" s="25" t="inlineStr">
        <is>
          <t>Mumbai</t>
        </is>
      </c>
      <c r="H1579" s="25" t="inlineStr">
        <is>
          <t>Fast Food</t>
        </is>
      </c>
      <c r="I1579" s="26" t="n">
        <v>591</v>
      </c>
      <c r="J1579" s="26" t="n">
        <v>46.62</v>
      </c>
      <c r="K1579" s="26" t="n">
        <v>32</v>
      </c>
      <c r="L1579" s="27" t="n">
        <v>0.18</v>
      </c>
      <c r="M1579" s="26" t="n">
        <v>114.38</v>
      </c>
      <c r="N1579" s="28" t="n">
        <v>4.4</v>
      </c>
      <c r="O1579" s="28" t="n">
        <v>39.4</v>
      </c>
      <c r="P1579" s="25" t="inlineStr">
        <is>
          <t>Digital Wallet</t>
        </is>
      </c>
      <c r="Q1579" s="25" t="inlineStr">
        <is>
          <t>Delivered</t>
        </is>
      </c>
      <c r="R1579" s="25" t="n">
        <v>4</v>
      </c>
      <c r="S1579" s="25">
        <f>TEXT(B1579,"yyyy-mm")</f>
        <v/>
      </c>
      <c r="T1579" s="25">
        <f>VLOOKUP(D1579,Customers!A:D,4,FALSE)</f>
        <v/>
      </c>
      <c r="U1579" s="25">
        <f>CONCATENATE(A1579,"-",G1579)</f>
        <v/>
      </c>
      <c r="V1579" s="25">
        <f>IF(N1579="","",IF(N1579&lt;=30,"Fast (&lt;30m)",IF(N1579&lt;=45,"Moderate (30-45m)","Delayed (&gt;45m)")))</f>
        <v/>
      </c>
      <c r="W1579" s="25">
        <f>IF(AND(I1579&gt;600,P1579="Delivered"),"High Value Delivered","Standard")</f>
        <v/>
      </c>
      <c r="X1579" s="25">
        <f>IF(OR(N1579&gt;50,Q1579&lt;=2),"High Risk / Delayed","Normal")</f>
        <v/>
      </c>
      <c r="Y1579" s="25">
        <f>IF(NOT(P1579="Cancelled"),"Fulfilled","Cancelled")</f>
        <v/>
      </c>
      <c r="Z1579" s="25">
        <f>IFERROR(Q1579,0)</f>
        <v/>
      </c>
    </row>
    <row r="1580">
      <c r="A1580" s="17" t="inlineStr">
        <is>
          <t>ORD2579</t>
        </is>
      </c>
      <c r="B1580" s="17" t="inlineStr">
        <is>
          <t>2025-05-05</t>
        </is>
      </c>
      <c r="C1580" s="17" t="inlineStr">
        <is>
          <t>13:10:39</t>
        </is>
      </c>
      <c r="D1580" s="17" t="n">
        <v>1193</v>
      </c>
      <c r="E1580" s="17" t="n">
        <v>112</v>
      </c>
      <c r="F1580" s="17" t="n">
        <v>228</v>
      </c>
      <c r="G1580" s="17" t="inlineStr">
        <is>
          <t>Delhi NCR</t>
        </is>
      </c>
      <c r="H1580" s="17" t="inlineStr">
        <is>
          <t>North Indian</t>
        </is>
      </c>
      <c r="I1580" s="22" t="n">
        <v>1054</v>
      </c>
      <c r="J1580" s="22" t="n">
        <v>203.25</v>
      </c>
      <c r="K1580" s="22" t="n">
        <v>0</v>
      </c>
      <c r="L1580" s="23" t="n">
        <v>0.22</v>
      </c>
      <c r="M1580" s="22" t="n">
        <v>231.88</v>
      </c>
      <c r="N1580" s="24" t="n">
        <v>8.4</v>
      </c>
      <c r="O1580" s="24" t="n">
        <v>49.3</v>
      </c>
      <c r="P1580" s="17" t="inlineStr">
        <is>
          <t>Debit Card</t>
        </is>
      </c>
      <c r="Q1580" s="17" t="inlineStr">
        <is>
          <t>Delivered</t>
        </is>
      </c>
      <c r="R1580" s="17" t="n">
        <v>3</v>
      </c>
      <c r="S1580" s="17">
        <f>TEXT(B1580,"yyyy-mm")</f>
        <v/>
      </c>
      <c r="T1580" s="17">
        <f>VLOOKUP(D1580,Customers!A:D,4,FALSE)</f>
        <v/>
      </c>
      <c r="U1580" s="17">
        <f>CONCATENATE(A1580,"-",G1580)</f>
        <v/>
      </c>
      <c r="V1580" s="17">
        <f>IF(N1580="","",IF(N1580&lt;=30,"Fast (&lt;30m)",IF(N1580&lt;=45,"Moderate (30-45m)","Delayed (&gt;45m)")))</f>
        <v/>
      </c>
      <c r="W1580" s="17">
        <f>IF(AND(I1580&gt;600,P1580="Delivered"),"High Value Delivered","Standard")</f>
        <v/>
      </c>
      <c r="X1580" s="17">
        <f>IF(OR(N1580&gt;50,Q1580&lt;=2),"High Risk / Delayed","Normal")</f>
        <v/>
      </c>
      <c r="Y1580" s="17">
        <f>IF(NOT(P1580="Cancelled"),"Fulfilled","Cancelled")</f>
        <v/>
      </c>
      <c r="Z1580" s="17">
        <f>IFERROR(Q1580,0)</f>
        <v/>
      </c>
    </row>
    <row r="1581">
      <c r="A1581" s="25" t="inlineStr">
        <is>
          <t>ORD2580</t>
        </is>
      </c>
      <c r="B1581" s="25" t="inlineStr">
        <is>
          <t>2025-07-27</t>
        </is>
      </c>
      <c r="C1581" s="25" t="inlineStr">
        <is>
          <t>10:52:27</t>
        </is>
      </c>
      <c r="D1581" s="25" t="n">
        <v>1198</v>
      </c>
      <c r="E1581" s="25" t="n">
        <v>115</v>
      </c>
      <c r="F1581" s="25" t="n">
        <v>210</v>
      </c>
      <c r="G1581" s="25" t="inlineStr">
        <is>
          <t>Bangalore</t>
        </is>
      </c>
      <c r="H1581" s="25" t="inlineStr">
        <is>
          <t>Italian</t>
        </is>
      </c>
      <c r="I1581" s="26" t="n">
        <v>583</v>
      </c>
      <c r="J1581" s="26" t="n">
        <v>85.89</v>
      </c>
      <c r="K1581" s="26" t="n">
        <v>0</v>
      </c>
      <c r="L1581" s="27" t="n">
        <v>0.2</v>
      </c>
      <c r="M1581" s="26" t="n">
        <v>116.6</v>
      </c>
      <c r="N1581" s="28" t="n">
        <v>5.2</v>
      </c>
      <c r="O1581" s="28" t="n">
        <v>37.8</v>
      </c>
      <c r="P1581" s="25" t="inlineStr">
        <is>
          <t>Debit Card</t>
        </is>
      </c>
      <c r="Q1581" s="25" t="inlineStr">
        <is>
          <t>Delivered</t>
        </is>
      </c>
      <c r="R1581" s="25" t="n">
        <v>5</v>
      </c>
      <c r="S1581" s="25">
        <f>TEXT(B1581,"yyyy-mm")</f>
        <v/>
      </c>
      <c r="T1581" s="25">
        <f>VLOOKUP(D1581,Customers!A:D,4,FALSE)</f>
        <v/>
      </c>
      <c r="U1581" s="25">
        <f>CONCATENATE(A1581,"-",G1581)</f>
        <v/>
      </c>
      <c r="V1581" s="25">
        <f>IF(N1581="","",IF(N1581&lt;=30,"Fast (&lt;30m)",IF(N1581&lt;=45,"Moderate (30-45m)","Delayed (&gt;45m)")))</f>
        <v/>
      </c>
      <c r="W1581" s="25">
        <f>IF(AND(I1581&gt;600,P1581="Delivered"),"High Value Delivered","Standard")</f>
        <v/>
      </c>
      <c r="X1581" s="25">
        <f>IF(OR(N1581&gt;50,Q1581&lt;=2),"High Risk / Delayed","Normal")</f>
        <v/>
      </c>
      <c r="Y1581" s="25">
        <f>IF(NOT(P1581="Cancelled"),"Fulfilled","Cancelled")</f>
        <v/>
      </c>
      <c r="Z1581" s="25">
        <f>IFERROR(Q1581,0)</f>
        <v/>
      </c>
    </row>
    <row r="1582">
      <c r="A1582" s="17" t="inlineStr">
        <is>
          <t>ORD2581</t>
        </is>
      </c>
      <c r="B1582" s="17" t="inlineStr">
        <is>
          <t>2025-05-01</t>
        </is>
      </c>
      <c r="C1582" s="17" t="inlineStr">
        <is>
          <t>18:31:56</t>
        </is>
      </c>
      <c r="D1582" s="17" t="n">
        <v>1140</v>
      </c>
      <c r="E1582" s="17" t="n">
        <v>116</v>
      </c>
      <c r="F1582" s="17" t="n">
        <v>226</v>
      </c>
      <c r="G1582" s="17" t="inlineStr">
        <is>
          <t>Pune</t>
        </is>
      </c>
      <c r="H1582" s="17" t="inlineStr">
        <is>
          <t>Desserts</t>
        </is>
      </c>
      <c r="I1582" s="22" t="n">
        <v>1060</v>
      </c>
      <c r="J1582" s="22" t="n">
        <v>207.58</v>
      </c>
      <c r="K1582" s="22" t="n">
        <v>0</v>
      </c>
      <c r="L1582" s="23" t="n">
        <v>0.25</v>
      </c>
      <c r="M1582" s="22" t="n">
        <v>265</v>
      </c>
      <c r="N1582" s="24" t="n">
        <v>4.3</v>
      </c>
      <c r="O1582" s="24" t="n">
        <v>31</v>
      </c>
      <c r="P1582" s="17" t="inlineStr">
        <is>
          <t>Cash on Delivery</t>
        </is>
      </c>
      <c r="Q1582" s="17" t="inlineStr">
        <is>
          <t>Delivered</t>
        </is>
      </c>
      <c r="R1582" s="17" t="n">
        <v>3</v>
      </c>
      <c r="S1582" s="17">
        <f>TEXT(B1582,"yyyy-mm")</f>
        <v/>
      </c>
      <c r="T1582" s="17">
        <f>VLOOKUP(D1582,Customers!A:D,4,FALSE)</f>
        <v/>
      </c>
      <c r="U1582" s="17">
        <f>CONCATENATE(A1582,"-",G1582)</f>
        <v/>
      </c>
      <c r="V1582" s="17">
        <f>IF(N1582="","",IF(N1582&lt;=30,"Fast (&lt;30m)",IF(N1582&lt;=45,"Moderate (30-45m)","Delayed (&gt;45m)")))</f>
        <v/>
      </c>
      <c r="W1582" s="17">
        <f>IF(AND(I1582&gt;600,P1582="Delivered"),"High Value Delivered","Standard")</f>
        <v/>
      </c>
      <c r="X1582" s="17">
        <f>IF(OR(N1582&gt;50,Q1582&lt;=2),"High Risk / Delayed","Normal")</f>
        <v/>
      </c>
      <c r="Y1582" s="17">
        <f>IF(NOT(P1582="Cancelled"),"Fulfilled","Cancelled")</f>
        <v/>
      </c>
      <c r="Z1582" s="17">
        <f>IFERROR(Q1582,0)</f>
        <v/>
      </c>
    </row>
    <row r="1583">
      <c r="A1583" s="25" t="inlineStr">
        <is>
          <t>ORD2582</t>
        </is>
      </c>
      <c r="B1583" s="25" t="inlineStr">
        <is>
          <t>2025-05-05</t>
        </is>
      </c>
      <c r="C1583" s="25" t="inlineStr">
        <is>
          <t>19:39:51</t>
        </is>
      </c>
      <c r="D1583" s="25" t="n">
        <v>1050</v>
      </c>
      <c r="E1583" s="25" t="n">
        <v>120</v>
      </c>
      <c r="F1583" s="25" t="n">
        <v>209</v>
      </c>
      <c r="G1583" s="25" t="inlineStr">
        <is>
          <t>Pune</t>
        </is>
      </c>
      <c r="H1583" s="25" t="inlineStr">
        <is>
          <t>Fast Food</t>
        </is>
      </c>
      <c r="I1583" s="26" t="n">
        <v>388</v>
      </c>
      <c r="J1583" s="26" t="n">
        <v>0</v>
      </c>
      <c r="K1583" s="26" t="n">
        <v>33</v>
      </c>
      <c r="L1583" s="27" t="n">
        <v>0.18</v>
      </c>
      <c r="M1583" s="26" t="n">
        <v>78.09</v>
      </c>
      <c r="N1583" s="28" t="n">
        <v>4.6</v>
      </c>
      <c r="O1583" s="28" t="n">
        <v>36</v>
      </c>
      <c r="P1583" s="25" t="inlineStr">
        <is>
          <t>Digital Wallet</t>
        </is>
      </c>
      <c r="Q1583" s="25" t="inlineStr">
        <is>
          <t>Delivered</t>
        </is>
      </c>
      <c r="R1583" s="25" t="n">
        <v>4</v>
      </c>
      <c r="S1583" s="25">
        <f>TEXT(B1583,"yyyy-mm")</f>
        <v/>
      </c>
      <c r="T1583" s="25">
        <f>VLOOKUP(D1583,Customers!A:D,4,FALSE)</f>
        <v/>
      </c>
      <c r="U1583" s="25">
        <f>CONCATENATE(A1583,"-",G1583)</f>
        <v/>
      </c>
      <c r="V1583" s="25">
        <f>IF(N1583="","",IF(N1583&lt;=30,"Fast (&lt;30m)",IF(N1583&lt;=45,"Moderate (30-45m)","Delayed (&gt;45m)")))</f>
        <v/>
      </c>
      <c r="W1583" s="25">
        <f>IF(AND(I1583&gt;600,P1583="Delivered"),"High Value Delivered","Standard")</f>
        <v/>
      </c>
      <c r="X1583" s="25">
        <f>IF(OR(N1583&gt;50,Q1583&lt;=2),"High Risk / Delayed","Normal")</f>
        <v/>
      </c>
      <c r="Y1583" s="25">
        <f>IF(NOT(P1583="Cancelled"),"Fulfilled","Cancelled")</f>
        <v/>
      </c>
      <c r="Z1583" s="25">
        <f>IFERROR(Q1583,0)</f>
        <v/>
      </c>
    </row>
    <row r="1584">
      <c r="A1584" s="17" t="inlineStr">
        <is>
          <t>ORD2583</t>
        </is>
      </c>
      <c r="B1584" s="17" t="inlineStr">
        <is>
          <t>2025-02-12</t>
        </is>
      </c>
      <c r="C1584" s="17" t="inlineStr">
        <is>
          <t>10:05:50</t>
        </is>
      </c>
      <c r="D1584" s="17" t="n">
        <v>1016</v>
      </c>
      <c r="E1584" s="17" t="n">
        <v>115</v>
      </c>
      <c r="F1584" s="17" t="n">
        <v>227</v>
      </c>
      <c r="G1584" s="17" t="inlineStr">
        <is>
          <t>Bangalore</t>
        </is>
      </c>
      <c r="H1584" s="17" t="inlineStr">
        <is>
          <t>Italian</t>
        </is>
      </c>
      <c r="I1584" s="22" t="n">
        <v>228</v>
      </c>
      <c r="J1584" s="22" t="n">
        <v>0</v>
      </c>
      <c r="K1584" s="22" t="n">
        <v>25.5</v>
      </c>
      <c r="L1584" s="23" t="n">
        <v>0.2</v>
      </c>
      <c r="M1584" s="22" t="n">
        <v>51.98</v>
      </c>
      <c r="N1584" s="24" t="n">
        <v>3.1</v>
      </c>
      <c r="O1584" s="24" t="n">
        <v>28.6</v>
      </c>
      <c r="P1584" s="17" t="inlineStr">
        <is>
          <t>UPI</t>
        </is>
      </c>
      <c r="Q1584" s="17" t="inlineStr">
        <is>
          <t>Delivered</t>
        </is>
      </c>
      <c r="R1584" s="17" t="n">
        <v>3</v>
      </c>
      <c r="S1584" s="17">
        <f>TEXT(B1584,"yyyy-mm")</f>
        <v/>
      </c>
      <c r="T1584" s="17">
        <f>VLOOKUP(D1584,Customers!A:D,4,FALSE)</f>
        <v/>
      </c>
      <c r="U1584" s="17">
        <f>CONCATENATE(A1584,"-",G1584)</f>
        <v/>
      </c>
      <c r="V1584" s="17">
        <f>IF(N1584="","",IF(N1584&lt;=30,"Fast (&lt;30m)",IF(N1584&lt;=45,"Moderate (30-45m)","Delayed (&gt;45m)")))</f>
        <v/>
      </c>
      <c r="W1584" s="17">
        <f>IF(AND(I1584&gt;600,P1584="Delivered"),"High Value Delivered","Standard")</f>
        <v/>
      </c>
      <c r="X1584" s="17">
        <f>IF(OR(N1584&gt;50,Q1584&lt;=2),"High Risk / Delayed","Normal")</f>
        <v/>
      </c>
      <c r="Y1584" s="17">
        <f>IF(NOT(P1584="Cancelled"),"Fulfilled","Cancelled")</f>
        <v/>
      </c>
      <c r="Z1584" s="17">
        <f>IFERROR(Q1584,0)</f>
        <v/>
      </c>
    </row>
    <row r="1585">
      <c r="A1585" s="25" t="inlineStr">
        <is>
          <t>ORD2584</t>
        </is>
      </c>
      <c r="B1585" s="25" t="inlineStr">
        <is>
          <t>2025-08-30</t>
        </is>
      </c>
      <c r="C1585" s="25" t="inlineStr">
        <is>
          <t>14:11:02</t>
        </is>
      </c>
      <c r="D1585" s="25" t="n">
        <v>1164</v>
      </c>
      <c r="E1585" s="25" t="n">
        <v>116</v>
      </c>
      <c r="F1585" s="25" t="n">
        <v>214</v>
      </c>
      <c r="G1585" s="25" t="inlineStr">
        <is>
          <t>Pune</t>
        </is>
      </c>
      <c r="H1585" s="25" t="inlineStr">
        <is>
          <t>Desserts</t>
        </is>
      </c>
      <c r="I1585" s="26" t="n">
        <v>356</v>
      </c>
      <c r="J1585" s="26" t="n">
        <v>0</v>
      </c>
      <c r="K1585" s="26" t="n">
        <v>33</v>
      </c>
      <c r="L1585" s="27" t="n">
        <v>0.25</v>
      </c>
      <c r="M1585" s="26" t="n">
        <v>97.25</v>
      </c>
      <c r="N1585" s="28" t="n">
        <v>4.6</v>
      </c>
      <c r="O1585" s="28" t="n">
        <v>37.8</v>
      </c>
      <c r="P1585" s="25" t="inlineStr">
        <is>
          <t>Debit Card</t>
        </is>
      </c>
      <c r="Q1585" s="25" t="inlineStr">
        <is>
          <t>Delivered</t>
        </is>
      </c>
      <c r="R1585" s="25" t="n">
        <v>5</v>
      </c>
      <c r="S1585" s="25">
        <f>TEXT(B1585,"yyyy-mm")</f>
        <v/>
      </c>
      <c r="T1585" s="25">
        <f>VLOOKUP(D1585,Customers!A:D,4,FALSE)</f>
        <v/>
      </c>
      <c r="U1585" s="25">
        <f>CONCATENATE(A1585,"-",G1585)</f>
        <v/>
      </c>
      <c r="V1585" s="25">
        <f>IF(N1585="","",IF(N1585&lt;=30,"Fast (&lt;30m)",IF(N1585&lt;=45,"Moderate (30-45m)","Delayed (&gt;45m)")))</f>
        <v/>
      </c>
      <c r="W1585" s="25">
        <f>IF(AND(I1585&gt;600,P1585="Delivered"),"High Value Delivered","Standard")</f>
        <v/>
      </c>
      <c r="X1585" s="25">
        <f>IF(OR(N1585&gt;50,Q1585&lt;=2),"High Risk / Delayed","Normal")</f>
        <v/>
      </c>
      <c r="Y1585" s="25">
        <f>IF(NOT(P1585="Cancelled"),"Fulfilled","Cancelled")</f>
        <v/>
      </c>
      <c r="Z1585" s="25">
        <f>IFERROR(Q1585,0)</f>
        <v/>
      </c>
    </row>
    <row r="1586">
      <c r="A1586" s="17" t="inlineStr">
        <is>
          <t>ORD2585</t>
        </is>
      </c>
      <c r="B1586" s="17" t="inlineStr">
        <is>
          <t>2025-06-08</t>
        </is>
      </c>
      <c r="C1586" s="17" t="inlineStr">
        <is>
          <t>22:21:06</t>
        </is>
      </c>
      <c r="D1586" s="17" t="n">
        <v>1292</v>
      </c>
      <c r="E1586" s="17" t="n">
        <v>106</v>
      </c>
      <c r="F1586" s="17" t="n">
        <v>217</v>
      </c>
      <c r="G1586" s="17" t="inlineStr">
        <is>
          <t>Pune</t>
        </is>
      </c>
      <c r="H1586" s="17" t="inlineStr">
        <is>
          <t>South Indian</t>
        </is>
      </c>
      <c r="I1586" s="22" t="n">
        <v>259</v>
      </c>
      <c r="J1586" s="22" t="n">
        <v>1.71</v>
      </c>
      <c r="K1586" s="22" t="n">
        <v>31.5</v>
      </c>
      <c r="L1586" s="23" t="n">
        <v>0.15</v>
      </c>
      <c r="M1586" s="22" t="n">
        <v>46.72</v>
      </c>
      <c r="N1586" s="24" t="n">
        <v>4.3</v>
      </c>
      <c r="O1586" s="24" t="n">
        <v>26.7</v>
      </c>
      <c r="P1586" s="17" t="inlineStr">
        <is>
          <t>UPI</t>
        </is>
      </c>
      <c r="Q1586" s="17" t="inlineStr">
        <is>
          <t>Delivered</t>
        </is>
      </c>
      <c r="R1586" s="17" t="n">
        <v>4</v>
      </c>
      <c r="S1586" s="17">
        <f>TEXT(B1586,"yyyy-mm")</f>
        <v/>
      </c>
      <c r="T1586" s="17">
        <f>VLOOKUP(D1586,Customers!A:D,4,FALSE)</f>
        <v/>
      </c>
      <c r="U1586" s="17">
        <f>CONCATENATE(A1586,"-",G1586)</f>
        <v/>
      </c>
      <c r="V1586" s="17">
        <f>IF(N1586="","",IF(N1586&lt;=30,"Fast (&lt;30m)",IF(N1586&lt;=45,"Moderate (30-45m)","Delayed (&gt;45m)")))</f>
        <v/>
      </c>
      <c r="W1586" s="17">
        <f>IF(AND(I1586&gt;600,P1586="Delivered"),"High Value Delivered","Standard")</f>
        <v/>
      </c>
      <c r="X1586" s="17">
        <f>IF(OR(N1586&gt;50,Q1586&lt;=2),"High Risk / Delayed","Normal")</f>
        <v/>
      </c>
      <c r="Y1586" s="17">
        <f>IF(NOT(P1586="Cancelled"),"Fulfilled","Cancelled")</f>
        <v/>
      </c>
      <c r="Z1586" s="17">
        <f>IFERROR(Q1586,0)</f>
        <v/>
      </c>
    </row>
    <row r="1587">
      <c r="A1587" s="25" t="inlineStr">
        <is>
          <t>ORD2586</t>
        </is>
      </c>
      <c r="B1587" s="25" t="inlineStr">
        <is>
          <t>2025-07-20</t>
        </is>
      </c>
      <c r="C1587" s="25" t="inlineStr">
        <is>
          <t>18:52:31</t>
        </is>
      </c>
      <c r="D1587" s="25" t="n">
        <v>1049</v>
      </c>
      <c r="E1587" s="25" t="n">
        <v>117</v>
      </c>
      <c r="F1587" s="25" t="n">
        <v>202</v>
      </c>
      <c r="G1587" s="25" t="inlineStr">
        <is>
          <t>Mumbai</t>
        </is>
      </c>
      <c r="H1587" s="25" t="inlineStr">
        <is>
          <t>Chinese</t>
        </is>
      </c>
      <c r="I1587" s="26" t="n">
        <v>330</v>
      </c>
      <c r="J1587" s="26" t="n">
        <v>0</v>
      </c>
      <c r="K1587" s="26" t="n">
        <v>29</v>
      </c>
      <c r="L1587" s="27" t="n">
        <v>0.2</v>
      </c>
      <c r="M1587" s="26" t="n">
        <v>73.25</v>
      </c>
      <c r="N1587" s="28" t="n">
        <v>3.8</v>
      </c>
      <c r="O1587" s="28" t="n">
        <v>28.2</v>
      </c>
      <c r="P1587" s="25" t="inlineStr">
        <is>
          <t>Digital Wallet</t>
        </is>
      </c>
      <c r="Q1587" s="25" t="inlineStr">
        <is>
          <t>Delivered</t>
        </is>
      </c>
      <c r="R1587" s="25" t="n">
        <v>3</v>
      </c>
      <c r="S1587" s="25">
        <f>TEXT(B1587,"yyyy-mm")</f>
        <v/>
      </c>
      <c r="T1587" s="25">
        <f>VLOOKUP(D1587,Customers!A:D,4,FALSE)</f>
        <v/>
      </c>
      <c r="U1587" s="25">
        <f>CONCATENATE(A1587,"-",G1587)</f>
        <v/>
      </c>
      <c r="V1587" s="25">
        <f>IF(N1587="","",IF(N1587&lt;=30,"Fast (&lt;30m)",IF(N1587&lt;=45,"Moderate (30-45m)","Delayed (&gt;45m)")))</f>
        <v/>
      </c>
      <c r="W1587" s="25">
        <f>IF(AND(I1587&gt;600,P1587="Delivered"),"High Value Delivered","Standard")</f>
        <v/>
      </c>
      <c r="X1587" s="25">
        <f>IF(OR(N1587&gt;50,Q1587&lt;=2),"High Risk / Delayed","Normal")</f>
        <v/>
      </c>
      <c r="Y1587" s="25">
        <f>IF(NOT(P1587="Cancelled"),"Fulfilled","Cancelled")</f>
        <v/>
      </c>
      <c r="Z1587" s="25">
        <f>IFERROR(Q1587,0)</f>
        <v/>
      </c>
    </row>
    <row r="1588">
      <c r="A1588" s="17" t="inlineStr">
        <is>
          <t>ORD2587</t>
        </is>
      </c>
      <c r="B1588" s="17" t="inlineStr">
        <is>
          <t>2025-03-12</t>
        </is>
      </c>
      <c r="C1588" s="17" t="inlineStr">
        <is>
          <t>13:04:29</t>
        </is>
      </c>
      <c r="D1588" s="17" t="n">
        <v>1168</v>
      </c>
      <c r="E1588" s="17" t="n">
        <v>120</v>
      </c>
      <c r="F1588" s="17" t="n">
        <v>226</v>
      </c>
      <c r="G1588" s="17" t="inlineStr">
        <is>
          <t>Pune</t>
        </is>
      </c>
      <c r="H1588" s="17" t="inlineStr">
        <is>
          <t>Fast Food</t>
        </is>
      </c>
      <c r="I1588" s="22" t="n">
        <v>840</v>
      </c>
      <c r="J1588" s="22" t="n">
        <v>10.58</v>
      </c>
      <c r="K1588" s="22" t="n">
        <v>25</v>
      </c>
      <c r="L1588" s="23" t="n">
        <v>0.18</v>
      </c>
      <c r="M1588" s="22" t="n">
        <v>157.45</v>
      </c>
      <c r="N1588" s="24" t="n">
        <v>2.8</v>
      </c>
      <c r="O1588" s="24" t="n">
        <v>33.7</v>
      </c>
      <c r="P1588" s="17" t="inlineStr">
        <is>
          <t>Digital Wallet</t>
        </is>
      </c>
      <c r="Q1588" s="17" t="inlineStr">
        <is>
          <t>Delivered</t>
        </is>
      </c>
      <c r="R1588" s="17" t="n">
        <v>5</v>
      </c>
      <c r="S1588" s="17">
        <f>TEXT(B1588,"yyyy-mm")</f>
        <v/>
      </c>
      <c r="T1588" s="17">
        <f>VLOOKUP(D1588,Customers!A:D,4,FALSE)</f>
        <v/>
      </c>
      <c r="U1588" s="17">
        <f>CONCATENATE(A1588,"-",G1588)</f>
        <v/>
      </c>
      <c r="V1588" s="17">
        <f>IF(N1588="","",IF(N1588&lt;=30,"Fast (&lt;30m)",IF(N1588&lt;=45,"Moderate (30-45m)","Delayed (&gt;45m)")))</f>
        <v/>
      </c>
      <c r="W1588" s="17">
        <f>IF(AND(I1588&gt;600,P1588="Delivered"),"High Value Delivered","Standard")</f>
        <v/>
      </c>
      <c r="X1588" s="17">
        <f>IF(OR(N1588&gt;50,Q1588&lt;=2),"High Risk / Delayed","Normal")</f>
        <v/>
      </c>
      <c r="Y1588" s="17">
        <f>IF(NOT(P1588="Cancelled"),"Fulfilled","Cancelled")</f>
        <v/>
      </c>
      <c r="Z1588" s="17">
        <f>IFERROR(Q1588,0)</f>
        <v/>
      </c>
    </row>
    <row r="1589">
      <c r="A1589" s="25" t="inlineStr">
        <is>
          <t>ORD2588</t>
        </is>
      </c>
      <c r="B1589" s="25" t="inlineStr">
        <is>
          <t>2025-11-07</t>
        </is>
      </c>
      <c r="C1589" s="25" t="inlineStr">
        <is>
          <t>21:14:44</t>
        </is>
      </c>
      <c r="D1589" s="25" t="n">
        <v>1044</v>
      </c>
      <c r="E1589" s="25" t="n">
        <v>109</v>
      </c>
      <c r="F1589" s="25" t="n">
        <v>225</v>
      </c>
      <c r="G1589" s="25" t="inlineStr">
        <is>
          <t>Hyderabad</t>
        </is>
      </c>
      <c r="H1589" s="25" t="inlineStr">
        <is>
          <t>Biryani</t>
        </is>
      </c>
      <c r="I1589" s="26" t="n">
        <v>618</v>
      </c>
      <c r="J1589" s="26" t="n">
        <v>86.11</v>
      </c>
      <c r="K1589" s="26" t="n">
        <v>0</v>
      </c>
      <c r="L1589" s="27" t="n">
        <v>0.2</v>
      </c>
      <c r="M1589" s="26" t="n">
        <v>123.6</v>
      </c>
      <c r="N1589" s="28" t="n">
        <v>2.9</v>
      </c>
      <c r="O1589" s="28" t="n">
        <v>28.7</v>
      </c>
      <c r="P1589" s="25" t="inlineStr">
        <is>
          <t>Credit Card</t>
        </is>
      </c>
      <c r="Q1589" s="25" t="inlineStr">
        <is>
          <t>Delivered</t>
        </is>
      </c>
      <c r="R1589" s="25" t="n">
        <v>4</v>
      </c>
      <c r="S1589" s="25">
        <f>TEXT(B1589,"yyyy-mm")</f>
        <v/>
      </c>
      <c r="T1589" s="25">
        <f>VLOOKUP(D1589,Customers!A:D,4,FALSE)</f>
        <v/>
      </c>
      <c r="U1589" s="25">
        <f>CONCATENATE(A1589,"-",G1589)</f>
        <v/>
      </c>
      <c r="V1589" s="25">
        <f>IF(N1589="","",IF(N1589&lt;=30,"Fast (&lt;30m)",IF(N1589&lt;=45,"Moderate (30-45m)","Delayed (&gt;45m)")))</f>
        <v/>
      </c>
      <c r="W1589" s="25">
        <f>IF(AND(I1589&gt;600,P1589="Delivered"),"High Value Delivered","Standard")</f>
        <v/>
      </c>
      <c r="X1589" s="25">
        <f>IF(OR(N1589&gt;50,Q1589&lt;=2),"High Risk / Delayed","Normal")</f>
        <v/>
      </c>
      <c r="Y1589" s="25">
        <f>IF(NOT(P1589="Cancelled"),"Fulfilled","Cancelled")</f>
        <v/>
      </c>
      <c r="Z1589" s="25">
        <f>IFERROR(Q1589,0)</f>
        <v/>
      </c>
    </row>
    <row r="1590">
      <c r="A1590" s="17" t="inlineStr">
        <is>
          <t>ORD2589</t>
        </is>
      </c>
      <c r="B1590" s="17" t="inlineStr">
        <is>
          <t>2025-09-18</t>
        </is>
      </c>
      <c r="C1590" s="17" t="inlineStr">
        <is>
          <t>16:19:18</t>
        </is>
      </c>
      <c r="D1590" s="17" t="n">
        <v>1203</v>
      </c>
      <c r="E1590" s="17" t="n">
        <v>118</v>
      </c>
      <c r="F1590" s="17" t="n">
        <v>219</v>
      </c>
      <c r="G1590" s="17" t="inlineStr">
        <is>
          <t>Delhi NCR</t>
        </is>
      </c>
      <c r="H1590" s="17" t="inlineStr">
        <is>
          <t>North Indian</t>
        </is>
      </c>
      <c r="I1590" s="22" t="n">
        <v>889</v>
      </c>
      <c r="J1590" s="22" t="n">
        <v>28.53</v>
      </c>
      <c r="K1590" s="22" t="n">
        <v>42.5</v>
      </c>
      <c r="L1590" s="23" t="n">
        <v>0.2</v>
      </c>
      <c r="M1590" s="22" t="n">
        <v>188.42</v>
      </c>
      <c r="N1590" s="24" t="n">
        <v>6.5</v>
      </c>
      <c r="O1590" s="24" t="n">
        <v>41.1</v>
      </c>
      <c r="P1590" s="17" t="inlineStr">
        <is>
          <t>Credit Card</t>
        </is>
      </c>
      <c r="Q1590" s="17" t="inlineStr">
        <is>
          <t>Delivered</t>
        </is>
      </c>
      <c r="R1590" s="17" t="n">
        <v>2</v>
      </c>
      <c r="S1590" s="17">
        <f>TEXT(B1590,"yyyy-mm")</f>
        <v/>
      </c>
      <c r="T1590" s="17">
        <f>VLOOKUP(D1590,Customers!A:D,4,FALSE)</f>
        <v/>
      </c>
      <c r="U1590" s="17">
        <f>CONCATENATE(A1590,"-",G1590)</f>
        <v/>
      </c>
      <c r="V1590" s="17">
        <f>IF(N1590="","",IF(N1590&lt;=30,"Fast (&lt;30m)",IF(N1590&lt;=45,"Moderate (30-45m)","Delayed (&gt;45m)")))</f>
        <v/>
      </c>
      <c r="W1590" s="17">
        <f>IF(AND(I1590&gt;600,P1590="Delivered"),"High Value Delivered","Standard")</f>
        <v/>
      </c>
      <c r="X1590" s="17">
        <f>IF(OR(N1590&gt;50,Q1590&lt;=2),"High Risk / Delayed","Normal")</f>
        <v/>
      </c>
      <c r="Y1590" s="17">
        <f>IF(NOT(P1590="Cancelled"),"Fulfilled","Cancelled")</f>
        <v/>
      </c>
      <c r="Z1590" s="17">
        <f>IFERROR(Q1590,0)</f>
        <v/>
      </c>
    </row>
    <row r="1591">
      <c r="A1591" s="25" t="inlineStr">
        <is>
          <t>ORD2590</t>
        </is>
      </c>
      <c r="B1591" s="25" t="inlineStr">
        <is>
          <t>2025-05-04</t>
        </is>
      </c>
      <c r="C1591" s="25" t="inlineStr">
        <is>
          <t>20:29:09</t>
        </is>
      </c>
      <c r="D1591" s="25" t="n">
        <v>1003</v>
      </c>
      <c r="E1591" s="25" t="n">
        <v>116</v>
      </c>
      <c r="F1591" s="25" t="n">
        <v>204</v>
      </c>
      <c r="G1591" s="25" t="inlineStr">
        <is>
          <t>Pune</t>
        </is>
      </c>
      <c r="H1591" s="25" t="inlineStr">
        <is>
          <t>Desserts</t>
        </is>
      </c>
      <c r="I1591" s="26" t="n">
        <v>940</v>
      </c>
      <c r="J1591" s="26" t="n">
        <v>57.21</v>
      </c>
      <c r="K1591" s="26" t="n">
        <v>58</v>
      </c>
      <c r="L1591" s="27" t="n">
        <v>0.25</v>
      </c>
      <c r="M1591" s="26" t="n">
        <v>249.5</v>
      </c>
      <c r="N1591" s="28" t="n">
        <v>9.6</v>
      </c>
      <c r="O1591" s="28" t="n">
        <v>49.6</v>
      </c>
      <c r="P1591" s="25" t="inlineStr">
        <is>
          <t>Digital Wallet</t>
        </is>
      </c>
      <c r="Q1591" s="25" t="inlineStr">
        <is>
          <t>Delivered</t>
        </is>
      </c>
      <c r="R1591" s="25" t="n">
        <v>5</v>
      </c>
      <c r="S1591" s="25">
        <f>TEXT(B1591,"yyyy-mm")</f>
        <v/>
      </c>
      <c r="T1591" s="25">
        <f>VLOOKUP(D1591,Customers!A:D,4,FALSE)</f>
        <v/>
      </c>
      <c r="U1591" s="25">
        <f>CONCATENATE(A1591,"-",G1591)</f>
        <v/>
      </c>
      <c r="V1591" s="25">
        <f>IF(N1591="","",IF(N1591&lt;=30,"Fast (&lt;30m)",IF(N1591&lt;=45,"Moderate (30-45m)","Delayed (&gt;45m)")))</f>
        <v/>
      </c>
      <c r="W1591" s="25">
        <f>IF(AND(I1591&gt;600,P1591="Delivered"),"High Value Delivered","Standard")</f>
        <v/>
      </c>
      <c r="X1591" s="25">
        <f>IF(OR(N1591&gt;50,Q1591&lt;=2),"High Risk / Delayed","Normal")</f>
        <v/>
      </c>
      <c r="Y1591" s="25">
        <f>IF(NOT(P1591="Cancelled"),"Fulfilled","Cancelled")</f>
        <v/>
      </c>
      <c r="Z1591" s="25">
        <f>IFERROR(Q1591,0)</f>
        <v/>
      </c>
    </row>
    <row r="1592">
      <c r="A1592" s="17" t="inlineStr">
        <is>
          <t>ORD2591</t>
        </is>
      </c>
      <c r="B1592" s="17" t="inlineStr">
        <is>
          <t>2025-02-25</t>
        </is>
      </c>
      <c r="C1592" s="17" t="inlineStr">
        <is>
          <t>00:28:08</t>
        </is>
      </c>
      <c r="D1592" s="17" t="n">
        <v>1089</v>
      </c>
      <c r="E1592" s="17" t="n">
        <v>111</v>
      </c>
      <c r="F1592" s="17" t="n">
        <v>210</v>
      </c>
      <c r="G1592" s="17" t="inlineStr">
        <is>
          <t>Bangalore</t>
        </is>
      </c>
      <c r="H1592" s="17" t="inlineStr">
        <is>
          <t>South Indian</t>
        </is>
      </c>
      <c r="I1592" s="22" t="n">
        <v>657</v>
      </c>
      <c r="J1592" s="22" t="n">
        <v>70.53</v>
      </c>
      <c r="K1592" s="22" t="n">
        <v>0</v>
      </c>
      <c r="L1592" s="23" t="n">
        <v>0.15</v>
      </c>
      <c r="M1592" s="22" t="n">
        <v>98.55</v>
      </c>
      <c r="N1592" s="24" t="n">
        <v>4.7</v>
      </c>
      <c r="O1592" s="24" t="n">
        <v>38.6</v>
      </c>
      <c r="P1592" s="17" t="inlineStr">
        <is>
          <t>Debit Card</t>
        </is>
      </c>
      <c r="Q1592" s="17" t="inlineStr">
        <is>
          <t>Delivered</t>
        </is>
      </c>
      <c r="R1592" s="17" t="n">
        <v>5</v>
      </c>
      <c r="S1592" s="17">
        <f>TEXT(B1592,"yyyy-mm")</f>
        <v/>
      </c>
      <c r="T1592" s="17">
        <f>VLOOKUP(D1592,Customers!A:D,4,FALSE)</f>
        <v/>
      </c>
      <c r="U1592" s="17">
        <f>CONCATENATE(A1592,"-",G1592)</f>
        <v/>
      </c>
      <c r="V1592" s="17">
        <f>IF(N1592="","",IF(N1592&lt;=30,"Fast (&lt;30m)",IF(N1592&lt;=45,"Moderate (30-45m)","Delayed (&gt;45m)")))</f>
        <v/>
      </c>
      <c r="W1592" s="17">
        <f>IF(AND(I1592&gt;600,P1592="Delivered"),"High Value Delivered","Standard")</f>
        <v/>
      </c>
      <c r="X1592" s="17">
        <f>IF(OR(N1592&gt;50,Q1592&lt;=2),"High Risk / Delayed","Normal")</f>
        <v/>
      </c>
      <c r="Y1592" s="17">
        <f>IF(NOT(P1592="Cancelled"),"Fulfilled","Cancelled")</f>
        <v/>
      </c>
      <c r="Z1592" s="17">
        <f>IFERROR(Q1592,0)</f>
        <v/>
      </c>
    </row>
    <row r="1593">
      <c r="A1593" s="25" t="inlineStr">
        <is>
          <t>ORD2592</t>
        </is>
      </c>
      <c r="B1593" s="25" t="inlineStr">
        <is>
          <t>2025-07-29</t>
        </is>
      </c>
      <c r="C1593" s="25" t="inlineStr">
        <is>
          <t>22:07:59</t>
        </is>
      </c>
      <c r="D1593" s="25" t="n">
        <v>1003</v>
      </c>
      <c r="E1593" s="25" t="n">
        <v>106</v>
      </c>
      <c r="F1593" s="25" t="n">
        <v>207</v>
      </c>
      <c r="G1593" s="25" t="inlineStr">
        <is>
          <t>Pune</t>
        </is>
      </c>
      <c r="H1593" s="25" t="inlineStr">
        <is>
          <t>South Indian</t>
        </is>
      </c>
      <c r="I1593" s="26" t="n">
        <v>879</v>
      </c>
      <c r="J1593" s="26" t="n">
        <v>85.06999999999999</v>
      </c>
      <c r="K1593" s="26" t="n">
        <v>36</v>
      </c>
      <c r="L1593" s="27" t="n">
        <v>0.15</v>
      </c>
      <c r="M1593" s="26" t="n">
        <v>140.85</v>
      </c>
      <c r="N1593" s="28" t="n">
        <v>5.2</v>
      </c>
      <c r="O1593" s="28" t="n">
        <v>42.5</v>
      </c>
      <c r="P1593" s="25" t="inlineStr">
        <is>
          <t>Digital Wallet</t>
        </is>
      </c>
      <c r="Q1593" s="25" t="inlineStr">
        <is>
          <t>Delivered</t>
        </is>
      </c>
      <c r="R1593" s="25" t="n">
        <v>4</v>
      </c>
      <c r="S1593" s="25">
        <f>TEXT(B1593,"yyyy-mm")</f>
        <v/>
      </c>
      <c r="T1593" s="25">
        <f>VLOOKUP(D1593,Customers!A:D,4,FALSE)</f>
        <v/>
      </c>
      <c r="U1593" s="25">
        <f>CONCATENATE(A1593,"-",G1593)</f>
        <v/>
      </c>
      <c r="V1593" s="25">
        <f>IF(N1593="","",IF(N1593&lt;=30,"Fast (&lt;30m)",IF(N1593&lt;=45,"Moderate (30-45m)","Delayed (&gt;45m)")))</f>
        <v/>
      </c>
      <c r="W1593" s="25">
        <f>IF(AND(I1593&gt;600,P1593="Delivered"),"High Value Delivered","Standard")</f>
        <v/>
      </c>
      <c r="X1593" s="25">
        <f>IF(OR(N1593&gt;50,Q1593&lt;=2),"High Risk / Delayed","Normal")</f>
        <v/>
      </c>
      <c r="Y1593" s="25">
        <f>IF(NOT(P1593="Cancelled"),"Fulfilled","Cancelled")</f>
        <v/>
      </c>
      <c r="Z1593" s="25">
        <f>IFERROR(Q1593,0)</f>
        <v/>
      </c>
    </row>
    <row r="1594">
      <c r="A1594" s="17" t="inlineStr">
        <is>
          <t>ORD2593</t>
        </is>
      </c>
      <c r="B1594" s="17" t="inlineStr">
        <is>
          <t>2025-12-02</t>
        </is>
      </c>
      <c r="C1594" s="17" t="inlineStr">
        <is>
          <t>19:02:23</t>
        </is>
      </c>
      <c r="D1594" s="17" t="n">
        <v>1164</v>
      </c>
      <c r="E1594" s="17" t="n">
        <v>116</v>
      </c>
      <c r="F1594" s="17" t="n">
        <v>226</v>
      </c>
      <c r="G1594" s="17" t="inlineStr">
        <is>
          <t>Pune</t>
        </is>
      </c>
      <c r="H1594" s="17" t="inlineStr">
        <is>
          <t>Desserts</t>
        </is>
      </c>
      <c r="I1594" s="22" t="n">
        <v>380</v>
      </c>
      <c r="J1594" s="22" t="n">
        <v>0</v>
      </c>
      <c r="K1594" s="22" t="n">
        <v>34.5</v>
      </c>
      <c r="L1594" s="23" t="n">
        <v>0.25</v>
      </c>
      <c r="M1594" s="22" t="n">
        <v>103.62</v>
      </c>
      <c r="N1594" s="24" t="n">
        <v>4.9</v>
      </c>
      <c r="O1594" s="24" t="n">
        <v>34.3</v>
      </c>
      <c r="P1594" s="17" t="inlineStr">
        <is>
          <t>UPI</t>
        </is>
      </c>
      <c r="Q1594" s="17" t="inlineStr">
        <is>
          <t>Delivered</t>
        </is>
      </c>
      <c r="R1594" s="17" t="n">
        <v>5</v>
      </c>
      <c r="S1594" s="17">
        <f>TEXT(B1594,"yyyy-mm")</f>
        <v/>
      </c>
      <c r="T1594" s="17">
        <f>VLOOKUP(D1594,Customers!A:D,4,FALSE)</f>
        <v/>
      </c>
      <c r="U1594" s="17">
        <f>CONCATENATE(A1594,"-",G1594)</f>
        <v/>
      </c>
      <c r="V1594" s="17">
        <f>IF(N1594="","",IF(N1594&lt;=30,"Fast (&lt;30m)",IF(N1594&lt;=45,"Moderate (30-45m)","Delayed (&gt;45m)")))</f>
        <v/>
      </c>
      <c r="W1594" s="17">
        <f>IF(AND(I1594&gt;600,P1594="Delivered"),"High Value Delivered","Standard")</f>
        <v/>
      </c>
      <c r="X1594" s="17">
        <f>IF(OR(N1594&gt;50,Q1594&lt;=2),"High Risk / Delayed","Normal")</f>
        <v/>
      </c>
      <c r="Y1594" s="17">
        <f>IF(NOT(P1594="Cancelled"),"Fulfilled","Cancelled")</f>
        <v/>
      </c>
      <c r="Z1594" s="17">
        <f>IFERROR(Q1594,0)</f>
        <v/>
      </c>
    </row>
    <row r="1595">
      <c r="A1595" s="25" t="inlineStr">
        <is>
          <t>ORD2594</t>
        </is>
      </c>
      <c r="B1595" s="25" t="inlineStr">
        <is>
          <t>2025-07-19</t>
        </is>
      </c>
      <c r="C1595" s="25" t="inlineStr">
        <is>
          <t>08:11:52</t>
        </is>
      </c>
      <c r="D1595" s="25" t="n">
        <v>1186</v>
      </c>
      <c r="E1595" s="25" t="n">
        <v>119</v>
      </c>
      <c r="F1595" s="25" t="n">
        <v>216</v>
      </c>
      <c r="G1595" s="25" t="inlineStr">
        <is>
          <t>Hyderabad</t>
        </is>
      </c>
      <c r="H1595" s="25" t="inlineStr">
        <is>
          <t>Biryani</t>
        </is>
      </c>
      <c r="I1595" s="26" t="n">
        <v>729</v>
      </c>
      <c r="J1595" s="26" t="n">
        <v>60.1</v>
      </c>
      <c r="K1595" s="26" t="n">
        <v>44.5</v>
      </c>
      <c r="L1595" s="27" t="n">
        <v>0.2</v>
      </c>
      <c r="M1595" s="26" t="n">
        <v>156.93</v>
      </c>
      <c r="N1595" s="28" t="n">
        <v>6.9</v>
      </c>
      <c r="O1595" s="28" t="n">
        <v>46.1</v>
      </c>
      <c r="P1595" s="25" t="inlineStr">
        <is>
          <t>Debit Card</t>
        </is>
      </c>
      <c r="Q1595" s="25" t="inlineStr">
        <is>
          <t>Delivered</t>
        </is>
      </c>
      <c r="R1595" s="25" t="n">
        <v>3</v>
      </c>
      <c r="S1595" s="25">
        <f>TEXT(B1595,"yyyy-mm")</f>
        <v/>
      </c>
      <c r="T1595" s="25">
        <f>VLOOKUP(D1595,Customers!A:D,4,FALSE)</f>
        <v/>
      </c>
      <c r="U1595" s="25">
        <f>CONCATENATE(A1595,"-",G1595)</f>
        <v/>
      </c>
      <c r="V1595" s="25">
        <f>IF(N1595="","",IF(N1595&lt;=30,"Fast (&lt;30m)",IF(N1595&lt;=45,"Moderate (30-45m)","Delayed (&gt;45m)")))</f>
        <v/>
      </c>
      <c r="W1595" s="25">
        <f>IF(AND(I1595&gt;600,P1595="Delivered"),"High Value Delivered","Standard")</f>
        <v/>
      </c>
      <c r="X1595" s="25">
        <f>IF(OR(N1595&gt;50,Q1595&lt;=2),"High Risk / Delayed","Normal")</f>
        <v/>
      </c>
      <c r="Y1595" s="25">
        <f>IF(NOT(P1595="Cancelled"),"Fulfilled","Cancelled")</f>
        <v/>
      </c>
      <c r="Z1595" s="25">
        <f>IFERROR(Q1595,0)</f>
        <v/>
      </c>
    </row>
    <row r="1596">
      <c r="A1596" s="17" t="inlineStr">
        <is>
          <t>ORD2595</t>
        </is>
      </c>
      <c r="B1596" s="17" t="inlineStr">
        <is>
          <t>2025-12-29</t>
        </is>
      </c>
      <c r="C1596" s="17" t="inlineStr">
        <is>
          <t>11:27:42</t>
        </is>
      </c>
      <c r="D1596" s="17" t="n">
        <v>1048</v>
      </c>
      <c r="E1596" s="17" t="n">
        <v>102</v>
      </c>
      <c r="F1596" s="17" t="n">
        <v>216</v>
      </c>
      <c r="G1596" s="17" t="inlineStr">
        <is>
          <t>Hyderabad</t>
        </is>
      </c>
      <c r="H1596" s="17" t="inlineStr">
        <is>
          <t>Biryani</t>
        </is>
      </c>
      <c r="I1596" s="22" t="n">
        <v>542</v>
      </c>
      <c r="J1596" s="22" t="n">
        <v>32.59</v>
      </c>
      <c r="K1596" s="22" t="n">
        <v>25</v>
      </c>
      <c r="L1596" s="23" t="n">
        <v>0.22</v>
      </c>
      <c r="M1596" s="22" t="n">
        <v>125.49</v>
      </c>
      <c r="N1596" s="24" t="n">
        <v>2.9</v>
      </c>
      <c r="O1596" s="24" t="n">
        <v>35.5</v>
      </c>
      <c r="P1596" s="17" t="inlineStr">
        <is>
          <t>Credit Card</t>
        </is>
      </c>
      <c r="Q1596" s="17" t="inlineStr">
        <is>
          <t>Delivered</t>
        </is>
      </c>
      <c r="R1596" s="17" t="n">
        <v>4</v>
      </c>
      <c r="S1596" s="17">
        <f>TEXT(B1596,"yyyy-mm")</f>
        <v/>
      </c>
      <c r="T1596" s="17">
        <f>VLOOKUP(D1596,Customers!A:D,4,FALSE)</f>
        <v/>
      </c>
      <c r="U1596" s="17">
        <f>CONCATENATE(A1596,"-",G1596)</f>
        <v/>
      </c>
      <c r="V1596" s="17">
        <f>IF(N1596="","",IF(N1596&lt;=30,"Fast (&lt;30m)",IF(N1596&lt;=45,"Moderate (30-45m)","Delayed (&gt;45m)")))</f>
        <v/>
      </c>
      <c r="W1596" s="17">
        <f>IF(AND(I1596&gt;600,P1596="Delivered"),"High Value Delivered","Standard")</f>
        <v/>
      </c>
      <c r="X1596" s="17">
        <f>IF(OR(N1596&gt;50,Q1596&lt;=2),"High Risk / Delayed","Normal")</f>
        <v/>
      </c>
      <c r="Y1596" s="17">
        <f>IF(NOT(P1596="Cancelled"),"Fulfilled","Cancelled")</f>
        <v/>
      </c>
      <c r="Z1596" s="17">
        <f>IFERROR(Q1596,0)</f>
        <v/>
      </c>
    </row>
    <row r="1597">
      <c r="A1597" s="25" t="inlineStr">
        <is>
          <t>ORD2596</t>
        </is>
      </c>
      <c r="B1597" s="25" t="inlineStr">
        <is>
          <t>2025-05-09</t>
        </is>
      </c>
      <c r="C1597" s="25" t="inlineStr">
        <is>
          <t>12:26:05</t>
        </is>
      </c>
      <c r="D1597" s="25" t="n">
        <v>1269</v>
      </c>
      <c r="E1597" s="25" t="n">
        <v>107</v>
      </c>
      <c r="F1597" s="25" t="n">
        <v>206</v>
      </c>
      <c r="G1597" s="25" t="inlineStr">
        <is>
          <t>Mumbai</t>
        </is>
      </c>
      <c r="H1597" s="25" t="inlineStr">
        <is>
          <t>Desserts</t>
        </is>
      </c>
      <c r="I1597" s="26" t="n">
        <v>718</v>
      </c>
      <c r="J1597" s="26" t="n">
        <v>19.22</v>
      </c>
      <c r="K1597" s="26" t="n">
        <v>25</v>
      </c>
      <c r="L1597" s="27" t="n">
        <v>0.25</v>
      </c>
      <c r="M1597" s="26" t="n">
        <v>185.75</v>
      </c>
      <c r="N1597" s="28" t="n">
        <v>2.9</v>
      </c>
      <c r="O1597" s="28" t="n">
        <v>35.7</v>
      </c>
      <c r="P1597" s="25" t="inlineStr">
        <is>
          <t>Credit Card</t>
        </is>
      </c>
      <c r="Q1597" s="25" t="inlineStr">
        <is>
          <t>Delivered</t>
        </is>
      </c>
      <c r="R1597" s="25" t="n">
        <v>3</v>
      </c>
      <c r="S1597" s="25">
        <f>TEXT(B1597,"yyyy-mm")</f>
        <v/>
      </c>
      <c r="T1597" s="25">
        <f>VLOOKUP(D1597,Customers!A:D,4,FALSE)</f>
        <v/>
      </c>
      <c r="U1597" s="25">
        <f>CONCATENATE(A1597,"-",G1597)</f>
        <v/>
      </c>
      <c r="V1597" s="25">
        <f>IF(N1597="","",IF(N1597&lt;=30,"Fast (&lt;30m)",IF(N1597&lt;=45,"Moderate (30-45m)","Delayed (&gt;45m)")))</f>
        <v/>
      </c>
      <c r="W1597" s="25">
        <f>IF(AND(I1597&gt;600,P1597="Delivered"),"High Value Delivered","Standard")</f>
        <v/>
      </c>
      <c r="X1597" s="25">
        <f>IF(OR(N1597&gt;50,Q1597&lt;=2),"High Risk / Delayed","Normal")</f>
        <v/>
      </c>
      <c r="Y1597" s="25">
        <f>IF(NOT(P1597="Cancelled"),"Fulfilled","Cancelled")</f>
        <v/>
      </c>
      <c r="Z1597" s="25">
        <f>IFERROR(Q1597,0)</f>
        <v/>
      </c>
    </row>
    <row r="1598">
      <c r="A1598" s="17" t="inlineStr">
        <is>
          <t>ORD2597</t>
        </is>
      </c>
      <c r="B1598" s="17" t="inlineStr">
        <is>
          <t>2025-05-23</t>
        </is>
      </c>
      <c r="C1598" s="17" t="inlineStr">
        <is>
          <t>17:58:12</t>
        </is>
      </c>
      <c r="D1598" s="17" t="n">
        <v>1195</v>
      </c>
      <c r="E1598" s="17" t="n">
        <v>113</v>
      </c>
      <c r="F1598" s="17" t="n">
        <v>202</v>
      </c>
      <c r="G1598" s="17" t="inlineStr">
        <is>
          <t>Mumbai</t>
        </is>
      </c>
      <c r="H1598" s="17" t="inlineStr">
        <is>
          <t>Fast Food</t>
        </is>
      </c>
      <c r="I1598" s="22" t="n">
        <v>404</v>
      </c>
      <c r="J1598" s="22" t="n">
        <v>0</v>
      </c>
      <c r="K1598" s="22" t="n">
        <v>32.5</v>
      </c>
      <c r="L1598" s="23" t="n">
        <v>0.18</v>
      </c>
      <c r="M1598" s="22" t="n">
        <v>80.84</v>
      </c>
      <c r="N1598" s="24" t="n">
        <v>4.5</v>
      </c>
      <c r="O1598" s="24" t="n">
        <v>41.3</v>
      </c>
      <c r="P1598" s="17" t="inlineStr">
        <is>
          <t>Debit Card</t>
        </is>
      </c>
      <c r="Q1598" s="17" t="inlineStr">
        <is>
          <t>Delivered</t>
        </is>
      </c>
      <c r="R1598" s="17" t="n">
        <v>2</v>
      </c>
      <c r="S1598" s="17">
        <f>TEXT(B1598,"yyyy-mm")</f>
        <v/>
      </c>
      <c r="T1598" s="17">
        <f>VLOOKUP(D1598,Customers!A:D,4,FALSE)</f>
        <v/>
      </c>
      <c r="U1598" s="17">
        <f>CONCATENATE(A1598,"-",G1598)</f>
        <v/>
      </c>
      <c r="V1598" s="17">
        <f>IF(N1598="","",IF(N1598&lt;=30,"Fast (&lt;30m)",IF(N1598&lt;=45,"Moderate (30-45m)","Delayed (&gt;45m)")))</f>
        <v/>
      </c>
      <c r="W1598" s="17">
        <f>IF(AND(I1598&gt;600,P1598="Delivered"),"High Value Delivered","Standard")</f>
        <v/>
      </c>
      <c r="X1598" s="17">
        <f>IF(OR(N1598&gt;50,Q1598&lt;=2),"High Risk / Delayed","Normal")</f>
        <v/>
      </c>
      <c r="Y1598" s="17">
        <f>IF(NOT(P1598="Cancelled"),"Fulfilled","Cancelled")</f>
        <v/>
      </c>
      <c r="Z1598" s="17">
        <f>IFERROR(Q1598,0)</f>
        <v/>
      </c>
    </row>
    <row r="1599">
      <c r="A1599" s="25" t="inlineStr">
        <is>
          <t>ORD2598</t>
        </is>
      </c>
      <c r="B1599" s="25" t="inlineStr">
        <is>
          <t>2025-01-02</t>
        </is>
      </c>
      <c r="C1599" s="25" t="inlineStr">
        <is>
          <t>21:06:30</t>
        </is>
      </c>
      <c r="D1599" s="25" t="n">
        <v>1267</v>
      </c>
      <c r="E1599" s="25" t="n">
        <v>105</v>
      </c>
      <c r="F1599" s="25" t="n">
        <v>203</v>
      </c>
      <c r="G1599" s="25" t="inlineStr">
        <is>
          <t>Bangalore</t>
        </is>
      </c>
      <c r="H1599" s="25" t="inlineStr">
        <is>
          <t>Chinese</t>
        </is>
      </c>
      <c r="I1599" s="26" t="n">
        <v>733</v>
      </c>
      <c r="J1599" s="26" t="n">
        <v>47</v>
      </c>
      <c r="K1599" s="26" t="n">
        <v>25</v>
      </c>
      <c r="L1599" s="27" t="n">
        <v>0.2</v>
      </c>
      <c r="M1599" s="26" t="n">
        <v>152.85</v>
      </c>
      <c r="N1599" s="28" t="n">
        <v>1.9</v>
      </c>
      <c r="O1599" s="28" t="n">
        <v>21.5</v>
      </c>
      <c r="P1599" s="25" t="inlineStr">
        <is>
          <t>Digital Wallet</t>
        </is>
      </c>
      <c r="Q1599" s="25" t="inlineStr">
        <is>
          <t>Delivered</t>
        </is>
      </c>
      <c r="R1599" s="25" t="n">
        <v>3</v>
      </c>
      <c r="S1599" s="25">
        <f>TEXT(B1599,"yyyy-mm")</f>
        <v/>
      </c>
      <c r="T1599" s="25">
        <f>VLOOKUP(D1599,Customers!A:D,4,FALSE)</f>
        <v/>
      </c>
      <c r="U1599" s="25">
        <f>CONCATENATE(A1599,"-",G1599)</f>
        <v/>
      </c>
      <c r="V1599" s="25">
        <f>IF(N1599="","",IF(N1599&lt;=30,"Fast (&lt;30m)",IF(N1599&lt;=45,"Moderate (30-45m)","Delayed (&gt;45m)")))</f>
        <v/>
      </c>
      <c r="W1599" s="25">
        <f>IF(AND(I1599&gt;600,P1599="Delivered"),"High Value Delivered","Standard")</f>
        <v/>
      </c>
      <c r="X1599" s="25">
        <f>IF(OR(N1599&gt;50,Q1599&lt;=2),"High Risk / Delayed","Normal")</f>
        <v/>
      </c>
      <c r="Y1599" s="25">
        <f>IF(NOT(P1599="Cancelled"),"Fulfilled","Cancelled")</f>
        <v/>
      </c>
      <c r="Z1599" s="25">
        <f>IFERROR(Q1599,0)</f>
        <v/>
      </c>
    </row>
    <row r="1600">
      <c r="A1600" s="17" t="inlineStr">
        <is>
          <t>ORD2599</t>
        </is>
      </c>
      <c r="B1600" s="17" t="inlineStr">
        <is>
          <t>2025-08-11</t>
        </is>
      </c>
      <c r="C1600" s="17" t="inlineStr">
        <is>
          <t>21:49:46</t>
        </is>
      </c>
      <c r="D1600" s="17" t="n">
        <v>1040</v>
      </c>
      <c r="E1600" s="17" t="n">
        <v>120</v>
      </c>
      <c r="F1600" s="17" t="n">
        <v>209</v>
      </c>
      <c r="G1600" s="17" t="inlineStr">
        <is>
          <t>Pune</t>
        </is>
      </c>
      <c r="H1600" s="17" t="inlineStr">
        <is>
          <t>Fast Food</t>
        </is>
      </c>
      <c r="I1600" s="22" t="n">
        <v>260</v>
      </c>
      <c r="J1600" s="22" t="n">
        <v>0</v>
      </c>
      <c r="K1600" s="22" t="n">
        <v>34.5</v>
      </c>
      <c r="L1600" s="23" t="n">
        <v>0.18</v>
      </c>
      <c r="M1600" s="22" t="n">
        <v>55.42</v>
      </c>
      <c r="N1600" s="24" t="n">
        <v>4.9</v>
      </c>
      <c r="O1600" s="24" t="n">
        <v>37.9</v>
      </c>
      <c r="P1600" s="17" t="inlineStr">
        <is>
          <t>Digital Wallet</t>
        </is>
      </c>
      <c r="Q1600" s="17" t="inlineStr">
        <is>
          <t>Delivered</t>
        </is>
      </c>
      <c r="R1600" s="17" t="n">
        <v>2</v>
      </c>
      <c r="S1600" s="17">
        <f>TEXT(B1600,"yyyy-mm")</f>
        <v/>
      </c>
      <c r="T1600" s="17">
        <f>VLOOKUP(D1600,Customers!A:D,4,FALSE)</f>
        <v/>
      </c>
      <c r="U1600" s="17">
        <f>CONCATENATE(A1600,"-",G1600)</f>
        <v/>
      </c>
      <c r="V1600" s="17">
        <f>IF(N1600="","",IF(N1600&lt;=30,"Fast (&lt;30m)",IF(N1600&lt;=45,"Moderate (30-45m)","Delayed (&gt;45m)")))</f>
        <v/>
      </c>
      <c r="W1600" s="17">
        <f>IF(AND(I1600&gt;600,P1600="Delivered"),"High Value Delivered","Standard")</f>
        <v/>
      </c>
      <c r="X1600" s="17">
        <f>IF(OR(N1600&gt;50,Q1600&lt;=2),"High Risk / Delayed","Normal")</f>
        <v/>
      </c>
      <c r="Y1600" s="17">
        <f>IF(NOT(P1600="Cancelled"),"Fulfilled","Cancelled")</f>
        <v/>
      </c>
      <c r="Z1600" s="17">
        <f>IFERROR(Q1600,0)</f>
        <v/>
      </c>
    </row>
    <row r="1601">
      <c r="A1601" s="25" t="inlineStr">
        <is>
          <t>ORD2600</t>
        </is>
      </c>
      <c r="B1601" s="25" t="inlineStr">
        <is>
          <t>2025-05-26</t>
        </is>
      </c>
      <c r="C1601" s="25" t="inlineStr">
        <is>
          <t>20:21:01</t>
        </is>
      </c>
      <c r="D1601" s="25" t="n">
        <v>1263</v>
      </c>
      <c r="E1601" s="25" t="n">
        <v>104</v>
      </c>
      <c r="F1601" s="25" t="n">
        <v>219</v>
      </c>
      <c r="G1601" s="25" t="inlineStr">
        <is>
          <t>Delhi NCR</t>
        </is>
      </c>
      <c r="H1601" s="25" t="inlineStr">
        <is>
          <t>Fast Food</t>
        </is>
      </c>
      <c r="I1601" s="26" t="n">
        <v>637</v>
      </c>
      <c r="J1601" s="26" t="n">
        <v>49.18</v>
      </c>
      <c r="K1601" s="26" t="n">
        <v>25</v>
      </c>
      <c r="L1601" s="27" t="n">
        <v>0.18</v>
      </c>
      <c r="M1601" s="26" t="n">
        <v>120.91</v>
      </c>
      <c r="N1601" s="28" t="n">
        <v>2.1</v>
      </c>
      <c r="O1601" s="28" t="n">
        <v>21.1</v>
      </c>
      <c r="P1601" s="25" t="inlineStr">
        <is>
          <t>Cash on Delivery</t>
        </is>
      </c>
      <c r="Q1601" s="25" t="inlineStr">
        <is>
          <t>Delivered</t>
        </is>
      </c>
      <c r="R1601" s="25" t="n">
        <v>5</v>
      </c>
      <c r="S1601" s="25">
        <f>TEXT(B1601,"yyyy-mm")</f>
        <v/>
      </c>
      <c r="T1601" s="25">
        <f>VLOOKUP(D1601,Customers!A:D,4,FALSE)</f>
        <v/>
      </c>
      <c r="U1601" s="25">
        <f>CONCATENATE(A1601,"-",G1601)</f>
        <v/>
      </c>
      <c r="V1601" s="25">
        <f>IF(N1601="","",IF(N1601&lt;=30,"Fast (&lt;30m)",IF(N1601&lt;=45,"Moderate (30-45m)","Delayed (&gt;45m)")))</f>
        <v/>
      </c>
      <c r="W1601" s="25">
        <f>IF(AND(I1601&gt;600,P1601="Delivered"),"High Value Delivered","Standard")</f>
        <v/>
      </c>
      <c r="X1601" s="25">
        <f>IF(OR(N1601&gt;50,Q1601&lt;=2),"High Risk / Delayed","Normal")</f>
        <v/>
      </c>
      <c r="Y1601" s="25">
        <f>IF(NOT(P1601="Cancelled"),"Fulfilled","Cancelled")</f>
        <v/>
      </c>
      <c r="Z1601" s="25">
        <f>IFERROR(Q1601,0)</f>
        <v/>
      </c>
    </row>
    <row r="1602">
      <c r="A1602" s="17" t="inlineStr">
        <is>
          <t>ORD2601</t>
        </is>
      </c>
      <c r="B1602" s="17" t="inlineStr">
        <is>
          <t>2025-10-30</t>
        </is>
      </c>
      <c r="C1602" s="17" t="inlineStr">
        <is>
          <t>11:14:28</t>
        </is>
      </c>
      <c r="D1602" s="17" t="n">
        <v>1089</v>
      </c>
      <c r="E1602" s="17" t="n">
        <v>105</v>
      </c>
      <c r="F1602" s="17" t="n">
        <v>203</v>
      </c>
      <c r="G1602" s="17" t="inlineStr">
        <is>
          <t>Bangalore</t>
        </is>
      </c>
      <c r="H1602" s="17" t="inlineStr">
        <is>
          <t>Chinese</t>
        </is>
      </c>
      <c r="I1602" s="22" t="n">
        <v>667</v>
      </c>
      <c r="J1602" s="22" t="n">
        <v>126.16</v>
      </c>
      <c r="K1602" s="22" t="n">
        <v>0</v>
      </c>
      <c r="L1602" s="23" t="n">
        <v>0.2</v>
      </c>
      <c r="M1602" s="22" t="n">
        <v>133.4</v>
      </c>
      <c r="N1602" s="24" t="n">
        <v>2.8</v>
      </c>
      <c r="O1602" s="24" t="n">
        <v>30.8</v>
      </c>
      <c r="P1602" s="17" t="inlineStr">
        <is>
          <t>Credit Card</t>
        </is>
      </c>
      <c r="Q1602" s="17" t="inlineStr">
        <is>
          <t>Delivered</t>
        </is>
      </c>
      <c r="R1602" s="17" t="n">
        <v>5</v>
      </c>
      <c r="S1602" s="17">
        <f>TEXT(B1602,"yyyy-mm")</f>
        <v/>
      </c>
      <c r="T1602" s="17">
        <f>VLOOKUP(D1602,Customers!A:D,4,FALSE)</f>
        <v/>
      </c>
      <c r="U1602" s="17">
        <f>CONCATENATE(A1602,"-",G1602)</f>
        <v/>
      </c>
      <c r="V1602" s="17">
        <f>IF(N1602="","",IF(N1602&lt;=30,"Fast (&lt;30m)",IF(N1602&lt;=45,"Moderate (30-45m)","Delayed (&gt;45m)")))</f>
        <v/>
      </c>
      <c r="W1602" s="17">
        <f>IF(AND(I1602&gt;600,P1602="Delivered"),"High Value Delivered","Standard")</f>
        <v/>
      </c>
      <c r="X1602" s="17">
        <f>IF(OR(N1602&gt;50,Q1602&lt;=2),"High Risk / Delayed","Normal")</f>
        <v/>
      </c>
      <c r="Y1602" s="17">
        <f>IF(NOT(P1602="Cancelled"),"Fulfilled","Cancelled")</f>
        <v/>
      </c>
      <c r="Z1602" s="17">
        <f>IFERROR(Q1602,0)</f>
        <v/>
      </c>
    </row>
    <row r="1603">
      <c r="A1603" s="25" t="inlineStr">
        <is>
          <t>ORD2602</t>
        </is>
      </c>
      <c r="B1603" s="25" t="inlineStr">
        <is>
          <t>2025-01-03</t>
        </is>
      </c>
      <c r="C1603" s="25" t="inlineStr">
        <is>
          <t>16:33:14</t>
        </is>
      </c>
      <c r="D1603" s="25" t="n">
        <v>1213</v>
      </c>
      <c r="E1603" s="25" t="n">
        <v>104</v>
      </c>
      <c r="F1603" s="25" t="n">
        <v>221</v>
      </c>
      <c r="G1603" s="25" t="inlineStr">
        <is>
          <t>Delhi NCR</t>
        </is>
      </c>
      <c r="H1603" s="25" t="inlineStr">
        <is>
          <t>Fast Food</t>
        </is>
      </c>
      <c r="I1603" s="26" t="n">
        <v>261</v>
      </c>
      <c r="J1603" s="26" t="n">
        <v>17.1</v>
      </c>
      <c r="K1603" s="26" t="n">
        <v>25</v>
      </c>
      <c r="L1603" s="27" t="n">
        <v>0.18</v>
      </c>
      <c r="M1603" s="26" t="n">
        <v>53.23</v>
      </c>
      <c r="N1603" s="28" t="n">
        <v>2.5</v>
      </c>
      <c r="O1603" s="28" t="n">
        <v>28.4</v>
      </c>
      <c r="P1603" s="25" t="inlineStr">
        <is>
          <t>Credit Card</t>
        </is>
      </c>
      <c r="Q1603" s="25" t="inlineStr">
        <is>
          <t>Delivered</t>
        </is>
      </c>
      <c r="R1603" s="25" t="n">
        <v>4</v>
      </c>
      <c r="S1603" s="25">
        <f>TEXT(B1603,"yyyy-mm")</f>
        <v/>
      </c>
      <c r="T1603" s="25">
        <f>VLOOKUP(D1603,Customers!A:D,4,FALSE)</f>
        <v/>
      </c>
      <c r="U1603" s="25">
        <f>CONCATENATE(A1603,"-",G1603)</f>
        <v/>
      </c>
      <c r="V1603" s="25">
        <f>IF(N1603="","",IF(N1603&lt;=30,"Fast (&lt;30m)",IF(N1603&lt;=45,"Moderate (30-45m)","Delayed (&gt;45m)")))</f>
        <v/>
      </c>
      <c r="W1603" s="25">
        <f>IF(AND(I1603&gt;600,P1603="Delivered"),"High Value Delivered","Standard")</f>
        <v/>
      </c>
      <c r="X1603" s="25">
        <f>IF(OR(N1603&gt;50,Q1603&lt;=2),"High Risk / Delayed","Normal")</f>
        <v/>
      </c>
      <c r="Y1603" s="25">
        <f>IF(NOT(P1603="Cancelled"),"Fulfilled","Cancelled")</f>
        <v/>
      </c>
      <c r="Z1603" s="25">
        <f>IFERROR(Q1603,0)</f>
        <v/>
      </c>
    </row>
    <row r="1604">
      <c r="A1604" s="17" t="inlineStr">
        <is>
          <t>ORD2603</t>
        </is>
      </c>
      <c r="B1604" s="17" t="inlineStr">
        <is>
          <t>2025-01-25</t>
        </is>
      </c>
      <c r="C1604" s="17" t="inlineStr">
        <is>
          <t>12:04:51</t>
        </is>
      </c>
      <c r="D1604" s="17" t="n">
        <v>1087</v>
      </c>
      <c r="E1604" s="17" t="n">
        <v>116</v>
      </c>
      <c r="F1604" s="17" t="n">
        <v>208</v>
      </c>
      <c r="G1604" s="17" t="inlineStr">
        <is>
          <t>Pune</t>
        </is>
      </c>
      <c r="H1604" s="17" t="inlineStr">
        <is>
          <t>Desserts</t>
        </is>
      </c>
      <c r="I1604" s="22" t="n">
        <v>500</v>
      </c>
      <c r="J1604" s="22" t="n">
        <v>43.73</v>
      </c>
      <c r="K1604" s="22" t="n">
        <v>28.5</v>
      </c>
      <c r="L1604" s="23" t="n">
        <v>0.25</v>
      </c>
      <c r="M1604" s="22" t="n">
        <v>132.12</v>
      </c>
      <c r="N1604" s="24" t="n">
        <v>3.7</v>
      </c>
      <c r="O1604" s="24" t="n">
        <v>35.2</v>
      </c>
      <c r="P1604" s="17" t="inlineStr">
        <is>
          <t>Cash on Delivery</t>
        </is>
      </c>
      <c r="Q1604" s="17" t="inlineStr">
        <is>
          <t>Delivered</t>
        </is>
      </c>
      <c r="R1604" s="17" t="n">
        <v>3</v>
      </c>
      <c r="S1604" s="17">
        <f>TEXT(B1604,"yyyy-mm")</f>
        <v/>
      </c>
      <c r="T1604" s="17">
        <f>VLOOKUP(D1604,Customers!A:D,4,FALSE)</f>
        <v/>
      </c>
      <c r="U1604" s="17">
        <f>CONCATENATE(A1604,"-",G1604)</f>
        <v/>
      </c>
      <c r="V1604" s="17">
        <f>IF(N1604="","",IF(N1604&lt;=30,"Fast (&lt;30m)",IF(N1604&lt;=45,"Moderate (30-45m)","Delayed (&gt;45m)")))</f>
        <v/>
      </c>
      <c r="W1604" s="17">
        <f>IF(AND(I1604&gt;600,P1604="Delivered"),"High Value Delivered","Standard")</f>
        <v/>
      </c>
      <c r="X1604" s="17">
        <f>IF(OR(N1604&gt;50,Q1604&lt;=2),"High Risk / Delayed","Normal")</f>
        <v/>
      </c>
      <c r="Y1604" s="17">
        <f>IF(NOT(P1604="Cancelled"),"Fulfilled","Cancelled")</f>
        <v/>
      </c>
      <c r="Z1604" s="17">
        <f>IFERROR(Q1604,0)</f>
        <v/>
      </c>
    </row>
    <row r="1605">
      <c r="A1605" s="25" t="inlineStr">
        <is>
          <t>ORD2604</t>
        </is>
      </c>
      <c r="B1605" s="25" t="inlineStr">
        <is>
          <t>2025-11-04</t>
        </is>
      </c>
      <c r="C1605" s="25" t="inlineStr">
        <is>
          <t>12:42:03</t>
        </is>
      </c>
      <c r="D1605" s="25" t="n">
        <v>1035</v>
      </c>
      <c r="E1605" s="25" t="n">
        <v>105</v>
      </c>
      <c r="F1605" s="25" t="n">
        <v>213</v>
      </c>
      <c r="G1605" s="25" t="inlineStr">
        <is>
          <t>Bangalore</t>
        </is>
      </c>
      <c r="H1605" s="25" t="inlineStr">
        <is>
          <t>Chinese</t>
        </is>
      </c>
      <c r="I1605" s="26" t="n">
        <v>976</v>
      </c>
      <c r="J1605" s="26" t="n">
        <v>118.43</v>
      </c>
      <c r="K1605" s="26" t="n">
        <v>0</v>
      </c>
      <c r="L1605" s="27" t="n">
        <v>0.2</v>
      </c>
      <c r="M1605" s="26" t="n">
        <v>195.2</v>
      </c>
      <c r="N1605" s="28" t="n">
        <v>3.3</v>
      </c>
      <c r="O1605" s="28" t="n">
        <v>31.7</v>
      </c>
      <c r="P1605" s="25" t="inlineStr">
        <is>
          <t>Debit Card</t>
        </is>
      </c>
      <c r="Q1605" s="25" t="inlineStr">
        <is>
          <t>Delivered</t>
        </is>
      </c>
      <c r="R1605" s="25" t="n">
        <v>4</v>
      </c>
      <c r="S1605" s="25">
        <f>TEXT(B1605,"yyyy-mm")</f>
        <v/>
      </c>
      <c r="T1605" s="25">
        <f>VLOOKUP(D1605,Customers!A:D,4,FALSE)</f>
        <v/>
      </c>
      <c r="U1605" s="25">
        <f>CONCATENATE(A1605,"-",G1605)</f>
        <v/>
      </c>
      <c r="V1605" s="25">
        <f>IF(N1605="","",IF(N1605&lt;=30,"Fast (&lt;30m)",IF(N1605&lt;=45,"Moderate (30-45m)","Delayed (&gt;45m)")))</f>
        <v/>
      </c>
      <c r="W1605" s="25">
        <f>IF(AND(I1605&gt;600,P1605="Delivered"),"High Value Delivered","Standard")</f>
        <v/>
      </c>
      <c r="X1605" s="25">
        <f>IF(OR(N1605&gt;50,Q1605&lt;=2),"High Risk / Delayed","Normal")</f>
        <v/>
      </c>
      <c r="Y1605" s="25">
        <f>IF(NOT(P1605="Cancelled"),"Fulfilled","Cancelled")</f>
        <v/>
      </c>
      <c r="Z1605" s="25">
        <f>IFERROR(Q1605,0)</f>
        <v/>
      </c>
    </row>
    <row r="1606">
      <c r="A1606" s="17" t="inlineStr">
        <is>
          <t>ORD2605</t>
        </is>
      </c>
      <c r="B1606" s="17" t="inlineStr">
        <is>
          <t>2025-07-19</t>
        </is>
      </c>
      <c r="C1606" s="17" t="inlineStr">
        <is>
          <t>13:35:46</t>
        </is>
      </c>
      <c r="D1606" s="17" t="n">
        <v>1042</v>
      </c>
      <c r="E1606" s="17" t="n">
        <v>107</v>
      </c>
      <c r="F1606" s="17" t="n">
        <v>206</v>
      </c>
      <c r="G1606" s="17" t="inlineStr">
        <is>
          <t>Mumbai</t>
        </is>
      </c>
      <c r="H1606" s="17" t="inlineStr">
        <is>
          <t>Desserts</t>
        </is>
      </c>
      <c r="I1606" s="22" t="n">
        <v>556</v>
      </c>
      <c r="J1606" s="22" t="n">
        <v>0</v>
      </c>
      <c r="K1606" s="22" t="n">
        <v>25</v>
      </c>
      <c r="L1606" s="23" t="n">
        <v>0.25</v>
      </c>
      <c r="M1606" s="22" t="n">
        <v>145.25</v>
      </c>
      <c r="N1606" s="24" t="n">
        <v>2.9</v>
      </c>
      <c r="O1606" s="24" t="n">
        <v>39.5</v>
      </c>
      <c r="P1606" s="17" t="inlineStr">
        <is>
          <t>UPI</t>
        </is>
      </c>
      <c r="Q1606" s="17" t="inlineStr">
        <is>
          <t>Delivered</t>
        </is>
      </c>
      <c r="R1606" s="17" t="n">
        <v>5</v>
      </c>
      <c r="S1606" s="17">
        <f>TEXT(B1606,"yyyy-mm")</f>
        <v/>
      </c>
      <c r="T1606" s="17">
        <f>VLOOKUP(D1606,Customers!A:D,4,FALSE)</f>
        <v/>
      </c>
      <c r="U1606" s="17">
        <f>CONCATENATE(A1606,"-",G1606)</f>
        <v/>
      </c>
      <c r="V1606" s="17">
        <f>IF(N1606="","",IF(N1606&lt;=30,"Fast (&lt;30m)",IF(N1606&lt;=45,"Moderate (30-45m)","Delayed (&gt;45m)")))</f>
        <v/>
      </c>
      <c r="W1606" s="17">
        <f>IF(AND(I1606&gt;600,P1606="Delivered"),"High Value Delivered","Standard")</f>
        <v/>
      </c>
      <c r="X1606" s="17">
        <f>IF(OR(N1606&gt;50,Q1606&lt;=2),"High Risk / Delayed","Normal")</f>
        <v/>
      </c>
      <c r="Y1606" s="17">
        <f>IF(NOT(P1606="Cancelled"),"Fulfilled","Cancelled")</f>
        <v/>
      </c>
      <c r="Z1606" s="17">
        <f>IFERROR(Q1606,0)</f>
        <v/>
      </c>
    </row>
    <row r="1607">
      <c r="A1607" s="25" t="inlineStr">
        <is>
          <t>ORD2606</t>
        </is>
      </c>
      <c r="B1607" s="25" t="inlineStr">
        <is>
          <t>2025-11-28</t>
        </is>
      </c>
      <c r="C1607" s="25" t="inlineStr">
        <is>
          <t>19:15:30</t>
        </is>
      </c>
      <c r="D1607" s="25" t="n">
        <v>1083</v>
      </c>
      <c r="E1607" s="25" t="n">
        <v>104</v>
      </c>
      <c r="F1607" s="25" t="n">
        <v>230</v>
      </c>
      <c r="G1607" s="25" t="inlineStr">
        <is>
          <t>Delhi NCR</t>
        </is>
      </c>
      <c r="H1607" s="25" t="inlineStr">
        <is>
          <t>Fast Food</t>
        </is>
      </c>
      <c r="I1607" s="26" t="n">
        <v>241</v>
      </c>
      <c r="J1607" s="26" t="n">
        <v>0</v>
      </c>
      <c r="K1607" s="26" t="n">
        <v>33.5</v>
      </c>
      <c r="L1607" s="27" t="n">
        <v>0.18</v>
      </c>
      <c r="M1607" s="26" t="n">
        <v>51.76</v>
      </c>
      <c r="N1607" s="28" t="n">
        <v>4.7</v>
      </c>
      <c r="O1607" s="28" t="n">
        <v>41.4</v>
      </c>
      <c r="P1607" s="25" t="inlineStr">
        <is>
          <t>Debit Card</t>
        </is>
      </c>
      <c r="Q1607" s="25" t="inlineStr">
        <is>
          <t>Delivered</t>
        </is>
      </c>
      <c r="R1607" s="25" t="n">
        <v>5</v>
      </c>
      <c r="S1607" s="25">
        <f>TEXT(B1607,"yyyy-mm")</f>
        <v/>
      </c>
      <c r="T1607" s="25">
        <f>VLOOKUP(D1607,Customers!A:D,4,FALSE)</f>
        <v/>
      </c>
      <c r="U1607" s="25">
        <f>CONCATENATE(A1607,"-",G1607)</f>
        <v/>
      </c>
      <c r="V1607" s="25">
        <f>IF(N1607="","",IF(N1607&lt;=30,"Fast (&lt;30m)",IF(N1607&lt;=45,"Moderate (30-45m)","Delayed (&gt;45m)")))</f>
        <v/>
      </c>
      <c r="W1607" s="25">
        <f>IF(AND(I1607&gt;600,P1607="Delivered"),"High Value Delivered","Standard")</f>
        <v/>
      </c>
      <c r="X1607" s="25">
        <f>IF(OR(N1607&gt;50,Q1607&lt;=2),"High Risk / Delayed","Normal")</f>
        <v/>
      </c>
      <c r="Y1607" s="25">
        <f>IF(NOT(P1607="Cancelled"),"Fulfilled","Cancelled")</f>
        <v/>
      </c>
      <c r="Z1607" s="25">
        <f>IFERROR(Q1607,0)</f>
        <v/>
      </c>
    </row>
    <row r="1608">
      <c r="A1608" s="17" t="inlineStr">
        <is>
          <t>ORD2607</t>
        </is>
      </c>
      <c r="B1608" s="17" t="inlineStr">
        <is>
          <t>2025-12-10</t>
        </is>
      </c>
      <c r="C1608" s="17" t="inlineStr">
        <is>
          <t>13:16:26</t>
        </is>
      </c>
      <c r="D1608" s="17" t="n">
        <v>1045</v>
      </c>
      <c r="E1608" s="17" t="n">
        <v>105</v>
      </c>
      <c r="F1608" s="17" t="n">
        <v>218</v>
      </c>
      <c r="G1608" s="17" t="inlineStr">
        <is>
          <t>Bangalore</t>
        </is>
      </c>
      <c r="H1608" s="17" t="inlineStr">
        <is>
          <t>Chinese</t>
        </is>
      </c>
      <c r="I1608" s="22" t="n">
        <v>385</v>
      </c>
      <c r="J1608" s="22" t="n">
        <v>6.29</v>
      </c>
      <c r="K1608" s="22" t="n">
        <v>43</v>
      </c>
      <c r="L1608" s="23" t="n">
        <v>0.2</v>
      </c>
      <c r="M1608" s="22" t="n">
        <v>87.75</v>
      </c>
      <c r="N1608" s="24" t="n">
        <v>6.6</v>
      </c>
      <c r="O1608" s="24" t="n">
        <v>43.6</v>
      </c>
      <c r="P1608" s="17" t="inlineStr">
        <is>
          <t>UPI</t>
        </is>
      </c>
      <c r="Q1608" s="17" t="inlineStr">
        <is>
          <t>Delivered</t>
        </is>
      </c>
      <c r="R1608" s="17" t="n">
        <v>5</v>
      </c>
      <c r="S1608" s="17">
        <f>TEXT(B1608,"yyyy-mm")</f>
        <v/>
      </c>
      <c r="T1608" s="17">
        <f>VLOOKUP(D1608,Customers!A:D,4,FALSE)</f>
        <v/>
      </c>
      <c r="U1608" s="17">
        <f>CONCATENATE(A1608,"-",G1608)</f>
        <v/>
      </c>
      <c r="V1608" s="17">
        <f>IF(N1608="","",IF(N1608&lt;=30,"Fast (&lt;30m)",IF(N1608&lt;=45,"Moderate (30-45m)","Delayed (&gt;45m)")))</f>
        <v/>
      </c>
      <c r="W1608" s="17">
        <f>IF(AND(I1608&gt;600,P1608="Delivered"),"High Value Delivered","Standard")</f>
        <v/>
      </c>
      <c r="X1608" s="17">
        <f>IF(OR(N1608&gt;50,Q1608&lt;=2),"High Risk / Delayed","Normal")</f>
        <v/>
      </c>
      <c r="Y1608" s="17">
        <f>IF(NOT(P1608="Cancelled"),"Fulfilled","Cancelled")</f>
        <v/>
      </c>
      <c r="Z1608" s="17">
        <f>IFERROR(Q1608,0)</f>
        <v/>
      </c>
    </row>
    <row r="1609">
      <c r="A1609" s="25" t="inlineStr">
        <is>
          <t>ORD2608</t>
        </is>
      </c>
      <c r="B1609" s="25" t="inlineStr">
        <is>
          <t>2025-02-09</t>
        </is>
      </c>
      <c r="C1609" s="25" t="inlineStr">
        <is>
          <t>20:09:55</t>
        </is>
      </c>
      <c r="D1609" s="25" t="n">
        <v>1151</v>
      </c>
      <c r="E1609" s="25" t="n">
        <v>117</v>
      </c>
      <c r="F1609" s="25" t="n">
        <v>206</v>
      </c>
      <c r="G1609" s="25" t="inlineStr">
        <is>
          <t>Mumbai</t>
        </is>
      </c>
      <c r="H1609" s="25" t="inlineStr">
        <is>
          <t>Chinese</t>
        </is>
      </c>
      <c r="I1609" s="26" t="n">
        <v>662</v>
      </c>
      <c r="J1609" s="26" t="n">
        <v>128.24</v>
      </c>
      <c r="K1609" s="26" t="n">
        <v>0</v>
      </c>
      <c r="L1609" s="27" t="n">
        <v>0.2</v>
      </c>
      <c r="M1609" s="26" t="n">
        <v>132.4</v>
      </c>
      <c r="N1609" s="28" t="n">
        <v>3.7</v>
      </c>
      <c r="O1609" s="28" t="n">
        <v>40</v>
      </c>
      <c r="P1609" s="25" t="inlineStr">
        <is>
          <t>UPI</t>
        </is>
      </c>
      <c r="Q1609" s="25" t="inlineStr">
        <is>
          <t>Delivered</t>
        </is>
      </c>
      <c r="R1609" s="25" t="n">
        <v>4</v>
      </c>
      <c r="S1609" s="25">
        <f>TEXT(B1609,"yyyy-mm")</f>
        <v/>
      </c>
      <c r="T1609" s="25">
        <f>VLOOKUP(D1609,Customers!A:D,4,FALSE)</f>
        <v/>
      </c>
      <c r="U1609" s="25">
        <f>CONCATENATE(A1609,"-",G1609)</f>
        <v/>
      </c>
      <c r="V1609" s="25">
        <f>IF(N1609="","",IF(N1609&lt;=30,"Fast (&lt;30m)",IF(N1609&lt;=45,"Moderate (30-45m)","Delayed (&gt;45m)")))</f>
        <v/>
      </c>
      <c r="W1609" s="25">
        <f>IF(AND(I1609&gt;600,P1609="Delivered"),"High Value Delivered","Standard")</f>
        <v/>
      </c>
      <c r="X1609" s="25">
        <f>IF(OR(N1609&gt;50,Q1609&lt;=2),"High Risk / Delayed","Normal")</f>
        <v/>
      </c>
      <c r="Y1609" s="25">
        <f>IF(NOT(P1609="Cancelled"),"Fulfilled","Cancelled")</f>
        <v/>
      </c>
      <c r="Z1609" s="25">
        <f>IFERROR(Q1609,0)</f>
        <v/>
      </c>
    </row>
    <row r="1610">
      <c r="A1610" s="17" t="inlineStr">
        <is>
          <t>ORD2609</t>
        </is>
      </c>
      <c r="B1610" s="17" t="inlineStr">
        <is>
          <t>2025-08-20</t>
        </is>
      </c>
      <c r="C1610" s="17" t="inlineStr">
        <is>
          <t>17:21:07</t>
        </is>
      </c>
      <c r="D1610" s="17" t="n">
        <v>1224</v>
      </c>
      <c r="E1610" s="17" t="n">
        <v>112</v>
      </c>
      <c r="F1610" s="17" t="n">
        <v>230</v>
      </c>
      <c r="G1610" s="17" t="inlineStr">
        <is>
          <t>Delhi NCR</t>
        </is>
      </c>
      <c r="H1610" s="17" t="inlineStr">
        <is>
          <t>North Indian</t>
        </is>
      </c>
      <c r="I1610" s="22" t="n">
        <v>732</v>
      </c>
      <c r="J1610" s="22" t="n">
        <v>45.65</v>
      </c>
      <c r="K1610" s="22" t="n">
        <v>25</v>
      </c>
      <c r="L1610" s="23" t="n">
        <v>0.22</v>
      </c>
      <c r="M1610" s="22" t="n">
        <v>167.29</v>
      </c>
      <c r="N1610" s="24" t="n">
        <v>3</v>
      </c>
      <c r="O1610" s="24" t="n">
        <v>31.4</v>
      </c>
      <c r="P1610" s="17" t="inlineStr">
        <is>
          <t>UPI</t>
        </is>
      </c>
      <c r="Q1610" s="17" t="inlineStr">
        <is>
          <t>Delivered</t>
        </is>
      </c>
      <c r="R1610" s="17" t="n">
        <v>1</v>
      </c>
      <c r="S1610" s="17">
        <f>TEXT(B1610,"yyyy-mm")</f>
        <v/>
      </c>
      <c r="T1610" s="17">
        <f>VLOOKUP(D1610,Customers!A:D,4,FALSE)</f>
        <v/>
      </c>
      <c r="U1610" s="17">
        <f>CONCATENATE(A1610,"-",G1610)</f>
        <v/>
      </c>
      <c r="V1610" s="17">
        <f>IF(N1610="","",IF(N1610&lt;=30,"Fast (&lt;30m)",IF(N1610&lt;=45,"Moderate (30-45m)","Delayed (&gt;45m)")))</f>
        <v/>
      </c>
      <c r="W1610" s="17">
        <f>IF(AND(I1610&gt;600,P1610="Delivered"),"High Value Delivered","Standard")</f>
        <v/>
      </c>
      <c r="X1610" s="17">
        <f>IF(OR(N1610&gt;50,Q1610&lt;=2),"High Risk / Delayed","Normal")</f>
        <v/>
      </c>
      <c r="Y1610" s="17">
        <f>IF(NOT(P1610="Cancelled"),"Fulfilled","Cancelled")</f>
        <v/>
      </c>
      <c r="Z1610" s="17">
        <f>IFERROR(Q1610,0)</f>
        <v/>
      </c>
    </row>
    <row r="1611">
      <c r="A1611" s="25" t="inlineStr">
        <is>
          <t>ORD2610</t>
        </is>
      </c>
      <c r="B1611" s="25" t="inlineStr">
        <is>
          <t>2025-07-02</t>
        </is>
      </c>
      <c r="C1611" s="25" t="inlineStr">
        <is>
          <t>12:50:05</t>
        </is>
      </c>
      <c r="D1611" s="25" t="n">
        <v>1181</v>
      </c>
      <c r="E1611" s="25" t="n">
        <v>111</v>
      </c>
      <c r="F1611" s="25" t="n">
        <v>220</v>
      </c>
      <c r="G1611" s="25" t="inlineStr">
        <is>
          <t>Bangalore</t>
        </is>
      </c>
      <c r="H1611" s="25" t="inlineStr">
        <is>
          <t>South Indian</t>
        </is>
      </c>
      <c r="I1611" s="26" t="n">
        <v>581</v>
      </c>
      <c r="J1611" s="26" t="n">
        <v>0</v>
      </c>
      <c r="K1611" s="26" t="n">
        <v>38.5</v>
      </c>
      <c r="L1611" s="27" t="n">
        <v>0.15</v>
      </c>
      <c r="M1611" s="26" t="n">
        <v>96.78</v>
      </c>
      <c r="N1611" s="28" t="n">
        <v>5.7</v>
      </c>
      <c r="O1611" s="28" t="n">
        <v>44.1</v>
      </c>
      <c r="P1611" s="25" t="inlineStr">
        <is>
          <t>Digital Wallet</t>
        </is>
      </c>
      <c r="Q1611" s="25" t="inlineStr">
        <is>
          <t>Delivered</t>
        </is>
      </c>
      <c r="R1611" s="25" t="n">
        <v>1</v>
      </c>
      <c r="S1611" s="25">
        <f>TEXT(B1611,"yyyy-mm")</f>
        <v/>
      </c>
      <c r="T1611" s="25">
        <f>VLOOKUP(D1611,Customers!A:D,4,FALSE)</f>
        <v/>
      </c>
      <c r="U1611" s="25">
        <f>CONCATENATE(A1611,"-",G1611)</f>
        <v/>
      </c>
      <c r="V1611" s="25">
        <f>IF(N1611="","",IF(N1611&lt;=30,"Fast (&lt;30m)",IF(N1611&lt;=45,"Moderate (30-45m)","Delayed (&gt;45m)")))</f>
        <v/>
      </c>
      <c r="W1611" s="25">
        <f>IF(AND(I1611&gt;600,P1611="Delivered"),"High Value Delivered","Standard")</f>
        <v/>
      </c>
      <c r="X1611" s="25">
        <f>IF(OR(N1611&gt;50,Q1611&lt;=2),"High Risk / Delayed","Normal")</f>
        <v/>
      </c>
      <c r="Y1611" s="25">
        <f>IF(NOT(P1611="Cancelled"),"Fulfilled","Cancelled")</f>
        <v/>
      </c>
      <c r="Z1611" s="25">
        <f>IFERROR(Q1611,0)</f>
        <v/>
      </c>
    </row>
    <row r="1612">
      <c r="A1612" s="17" t="inlineStr">
        <is>
          <t>ORD2611</t>
        </is>
      </c>
      <c r="B1612" s="17" t="inlineStr">
        <is>
          <t>2025-02-02</t>
        </is>
      </c>
      <c r="C1612" s="17" t="inlineStr">
        <is>
          <t>22:10:09</t>
        </is>
      </c>
      <c r="D1612" s="17" t="n">
        <v>1175</v>
      </c>
      <c r="E1612" s="17" t="n">
        <v>111</v>
      </c>
      <c r="F1612" s="17" t="n">
        <v>201</v>
      </c>
      <c r="G1612" s="17" t="inlineStr">
        <is>
          <t>Bangalore</t>
        </is>
      </c>
      <c r="H1612" s="17" t="inlineStr">
        <is>
          <t>South Indian</t>
        </is>
      </c>
      <c r="I1612" s="22" t="n">
        <v>570</v>
      </c>
      <c r="J1612" s="22" t="n">
        <v>34.9</v>
      </c>
      <c r="K1612" s="22" t="n">
        <v>40</v>
      </c>
      <c r="L1612" s="23" t="n">
        <v>0.15</v>
      </c>
      <c r="M1612" s="22" t="n">
        <v>95.5</v>
      </c>
      <c r="N1612" s="24" t="n">
        <v>6</v>
      </c>
      <c r="O1612" s="24" t="n">
        <v>37.8</v>
      </c>
      <c r="P1612" s="17" t="inlineStr">
        <is>
          <t>Digital Wallet</t>
        </is>
      </c>
      <c r="Q1612" s="17" t="inlineStr">
        <is>
          <t>Delivered</t>
        </is>
      </c>
      <c r="R1612" s="17" t="n">
        <v>4</v>
      </c>
      <c r="S1612" s="17">
        <f>TEXT(B1612,"yyyy-mm")</f>
        <v/>
      </c>
      <c r="T1612" s="17">
        <f>VLOOKUP(D1612,Customers!A:D,4,FALSE)</f>
        <v/>
      </c>
      <c r="U1612" s="17">
        <f>CONCATENATE(A1612,"-",G1612)</f>
        <v/>
      </c>
      <c r="V1612" s="17">
        <f>IF(N1612="","",IF(N1612&lt;=30,"Fast (&lt;30m)",IF(N1612&lt;=45,"Moderate (30-45m)","Delayed (&gt;45m)")))</f>
        <v/>
      </c>
      <c r="W1612" s="17">
        <f>IF(AND(I1612&gt;600,P1612="Delivered"),"High Value Delivered","Standard")</f>
        <v/>
      </c>
      <c r="X1612" s="17">
        <f>IF(OR(N1612&gt;50,Q1612&lt;=2),"High Risk / Delayed","Normal")</f>
        <v/>
      </c>
      <c r="Y1612" s="17">
        <f>IF(NOT(P1612="Cancelled"),"Fulfilled","Cancelled")</f>
        <v/>
      </c>
      <c r="Z1612" s="17">
        <f>IFERROR(Q1612,0)</f>
        <v/>
      </c>
    </row>
    <row r="1613">
      <c r="A1613" s="25" t="inlineStr">
        <is>
          <t>ORD2612</t>
        </is>
      </c>
      <c r="B1613" s="25" t="inlineStr">
        <is>
          <t>2025-11-20</t>
        </is>
      </c>
      <c r="C1613" s="25" t="inlineStr">
        <is>
          <t>13:22:01</t>
        </is>
      </c>
      <c r="D1613" s="25" t="n">
        <v>1284</v>
      </c>
      <c r="E1613" s="25" t="n">
        <v>114</v>
      </c>
      <c r="F1613" s="25" t="n">
        <v>215</v>
      </c>
      <c r="G1613" s="25" t="inlineStr">
        <is>
          <t>Hyderabad</t>
        </is>
      </c>
      <c r="H1613" s="25" t="inlineStr">
        <is>
          <t>Biryani</t>
        </is>
      </c>
      <c r="I1613" s="26" t="n">
        <v>568</v>
      </c>
      <c r="J1613" s="26" t="n">
        <v>36.02</v>
      </c>
      <c r="K1613" s="26" t="n">
        <v>29</v>
      </c>
      <c r="L1613" s="27" t="n">
        <v>0.22</v>
      </c>
      <c r="M1613" s="26" t="n">
        <v>132.21</v>
      </c>
      <c r="N1613" s="28" t="n">
        <v>3.8</v>
      </c>
      <c r="O1613" s="28" t="n">
        <v>38.3</v>
      </c>
      <c r="P1613" s="25" t="inlineStr">
        <is>
          <t>Digital Wallet</t>
        </is>
      </c>
      <c r="Q1613" s="25" t="inlineStr">
        <is>
          <t>Delivered</t>
        </is>
      </c>
      <c r="R1613" s="25" t="n">
        <v>4</v>
      </c>
      <c r="S1613" s="25">
        <f>TEXT(B1613,"yyyy-mm")</f>
        <v/>
      </c>
      <c r="T1613" s="25">
        <f>VLOOKUP(D1613,Customers!A:D,4,FALSE)</f>
        <v/>
      </c>
      <c r="U1613" s="25">
        <f>CONCATENATE(A1613,"-",G1613)</f>
        <v/>
      </c>
      <c r="V1613" s="25">
        <f>IF(N1613="","",IF(N1613&lt;=30,"Fast (&lt;30m)",IF(N1613&lt;=45,"Moderate (30-45m)","Delayed (&gt;45m)")))</f>
        <v/>
      </c>
      <c r="W1613" s="25">
        <f>IF(AND(I1613&gt;600,P1613="Delivered"),"High Value Delivered","Standard")</f>
        <v/>
      </c>
      <c r="X1613" s="25">
        <f>IF(OR(N1613&gt;50,Q1613&lt;=2),"High Risk / Delayed","Normal")</f>
        <v/>
      </c>
      <c r="Y1613" s="25">
        <f>IF(NOT(P1613="Cancelled"),"Fulfilled","Cancelled")</f>
        <v/>
      </c>
      <c r="Z1613" s="25">
        <f>IFERROR(Q1613,0)</f>
        <v/>
      </c>
    </row>
    <row r="1614">
      <c r="A1614" s="17" t="inlineStr">
        <is>
          <t>ORD2613</t>
        </is>
      </c>
      <c r="B1614" s="17" t="inlineStr">
        <is>
          <t>2025-04-08</t>
        </is>
      </c>
      <c r="C1614" s="17" t="inlineStr">
        <is>
          <t>21:39:40</t>
        </is>
      </c>
      <c r="D1614" s="17" t="n">
        <v>1061</v>
      </c>
      <c r="E1614" s="17" t="n">
        <v>106</v>
      </c>
      <c r="F1614" s="17" t="n">
        <v>214</v>
      </c>
      <c r="G1614" s="17" t="inlineStr">
        <is>
          <t>Pune</t>
        </is>
      </c>
      <c r="H1614" s="17" t="inlineStr">
        <is>
          <t>South Indian</t>
        </is>
      </c>
      <c r="I1614" s="22" t="n">
        <v>715</v>
      </c>
      <c r="J1614" s="22" t="n">
        <v>42.77</v>
      </c>
      <c r="K1614" s="22" t="n">
        <v>30</v>
      </c>
      <c r="L1614" s="23" t="n">
        <v>0.15</v>
      </c>
      <c r="M1614" s="22" t="n">
        <v>114.75</v>
      </c>
      <c r="N1614" s="24" t="n">
        <v>4</v>
      </c>
      <c r="O1614" s="24" t="n">
        <v>27.8</v>
      </c>
      <c r="P1614" s="17" t="inlineStr">
        <is>
          <t>Credit Card</t>
        </is>
      </c>
      <c r="Q1614" s="17" t="inlineStr">
        <is>
          <t>Delivered</t>
        </is>
      </c>
      <c r="R1614" s="17" t="n">
        <v>4</v>
      </c>
      <c r="S1614" s="17">
        <f>TEXT(B1614,"yyyy-mm")</f>
        <v/>
      </c>
      <c r="T1614" s="17">
        <f>VLOOKUP(D1614,Customers!A:D,4,FALSE)</f>
        <v/>
      </c>
      <c r="U1614" s="17">
        <f>CONCATENATE(A1614,"-",G1614)</f>
        <v/>
      </c>
      <c r="V1614" s="17">
        <f>IF(N1614="","",IF(N1614&lt;=30,"Fast (&lt;30m)",IF(N1614&lt;=45,"Moderate (30-45m)","Delayed (&gt;45m)")))</f>
        <v/>
      </c>
      <c r="W1614" s="17">
        <f>IF(AND(I1614&gt;600,P1614="Delivered"),"High Value Delivered","Standard")</f>
        <v/>
      </c>
      <c r="X1614" s="17">
        <f>IF(OR(N1614&gt;50,Q1614&lt;=2),"High Risk / Delayed","Normal")</f>
        <v/>
      </c>
      <c r="Y1614" s="17">
        <f>IF(NOT(P1614="Cancelled"),"Fulfilled","Cancelled")</f>
        <v/>
      </c>
      <c r="Z1614" s="17">
        <f>IFERROR(Q1614,0)</f>
        <v/>
      </c>
    </row>
    <row r="1615">
      <c r="A1615" s="25" t="inlineStr">
        <is>
          <t>ORD2614</t>
        </is>
      </c>
      <c r="B1615" s="25" t="inlineStr">
        <is>
          <t>2025-06-14</t>
        </is>
      </c>
      <c r="C1615" s="25" t="inlineStr">
        <is>
          <t>15:41:23</t>
        </is>
      </c>
      <c r="D1615" s="25" t="n">
        <v>1285</v>
      </c>
      <c r="E1615" s="25" t="n">
        <v>111</v>
      </c>
      <c r="F1615" s="25" t="n">
        <v>220</v>
      </c>
      <c r="G1615" s="25" t="inlineStr">
        <is>
          <t>Bangalore</t>
        </is>
      </c>
      <c r="H1615" s="25" t="inlineStr">
        <is>
          <t>South Indian</t>
        </is>
      </c>
      <c r="I1615" s="26" t="n">
        <v>423</v>
      </c>
      <c r="J1615" s="26" t="n">
        <v>1.23</v>
      </c>
      <c r="K1615" s="26" t="n">
        <v>56.5</v>
      </c>
      <c r="L1615" s="27" t="n">
        <v>0.15</v>
      </c>
      <c r="M1615" s="26" t="n">
        <v>77.56999999999999</v>
      </c>
      <c r="N1615" s="28" t="n">
        <v>9.300000000000001</v>
      </c>
      <c r="O1615" s="28" t="n">
        <v>41.5</v>
      </c>
      <c r="P1615" s="25" t="inlineStr">
        <is>
          <t>Digital Wallet</t>
        </is>
      </c>
      <c r="Q1615" s="25" t="inlineStr">
        <is>
          <t>Delivered</t>
        </is>
      </c>
      <c r="R1615" s="25" t="n">
        <v>1</v>
      </c>
      <c r="S1615" s="25">
        <f>TEXT(B1615,"yyyy-mm")</f>
        <v/>
      </c>
      <c r="T1615" s="25">
        <f>VLOOKUP(D1615,Customers!A:D,4,FALSE)</f>
        <v/>
      </c>
      <c r="U1615" s="25">
        <f>CONCATENATE(A1615,"-",G1615)</f>
        <v/>
      </c>
      <c r="V1615" s="25">
        <f>IF(N1615="","",IF(N1615&lt;=30,"Fast (&lt;30m)",IF(N1615&lt;=45,"Moderate (30-45m)","Delayed (&gt;45m)")))</f>
        <v/>
      </c>
      <c r="W1615" s="25">
        <f>IF(AND(I1615&gt;600,P1615="Delivered"),"High Value Delivered","Standard")</f>
        <v/>
      </c>
      <c r="X1615" s="25">
        <f>IF(OR(N1615&gt;50,Q1615&lt;=2),"High Risk / Delayed","Normal")</f>
        <v/>
      </c>
      <c r="Y1615" s="25">
        <f>IF(NOT(P1615="Cancelled"),"Fulfilled","Cancelled")</f>
        <v/>
      </c>
      <c r="Z1615" s="25">
        <f>IFERROR(Q1615,0)</f>
        <v/>
      </c>
    </row>
    <row r="1616">
      <c r="A1616" s="17" t="inlineStr">
        <is>
          <t>ORD2615</t>
        </is>
      </c>
      <c r="B1616" s="17" t="inlineStr">
        <is>
          <t>2025-11-29</t>
        </is>
      </c>
      <c r="C1616" s="17" t="inlineStr">
        <is>
          <t>18:21:26</t>
        </is>
      </c>
      <c r="D1616" s="17" t="n">
        <v>1042</v>
      </c>
      <c r="E1616" s="17" t="n">
        <v>117</v>
      </c>
      <c r="F1616" s="17" t="n">
        <v>202</v>
      </c>
      <c r="G1616" s="17" t="inlineStr">
        <is>
          <t>Mumbai</t>
        </is>
      </c>
      <c r="H1616" s="17" t="inlineStr">
        <is>
          <t>Chinese</t>
        </is>
      </c>
      <c r="I1616" s="22" t="n">
        <v>227</v>
      </c>
      <c r="J1616" s="22" t="n">
        <v>15.65</v>
      </c>
      <c r="K1616" s="22" t="n">
        <v>28</v>
      </c>
      <c r="L1616" s="23" t="n">
        <v>0.2</v>
      </c>
      <c r="M1616" s="22" t="n">
        <v>52.4</v>
      </c>
      <c r="N1616" s="24" t="n">
        <v>3.6</v>
      </c>
      <c r="O1616" s="24" t="n">
        <v>23.8</v>
      </c>
      <c r="P1616" s="17" t="inlineStr">
        <is>
          <t>UPI</t>
        </is>
      </c>
      <c r="Q1616" s="17" t="inlineStr">
        <is>
          <t>Delivered</t>
        </is>
      </c>
      <c r="R1616" s="17" t="n">
        <v>3</v>
      </c>
      <c r="S1616" s="17">
        <f>TEXT(B1616,"yyyy-mm")</f>
        <v/>
      </c>
      <c r="T1616" s="17">
        <f>VLOOKUP(D1616,Customers!A:D,4,FALSE)</f>
        <v/>
      </c>
      <c r="U1616" s="17">
        <f>CONCATENATE(A1616,"-",G1616)</f>
        <v/>
      </c>
      <c r="V1616" s="17">
        <f>IF(N1616="","",IF(N1616&lt;=30,"Fast (&lt;30m)",IF(N1616&lt;=45,"Moderate (30-45m)","Delayed (&gt;45m)")))</f>
        <v/>
      </c>
      <c r="W1616" s="17">
        <f>IF(AND(I1616&gt;600,P1616="Delivered"),"High Value Delivered","Standard")</f>
        <v/>
      </c>
      <c r="X1616" s="17">
        <f>IF(OR(N1616&gt;50,Q1616&lt;=2),"High Risk / Delayed","Normal")</f>
        <v/>
      </c>
      <c r="Y1616" s="17">
        <f>IF(NOT(P1616="Cancelled"),"Fulfilled","Cancelled")</f>
        <v/>
      </c>
      <c r="Z1616" s="17">
        <f>IFERROR(Q1616,0)</f>
        <v/>
      </c>
    </row>
    <row r="1617">
      <c r="A1617" s="25" t="inlineStr">
        <is>
          <t>ORD2616</t>
        </is>
      </c>
      <c r="B1617" s="25" t="inlineStr">
        <is>
          <t>2025-09-11</t>
        </is>
      </c>
      <c r="C1617" s="25" t="inlineStr">
        <is>
          <t>13:35:35</t>
        </is>
      </c>
      <c r="D1617" s="25" t="n">
        <v>1175</v>
      </c>
      <c r="E1617" s="25" t="n">
        <v>105</v>
      </c>
      <c r="F1617" s="25" t="n">
        <v>213</v>
      </c>
      <c r="G1617" s="25" t="inlineStr">
        <is>
          <t>Bangalore</t>
        </is>
      </c>
      <c r="H1617" s="25" t="inlineStr">
        <is>
          <t>Chinese</t>
        </is>
      </c>
      <c r="I1617" s="26" t="n">
        <v>568</v>
      </c>
      <c r="J1617" s="26" t="n">
        <v>33.16</v>
      </c>
      <c r="K1617" s="26" t="n">
        <v>36</v>
      </c>
      <c r="L1617" s="27" t="n">
        <v>0.2</v>
      </c>
      <c r="M1617" s="26" t="n">
        <v>122.6</v>
      </c>
      <c r="N1617" s="28" t="n">
        <v>5.2</v>
      </c>
      <c r="O1617" s="28" t="n">
        <v>57.6</v>
      </c>
      <c r="P1617" s="25" t="inlineStr">
        <is>
          <t>Debit Card</t>
        </is>
      </c>
      <c r="Q1617" s="25" t="inlineStr">
        <is>
          <t>Delivered</t>
        </is>
      </c>
      <c r="R1617" s="25" t="n">
        <v>2</v>
      </c>
      <c r="S1617" s="25">
        <f>TEXT(B1617,"yyyy-mm")</f>
        <v/>
      </c>
      <c r="T1617" s="25">
        <f>VLOOKUP(D1617,Customers!A:D,4,FALSE)</f>
        <v/>
      </c>
      <c r="U1617" s="25">
        <f>CONCATENATE(A1617,"-",G1617)</f>
        <v/>
      </c>
      <c r="V1617" s="25">
        <f>IF(N1617="","",IF(N1617&lt;=30,"Fast (&lt;30m)",IF(N1617&lt;=45,"Moderate (30-45m)","Delayed (&gt;45m)")))</f>
        <v/>
      </c>
      <c r="W1617" s="25">
        <f>IF(AND(I1617&gt;600,P1617="Delivered"),"High Value Delivered","Standard")</f>
        <v/>
      </c>
      <c r="X1617" s="25">
        <f>IF(OR(N1617&gt;50,Q1617&lt;=2),"High Risk / Delayed","Normal")</f>
        <v/>
      </c>
      <c r="Y1617" s="25">
        <f>IF(NOT(P1617="Cancelled"),"Fulfilled","Cancelled")</f>
        <v/>
      </c>
      <c r="Z1617" s="25">
        <f>IFERROR(Q1617,0)</f>
        <v/>
      </c>
    </row>
    <row r="1618">
      <c r="A1618" s="17" t="inlineStr">
        <is>
          <t>ORD2617</t>
        </is>
      </c>
      <c r="B1618" s="17" t="inlineStr">
        <is>
          <t>2025-10-02</t>
        </is>
      </c>
      <c r="C1618" s="17" t="inlineStr">
        <is>
          <t>08:52:27</t>
        </is>
      </c>
      <c r="D1618" s="17" t="n">
        <v>1299</v>
      </c>
      <c r="E1618" s="17" t="n">
        <v>109</v>
      </c>
      <c r="F1618" s="17" t="n">
        <v>215</v>
      </c>
      <c r="G1618" s="17" t="inlineStr">
        <is>
          <t>Hyderabad</t>
        </is>
      </c>
      <c r="H1618" s="17" t="inlineStr">
        <is>
          <t>Biryani</t>
        </is>
      </c>
      <c r="I1618" s="22" t="n">
        <v>520</v>
      </c>
      <c r="J1618" s="22" t="n">
        <v>27.42</v>
      </c>
      <c r="K1618" s="22" t="n">
        <v>51.5</v>
      </c>
      <c r="L1618" s="23" t="n">
        <v>0.2</v>
      </c>
      <c r="M1618" s="22" t="n">
        <v>116.88</v>
      </c>
      <c r="N1618" s="24" t="n">
        <v>8.300000000000001</v>
      </c>
      <c r="O1618" s="24" t="n">
        <v>43</v>
      </c>
      <c r="P1618" s="17" t="inlineStr">
        <is>
          <t>Debit Card</t>
        </is>
      </c>
      <c r="Q1618" s="17" t="inlineStr">
        <is>
          <t>Delivered</t>
        </is>
      </c>
      <c r="R1618" s="17" t="n">
        <v>4</v>
      </c>
      <c r="S1618" s="17">
        <f>TEXT(B1618,"yyyy-mm")</f>
        <v/>
      </c>
      <c r="T1618" s="17">
        <f>VLOOKUP(D1618,Customers!A:D,4,FALSE)</f>
        <v/>
      </c>
      <c r="U1618" s="17">
        <f>CONCATENATE(A1618,"-",G1618)</f>
        <v/>
      </c>
      <c r="V1618" s="17">
        <f>IF(N1618="","",IF(N1618&lt;=30,"Fast (&lt;30m)",IF(N1618&lt;=45,"Moderate (30-45m)","Delayed (&gt;45m)")))</f>
        <v/>
      </c>
      <c r="W1618" s="17">
        <f>IF(AND(I1618&gt;600,P1618="Delivered"),"High Value Delivered","Standard")</f>
        <v/>
      </c>
      <c r="X1618" s="17">
        <f>IF(OR(N1618&gt;50,Q1618&lt;=2),"High Risk / Delayed","Normal")</f>
        <v/>
      </c>
      <c r="Y1618" s="17">
        <f>IF(NOT(P1618="Cancelled"),"Fulfilled","Cancelled")</f>
        <v/>
      </c>
      <c r="Z1618" s="17">
        <f>IFERROR(Q1618,0)</f>
        <v/>
      </c>
    </row>
    <row r="1619">
      <c r="A1619" s="25" t="inlineStr">
        <is>
          <t>ORD2618</t>
        </is>
      </c>
      <c r="B1619" s="25" t="inlineStr">
        <is>
          <t>2025-03-20</t>
        </is>
      </c>
      <c r="C1619" s="25" t="inlineStr">
        <is>
          <t>16:17:21</t>
        </is>
      </c>
      <c r="D1619" s="25" t="n">
        <v>1221</v>
      </c>
      <c r="E1619" s="25" t="n">
        <v>109</v>
      </c>
      <c r="F1619" s="25" t="n">
        <v>225</v>
      </c>
      <c r="G1619" s="25" t="inlineStr">
        <is>
          <t>Hyderabad</t>
        </is>
      </c>
      <c r="H1619" s="25" t="inlineStr">
        <is>
          <t>Biryani</t>
        </is>
      </c>
      <c r="I1619" s="26" t="n">
        <v>641</v>
      </c>
      <c r="J1619" s="26" t="n">
        <v>76.08</v>
      </c>
      <c r="K1619" s="26" t="n">
        <v>25</v>
      </c>
      <c r="L1619" s="27" t="n">
        <v>0.2</v>
      </c>
      <c r="M1619" s="26" t="n">
        <v>134.45</v>
      </c>
      <c r="N1619" s="28" t="n">
        <v>2.8</v>
      </c>
      <c r="O1619" s="28" t="n">
        <v>33.5</v>
      </c>
      <c r="P1619" s="25" t="inlineStr">
        <is>
          <t>Debit Card</t>
        </is>
      </c>
      <c r="Q1619" s="25" t="inlineStr">
        <is>
          <t>Delivered</t>
        </is>
      </c>
      <c r="R1619" s="25" t="n">
        <v>5</v>
      </c>
      <c r="S1619" s="25">
        <f>TEXT(B1619,"yyyy-mm")</f>
        <v/>
      </c>
      <c r="T1619" s="25">
        <f>VLOOKUP(D1619,Customers!A:D,4,FALSE)</f>
        <v/>
      </c>
      <c r="U1619" s="25">
        <f>CONCATENATE(A1619,"-",G1619)</f>
        <v/>
      </c>
      <c r="V1619" s="25">
        <f>IF(N1619="","",IF(N1619&lt;=30,"Fast (&lt;30m)",IF(N1619&lt;=45,"Moderate (30-45m)","Delayed (&gt;45m)")))</f>
        <v/>
      </c>
      <c r="W1619" s="25">
        <f>IF(AND(I1619&gt;600,P1619="Delivered"),"High Value Delivered","Standard")</f>
        <v/>
      </c>
      <c r="X1619" s="25">
        <f>IF(OR(N1619&gt;50,Q1619&lt;=2),"High Risk / Delayed","Normal")</f>
        <v/>
      </c>
      <c r="Y1619" s="25">
        <f>IF(NOT(P1619="Cancelled"),"Fulfilled","Cancelled")</f>
        <v/>
      </c>
      <c r="Z1619" s="25">
        <f>IFERROR(Q1619,0)</f>
        <v/>
      </c>
    </row>
    <row r="1620">
      <c r="A1620" s="17" t="inlineStr">
        <is>
          <t>ORD2619</t>
        </is>
      </c>
      <c r="B1620" s="17" t="inlineStr">
        <is>
          <t>2025-06-07</t>
        </is>
      </c>
      <c r="C1620" s="17" t="inlineStr">
        <is>
          <t>13:47:19</t>
        </is>
      </c>
      <c r="D1620" s="17" t="n">
        <v>1068</v>
      </c>
      <c r="E1620" s="17" t="n">
        <v>106</v>
      </c>
      <c r="F1620" s="17" t="n">
        <v>214</v>
      </c>
      <c r="G1620" s="17" t="inlineStr">
        <is>
          <t>Pune</t>
        </is>
      </c>
      <c r="H1620" s="17" t="inlineStr">
        <is>
          <t>South Indian</t>
        </is>
      </c>
      <c r="I1620" s="22" t="n">
        <v>636</v>
      </c>
      <c r="J1620" s="22" t="n">
        <v>32.81</v>
      </c>
      <c r="K1620" s="22" t="n">
        <v>25</v>
      </c>
      <c r="L1620" s="23" t="n">
        <v>0.15</v>
      </c>
      <c r="M1620" s="22" t="n">
        <v>101.65</v>
      </c>
      <c r="N1620" s="24" t="n">
        <v>2.5</v>
      </c>
      <c r="O1620" s="24" t="n">
        <v>38.6</v>
      </c>
      <c r="P1620" s="17" t="inlineStr">
        <is>
          <t>Debit Card</t>
        </is>
      </c>
      <c r="Q1620" s="17" t="inlineStr">
        <is>
          <t>Delivered</t>
        </is>
      </c>
      <c r="R1620" s="17" t="n">
        <v>4</v>
      </c>
      <c r="S1620" s="17">
        <f>TEXT(B1620,"yyyy-mm")</f>
        <v/>
      </c>
      <c r="T1620" s="17">
        <f>VLOOKUP(D1620,Customers!A:D,4,FALSE)</f>
        <v/>
      </c>
      <c r="U1620" s="17">
        <f>CONCATENATE(A1620,"-",G1620)</f>
        <v/>
      </c>
      <c r="V1620" s="17">
        <f>IF(N1620="","",IF(N1620&lt;=30,"Fast (&lt;30m)",IF(N1620&lt;=45,"Moderate (30-45m)","Delayed (&gt;45m)")))</f>
        <v/>
      </c>
      <c r="W1620" s="17">
        <f>IF(AND(I1620&gt;600,P1620="Delivered"),"High Value Delivered","Standard")</f>
        <v/>
      </c>
      <c r="X1620" s="17">
        <f>IF(OR(N1620&gt;50,Q1620&lt;=2),"High Risk / Delayed","Normal")</f>
        <v/>
      </c>
      <c r="Y1620" s="17">
        <f>IF(NOT(P1620="Cancelled"),"Fulfilled","Cancelled")</f>
        <v/>
      </c>
      <c r="Z1620" s="17">
        <f>IFERROR(Q1620,0)</f>
        <v/>
      </c>
    </row>
    <row r="1621">
      <c r="A1621" s="25" t="inlineStr">
        <is>
          <t>ORD2620</t>
        </is>
      </c>
      <c r="B1621" s="25" t="inlineStr">
        <is>
          <t>2025-03-12</t>
        </is>
      </c>
      <c r="C1621" s="25" t="inlineStr">
        <is>
          <t>19:59:33</t>
        </is>
      </c>
      <c r="D1621" s="25" t="n">
        <v>1139</v>
      </c>
      <c r="E1621" s="25" t="n">
        <v>112</v>
      </c>
      <c r="F1621" s="25" t="n">
        <v>228</v>
      </c>
      <c r="G1621" s="25" t="inlineStr">
        <is>
          <t>Delhi NCR</t>
        </is>
      </c>
      <c r="H1621" s="25" t="inlineStr">
        <is>
          <t>North Indian</t>
        </is>
      </c>
      <c r="I1621" s="26" t="n">
        <v>837</v>
      </c>
      <c r="J1621" s="26" t="n">
        <v>6.7</v>
      </c>
      <c r="K1621" s="26" t="n">
        <v>32</v>
      </c>
      <c r="L1621" s="27" t="n">
        <v>0.22</v>
      </c>
      <c r="M1621" s="26" t="n">
        <v>192.14</v>
      </c>
      <c r="N1621" s="28" t="n">
        <v>4.4</v>
      </c>
      <c r="O1621" s="28" t="n">
        <v>30.7</v>
      </c>
      <c r="P1621" s="25" t="inlineStr">
        <is>
          <t>Debit Card</t>
        </is>
      </c>
      <c r="Q1621" s="25" t="inlineStr">
        <is>
          <t>Delivered</t>
        </is>
      </c>
      <c r="R1621" s="25" t="n">
        <v>4</v>
      </c>
      <c r="S1621" s="25">
        <f>TEXT(B1621,"yyyy-mm")</f>
        <v/>
      </c>
      <c r="T1621" s="25">
        <f>VLOOKUP(D1621,Customers!A:D,4,FALSE)</f>
        <v/>
      </c>
      <c r="U1621" s="25">
        <f>CONCATENATE(A1621,"-",G1621)</f>
        <v/>
      </c>
      <c r="V1621" s="25">
        <f>IF(N1621="","",IF(N1621&lt;=30,"Fast (&lt;30m)",IF(N1621&lt;=45,"Moderate (30-45m)","Delayed (&gt;45m)")))</f>
        <v/>
      </c>
      <c r="W1621" s="25">
        <f>IF(AND(I1621&gt;600,P1621="Delivered"),"High Value Delivered","Standard")</f>
        <v/>
      </c>
      <c r="X1621" s="25">
        <f>IF(OR(N1621&gt;50,Q1621&lt;=2),"High Risk / Delayed","Normal")</f>
        <v/>
      </c>
      <c r="Y1621" s="25">
        <f>IF(NOT(P1621="Cancelled"),"Fulfilled","Cancelled")</f>
        <v/>
      </c>
      <c r="Z1621" s="25">
        <f>IFERROR(Q1621,0)</f>
        <v/>
      </c>
    </row>
    <row r="1622">
      <c r="A1622" s="17" t="inlineStr">
        <is>
          <t>ORD2621</t>
        </is>
      </c>
      <c r="B1622" s="17" t="inlineStr">
        <is>
          <t>2025-04-04</t>
        </is>
      </c>
      <c r="C1622" s="17" t="inlineStr">
        <is>
          <t>11:36:13</t>
        </is>
      </c>
      <c r="D1622" s="17" t="n">
        <v>1159</v>
      </c>
      <c r="E1622" s="17" t="n">
        <v>108</v>
      </c>
      <c r="F1622" s="17" t="n">
        <v>211</v>
      </c>
      <c r="G1622" s="17" t="inlineStr">
        <is>
          <t>Delhi NCR</t>
        </is>
      </c>
      <c r="H1622" s="17" t="inlineStr">
        <is>
          <t>Fast Food</t>
        </is>
      </c>
      <c r="I1622" s="22" t="n">
        <v>816</v>
      </c>
      <c r="J1622" s="22" t="n">
        <v>15.11</v>
      </c>
      <c r="K1622" s="22" t="n">
        <v>25</v>
      </c>
      <c r="L1622" s="23" t="n">
        <v>0.18</v>
      </c>
      <c r="M1622" s="22" t="n">
        <v>153.13</v>
      </c>
      <c r="N1622" s="24" t="n">
        <v>2.5</v>
      </c>
      <c r="O1622" s="24" t="n">
        <v>23.6</v>
      </c>
      <c r="P1622" s="17" t="inlineStr">
        <is>
          <t>Digital Wallet</t>
        </is>
      </c>
      <c r="Q1622" s="17" t="inlineStr">
        <is>
          <t>Delivered</t>
        </is>
      </c>
      <c r="R1622" s="17" t="n">
        <v>5</v>
      </c>
      <c r="S1622" s="17">
        <f>TEXT(B1622,"yyyy-mm")</f>
        <v/>
      </c>
      <c r="T1622" s="17">
        <f>VLOOKUP(D1622,Customers!A:D,4,FALSE)</f>
        <v/>
      </c>
      <c r="U1622" s="17">
        <f>CONCATENATE(A1622,"-",G1622)</f>
        <v/>
      </c>
      <c r="V1622" s="17">
        <f>IF(N1622="","",IF(N1622&lt;=30,"Fast (&lt;30m)",IF(N1622&lt;=45,"Moderate (30-45m)","Delayed (&gt;45m)")))</f>
        <v/>
      </c>
      <c r="W1622" s="17">
        <f>IF(AND(I1622&gt;600,P1622="Delivered"),"High Value Delivered","Standard")</f>
        <v/>
      </c>
      <c r="X1622" s="17">
        <f>IF(OR(N1622&gt;50,Q1622&lt;=2),"High Risk / Delayed","Normal")</f>
        <v/>
      </c>
      <c r="Y1622" s="17">
        <f>IF(NOT(P1622="Cancelled"),"Fulfilled","Cancelled")</f>
        <v/>
      </c>
      <c r="Z1622" s="17">
        <f>IFERROR(Q1622,0)</f>
        <v/>
      </c>
    </row>
    <row r="1623">
      <c r="A1623" s="25" t="inlineStr">
        <is>
          <t>ORD2622</t>
        </is>
      </c>
      <c r="B1623" s="25" t="inlineStr">
        <is>
          <t>2025-02-21</t>
        </is>
      </c>
      <c r="C1623" s="25" t="inlineStr">
        <is>
          <t>19:57:25</t>
        </is>
      </c>
      <c r="D1623" s="25" t="n">
        <v>1183</v>
      </c>
      <c r="E1623" s="25" t="n">
        <v>103</v>
      </c>
      <c r="F1623" s="25" t="n">
        <v>229</v>
      </c>
      <c r="G1623" s="25" t="inlineStr">
        <is>
          <t>Mumbai</t>
        </is>
      </c>
      <c r="H1623" s="25" t="inlineStr">
        <is>
          <t>Italian</t>
        </is>
      </c>
      <c r="I1623" s="26" t="n">
        <v>440</v>
      </c>
      <c r="J1623" s="26" t="n">
        <v>84.43000000000001</v>
      </c>
      <c r="K1623" s="26" t="n">
        <v>43</v>
      </c>
      <c r="L1623" s="27" t="n">
        <v>0.18</v>
      </c>
      <c r="M1623" s="26" t="n">
        <v>89.95</v>
      </c>
      <c r="N1623" s="28" t="n">
        <v>6.6</v>
      </c>
      <c r="O1623" s="28" t="n">
        <v>44.7</v>
      </c>
      <c r="P1623" s="25" t="inlineStr">
        <is>
          <t>Debit Card</t>
        </is>
      </c>
      <c r="Q1623" s="25" t="inlineStr">
        <is>
          <t>Delivered</t>
        </is>
      </c>
      <c r="R1623" s="25" t="n">
        <v>4</v>
      </c>
      <c r="S1623" s="25">
        <f>TEXT(B1623,"yyyy-mm")</f>
        <v/>
      </c>
      <c r="T1623" s="25">
        <f>VLOOKUP(D1623,Customers!A:D,4,FALSE)</f>
        <v/>
      </c>
      <c r="U1623" s="25">
        <f>CONCATENATE(A1623,"-",G1623)</f>
        <v/>
      </c>
      <c r="V1623" s="25">
        <f>IF(N1623="","",IF(N1623&lt;=30,"Fast (&lt;30m)",IF(N1623&lt;=45,"Moderate (30-45m)","Delayed (&gt;45m)")))</f>
        <v/>
      </c>
      <c r="W1623" s="25">
        <f>IF(AND(I1623&gt;600,P1623="Delivered"),"High Value Delivered","Standard")</f>
        <v/>
      </c>
      <c r="X1623" s="25">
        <f>IF(OR(N1623&gt;50,Q1623&lt;=2),"High Risk / Delayed","Normal")</f>
        <v/>
      </c>
      <c r="Y1623" s="25">
        <f>IF(NOT(P1623="Cancelled"),"Fulfilled","Cancelled")</f>
        <v/>
      </c>
      <c r="Z1623" s="25">
        <f>IFERROR(Q1623,0)</f>
        <v/>
      </c>
    </row>
    <row r="1624">
      <c r="A1624" s="17" t="inlineStr">
        <is>
          <t>ORD2623</t>
        </is>
      </c>
      <c r="B1624" s="17" t="inlineStr">
        <is>
          <t>2025-02-05</t>
        </is>
      </c>
      <c r="C1624" s="17" t="inlineStr">
        <is>
          <t>08:06:37</t>
        </is>
      </c>
      <c r="D1624" s="17" t="n">
        <v>1204</v>
      </c>
      <c r="E1624" s="17" t="n">
        <v>114</v>
      </c>
      <c r="F1624" s="17" t="n">
        <v>225</v>
      </c>
      <c r="G1624" s="17" t="inlineStr">
        <is>
          <t>Hyderabad</t>
        </is>
      </c>
      <c r="H1624" s="17" t="inlineStr">
        <is>
          <t>Biryani</t>
        </is>
      </c>
      <c r="I1624" s="22" t="n">
        <v>351</v>
      </c>
      <c r="J1624" s="22" t="n">
        <v>66.39</v>
      </c>
      <c r="K1624" s="22" t="n">
        <v>25</v>
      </c>
      <c r="L1624" s="23" t="n">
        <v>0.22</v>
      </c>
      <c r="M1624" s="22" t="n">
        <v>83.47</v>
      </c>
      <c r="N1624" s="24" t="n">
        <v>1.8</v>
      </c>
      <c r="O1624" s="24" t="n">
        <v>18</v>
      </c>
      <c r="P1624" s="17" t="inlineStr">
        <is>
          <t>Debit Card</t>
        </is>
      </c>
      <c r="Q1624" s="17" t="inlineStr">
        <is>
          <t>Delivered</t>
        </is>
      </c>
      <c r="R1624" s="17" t="n">
        <v>4</v>
      </c>
      <c r="S1624" s="17">
        <f>TEXT(B1624,"yyyy-mm")</f>
        <v/>
      </c>
      <c r="T1624" s="17">
        <f>VLOOKUP(D1624,Customers!A:D,4,FALSE)</f>
        <v/>
      </c>
      <c r="U1624" s="17">
        <f>CONCATENATE(A1624,"-",G1624)</f>
        <v/>
      </c>
      <c r="V1624" s="17">
        <f>IF(N1624="","",IF(N1624&lt;=30,"Fast (&lt;30m)",IF(N1624&lt;=45,"Moderate (30-45m)","Delayed (&gt;45m)")))</f>
        <v/>
      </c>
      <c r="W1624" s="17">
        <f>IF(AND(I1624&gt;600,P1624="Delivered"),"High Value Delivered","Standard")</f>
        <v/>
      </c>
      <c r="X1624" s="17">
        <f>IF(OR(N1624&gt;50,Q1624&lt;=2),"High Risk / Delayed","Normal")</f>
        <v/>
      </c>
      <c r="Y1624" s="17">
        <f>IF(NOT(P1624="Cancelled"),"Fulfilled","Cancelled")</f>
        <v/>
      </c>
      <c r="Z1624" s="17">
        <f>IFERROR(Q1624,0)</f>
        <v/>
      </c>
    </row>
    <row r="1625">
      <c r="A1625" s="25" t="inlineStr">
        <is>
          <t>ORD2624</t>
        </is>
      </c>
      <c r="B1625" s="25" t="inlineStr">
        <is>
          <t>2025-03-23</t>
        </is>
      </c>
      <c r="C1625" s="25" t="inlineStr">
        <is>
          <t>10:37:35</t>
        </is>
      </c>
      <c r="D1625" s="25" t="n">
        <v>1221</v>
      </c>
      <c r="E1625" s="25" t="n">
        <v>109</v>
      </c>
      <c r="F1625" s="25" t="n">
        <v>216</v>
      </c>
      <c r="G1625" s="25" t="inlineStr">
        <is>
          <t>Hyderabad</t>
        </is>
      </c>
      <c r="H1625" s="25" t="inlineStr">
        <is>
          <t>Biryani</t>
        </is>
      </c>
      <c r="I1625" s="26" t="n">
        <v>473</v>
      </c>
      <c r="J1625" s="26" t="n">
        <v>26.37</v>
      </c>
      <c r="K1625" s="26" t="n">
        <v>47</v>
      </c>
      <c r="L1625" s="27" t="n">
        <v>0.2</v>
      </c>
      <c r="M1625" s="26" t="n">
        <v>106.35</v>
      </c>
      <c r="N1625" s="28" t="n">
        <v>7.4</v>
      </c>
      <c r="O1625" s="28" t="n">
        <v>40.7</v>
      </c>
      <c r="P1625" s="25" t="inlineStr">
        <is>
          <t>Digital Wallet</t>
        </is>
      </c>
      <c r="Q1625" s="25" t="inlineStr">
        <is>
          <t>Delivered</t>
        </is>
      </c>
      <c r="R1625" s="25" t="n">
        <v>3</v>
      </c>
      <c r="S1625" s="25">
        <f>TEXT(B1625,"yyyy-mm")</f>
        <v/>
      </c>
      <c r="T1625" s="25">
        <f>VLOOKUP(D1625,Customers!A:D,4,FALSE)</f>
        <v/>
      </c>
      <c r="U1625" s="25">
        <f>CONCATENATE(A1625,"-",G1625)</f>
        <v/>
      </c>
      <c r="V1625" s="25">
        <f>IF(N1625="","",IF(N1625&lt;=30,"Fast (&lt;30m)",IF(N1625&lt;=45,"Moderate (30-45m)","Delayed (&gt;45m)")))</f>
        <v/>
      </c>
      <c r="W1625" s="25">
        <f>IF(AND(I1625&gt;600,P1625="Delivered"),"High Value Delivered","Standard")</f>
        <v/>
      </c>
      <c r="X1625" s="25">
        <f>IF(OR(N1625&gt;50,Q1625&lt;=2),"High Risk / Delayed","Normal")</f>
        <v/>
      </c>
      <c r="Y1625" s="25">
        <f>IF(NOT(P1625="Cancelled"),"Fulfilled","Cancelled")</f>
        <v/>
      </c>
      <c r="Z1625" s="25">
        <f>IFERROR(Q1625,0)</f>
        <v/>
      </c>
    </row>
    <row r="1626">
      <c r="A1626" s="17" t="inlineStr">
        <is>
          <t>ORD2625</t>
        </is>
      </c>
      <c r="B1626" s="17" t="inlineStr">
        <is>
          <t>2025-04-22</t>
        </is>
      </c>
      <c r="C1626" s="17" t="inlineStr">
        <is>
          <t>12:46:45</t>
        </is>
      </c>
      <c r="D1626" s="17" t="n">
        <v>1295</v>
      </c>
      <c r="E1626" s="17" t="n">
        <v>112</v>
      </c>
      <c r="F1626" s="17" t="n">
        <v>219</v>
      </c>
      <c r="G1626" s="17" t="inlineStr">
        <is>
          <t>Delhi NCR</t>
        </is>
      </c>
      <c r="H1626" s="17" t="inlineStr">
        <is>
          <t>North Indian</t>
        </is>
      </c>
      <c r="I1626" s="22" t="n">
        <v>349</v>
      </c>
      <c r="J1626" s="22" t="n">
        <v>0</v>
      </c>
      <c r="K1626" s="22" t="n">
        <v>25</v>
      </c>
      <c r="L1626" s="23" t="n">
        <v>0.22</v>
      </c>
      <c r="M1626" s="22" t="n">
        <v>83.03</v>
      </c>
      <c r="N1626" s="24" t="n">
        <v>1.7</v>
      </c>
      <c r="O1626" s="24" t="n">
        <v>33.3</v>
      </c>
      <c r="P1626" s="17" t="inlineStr">
        <is>
          <t>Digital Wallet</t>
        </is>
      </c>
      <c r="Q1626" s="17" t="inlineStr">
        <is>
          <t>Delivered</t>
        </is>
      </c>
      <c r="R1626" s="17" t="n">
        <v>2</v>
      </c>
      <c r="S1626" s="17">
        <f>TEXT(B1626,"yyyy-mm")</f>
        <v/>
      </c>
      <c r="T1626" s="17">
        <f>VLOOKUP(D1626,Customers!A:D,4,FALSE)</f>
        <v/>
      </c>
      <c r="U1626" s="17">
        <f>CONCATENATE(A1626,"-",G1626)</f>
        <v/>
      </c>
      <c r="V1626" s="17">
        <f>IF(N1626="","",IF(N1626&lt;=30,"Fast (&lt;30m)",IF(N1626&lt;=45,"Moderate (30-45m)","Delayed (&gt;45m)")))</f>
        <v/>
      </c>
      <c r="W1626" s="17">
        <f>IF(AND(I1626&gt;600,P1626="Delivered"),"High Value Delivered","Standard")</f>
        <v/>
      </c>
      <c r="X1626" s="17">
        <f>IF(OR(N1626&gt;50,Q1626&lt;=2),"High Risk / Delayed","Normal")</f>
        <v/>
      </c>
      <c r="Y1626" s="17">
        <f>IF(NOT(P1626="Cancelled"),"Fulfilled","Cancelled")</f>
        <v/>
      </c>
      <c r="Z1626" s="17">
        <f>IFERROR(Q1626,0)</f>
        <v/>
      </c>
    </row>
    <row r="1627">
      <c r="A1627" s="25" t="inlineStr">
        <is>
          <t>ORD2626</t>
        </is>
      </c>
      <c r="B1627" s="25" t="inlineStr">
        <is>
          <t>2025-01-03</t>
        </is>
      </c>
      <c r="C1627" s="25" t="inlineStr">
        <is>
          <t>20:43:33</t>
        </is>
      </c>
      <c r="D1627" s="25" t="n">
        <v>1277</v>
      </c>
      <c r="E1627" s="25" t="n">
        <v>113</v>
      </c>
      <c r="F1627" s="25" t="n">
        <v>222</v>
      </c>
      <c r="G1627" s="25" t="inlineStr">
        <is>
          <t>Mumbai</t>
        </is>
      </c>
      <c r="H1627" s="25" t="inlineStr">
        <is>
          <t>Fast Food</t>
        </is>
      </c>
      <c r="I1627" s="26" t="n">
        <v>499</v>
      </c>
      <c r="J1627" s="26" t="n">
        <v>45.09</v>
      </c>
      <c r="K1627" s="26" t="n">
        <v>43</v>
      </c>
      <c r="L1627" s="27" t="n">
        <v>0.18</v>
      </c>
      <c r="M1627" s="26" t="n">
        <v>100.57</v>
      </c>
      <c r="N1627" s="28" t="n">
        <v>6.6</v>
      </c>
      <c r="O1627" s="28" t="n">
        <v>46.8</v>
      </c>
      <c r="P1627" s="25" t="inlineStr">
        <is>
          <t>Credit Card</t>
        </is>
      </c>
      <c r="Q1627" s="25" t="inlineStr">
        <is>
          <t>Delivered</t>
        </is>
      </c>
      <c r="R1627" s="25" t="n">
        <v>4</v>
      </c>
      <c r="S1627" s="25">
        <f>TEXT(B1627,"yyyy-mm")</f>
        <v/>
      </c>
      <c r="T1627" s="25">
        <f>VLOOKUP(D1627,Customers!A:D,4,FALSE)</f>
        <v/>
      </c>
      <c r="U1627" s="25">
        <f>CONCATENATE(A1627,"-",G1627)</f>
        <v/>
      </c>
      <c r="V1627" s="25">
        <f>IF(N1627="","",IF(N1627&lt;=30,"Fast (&lt;30m)",IF(N1627&lt;=45,"Moderate (30-45m)","Delayed (&gt;45m)")))</f>
        <v/>
      </c>
      <c r="W1627" s="25">
        <f>IF(AND(I1627&gt;600,P1627="Delivered"),"High Value Delivered","Standard")</f>
        <v/>
      </c>
      <c r="X1627" s="25">
        <f>IF(OR(N1627&gt;50,Q1627&lt;=2),"High Risk / Delayed","Normal")</f>
        <v/>
      </c>
      <c r="Y1627" s="25">
        <f>IF(NOT(P1627="Cancelled"),"Fulfilled","Cancelled")</f>
        <v/>
      </c>
      <c r="Z1627" s="25">
        <f>IFERROR(Q1627,0)</f>
        <v/>
      </c>
    </row>
    <row r="1628">
      <c r="A1628" s="17" t="inlineStr">
        <is>
          <t>ORD2627</t>
        </is>
      </c>
      <c r="B1628" s="17" t="inlineStr">
        <is>
          <t>2025-08-09</t>
        </is>
      </c>
      <c r="C1628" s="17" t="inlineStr">
        <is>
          <t>18:13:39</t>
        </is>
      </c>
      <c r="D1628" s="17" t="n">
        <v>1243</v>
      </c>
      <c r="E1628" s="17" t="n">
        <v>112</v>
      </c>
      <c r="F1628" s="17" t="n">
        <v>212</v>
      </c>
      <c r="G1628" s="17" t="inlineStr">
        <is>
          <t>Delhi NCR</t>
        </is>
      </c>
      <c r="H1628" s="17" t="inlineStr">
        <is>
          <t>North Indian</t>
        </is>
      </c>
      <c r="I1628" s="22" t="n">
        <v>1101</v>
      </c>
      <c r="J1628" s="22" t="n">
        <v>131.29</v>
      </c>
      <c r="K1628" s="22" t="n">
        <v>0</v>
      </c>
      <c r="L1628" s="23" t="n">
        <v>0.22</v>
      </c>
      <c r="M1628" s="22" t="n">
        <v>242.22</v>
      </c>
      <c r="N1628" s="24" t="n">
        <v>5.7</v>
      </c>
      <c r="O1628" s="24" t="n">
        <v>37.1</v>
      </c>
      <c r="P1628" s="17" t="inlineStr">
        <is>
          <t>Debit Card</t>
        </is>
      </c>
      <c r="Q1628" s="17" t="inlineStr">
        <is>
          <t>Delivered</t>
        </is>
      </c>
      <c r="R1628" s="17" t="n">
        <v>4</v>
      </c>
      <c r="S1628" s="17">
        <f>TEXT(B1628,"yyyy-mm")</f>
        <v/>
      </c>
      <c r="T1628" s="17">
        <f>VLOOKUP(D1628,Customers!A:D,4,FALSE)</f>
        <v/>
      </c>
      <c r="U1628" s="17">
        <f>CONCATENATE(A1628,"-",G1628)</f>
        <v/>
      </c>
      <c r="V1628" s="17">
        <f>IF(N1628="","",IF(N1628&lt;=30,"Fast (&lt;30m)",IF(N1628&lt;=45,"Moderate (30-45m)","Delayed (&gt;45m)")))</f>
        <v/>
      </c>
      <c r="W1628" s="17">
        <f>IF(AND(I1628&gt;600,P1628="Delivered"),"High Value Delivered","Standard")</f>
        <v/>
      </c>
      <c r="X1628" s="17">
        <f>IF(OR(N1628&gt;50,Q1628&lt;=2),"High Risk / Delayed","Normal")</f>
        <v/>
      </c>
      <c r="Y1628" s="17">
        <f>IF(NOT(P1628="Cancelled"),"Fulfilled","Cancelled")</f>
        <v/>
      </c>
      <c r="Z1628" s="17">
        <f>IFERROR(Q1628,0)</f>
        <v/>
      </c>
    </row>
    <row r="1629">
      <c r="A1629" s="25" t="inlineStr">
        <is>
          <t>ORD2628</t>
        </is>
      </c>
      <c r="B1629" s="25" t="inlineStr">
        <is>
          <t>2025-10-30</t>
        </is>
      </c>
      <c r="C1629" s="25" t="inlineStr">
        <is>
          <t>21:26:58</t>
        </is>
      </c>
      <c r="D1629" s="25" t="n">
        <v>1129</v>
      </c>
      <c r="E1629" s="25" t="n">
        <v>120</v>
      </c>
      <c r="F1629" s="25" t="n">
        <v>204</v>
      </c>
      <c r="G1629" s="25" t="inlineStr">
        <is>
          <t>Pune</t>
        </is>
      </c>
      <c r="H1629" s="25" t="inlineStr">
        <is>
          <t>Fast Food</t>
        </is>
      </c>
      <c r="I1629" s="26" t="n">
        <v>812</v>
      </c>
      <c r="J1629" s="26" t="n">
        <v>0</v>
      </c>
      <c r="K1629" s="26" t="n">
        <v>27</v>
      </c>
      <c r="L1629" s="27" t="n">
        <v>0.18</v>
      </c>
      <c r="M1629" s="26" t="n">
        <v>152.91</v>
      </c>
      <c r="N1629" s="28" t="n">
        <v>3.4</v>
      </c>
      <c r="O1629" s="28" t="n">
        <v>30.4</v>
      </c>
      <c r="P1629" s="25" t="inlineStr">
        <is>
          <t>UPI</t>
        </is>
      </c>
      <c r="Q1629" s="25" t="inlineStr">
        <is>
          <t>Delivered</t>
        </is>
      </c>
      <c r="R1629" s="25" t="n">
        <v>2</v>
      </c>
      <c r="S1629" s="25">
        <f>TEXT(B1629,"yyyy-mm")</f>
        <v/>
      </c>
      <c r="T1629" s="25">
        <f>VLOOKUP(D1629,Customers!A:D,4,FALSE)</f>
        <v/>
      </c>
      <c r="U1629" s="25">
        <f>CONCATENATE(A1629,"-",G1629)</f>
        <v/>
      </c>
      <c r="V1629" s="25">
        <f>IF(N1629="","",IF(N1629&lt;=30,"Fast (&lt;30m)",IF(N1629&lt;=45,"Moderate (30-45m)","Delayed (&gt;45m)")))</f>
        <v/>
      </c>
      <c r="W1629" s="25">
        <f>IF(AND(I1629&gt;600,P1629="Delivered"),"High Value Delivered","Standard")</f>
        <v/>
      </c>
      <c r="X1629" s="25">
        <f>IF(OR(N1629&gt;50,Q1629&lt;=2),"High Risk / Delayed","Normal")</f>
        <v/>
      </c>
      <c r="Y1629" s="25">
        <f>IF(NOT(P1629="Cancelled"),"Fulfilled","Cancelled")</f>
        <v/>
      </c>
      <c r="Z1629" s="25">
        <f>IFERROR(Q1629,0)</f>
        <v/>
      </c>
    </row>
    <row r="1630">
      <c r="A1630" s="17" t="inlineStr">
        <is>
          <t>ORD2629</t>
        </is>
      </c>
      <c r="B1630" s="17" t="inlineStr">
        <is>
          <t>2025-01-01</t>
        </is>
      </c>
      <c r="C1630" s="17" t="inlineStr">
        <is>
          <t>12:07:25</t>
        </is>
      </c>
      <c r="D1630" s="17" t="n">
        <v>1217</v>
      </c>
      <c r="E1630" s="17" t="n">
        <v>119</v>
      </c>
      <c r="F1630" s="17" t="n">
        <v>225</v>
      </c>
      <c r="G1630" s="17" t="inlineStr">
        <is>
          <t>Hyderabad</t>
        </is>
      </c>
      <c r="H1630" s="17" t="inlineStr">
        <is>
          <t>Biryani</t>
        </is>
      </c>
      <c r="I1630" s="22" t="n">
        <v>824</v>
      </c>
      <c r="J1630" s="22" t="n">
        <v>0</v>
      </c>
      <c r="K1630" s="22" t="n">
        <v>37.5</v>
      </c>
      <c r="L1630" s="23" t="n">
        <v>0.2</v>
      </c>
      <c r="M1630" s="22" t="n">
        <v>174.18</v>
      </c>
      <c r="N1630" s="24" t="n">
        <v>5.5</v>
      </c>
      <c r="O1630" s="24" t="n">
        <v>39.7</v>
      </c>
      <c r="P1630" s="17" t="inlineStr">
        <is>
          <t>Credit Card</t>
        </is>
      </c>
      <c r="Q1630" s="17" t="inlineStr">
        <is>
          <t>Delivered</t>
        </is>
      </c>
      <c r="R1630" s="17" t="n">
        <v>5</v>
      </c>
      <c r="S1630" s="17">
        <f>TEXT(B1630,"yyyy-mm")</f>
        <v/>
      </c>
      <c r="T1630" s="17">
        <f>VLOOKUP(D1630,Customers!A:D,4,FALSE)</f>
        <v/>
      </c>
      <c r="U1630" s="17">
        <f>CONCATENATE(A1630,"-",G1630)</f>
        <v/>
      </c>
      <c r="V1630" s="17">
        <f>IF(N1630="","",IF(N1630&lt;=30,"Fast (&lt;30m)",IF(N1630&lt;=45,"Moderate (30-45m)","Delayed (&gt;45m)")))</f>
        <v/>
      </c>
      <c r="W1630" s="17">
        <f>IF(AND(I1630&gt;600,P1630="Delivered"),"High Value Delivered","Standard")</f>
        <v/>
      </c>
      <c r="X1630" s="17">
        <f>IF(OR(N1630&gt;50,Q1630&lt;=2),"High Risk / Delayed","Normal")</f>
        <v/>
      </c>
      <c r="Y1630" s="17">
        <f>IF(NOT(P1630="Cancelled"),"Fulfilled","Cancelled")</f>
        <v/>
      </c>
      <c r="Z1630" s="17">
        <f>IFERROR(Q1630,0)</f>
        <v/>
      </c>
    </row>
    <row r="1631">
      <c r="A1631" s="25" t="inlineStr">
        <is>
          <t>ORD2630</t>
        </is>
      </c>
      <c r="B1631" s="25" t="inlineStr">
        <is>
          <t>2025-03-09</t>
        </is>
      </c>
      <c r="C1631" s="25" t="inlineStr">
        <is>
          <t>19:45:02</t>
        </is>
      </c>
      <c r="D1631" s="25" t="n">
        <v>1171</v>
      </c>
      <c r="E1631" s="25" t="n">
        <v>109</v>
      </c>
      <c r="F1631" s="25" t="n">
        <v>225</v>
      </c>
      <c r="G1631" s="25" t="inlineStr">
        <is>
          <t>Hyderabad</t>
        </is>
      </c>
      <c r="H1631" s="25" t="inlineStr">
        <is>
          <t>Biryani</t>
        </is>
      </c>
      <c r="I1631" s="26" t="n">
        <v>456</v>
      </c>
      <c r="J1631" s="26" t="n">
        <v>54.66</v>
      </c>
      <c r="K1631" s="26" t="n">
        <v>38.5</v>
      </c>
      <c r="L1631" s="27" t="n">
        <v>0.2</v>
      </c>
      <c r="M1631" s="26" t="n">
        <v>100.82</v>
      </c>
      <c r="N1631" s="28" t="n">
        <v>5.7</v>
      </c>
      <c r="O1631" s="28" t="n">
        <v>41.6</v>
      </c>
      <c r="P1631" s="25" t="inlineStr">
        <is>
          <t>UPI</t>
        </is>
      </c>
      <c r="Q1631" s="25" t="inlineStr">
        <is>
          <t>Delivered</t>
        </is>
      </c>
      <c r="R1631" s="25" t="n">
        <v>3</v>
      </c>
      <c r="S1631" s="25">
        <f>TEXT(B1631,"yyyy-mm")</f>
        <v/>
      </c>
      <c r="T1631" s="25">
        <f>VLOOKUP(D1631,Customers!A:D,4,FALSE)</f>
        <v/>
      </c>
      <c r="U1631" s="25">
        <f>CONCATENATE(A1631,"-",G1631)</f>
        <v/>
      </c>
      <c r="V1631" s="25">
        <f>IF(N1631="","",IF(N1631&lt;=30,"Fast (&lt;30m)",IF(N1631&lt;=45,"Moderate (30-45m)","Delayed (&gt;45m)")))</f>
        <v/>
      </c>
      <c r="W1631" s="25">
        <f>IF(AND(I1631&gt;600,P1631="Delivered"),"High Value Delivered","Standard")</f>
        <v/>
      </c>
      <c r="X1631" s="25">
        <f>IF(OR(N1631&gt;50,Q1631&lt;=2),"High Risk / Delayed","Normal")</f>
        <v/>
      </c>
      <c r="Y1631" s="25">
        <f>IF(NOT(P1631="Cancelled"),"Fulfilled","Cancelled")</f>
        <v/>
      </c>
      <c r="Z1631" s="25">
        <f>IFERROR(Q1631,0)</f>
        <v/>
      </c>
    </row>
    <row r="1632">
      <c r="A1632" s="17" t="inlineStr">
        <is>
          <t>ORD2631</t>
        </is>
      </c>
      <c r="B1632" s="17" t="inlineStr">
        <is>
          <t>2025-05-22</t>
        </is>
      </c>
      <c r="C1632" s="17" t="inlineStr">
        <is>
          <t>19:07:36</t>
        </is>
      </c>
      <c r="D1632" s="17" t="n">
        <v>1266</v>
      </c>
      <c r="E1632" s="17" t="n">
        <v>103</v>
      </c>
      <c r="F1632" s="17" t="n">
        <v>229</v>
      </c>
      <c r="G1632" s="17" t="inlineStr">
        <is>
          <t>Mumbai</t>
        </is>
      </c>
      <c r="H1632" s="17" t="inlineStr">
        <is>
          <t>Italian</t>
        </is>
      </c>
      <c r="I1632" s="22" t="n">
        <v>222</v>
      </c>
      <c r="J1632" s="22" t="n">
        <v>21.23</v>
      </c>
      <c r="K1632" s="22" t="n">
        <v>25</v>
      </c>
      <c r="L1632" s="23" t="n">
        <v>0.18</v>
      </c>
      <c r="M1632" s="22" t="n">
        <v>46.21</v>
      </c>
      <c r="N1632" s="24" t="n">
        <v>1.8</v>
      </c>
      <c r="O1632" s="24" t="n">
        <v>31.9</v>
      </c>
      <c r="P1632" s="17" t="inlineStr">
        <is>
          <t>UPI</t>
        </is>
      </c>
      <c r="Q1632" s="17" t="inlineStr">
        <is>
          <t>Returned</t>
        </is>
      </c>
      <c r="R1632" s="17" t="n">
        <v>4</v>
      </c>
      <c r="S1632" s="17">
        <f>TEXT(B1632,"yyyy-mm")</f>
        <v/>
      </c>
      <c r="T1632" s="17">
        <f>VLOOKUP(D1632,Customers!A:D,4,FALSE)</f>
        <v/>
      </c>
      <c r="U1632" s="17">
        <f>CONCATENATE(A1632,"-",G1632)</f>
        <v/>
      </c>
      <c r="V1632" s="17">
        <f>IF(N1632="","",IF(N1632&lt;=30,"Fast (&lt;30m)",IF(N1632&lt;=45,"Moderate (30-45m)","Delayed (&gt;45m)")))</f>
        <v/>
      </c>
      <c r="W1632" s="17">
        <f>IF(AND(I1632&gt;600,P1632="Delivered"),"High Value Delivered","Standard")</f>
        <v/>
      </c>
      <c r="X1632" s="17">
        <f>IF(OR(N1632&gt;50,Q1632&lt;=2),"High Risk / Delayed","Normal")</f>
        <v/>
      </c>
      <c r="Y1632" s="17">
        <f>IF(NOT(P1632="Cancelled"),"Fulfilled","Cancelled")</f>
        <v/>
      </c>
      <c r="Z1632" s="17">
        <f>IFERROR(Q1632,0)</f>
        <v/>
      </c>
    </row>
    <row r="1633">
      <c r="A1633" s="25" t="inlineStr">
        <is>
          <t>ORD2632</t>
        </is>
      </c>
      <c r="B1633" s="25" t="inlineStr">
        <is>
          <t>2025-04-16</t>
        </is>
      </c>
      <c r="C1633" s="25" t="inlineStr">
        <is>
          <t>10:28:09</t>
        </is>
      </c>
      <c r="D1633" s="25" t="n">
        <v>1031</v>
      </c>
      <c r="E1633" s="25" t="n">
        <v>103</v>
      </c>
      <c r="F1633" s="25" t="n">
        <v>222</v>
      </c>
      <c r="G1633" s="25" t="inlineStr">
        <is>
          <t>Mumbai</t>
        </is>
      </c>
      <c r="H1633" s="25" t="inlineStr">
        <is>
          <t>Italian</t>
        </is>
      </c>
      <c r="I1633" s="26" t="n">
        <v>370</v>
      </c>
      <c r="J1633" s="26" t="n">
        <v>37.26</v>
      </c>
      <c r="K1633" s="26" t="n">
        <v>38.5</v>
      </c>
      <c r="L1633" s="27" t="n">
        <v>0.18</v>
      </c>
      <c r="M1633" s="26" t="n">
        <v>76.22</v>
      </c>
      <c r="N1633" s="28" t="n">
        <v>5.7</v>
      </c>
      <c r="O1633" s="28" t="n">
        <v>39.9</v>
      </c>
      <c r="P1633" s="25" t="inlineStr">
        <is>
          <t>Debit Card</t>
        </is>
      </c>
      <c r="Q1633" s="25" t="inlineStr">
        <is>
          <t>Delivered</t>
        </is>
      </c>
      <c r="R1633" s="25" t="n">
        <v>4</v>
      </c>
      <c r="S1633" s="25">
        <f>TEXT(B1633,"yyyy-mm")</f>
        <v/>
      </c>
      <c r="T1633" s="25">
        <f>VLOOKUP(D1633,Customers!A:D,4,FALSE)</f>
        <v/>
      </c>
      <c r="U1633" s="25">
        <f>CONCATENATE(A1633,"-",G1633)</f>
        <v/>
      </c>
      <c r="V1633" s="25">
        <f>IF(N1633="","",IF(N1633&lt;=30,"Fast (&lt;30m)",IF(N1633&lt;=45,"Moderate (30-45m)","Delayed (&gt;45m)")))</f>
        <v/>
      </c>
      <c r="W1633" s="25">
        <f>IF(AND(I1633&gt;600,P1633="Delivered"),"High Value Delivered","Standard")</f>
        <v/>
      </c>
      <c r="X1633" s="25">
        <f>IF(OR(N1633&gt;50,Q1633&lt;=2),"High Risk / Delayed","Normal")</f>
        <v/>
      </c>
      <c r="Y1633" s="25">
        <f>IF(NOT(P1633="Cancelled"),"Fulfilled","Cancelled")</f>
        <v/>
      </c>
      <c r="Z1633" s="25">
        <f>IFERROR(Q1633,0)</f>
        <v/>
      </c>
    </row>
    <row r="1634">
      <c r="A1634" s="17" t="inlineStr">
        <is>
          <t>ORD2633</t>
        </is>
      </c>
      <c r="B1634" s="17" t="inlineStr">
        <is>
          <t>2025-12-04</t>
        </is>
      </c>
      <c r="C1634" s="17" t="inlineStr">
        <is>
          <t>10:33:43</t>
        </is>
      </c>
      <c r="D1634" s="17" t="n">
        <v>1069</v>
      </c>
      <c r="E1634" s="17" t="n">
        <v>101</v>
      </c>
      <c r="F1634" s="17" t="n">
        <v>210</v>
      </c>
      <c r="G1634" s="17" t="inlineStr">
        <is>
          <t>Bangalore</t>
        </is>
      </c>
      <c r="H1634" s="17" t="inlineStr">
        <is>
          <t>North Indian</t>
        </is>
      </c>
      <c r="I1634" s="22" t="n">
        <v>501</v>
      </c>
      <c r="J1634" s="22" t="n">
        <v>0</v>
      </c>
      <c r="K1634" s="22" t="n">
        <v>25</v>
      </c>
      <c r="L1634" s="23" t="n">
        <v>0.2</v>
      </c>
      <c r="M1634" s="22" t="n">
        <v>106.45</v>
      </c>
      <c r="N1634" s="24" t="n">
        <v>2.8</v>
      </c>
      <c r="O1634" s="24" t="n">
        <v/>
      </c>
      <c r="P1634" s="17" t="inlineStr">
        <is>
          <t>Credit Card</t>
        </is>
      </c>
      <c r="Q1634" s="17" t="inlineStr">
        <is>
          <t>Cancelled</t>
        </is>
      </c>
      <c r="R1634" s="17" t="n">
        <v/>
      </c>
      <c r="S1634" s="17">
        <f>TEXT(B1634,"yyyy-mm")</f>
        <v/>
      </c>
      <c r="T1634" s="17">
        <f>VLOOKUP(D1634,Customers!A:D,4,FALSE)</f>
        <v/>
      </c>
      <c r="U1634" s="17">
        <f>CONCATENATE(A1634,"-",G1634)</f>
        <v/>
      </c>
      <c r="V1634" s="17">
        <f>IF(N1634="","",IF(N1634&lt;=30,"Fast (&lt;30m)",IF(N1634&lt;=45,"Moderate (30-45m)","Delayed (&gt;45m)")))</f>
        <v/>
      </c>
      <c r="W1634" s="17">
        <f>IF(AND(I1634&gt;600,P1634="Delivered"),"High Value Delivered","Standard")</f>
        <v/>
      </c>
      <c r="X1634" s="17">
        <f>IF(OR(N1634&gt;50,Q1634&lt;=2),"High Risk / Delayed","Normal")</f>
        <v/>
      </c>
      <c r="Y1634" s="17">
        <f>IF(NOT(P1634="Cancelled"),"Fulfilled","Cancelled")</f>
        <v/>
      </c>
      <c r="Z1634" s="17">
        <f>IFERROR(Q1634,0)</f>
        <v/>
      </c>
    </row>
    <row r="1635">
      <c r="A1635" s="25" t="inlineStr">
        <is>
          <t>ORD2634</t>
        </is>
      </c>
      <c r="B1635" s="25" t="inlineStr">
        <is>
          <t>2025-06-30</t>
        </is>
      </c>
      <c r="C1635" s="25" t="inlineStr">
        <is>
          <t>21:12:55</t>
        </is>
      </c>
      <c r="D1635" s="25" t="n">
        <v>1005</v>
      </c>
      <c r="E1635" s="25" t="n">
        <v>102</v>
      </c>
      <c r="F1635" s="25" t="n">
        <v>225</v>
      </c>
      <c r="G1635" s="25" t="inlineStr">
        <is>
          <t>Hyderabad</t>
        </is>
      </c>
      <c r="H1635" s="25" t="inlineStr">
        <is>
          <t>Biryani</t>
        </is>
      </c>
      <c r="I1635" s="26" t="n">
        <v>901</v>
      </c>
      <c r="J1635" s="26" t="n">
        <v>47.74</v>
      </c>
      <c r="K1635" s="26" t="n">
        <v>25</v>
      </c>
      <c r="L1635" s="27" t="n">
        <v>0.22</v>
      </c>
      <c r="M1635" s="26" t="n">
        <v>204.47</v>
      </c>
      <c r="N1635" s="28" t="n">
        <v>3</v>
      </c>
      <c r="O1635" s="28" t="n">
        <v>33.4</v>
      </c>
      <c r="P1635" s="25" t="inlineStr">
        <is>
          <t>Debit Card</t>
        </is>
      </c>
      <c r="Q1635" s="25" t="inlineStr">
        <is>
          <t>Delivered</t>
        </is>
      </c>
      <c r="R1635" s="25" t="n">
        <v>3</v>
      </c>
      <c r="S1635" s="25">
        <f>TEXT(B1635,"yyyy-mm")</f>
        <v/>
      </c>
      <c r="T1635" s="25">
        <f>VLOOKUP(D1635,Customers!A:D,4,FALSE)</f>
        <v/>
      </c>
      <c r="U1635" s="25">
        <f>CONCATENATE(A1635,"-",G1635)</f>
        <v/>
      </c>
      <c r="V1635" s="25">
        <f>IF(N1635="","",IF(N1635&lt;=30,"Fast (&lt;30m)",IF(N1635&lt;=45,"Moderate (30-45m)","Delayed (&gt;45m)")))</f>
        <v/>
      </c>
      <c r="W1635" s="25">
        <f>IF(AND(I1635&gt;600,P1635="Delivered"),"High Value Delivered","Standard")</f>
        <v/>
      </c>
      <c r="X1635" s="25">
        <f>IF(OR(N1635&gt;50,Q1635&lt;=2),"High Risk / Delayed","Normal")</f>
        <v/>
      </c>
      <c r="Y1635" s="25">
        <f>IF(NOT(P1635="Cancelled"),"Fulfilled","Cancelled")</f>
        <v/>
      </c>
      <c r="Z1635" s="25">
        <f>IFERROR(Q1635,0)</f>
        <v/>
      </c>
    </row>
    <row r="1636">
      <c r="A1636" s="17" t="inlineStr">
        <is>
          <t>ORD2635</t>
        </is>
      </c>
      <c r="B1636" s="17" t="inlineStr">
        <is>
          <t>2025-01-02</t>
        </is>
      </c>
      <c r="C1636" s="17" t="inlineStr">
        <is>
          <t>20:27:29</t>
        </is>
      </c>
      <c r="D1636" s="17" t="n">
        <v>1274</v>
      </c>
      <c r="E1636" s="17" t="n">
        <v>113</v>
      </c>
      <c r="F1636" s="17" t="n">
        <v>206</v>
      </c>
      <c r="G1636" s="17" t="inlineStr">
        <is>
          <t>Mumbai</t>
        </is>
      </c>
      <c r="H1636" s="17" t="inlineStr">
        <is>
          <t>Fast Food</t>
        </is>
      </c>
      <c r="I1636" s="22" t="n">
        <v>497</v>
      </c>
      <c r="J1636" s="22" t="n">
        <v>88.54000000000001</v>
      </c>
      <c r="K1636" s="22" t="n">
        <v>32</v>
      </c>
      <c r="L1636" s="23" t="n">
        <v>0.18</v>
      </c>
      <c r="M1636" s="22" t="n">
        <v>97.45999999999999</v>
      </c>
      <c r="N1636" s="24" t="n">
        <v>4.4</v>
      </c>
      <c r="O1636" s="24" t="n">
        <v>42.4</v>
      </c>
      <c r="P1636" s="17" t="inlineStr">
        <is>
          <t>Cash on Delivery</t>
        </is>
      </c>
      <c r="Q1636" s="17" t="inlineStr">
        <is>
          <t>Delivered</t>
        </is>
      </c>
      <c r="R1636" s="17" t="n">
        <v>3</v>
      </c>
      <c r="S1636" s="17">
        <f>TEXT(B1636,"yyyy-mm")</f>
        <v/>
      </c>
      <c r="T1636" s="17">
        <f>VLOOKUP(D1636,Customers!A:D,4,FALSE)</f>
        <v/>
      </c>
      <c r="U1636" s="17">
        <f>CONCATENATE(A1636,"-",G1636)</f>
        <v/>
      </c>
      <c r="V1636" s="17">
        <f>IF(N1636="","",IF(N1636&lt;=30,"Fast (&lt;30m)",IF(N1636&lt;=45,"Moderate (30-45m)","Delayed (&gt;45m)")))</f>
        <v/>
      </c>
      <c r="W1636" s="17">
        <f>IF(AND(I1636&gt;600,P1636="Delivered"),"High Value Delivered","Standard")</f>
        <v/>
      </c>
      <c r="X1636" s="17">
        <f>IF(OR(N1636&gt;50,Q1636&lt;=2),"High Risk / Delayed","Normal")</f>
        <v/>
      </c>
      <c r="Y1636" s="17">
        <f>IF(NOT(P1636="Cancelled"),"Fulfilled","Cancelled")</f>
        <v/>
      </c>
      <c r="Z1636" s="17">
        <f>IFERROR(Q1636,0)</f>
        <v/>
      </c>
    </row>
    <row r="1637">
      <c r="A1637" s="25" t="inlineStr">
        <is>
          <t>ORD2636</t>
        </is>
      </c>
      <c r="B1637" s="25" t="inlineStr">
        <is>
          <t>2025-02-26</t>
        </is>
      </c>
      <c r="C1637" s="25" t="inlineStr">
        <is>
          <t>13:56:18</t>
        </is>
      </c>
      <c r="D1637" s="25" t="n">
        <v>1127</v>
      </c>
      <c r="E1637" s="25" t="n">
        <v>112</v>
      </c>
      <c r="F1637" s="25" t="n">
        <v>212</v>
      </c>
      <c r="G1637" s="25" t="inlineStr">
        <is>
          <t>Delhi NCR</t>
        </is>
      </c>
      <c r="H1637" s="25" t="inlineStr">
        <is>
          <t>North Indian</t>
        </is>
      </c>
      <c r="I1637" s="26" t="n">
        <v>364</v>
      </c>
      <c r="J1637" s="26" t="n">
        <v>25.42</v>
      </c>
      <c r="K1637" s="26" t="n">
        <v>25</v>
      </c>
      <c r="L1637" s="27" t="n">
        <v>0.22</v>
      </c>
      <c r="M1637" s="26" t="n">
        <v>86.33</v>
      </c>
      <c r="N1637" s="28" t="n">
        <v>1.3</v>
      </c>
      <c r="O1637" s="28" t="n">
        <v>22.5</v>
      </c>
      <c r="P1637" s="25" t="inlineStr">
        <is>
          <t>UPI</t>
        </is>
      </c>
      <c r="Q1637" s="25" t="inlineStr">
        <is>
          <t>Delivered</t>
        </is>
      </c>
      <c r="R1637" s="25" t="n">
        <v>5</v>
      </c>
      <c r="S1637" s="25">
        <f>TEXT(B1637,"yyyy-mm")</f>
        <v/>
      </c>
      <c r="T1637" s="25">
        <f>VLOOKUP(D1637,Customers!A:D,4,FALSE)</f>
        <v/>
      </c>
      <c r="U1637" s="25">
        <f>CONCATENATE(A1637,"-",G1637)</f>
        <v/>
      </c>
      <c r="V1637" s="25">
        <f>IF(N1637="","",IF(N1637&lt;=30,"Fast (&lt;30m)",IF(N1637&lt;=45,"Moderate (30-45m)","Delayed (&gt;45m)")))</f>
        <v/>
      </c>
      <c r="W1637" s="25">
        <f>IF(AND(I1637&gt;600,P1637="Delivered"),"High Value Delivered","Standard")</f>
        <v/>
      </c>
      <c r="X1637" s="25">
        <f>IF(OR(N1637&gt;50,Q1637&lt;=2),"High Risk / Delayed","Normal")</f>
        <v/>
      </c>
      <c r="Y1637" s="25">
        <f>IF(NOT(P1637="Cancelled"),"Fulfilled","Cancelled")</f>
        <v/>
      </c>
      <c r="Z1637" s="25">
        <f>IFERROR(Q1637,0)</f>
        <v/>
      </c>
    </row>
    <row r="1638">
      <c r="A1638" s="17" t="inlineStr">
        <is>
          <t>ORD2637</t>
        </is>
      </c>
      <c r="B1638" s="17" t="inlineStr">
        <is>
          <t>2025-06-28</t>
        </is>
      </c>
      <c r="C1638" s="17" t="inlineStr">
        <is>
          <t>14:19:41</t>
        </is>
      </c>
      <c r="D1638" s="17" t="n">
        <v>1054</v>
      </c>
      <c r="E1638" s="17" t="n">
        <v>111</v>
      </c>
      <c r="F1638" s="17" t="n">
        <v>223</v>
      </c>
      <c r="G1638" s="17" t="inlineStr">
        <is>
          <t>Bangalore</t>
        </is>
      </c>
      <c r="H1638" s="17" t="inlineStr">
        <is>
          <t>South Indian</t>
        </is>
      </c>
      <c r="I1638" s="22" t="n">
        <v>664</v>
      </c>
      <c r="J1638" s="22" t="n">
        <v>79.73999999999999</v>
      </c>
      <c r="K1638" s="22" t="n">
        <v>0</v>
      </c>
      <c r="L1638" s="23" t="n">
        <v>0.15</v>
      </c>
      <c r="M1638" s="22" t="n">
        <v>99.59999999999999</v>
      </c>
      <c r="N1638" s="24" t="n">
        <v>4.4</v>
      </c>
      <c r="O1638" s="24" t="n">
        <v>38.7</v>
      </c>
      <c r="P1638" s="17" t="inlineStr">
        <is>
          <t>Cash on Delivery</t>
        </is>
      </c>
      <c r="Q1638" s="17" t="inlineStr">
        <is>
          <t>Delivered</t>
        </is>
      </c>
      <c r="R1638" s="17" t="n">
        <v>4</v>
      </c>
      <c r="S1638" s="17">
        <f>TEXT(B1638,"yyyy-mm")</f>
        <v/>
      </c>
      <c r="T1638" s="17">
        <f>VLOOKUP(D1638,Customers!A:D,4,FALSE)</f>
        <v/>
      </c>
      <c r="U1638" s="17">
        <f>CONCATENATE(A1638,"-",G1638)</f>
        <v/>
      </c>
      <c r="V1638" s="17">
        <f>IF(N1638="","",IF(N1638&lt;=30,"Fast (&lt;30m)",IF(N1638&lt;=45,"Moderate (30-45m)","Delayed (&gt;45m)")))</f>
        <v/>
      </c>
      <c r="W1638" s="17">
        <f>IF(AND(I1638&gt;600,P1638="Delivered"),"High Value Delivered","Standard")</f>
        <v/>
      </c>
      <c r="X1638" s="17">
        <f>IF(OR(N1638&gt;50,Q1638&lt;=2),"High Risk / Delayed","Normal")</f>
        <v/>
      </c>
      <c r="Y1638" s="17">
        <f>IF(NOT(P1638="Cancelled"),"Fulfilled","Cancelled")</f>
        <v/>
      </c>
      <c r="Z1638" s="17">
        <f>IFERROR(Q1638,0)</f>
        <v/>
      </c>
    </row>
    <row r="1639">
      <c r="A1639" s="25" t="inlineStr">
        <is>
          <t>ORD2638</t>
        </is>
      </c>
      <c r="B1639" s="25" t="inlineStr">
        <is>
          <t>2025-09-03</t>
        </is>
      </c>
      <c r="C1639" s="25" t="inlineStr">
        <is>
          <t>16:14:28</t>
        </is>
      </c>
      <c r="D1639" s="25" t="n">
        <v>1197</v>
      </c>
      <c r="E1639" s="25" t="n">
        <v>117</v>
      </c>
      <c r="F1639" s="25" t="n">
        <v>202</v>
      </c>
      <c r="G1639" s="25" t="inlineStr">
        <is>
          <t>Mumbai</t>
        </is>
      </c>
      <c r="H1639" s="25" t="inlineStr">
        <is>
          <t>Chinese</t>
        </is>
      </c>
      <c r="I1639" s="26" t="n">
        <v>356</v>
      </c>
      <c r="J1639" s="26" t="n">
        <v>18.23</v>
      </c>
      <c r="K1639" s="26" t="n">
        <v>26.5</v>
      </c>
      <c r="L1639" s="27" t="n">
        <v>0.2</v>
      </c>
      <c r="M1639" s="26" t="n">
        <v>77.81999999999999</v>
      </c>
      <c r="N1639" s="28" t="n">
        <v>3.3</v>
      </c>
      <c r="O1639" s="28" t="n">
        <v>30.5</v>
      </c>
      <c r="P1639" s="25" t="inlineStr">
        <is>
          <t>Cash on Delivery</t>
        </is>
      </c>
      <c r="Q1639" s="25" t="inlineStr">
        <is>
          <t>Returned</t>
        </is>
      </c>
      <c r="R1639" s="25" t="n">
        <v>5</v>
      </c>
      <c r="S1639" s="25">
        <f>TEXT(B1639,"yyyy-mm")</f>
        <v/>
      </c>
      <c r="T1639" s="25">
        <f>VLOOKUP(D1639,Customers!A:D,4,FALSE)</f>
        <v/>
      </c>
      <c r="U1639" s="25">
        <f>CONCATENATE(A1639,"-",G1639)</f>
        <v/>
      </c>
      <c r="V1639" s="25">
        <f>IF(N1639="","",IF(N1639&lt;=30,"Fast (&lt;30m)",IF(N1639&lt;=45,"Moderate (30-45m)","Delayed (&gt;45m)")))</f>
        <v/>
      </c>
      <c r="W1639" s="25">
        <f>IF(AND(I1639&gt;600,P1639="Delivered"),"High Value Delivered","Standard")</f>
        <v/>
      </c>
      <c r="X1639" s="25">
        <f>IF(OR(N1639&gt;50,Q1639&lt;=2),"High Risk / Delayed","Normal")</f>
        <v/>
      </c>
      <c r="Y1639" s="25">
        <f>IF(NOT(P1639="Cancelled"),"Fulfilled","Cancelled")</f>
        <v/>
      </c>
      <c r="Z1639" s="25">
        <f>IFERROR(Q1639,0)</f>
        <v/>
      </c>
    </row>
    <row r="1640">
      <c r="A1640" s="17" t="inlineStr">
        <is>
          <t>ORD2639</t>
        </is>
      </c>
      <c r="B1640" s="17" t="inlineStr">
        <is>
          <t>2025-02-26</t>
        </is>
      </c>
      <c r="C1640" s="17" t="inlineStr">
        <is>
          <t>14:17:46</t>
        </is>
      </c>
      <c r="D1640" s="17" t="n">
        <v>1229</v>
      </c>
      <c r="E1640" s="17" t="n">
        <v>103</v>
      </c>
      <c r="F1640" s="17" t="n">
        <v>229</v>
      </c>
      <c r="G1640" s="17" t="inlineStr">
        <is>
          <t>Mumbai</t>
        </is>
      </c>
      <c r="H1640" s="17" t="inlineStr">
        <is>
          <t>Italian</t>
        </is>
      </c>
      <c r="I1640" s="22" t="n">
        <v>832</v>
      </c>
      <c r="J1640" s="22" t="n">
        <v>104.4</v>
      </c>
      <c r="K1640" s="22" t="n">
        <v>0</v>
      </c>
      <c r="L1640" s="23" t="n">
        <v>0.18</v>
      </c>
      <c r="M1640" s="22" t="n">
        <v>149.76</v>
      </c>
      <c r="N1640" s="24" t="n">
        <v>4.7</v>
      </c>
      <c r="O1640" s="24" t="n">
        <v>34.8</v>
      </c>
      <c r="P1640" s="17" t="inlineStr">
        <is>
          <t>Digital Wallet</t>
        </is>
      </c>
      <c r="Q1640" s="17" t="inlineStr">
        <is>
          <t>Delivered</t>
        </is>
      </c>
      <c r="R1640" s="17" t="n">
        <v>3</v>
      </c>
      <c r="S1640" s="17">
        <f>TEXT(B1640,"yyyy-mm")</f>
        <v/>
      </c>
      <c r="T1640" s="17">
        <f>VLOOKUP(D1640,Customers!A:D,4,FALSE)</f>
        <v/>
      </c>
      <c r="U1640" s="17">
        <f>CONCATENATE(A1640,"-",G1640)</f>
        <v/>
      </c>
      <c r="V1640" s="17">
        <f>IF(N1640="","",IF(N1640&lt;=30,"Fast (&lt;30m)",IF(N1640&lt;=45,"Moderate (30-45m)","Delayed (&gt;45m)")))</f>
        <v/>
      </c>
      <c r="W1640" s="17">
        <f>IF(AND(I1640&gt;600,P1640="Delivered"),"High Value Delivered","Standard")</f>
        <v/>
      </c>
      <c r="X1640" s="17">
        <f>IF(OR(N1640&gt;50,Q1640&lt;=2),"High Risk / Delayed","Normal")</f>
        <v/>
      </c>
      <c r="Y1640" s="17">
        <f>IF(NOT(P1640="Cancelled"),"Fulfilled","Cancelled")</f>
        <v/>
      </c>
      <c r="Z1640" s="17">
        <f>IFERROR(Q1640,0)</f>
        <v/>
      </c>
    </row>
    <row r="1641">
      <c r="A1641" s="25" t="inlineStr">
        <is>
          <t>ORD2640</t>
        </is>
      </c>
      <c r="B1641" s="25" t="inlineStr">
        <is>
          <t>2025-02-02</t>
        </is>
      </c>
      <c r="C1641" s="25" t="inlineStr">
        <is>
          <t>18:36:56</t>
        </is>
      </c>
      <c r="D1641" s="25" t="n">
        <v>1022</v>
      </c>
      <c r="E1641" s="25" t="n">
        <v>112</v>
      </c>
      <c r="F1641" s="25" t="n">
        <v>230</v>
      </c>
      <c r="G1641" s="25" t="inlineStr">
        <is>
          <t>Delhi NCR</t>
        </is>
      </c>
      <c r="H1641" s="25" t="inlineStr">
        <is>
          <t>North Indian</t>
        </is>
      </c>
      <c r="I1641" s="26" t="n">
        <v>329</v>
      </c>
      <c r="J1641" s="26" t="n">
        <v>0</v>
      </c>
      <c r="K1641" s="26" t="n">
        <v>31</v>
      </c>
      <c r="L1641" s="27" t="n">
        <v>0.22</v>
      </c>
      <c r="M1641" s="26" t="n">
        <v>80.13</v>
      </c>
      <c r="N1641" s="28" t="n">
        <v>4.2</v>
      </c>
      <c r="O1641" s="28" t="n">
        <v>31.3</v>
      </c>
      <c r="P1641" s="25" t="inlineStr">
        <is>
          <t>Credit Card</t>
        </is>
      </c>
      <c r="Q1641" s="25" t="inlineStr">
        <is>
          <t>Delivered</t>
        </is>
      </c>
      <c r="R1641" s="25" t="n">
        <v>5</v>
      </c>
      <c r="S1641" s="25">
        <f>TEXT(B1641,"yyyy-mm")</f>
        <v/>
      </c>
      <c r="T1641" s="25">
        <f>VLOOKUP(D1641,Customers!A:D,4,FALSE)</f>
        <v/>
      </c>
      <c r="U1641" s="25">
        <f>CONCATENATE(A1641,"-",G1641)</f>
        <v/>
      </c>
      <c r="V1641" s="25">
        <f>IF(N1641="","",IF(N1641&lt;=30,"Fast (&lt;30m)",IF(N1641&lt;=45,"Moderate (30-45m)","Delayed (&gt;45m)")))</f>
        <v/>
      </c>
      <c r="W1641" s="25">
        <f>IF(AND(I1641&gt;600,P1641="Delivered"),"High Value Delivered","Standard")</f>
        <v/>
      </c>
      <c r="X1641" s="25">
        <f>IF(OR(N1641&gt;50,Q1641&lt;=2),"High Risk / Delayed","Normal")</f>
        <v/>
      </c>
      <c r="Y1641" s="25">
        <f>IF(NOT(P1641="Cancelled"),"Fulfilled","Cancelled")</f>
        <v/>
      </c>
      <c r="Z1641" s="25">
        <f>IFERROR(Q1641,0)</f>
        <v/>
      </c>
    </row>
    <row r="1642">
      <c r="A1642" s="17" t="inlineStr">
        <is>
          <t>ORD2641</t>
        </is>
      </c>
      <c r="B1642" s="17" t="inlineStr">
        <is>
          <t>2025-03-18</t>
        </is>
      </c>
      <c r="C1642" s="17" t="inlineStr">
        <is>
          <t>13:01:20</t>
        </is>
      </c>
      <c r="D1642" s="17" t="n">
        <v>1200</v>
      </c>
      <c r="E1642" s="17" t="n">
        <v>113</v>
      </c>
      <c r="F1642" s="17" t="n">
        <v>206</v>
      </c>
      <c r="G1642" s="17" t="inlineStr">
        <is>
          <t>Mumbai</t>
        </is>
      </c>
      <c r="H1642" s="17" t="inlineStr">
        <is>
          <t>Fast Food</t>
        </is>
      </c>
      <c r="I1642" s="22" t="n">
        <v>926</v>
      </c>
      <c r="J1642" s="22" t="n">
        <v>96.19</v>
      </c>
      <c r="K1642" s="22" t="n">
        <v>28</v>
      </c>
      <c r="L1642" s="23" t="n">
        <v>0.18</v>
      </c>
      <c r="M1642" s="22" t="n">
        <v>173.68</v>
      </c>
      <c r="N1642" s="24" t="n">
        <v>3.6</v>
      </c>
      <c r="O1642" s="24" t="n">
        <v>33</v>
      </c>
      <c r="P1642" s="17" t="inlineStr">
        <is>
          <t>Debit Card</t>
        </is>
      </c>
      <c r="Q1642" s="17" t="inlineStr">
        <is>
          <t>Delivered</t>
        </is>
      </c>
      <c r="R1642" s="17" t="n">
        <v>5</v>
      </c>
      <c r="S1642" s="17">
        <f>TEXT(B1642,"yyyy-mm")</f>
        <v/>
      </c>
      <c r="T1642" s="17">
        <f>VLOOKUP(D1642,Customers!A:D,4,FALSE)</f>
        <v/>
      </c>
      <c r="U1642" s="17">
        <f>CONCATENATE(A1642,"-",G1642)</f>
        <v/>
      </c>
      <c r="V1642" s="17">
        <f>IF(N1642="","",IF(N1642&lt;=30,"Fast (&lt;30m)",IF(N1642&lt;=45,"Moderate (30-45m)","Delayed (&gt;45m)")))</f>
        <v/>
      </c>
      <c r="W1642" s="17">
        <f>IF(AND(I1642&gt;600,P1642="Delivered"),"High Value Delivered","Standard")</f>
        <v/>
      </c>
      <c r="X1642" s="17">
        <f>IF(OR(N1642&gt;50,Q1642&lt;=2),"High Risk / Delayed","Normal")</f>
        <v/>
      </c>
      <c r="Y1642" s="17">
        <f>IF(NOT(P1642="Cancelled"),"Fulfilled","Cancelled")</f>
        <v/>
      </c>
      <c r="Z1642" s="17">
        <f>IFERROR(Q1642,0)</f>
        <v/>
      </c>
    </row>
    <row r="1643">
      <c r="A1643" s="25" t="inlineStr">
        <is>
          <t>ORD2642</t>
        </is>
      </c>
      <c r="B1643" s="25" t="inlineStr">
        <is>
          <t>2025-04-10</t>
        </is>
      </c>
      <c r="C1643" s="25" t="inlineStr">
        <is>
          <t>23:11:06</t>
        </is>
      </c>
      <c r="D1643" s="25" t="n">
        <v>1159</v>
      </c>
      <c r="E1643" s="25" t="n">
        <v>112</v>
      </c>
      <c r="F1643" s="25" t="n">
        <v>212</v>
      </c>
      <c r="G1643" s="25" t="inlineStr">
        <is>
          <t>Delhi NCR</t>
        </is>
      </c>
      <c r="H1643" s="25" t="inlineStr">
        <is>
          <t>North Indian</t>
        </is>
      </c>
      <c r="I1643" s="26" t="n">
        <v>533</v>
      </c>
      <c r="J1643" s="26" t="n">
        <v>18.12</v>
      </c>
      <c r="K1643" s="26" t="n">
        <v>25.5</v>
      </c>
      <c r="L1643" s="27" t="n">
        <v>0.22</v>
      </c>
      <c r="M1643" s="26" t="n">
        <v>123.64</v>
      </c>
      <c r="N1643" s="28" t="n">
        <v>3.1</v>
      </c>
      <c r="O1643" s="28" t="n">
        <v>30.7</v>
      </c>
      <c r="P1643" s="25" t="inlineStr">
        <is>
          <t>Debit Card</t>
        </is>
      </c>
      <c r="Q1643" s="25" t="inlineStr">
        <is>
          <t>Delivered</t>
        </is>
      </c>
      <c r="R1643" s="25" t="n">
        <v>3</v>
      </c>
      <c r="S1643" s="25">
        <f>TEXT(B1643,"yyyy-mm")</f>
        <v/>
      </c>
      <c r="T1643" s="25">
        <f>VLOOKUP(D1643,Customers!A:D,4,FALSE)</f>
        <v/>
      </c>
      <c r="U1643" s="25">
        <f>CONCATENATE(A1643,"-",G1643)</f>
        <v/>
      </c>
      <c r="V1643" s="25">
        <f>IF(N1643="","",IF(N1643&lt;=30,"Fast (&lt;30m)",IF(N1643&lt;=45,"Moderate (30-45m)","Delayed (&gt;45m)")))</f>
        <v/>
      </c>
      <c r="W1643" s="25">
        <f>IF(AND(I1643&gt;600,P1643="Delivered"),"High Value Delivered","Standard")</f>
        <v/>
      </c>
      <c r="X1643" s="25">
        <f>IF(OR(N1643&gt;50,Q1643&lt;=2),"High Risk / Delayed","Normal")</f>
        <v/>
      </c>
      <c r="Y1643" s="25">
        <f>IF(NOT(P1643="Cancelled"),"Fulfilled","Cancelled")</f>
        <v/>
      </c>
      <c r="Z1643" s="25">
        <f>IFERROR(Q1643,0)</f>
        <v/>
      </c>
    </row>
    <row r="1644">
      <c r="A1644" s="17" t="inlineStr">
        <is>
          <t>ORD2643</t>
        </is>
      </c>
      <c r="B1644" s="17" t="inlineStr">
        <is>
          <t>2025-02-19</t>
        </is>
      </c>
      <c r="C1644" s="17" t="inlineStr">
        <is>
          <t>22:24:30</t>
        </is>
      </c>
      <c r="D1644" s="17" t="n">
        <v>1235</v>
      </c>
      <c r="E1644" s="17" t="n">
        <v>119</v>
      </c>
      <c r="F1644" s="17" t="n">
        <v>216</v>
      </c>
      <c r="G1644" s="17" t="inlineStr">
        <is>
          <t>Hyderabad</t>
        </is>
      </c>
      <c r="H1644" s="17" t="inlineStr">
        <is>
          <t>Biryani</t>
        </is>
      </c>
      <c r="I1644" s="22" t="n">
        <v>859</v>
      </c>
      <c r="J1644" s="22" t="n">
        <v>0</v>
      </c>
      <c r="K1644" s="22" t="n">
        <v>41</v>
      </c>
      <c r="L1644" s="23" t="n">
        <v>0.2</v>
      </c>
      <c r="M1644" s="22" t="n">
        <v>182.05</v>
      </c>
      <c r="N1644" s="24" t="n">
        <v>6.2</v>
      </c>
      <c r="O1644" s="24" t="n">
        <v>36.3</v>
      </c>
      <c r="P1644" s="17" t="inlineStr">
        <is>
          <t>UPI</t>
        </is>
      </c>
      <c r="Q1644" s="17" t="inlineStr">
        <is>
          <t>Delivered</t>
        </is>
      </c>
      <c r="R1644" s="17" t="n">
        <v>5</v>
      </c>
      <c r="S1644" s="17">
        <f>TEXT(B1644,"yyyy-mm")</f>
        <v/>
      </c>
      <c r="T1644" s="17">
        <f>VLOOKUP(D1644,Customers!A:D,4,FALSE)</f>
        <v/>
      </c>
      <c r="U1644" s="17">
        <f>CONCATENATE(A1644,"-",G1644)</f>
        <v/>
      </c>
      <c r="V1644" s="17">
        <f>IF(N1644="","",IF(N1644&lt;=30,"Fast (&lt;30m)",IF(N1644&lt;=45,"Moderate (30-45m)","Delayed (&gt;45m)")))</f>
        <v/>
      </c>
      <c r="W1644" s="17">
        <f>IF(AND(I1644&gt;600,P1644="Delivered"),"High Value Delivered","Standard")</f>
        <v/>
      </c>
      <c r="X1644" s="17">
        <f>IF(OR(N1644&gt;50,Q1644&lt;=2),"High Risk / Delayed","Normal")</f>
        <v/>
      </c>
      <c r="Y1644" s="17">
        <f>IF(NOT(P1644="Cancelled"),"Fulfilled","Cancelled")</f>
        <v/>
      </c>
      <c r="Z1644" s="17">
        <f>IFERROR(Q1644,0)</f>
        <v/>
      </c>
    </row>
    <row r="1645">
      <c r="A1645" s="25" t="inlineStr">
        <is>
          <t>ORD2644</t>
        </is>
      </c>
      <c r="B1645" s="25" t="inlineStr">
        <is>
          <t>2025-05-04</t>
        </is>
      </c>
      <c r="C1645" s="25" t="inlineStr">
        <is>
          <t>12:34:21</t>
        </is>
      </c>
      <c r="D1645" s="25" t="n">
        <v>1188</v>
      </c>
      <c r="E1645" s="25" t="n">
        <v>114</v>
      </c>
      <c r="F1645" s="25" t="n">
        <v>215</v>
      </c>
      <c r="G1645" s="25" t="inlineStr">
        <is>
          <t>Hyderabad</t>
        </is>
      </c>
      <c r="H1645" s="25" t="inlineStr">
        <is>
          <t>Biryani</t>
        </is>
      </c>
      <c r="I1645" s="26" t="n">
        <v>724</v>
      </c>
      <c r="J1645" s="26" t="n">
        <v>0</v>
      </c>
      <c r="K1645" s="26" t="n">
        <v>25</v>
      </c>
      <c r="L1645" s="27" t="n">
        <v>0.22</v>
      </c>
      <c r="M1645" s="26" t="n">
        <v>165.53</v>
      </c>
      <c r="N1645" s="28" t="n">
        <v>2.2</v>
      </c>
      <c r="O1645" s="28" t="n">
        <v>33.1</v>
      </c>
      <c r="P1645" s="25" t="inlineStr">
        <is>
          <t>UPI</t>
        </is>
      </c>
      <c r="Q1645" s="25" t="inlineStr">
        <is>
          <t>Delivered</t>
        </is>
      </c>
      <c r="R1645" s="25" t="n">
        <v>5</v>
      </c>
      <c r="S1645" s="25">
        <f>TEXT(B1645,"yyyy-mm")</f>
        <v/>
      </c>
      <c r="T1645" s="25">
        <f>VLOOKUP(D1645,Customers!A:D,4,FALSE)</f>
        <v/>
      </c>
      <c r="U1645" s="25">
        <f>CONCATENATE(A1645,"-",G1645)</f>
        <v/>
      </c>
      <c r="V1645" s="25">
        <f>IF(N1645="","",IF(N1645&lt;=30,"Fast (&lt;30m)",IF(N1645&lt;=45,"Moderate (30-45m)","Delayed (&gt;45m)")))</f>
        <v/>
      </c>
      <c r="W1645" s="25">
        <f>IF(AND(I1645&gt;600,P1645="Delivered"),"High Value Delivered","Standard")</f>
        <v/>
      </c>
      <c r="X1645" s="25">
        <f>IF(OR(N1645&gt;50,Q1645&lt;=2),"High Risk / Delayed","Normal")</f>
        <v/>
      </c>
      <c r="Y1645" s="25">
        <f>IF(NOT(P1645="Cancelled"),"Fulfilled","Cancelled")</f>
        <v/>
      </c>
      <c r="Z1645" s="25">
        <f>IFERROR(Q1645,0)</f>
        <v/>
      </c>
    </row>
    <row r="1646">
      <c r="A1646" s="17" t="inlineStr">
        <is>
          <t>ORD2645</t>
        </is>
      </c>
      <c r="B1646" s="17" t="inlineStr">
        <is>
          <t>2025-04-29</t>
        </is>
      </c>
      <c r="C1646" s="17" t="inlineStr">
        <is>
          <t>12:26:55</t>
        </is>
      </c>
      <c r="D1646" s="17" t="n">
        <v>1166</v>
      </c>
      <c r="E1646" s="17" t="n">
        <v>111</v>
      </c>
      <c r="F1646" s="17" t="n">
        <v>223</v>
      </c>
      <c r="G1646" s="17" t="inlineStr">
        <is>
          <t>Bangalore</t>
        </is>
      </c>
      <c r="H1646" s="17" t="inlineStr">
        <is>
          <t>South Indian</t>
        </is>
      </c>
      <c r="I1646" s="22" t="n">
        <v>264</v>
      </c>
      <c r="J1646" s="22" t="n">
        <v>16.99</v>
      </c>
      <c r="K1646" s="22" t="n">
        <v>25.5</v>
      </c>
      <c r="L1646" s="23" t="n">
        <v>0.15</v>
      </c>
      <c r="M1646" s="22" t="n">
        <v>45.98</v>
      </c>
      <c r="N1646" s="24" t="n">
        <v>3.1</v>
      </c>
      <c r="O1646" s="24" t="n">
        <v>27.9</v>
      </c>
      <c r="P1646" s="17" t="inlineStr">
        <is>
          <t>UPI</t>
        </is>
      </c>
      <c r="Q1646" s="17" t="inlineStr">
        <is>
          <t>Delivered</t>
        </is>
      </c>
      <c r="R1646" s="17" t="n">
        <v>4</v>
      </c>
      <c r="S1646" s="17">
        <f>TEXT(B1646,"yyyy-mm")</f>
        <v/>
      </c>
      <c r="T1646" s="17">
        <f>VLOOKUP(D1646,Customers!A:D,4,FALSE)</f>
        <v/>
      </c>
      <c r="U1646" s="17">
        <f>CONCATENATE(A1646,"-",G1646)</f>
        <v/>
      </c>
      <c r="V1646" s="17">
        <f>IF(N1646="","",IF(N1646&lt;=30,"Fast (&lt;30m)",IF(N1646&lt;=45,"Moderate (30-45m)","Delayed (&gt;45m)")))</f>
        <v/>
      </c>
      <c r="W1646" s="17">
        <f>IF(AND(I1646&gt;600,P1646="Delivered"),"High Value Delivered","Standard")</f>
        <v/>
      </c>
      <c r="X1646" s="17">
        <f>IF(OR(N1646&gt;50,Q1646&lt;=2),"High Risk / Delayed","Normal")</f>
        <v/>
      </c>
      <c r="Y1646" s="17">
        <f>IF(NOT(P1646="Cancelled"),"Fulfilled","Cancelled")</f>
        <v/>
      </c>
      <c r="Z1646" s="17">
        <f>IFERROR(Q1646,0)</f>
        <v/>
      </c>
    </row>
    <row r="1647">
      <c r="A1647" s="25" t="inlineStr">
        <is>
          <t>ORD2646</t>
        </is>
      </c>
      <c r="B1647" s="25" t="inlineStr">
        <is>
          <t>2025-03-11</t>
        </is>
      </c>
      <c r="C1647" s="25" t="inlineStr">
        <is>
          <t>11:14:47</t>
        </is>
      </c>
      <c r="D1647" s="25" t="n">
        <v>1025</v>
      </c>
      <c r="E1647" s="25" t="n">
        <v>106</v>
      </c>
      <c r="F1647" s="25" t="n">
        <v>214</v>
      </c>
      <c r="G1647" s="25" t="inlineStr">
        <is>
          <t>Pune</t>
        </is>
      </c>
      <c r="H1647" s="25" t="inlineStr">
        <is>
          <t>South Indian</t>
        </is>
      </c>
      <c r="I1647" s="26" t="n">
        <v>439</v>
      </c>
      <c r="J1647" s="26" t="n">
        <v>0</v>
      </c>
      <c r="K1647" s="26" t="n">
        <v>34.5</v>
      </c>
      <c r="L1647" s="27" t="n">
        <v>0.15</v>
      </c>
      <c r="M1647" s="26" t="n">
        <v>74.47</v>
      </c>
      <c r="N1647" s="28" t="n">
        <v>4.9</v>
      </c>
      <c r="O1647" s="28" t="n">
        <v>26.8</v>
      </c>
      <c r="P1647" s="25" t="inlineStr">
        <is>
          <t>Debit Card</t>
        </is>
      </c>
      <c r="Q1647" s="25" t="inlineStr">
        <is>
          <t>Delivered</t>
        </is>
      </c>
      <c r="R1647" s="25" t="n">
        <v>3</v>
      </c>
      <c r="S1647" s="25">
        <f>TEXT(B1647,"yyyy-mm")</f>
        <v/>
      </c>
      <c r="T1647" s="25">
        <f>VLOOKUP(D1647,Customers!A:D,4,FALSE)</f>
        <v/>
      </c>
      <c r="U1647" s="25">
        <f>CONCATENATE(A1647,"-",G1647)</f>
        <v/>
      </c>
      <c r="V1647" s="25">
        <f>IF(N1647="","",IF(N1647&lt;=30,"Fast (&lt;30m)",IF(N1647&lt;=45,"Moderate (30-45m)","Delayed (&gt;45m)")))</f>
        <v/>
      </c>
      <c r="W1647" s="25">
        <f>IF(AND(I1647&gt;600,P1647="Delivered"),"High Value Delivered","Standard")</f>
        <v/>
      </c>
      <c r="X1647" s="25">
        <f>IF(OR(N1647&gt;50,Q1647&lt;=2),"High Risk / Delayed","Normal")</f>
        <v/>
      </c>
      <c r="Y1647" s="25">
        <f>IF(NOT(P1647="Cancelled"),"Fulfilled","Cancelled")</f>
        <v/>
      </c>
      <c r="Z1647" s="25">
        <f>IFERROR(Q1647,0)</f>
        <v/>
      </c>
    </row>
    <row r="1648">
      <c r="A1648" s="17" t="inlineStr">
        <is>
          <t>ORD2647</t>
        </is>
      </c>
      <c r="B1648" s="17" t="inlineStr">
        <is>
          <t>2025-03-03</t>
        </is>
      </c>
      <c r="C1648" s="17" t="inlineStr">
        <is>
          <t>16:17:41</t>
        </is>
      </c>
      <c r="D1648" s="17" t="n">
        <v>1261</v>
      </c>
      <c r="E1648" s="17" t="n">
        <v>102</v>
      </c>
      <c r="F1648" s="17" t="n">
        <v>215</v>
      </c>
      <c r="G1648" s="17" t="inlineStr">
        <is>
          <t>Hyderabad</t>
        </is>
      </c>
      <c r="H1648" s="17" t="inlineStr">
        <is>
          <t>Biryani</t>
        </is>
      </c>
      <c r="I1648" s="22" t="n">
        <v>822</v>
      </c>
      <c r="J1648" s="22" t="n">
        <v>92.3</v>
      </c>
      <c r="K1648" s="22" t="n">
        <v>25</v>
      </c>
      <c r="L1648" s="23" t="n">
        <v>0.22</v>
      </c>
      <c r="M1648" s="22" t="n">
        <v>187.09</v>
      </c>
      <c r="N1648" s="24" t="n">
        <v>2</v>
      </c>
      <c r="O1648" s="24" t="n">
        <v>38.6</v>
      </c>
      <c r="P1648" s="17" t="inlineStr">
        <is>
          <t>UPI</t>
        </is>
      </c>
      <c r="Q1648" s="17" t="inlineStr">
        <is>
          <t>Delivered</t>
        </is>
      </c>
      <c r="R1648" s="17" t="n">
        <v>4</v>
      </c>
      <c r="S1648" s="17">
        <f>TEXT(B1648,"yyyy-mm")</f>
        <v/>
      </c>
      <c r="T1648" s="17">
        <f>VLOOKUP(D1648,Customers!A:D,4,FALSE)</f>
        <v/>
      </c>
      <c r="U1648" s="17">
        <f>CONCATENATE(A1648,"-",G1648)</f>
        <v/>
      </c>
      <c r="V1648" s="17">
        <f>IF(N1648="","",IF(N1648&lt;=30,"Fast (&lt;30m)",IF(N1648&lt;=45,"Moderate (30-45m)","Delayed (&gt;45m)")))</f>
        <v/>
      </c>
      <c r="W1648" s="17">
        <f>IF(AND(I1648&gt;600,P1648="Delivered"),"High Value Delivered","Standard")</f>
        <v/>
      </c>
      <c r="X1648" s="17">
        <f>IF(OR(N1648&gt;50,Q1648&lt;=2),"High Risk / Delayed","Normal")</f>
        <v/>
      </c>
      <c r="Y1648" s="17">
        <f>IF(NOT(P1648="Cancelled"),"Fulfilled","Cancelled")</f>
        <v/>
      </c>
      <c r="Z1648" s="17">
        <f>IFERROR(Q1648,0)</f>
        <v/>
      </c>
    </row>
    <row r="1649">
      <c r="A1649" s="25" t="inlineStr">
        <is>
          <t>ORD2648</t>
        </is>
      </c>
      <c r="B1649" s="25" t="inlineStr">
        <is>
          <t>2025-02-17</t>
        </is>
      </c>
      <c r="C1649" s="25" t="inlineStr">
        <is>
          <t>16:51:16</t>
        </is>
      </c>
      <c r="D1649" s="25" t="n">
        <v>1228</v>
      </c>
      <c r="E1649" s="25" t="n">
        <v>119</v>
      </c>
      <c r="F1649" s="25" t="n">
        <v>216</v>
      </c>
      <c r="G1649" s="25" t="inlineStr">
        <is>
          <t>Hyderabad</t>
        </is>
      </c>
      <c r="H1649" s="25" t="inlineStr">
        <is>
          <t>Biryani</t>
        </is>
      </c>
      <c r="I1649" s="26" t="n">
        <v>832</v>
      </c>
      <c r="J1649" s="26" t="n">
        <v>41.87</v>
      </c>
      <c r="K1649" s="26" t="n">
        <v>32</v>
      </c>
      <c r="L1649" s="27" t="n">
        <v>0.2</v>
      </c>
      <c r="M1649" s="26" t="n">
        <v>174.4</v>
      </c>
      <c r="N1649" s="28" t="n">
        <v>4.4</v>
      </c>
      <c r="O1649" s="28" t="n">
        <v>33.4</v>
      </c>
      <c r="P1649" s="25" t="inlineStr">
        <is>
          <t>UPI</t>
        </is>
      </c>
      <c r="Q1649" s="25" t="inlineStr">
        <is>
          <t>Delivered</t>
        </is>
      </c>
      <c r="R1649" s="25" t="n">
        <v>5</v>
      </c>
      <c r="S1649" s="25">
        <f>TEXT(B1649,"yyyy-mm")</f>
        <v/>
      </c>
      <c r="T1649" s="25">
        <f>VLOOKUP(D1649,Customers!A:D,4,FALSE)</f>
        <v/>
      </c>
      <c r="U1649" s="25">
        <f>CONCATENATE(A1649,"-",G1649)</f>
        <v/>
      </c>
      <c r="V1649" s="25">
        <f>IF(N1649="","",IF(N1649&lt;=30,"Fast (&lt;30m)",IF(N1649&lt;=45,"Moderate (30-45m)","Delayed (&gt;45m)")))</f>
        <v/>
      </c>
      <c r="W1649" s="25">
        <f>IF(AND(I1649&gt;600,P1649="Delivered"),"High Value Delivered","Standard")</f>
        <v/>
      </c>
      <c r="X1649" s="25">
        <f>IF(OR(N1649&gt;50,Q1649&lt;=2),"High Risk / Delayed","Normal")</f>
        <v/>
      </c>
      <c r="Y1649" s="25">
        <f>IF(NOT(P1649="Cancelled"),"Fulfilled","Cancelled")</f>
        <v/>
      </c>
      <c r="Z1649" s="25">
        <f>IFERROR(Q1649,0)</f>
        <v/>
      </c>
    </row>
    <row r="1650">
      <c r="A1650" s="17" t="inlineStr">
        <is>
          <t>ORD2649</t>
        </is>
      </c>
      <c r="B1650" s="17" t="inlineStr">
        <is>
          <t>2025-12-03</t>
        </is>
      </c>
      <c r="C1650" s="17" t="inlineStr">
        <is>
          <t>18:48:44</t>
        </is>
      </c>
      <c r="D1650" s="17" t="n">
        <v>1199</v>
      </c>
      <c r="E1650" s="17" t="n">
        <v>102</v>
      </c>
      <c r="F1650" s="17" t="n">
        <v>215</v>
      </c>
      <c r="G1650" s="17" t="inlineStr">
        <is>
          <t>Hyderabad</t>
        </is>
      </c>
      <c r="H1650" s="17" t="inlineStr">
        <is>
          <t>Biryani</t>
        </is>
      </c>
      <c r="I1650" s="22" t="n">
        <v>563</v>
      </c>
      <c r="J1650" s="22" t="n">
        <v>103.71</v>
      </c>
      <c r="K1650" s="22" t="n">
        <v>0</v>
      </c>
      <c r="L1650" s="23" t="n">
        <v>0.22</v>
      </c>
      <c r="M1650" s="22" t="n">
        <v>123.86</v>
      </c>
      <c r="N1650" s="24" t="n">
        <v>2.7</v>
      </c>
      <c r="O1650" s="24" t="n">
        <v>29.1</v>
      </c>
      <c r="P1650" s="17" t="inlineStr">
        <is>
          <t>Credit Card</t>
        </is>
      </c>
      <c r="Q1650" s="17" t="inlineStr">
        <is>
          <t>Delivered</t>
        </is>
      </c>
      <c r="R1650" s="17" t="n">
        <v>3</v>
      </c>
      <c r="S1650" s="17">
        <f>TEXT(B1650,"yyyy-mm")</f>
        <v/>
      </c>
      <c r="T1650" s="17">
        <f>VLOOKUP(D1650,Customers!A:D,4,FALSE)</f>
        <v/>
      </c>
      <c r="U1650" s="17">
        <f>CONCATENATE(A1650,"-",G1650)</f>
        <v/>
      </c>
      <c r="V1650" s="17">
        <f>IF(N1650="","",IF(N1650&lt;=30,"Fast (&lt;30m)",IF(N1650&lt;=45,"Moderate (30-45m)","Delayed (&gt;45m)")))</f>
        <v/>
      </c>
      <c r="W1650" s="17">
        <f>IF(AND(I1650&gt;600,P1650="Delivered"),"High Value Delivered","Standard")</f>
        <v/>
      </c>
      <c r="X1650" s="17">
        <f>IF(OR(N1650&gt;50,Q1650&lt;=2),"High Risk / Delayed","Normal")</f>
        <v/>
      </c>
      <c r="Y1650" s="17">
        <f>IF(NOT(P1650="Cancelled"),"Fulfilled","Cancelled")</f>
        <v/>
      </c>
      <c r="Z1650" s="17">
        <f>IFERROR(Q1650,0)</f>
        <v/>
      </c>
    </row>
    <row r="1651">
      <c r="A1651" s="25" t="inlineStr">
        <is>
          <t>ORD2650</t>
        </is>
      </c>
      <c r="B1651" s="25" t="inlineStr">
        <is>
          <t>2025-02-15</t>
        </is>
      </c>
      <c r="C1651" s="25" t="inlineStr">
        <is>
          <t>16:32:37</t>
        </is>
      </c>
      <c r="D1651" s="25" t="n">
        <v>1112</v>
      </c>
      <c r="E1651" s="25" t="n">
        <v>103</v>
      </c>
      <c r="F1651" s="25" t="n">
        <v>229</v>
      </c>
      <c r="G1651" s="25" t="inlineStr">
        <is>
          <t>Mumbai</t>
        </is>
      </c>
      <c r="H1651" s="25" t="inlineStr">
        <is>
          <t>Italian</t>
        </is>
      </c>
      <c r="I1651" s="26" t="n">
        <v>454</v>
      </c>
      <c r="J1651" s="26" t="n">
        <v>10.08</v>
      </c>
      <c r="K1651" s="26" t="n">
        <v>31</v>
      </c>
      <c r="L1651" s="27" t="n">
        <v>0.18</v>
      </c>
      <c r="M1651" s="26" t="n">
        <v>89.47</v>
      </c>
      <c r="N1651" s="28" t="n">
        <v>4.2</v>
      </c>
      <c r="O1651" s="28" t="n">
        <v>28.8</v>
      </c>
      <c r="P1651" s="25" t="inlineStr">
        <is>
          <t>Debit Card</t>
        </is>
      </c>
      <c r="Q1651" s="25" t="inlineStr">
        <is>
          <t>Delivered</t>
        </is>
      </c>
      <c r="R1651" s="25" t="n">
        <v>5</v>
      </c>
      <c r="S1651" s="25">
        <f>TEXT(B1651,"yyyy-mm")</f>
        <v/>
      </c>
      <c r="T1651" s="25">
        <f>VLOOKUP(D1651,Customers!A:D,4,FALSE)</f>
        <v/>
      </c>
      <c r="U1651" s="25">
        <f>CONCATENATE(A1651,"-",G1651)</f>
        <v/>
      </c>
      <c r="V1651" s="25">
        <f>IF(N1651="","",IF(N1651&lt;=30,"Fast (&lt;30m)",IF(N1651&lt;=45,"Moderate (30-45m)","Delayed (&gt;45m)")))</f>
        <v/>
      </c>
      <c r="W1651" s="25">
        <f>IF(AND(I1651&gt;600,P1651="Delivered"),"High Value Delivered","Standard")</f>
        <v/>
      </c>
      <c r="X1651" s="25">
        <f>IF(OR(N1651&gt;50,Q1651&lt;=2),"High Risk / Delayed","Normal")</f>
        <v/>
      </c>
      <c r="Y1651" s="25">
        <f>IF(NOT(P1651="Cancelled"),"Fulfilled","Cancelled")</f>
        <v/>
      </c>
      <c r="Z1651" s="25">
        <f>IFERROR(Q1651,0)</f>
        <v/>
      </c>
    </row>
    <row r="1652">
      <c r="A1652" s="17" t="inlineStr">
        <is>
          <t>ORD2651</t>
        </is>
      </c>
      <c r="B1652" s="17" t="inlineStr">
        <is>
          <t>2025-01-14</t>
        </is>
      </c>
      <c r="C1652" s="17" t="inlineStr">
        <is>
          <t>20:47:06</t>
        </is>
      </c>
      <c r="D1652" s="17" t="n">
        <v>1211</v>
      </c>
      <c r="E1652" s="17" t="n">
        <v>118</v>
      </c>
      <c r="F1652" s="17" t="n">
        <v>219</v>
      </c>
      <c r="G1652" s="17" t="inlineStr">
        <is>
          <t>Delhi NCR</t>
        </is>
      </c>
      <c r="H1652" s="17" t="inlineStr">
        <is>
          <t>North Indian</t>
        </is>
      </c>
      <c r="I1652" s="22" t="n">
        <v>862</v>
      </c>
      <c r="J1652" s="22" t="n">
        <v>46.02</v>
      </c>
      <c r="K1652" s="22" t="n">
        <v>32</v>
      </c>
      <c r="L1652" s="23" t="n">
        <v>0.2</v>
      </c>
      <c r="M1652" s="22" t="n">
        <v>180.4</v>
      </c>
      <c r="N1652" s="24" t="n">
        <v>4.4</v>
      </c>
      <c r="O1652" s="24" t="n">
        <v>32.8</v>
      </c>
      <c r="P1652" s="17" t="inlineStr">
        <is>
          <t>Credit Card</t>
        </is>
      </c>
      <c r="Q1652" s="17" t="inlineStr">
        <is>
          <t>Delivered</t>
        </is>
      </c>
      <c r="R1652" s="17" t="n">
        <v>5</v>
      </c>
      <c r="S1652" s="17">
        <f>TEXT(B1652,"yyyy-mm")</f>
        <v/>
      </c>
      <c r="T1652" s="17">
        <f>VLOOKUP(D1652,Customers!A:D,4,FALSE)</f>
        <v/>
      </c>
      <c r="U1652" s="17">
        <f>CONCATENATE(A1652,"-",G1652)</f>
        <v/>
      </c>
      <c r="V1652" s="17">
        <f>IF(N1652="","",IF(N1652&lt;=30,"Fast (&lt;30m)",IF(N1652&lt;=45,"Moderate (30-45m)","Delayed (&gt;45m)")))</f>
        <v/>
      </c>
      <c r="W1652" s="17">
        <f>IF(AND(I1652&gt;600,P1652="Delivered"),"High Value Delivered","Standard")</f>
        <v/>
      </c>
      <c r="X1652" s="17">
        <f>IF(OR(N1652&gt;50,Q1652&lt;=2),"High Risk / Delayed","Normal")</f>
        <v/>
      </c>
      <c r="Y1652" s="17">
        <f>IF(NOT(P1652="Cancelled"),"Fulfilled","Cancelled")</f>
        <v/>
      </c>
      <c r="Z1652" s="17">
        <f>IFERROR(Q1652,0)</f>
        <v/>
      </c>
    </row>
    <row r="1653">
      <c r="A1653" s="25" t="inlineStr">
        <is>
          <t>ORD2652</t>
        </is>
      </c>
      <c r="B1653" s="25" t="inlineStr">
        <is>
          <t>2025-04-02</t>
        </is>
      </c>
      <c r="C1653" s="25" t="inlineStr">
        <is>
          <t>14:12:52</t>
        </is>
      </c>
      <c r="D1653" s="25" t="n">
        <v>1106</v>
      </c>
      <c r="E1653" s="25" t="n">
        <v>111</v>
      </c>
      <c r="F1653" s="25" t="n">
        <v>220</v>
      </c>
      <c r="G1653" s="25" t="inlineStr">
        <is>
          <t>Bangalore</t>
        </is>
      </c>
      <c r="H1653" s="25" t="inlineStr">
        <is>
          <t>South Indian</t>
        </is>
      </c>
      <c r="I1653" s="26" t="n">
        <v>434</v>
      </c>
      <c r="J1653" s="26" t="n">
        <v>0</v>
      </c>
      <c r="K1653" s="26" t="n">
        <v>27</v>
      </c>
      <c r="L1653" s="27" t="n">
        <v>0.15</v>
      </c>
      <c r="M1653" s="26" t="n">
        <v>71.84999999999999</v>
      </c>
      <c r="N1653" s="28" t="n">
        <v>3.4</v>
      </c>
      <c r="O1653" s="28" t="n">
        <v>28</v>
      </c>
      <c r="P1653" s="25" t="inlineStr">
        <is>
          <t>UPI</t>
        </is>
      </c>
      <c r="Q1653" s="25" t="inlineStr">
        <is>
          <t>Delivered</t>
        </is>
      </c>
      <c r="R1653" s="25" t="n">
        <v>4</v>
      </c>
      <c r="S1653" s="25">
        <f>TEXT(B1653,"yyyy-mm")</f>
        <v/>
      </c>
      <c r="T1653" s="25">
        <f>VLOOKUP(D1653,Customers!A:D,4,FALSE)</f>
        <v/>
      </c>
      <c r="U1653" s="25">
        <f>CONCATENATE(A1653,"-",G1653)</f>
        <v/>
      </c>
      <c r="V1653" s="25">
        <f>IF(N1653="","",IF(N1653&lt;=30,"Fast (&lt;30m)",IF(N1653&lt;=45,"Moderate (30-45m)","Delayed (&gt;45m)")))</f>
        <v/>
      </c>
      <c r="W1653" s="25">
        <f>IF(AND(I1653&gt;600,P1653="Delivered"),"High Value Delivered","Standard")</f>
        <v/>
      </c>
      <c r="X1653" s="25">
        <f>IF(OR(N1653&gt;50,Q1653&lt;=2),"High Risk / Delayed","Normal")</f>
        <v/>
      </c>
      <c r="Y1653" s="25">
        <f>IF(NOT(P1653="Cancelled"),"Fulfilled","Cancelled")</f>
        <v/>
      </c>
      <c r="Z1653" s="25">
        <f>IFERROR(Q1653,0)</f>
        <v/>
      </c>
    </row>
    <row r="1654">
      <c r="A1654" s="17" t="inlineStr">
        <is>
          <t>ORD2653</t>
        </is>
      </c>
      <c r="B1654" s="17" t="inlineStr">
        <is>
          <t>2025-01-17</t>
        </is>
      </c>
      <c r="C1654" s="17" t="inlineStr">
        <is>
          <t>19:07:46</t>
        </is>
      </c>
      <c r="D1654" s="17" t="n">
        <v>1162</v>
      </c>
      <c r="E1654" s="17" t="n">
        <v>102</v>
      </c>
      <c r="F1654" s="17" t="n">
        <v>215</v>
      </c>
      <c r="G1654" s="17" t="inlineStr">
        <is>
          <t>Hyderabad</t>
        </is>
      </c>
      <c r="H1654" s="17" t="inlineStr">
        <is>
          <t>Biryani</t>
        </is>
      </c>
      <c r="I1654" s="22" t="n">
        <v>429</v>
      </c>
      <c r="J1654" s="22" t="n">
        <v>32.46</v>
      </c>
      <c r="K1654" s="22" t="n">
        <v>30.5</v>
      </c>
      <c r="L1654" s="23" t="n">
        <v>0.22</v>
      </c>
      <c r="M1654" s="22" t="n">
        <v>102</v>
      </c>
      <c r="N1654" s="24" t="n">
        <v>4.1</v>
      </c>
      <c r="O1654" s="24" t="n">
        <v>39.8</v>
      </c>
      <c r="P1654" s="17" t="inlineStr">
        <is>
          <t>Debit Card</t>
        </is>
      </c>
      <c r="Q1654" s="17" t="inlineStr">
        <is>
          <t>Delivered</t>
        </is>
      </c>
      <c r="R1654" s="17" t="n">
        <v>4</v>
      </c>
      <c r="S1654" s="17">
        <f>TEXT(B1654,"yyyy-mm")</f>
        <v/>
      </c>
      <c r="T1654" s="17">
        <f>VLOOKUP(D1654,Customers!A:D,4,FALSE)</f>
        <v/>
      </c>
      <c r="U1654" s="17">
        <f>CONCATENATE(A1654,"-",G1654)</f>
        <v/>
      </c>
      <c r="V1654" s="17">
        <f>IF(N1654="","",IF(N1654&lt;=30,"Fast (&lt;30m)",IF(N1654&lt;=45,"Moderate (30-45m)","Delayed (&gt;45m)")))</f>
        <v/>
      </c>
      <c r="W1654" s="17">
        <f>IF(AND(I1654&gt;600,P1654="Delivered"),"High Value Delivered","Standard")</f>
        <v/>
      </c>
      <c r="X1654" s="17">
        <f>IF(OR(N1654&gt;50,Q1654&lt;=2),"High Risk / Delayed","Normal")</f>
        <v/>
      </c>
      <c r="Y1654" s="17">
        <f>IF(NOT(P1654="Cancelled"),"Fulfilled","Cancelled")</f>
        <v/>
      </c>
      <c r="Z1654" s="17">
        <f>IFERROR(Q1654,0)</f>
        <v/>
      </c>
    </row>
    <row r="1655">
      <c r="A1655" s="25" t="inlineStr">
        <is>
          <t>ORD2654</t>
        </is>
      </c>
      <c r="B1655" s="25" t="inlineStr">
        <is>
          <t>2025-03-23</t>
        </is>
      </c>
      <c r="C1655" s="25" t="inlineStr">
        <is>
          <t>16:30:24</t>
        </is>
      </c>
      <c r="D1655" s="25" t="n">
        <v>1072</v>
      </c>
      <c r="E1655" s="25" t="n">
        <v>116</v>
      </c>
      <c r="F1655" s="25" t="n">
        <v>226</v>
      </c>
      <c r="G1655" s="25" t="inlineStr">
        <is>
          <t>Pune</t>
        </is>
      </c>
      <c r="H1655" s="25" t="inlineStr">
        <is>
          <t>Desserts</t>
        </is>
      </c>
      <c r="I1655" s="26" t="n">
        <v>227</v>
      </c>
      <c r="J1655" s="26" t="n">
        <v>0</v>
      </c>
      <c r="K1655" s="26" t="n">
        <v>31.5</v>
      </c>
      <c r="L1655" s="27" t="n">
        <v>0.25</v>
      </c>
      <c r="M1655" s="26" t="n">
        <v>64.62</v>
      </c>
      <c r="N1655" s="28" t="n">
        <v>4.3</v>
      </c>
      <c r="O1655" s="28" t="n">
        <v>25.1</v>
      </c>
      <c r="P1655" s="25" t="inlineStr">
        <is>
          <t>Credit Card</t>
        </is>
      </c>
      <c r="Q1655" s="25" t="inlineStr">
        <is>
          <t>Delivered</t>
        </is>
      </c>
      <c r="R1655" s="25" t="n">
        <v>4</v>
      </c>
      <c r="S1655" s="25">
        <f>TEXT(B1655,"yyyy-mm")</f>
        <v/>
      </c>
      <c r="T1655" s="25">
        <f>VLOOKUP(D1655,Customers!A:D,4,FALSE)</f>
        <v/>
      </c>
      <c r="U1655" s="25">
        <f>CONCATENATE(A1655,"-",G1655)</f>
        <v/>
      </c>
      <c r="V1655" s="25">
        <f>IF(N1655="","",IF(N1655&lt;=30,"Fast (&lt;30m)",IF(N1655&lt;=45,"Moderate (30-45m)","Delayed (&gt;45m)")))</f>
        <v/>
      </c>
      <c r="W1655" s="25">
        <f>IF(AND(I1655&gt;600,P1655="Delivered"),"High Value Delivered","Standard")</f>
        <v/>
      </c>
      <c r="X1655" s="25">
        <f>IF(OR(N1655&gt;50,Q1655&lt;=2),"High Risk / Delayed","Normal")</f>
        <v/>
      </c>
      <c r="Y1655" s="25">
        <f>IF(NOT(P1655="Cancelled"),"Fulfilled","Cancelled")</f>
        <v/>
      </c>
      <c r="Z1655" s="25">
        <f>IFERROR(Q1655,0)</f>
        <v/>
      </c>
    </row>
    <row r="1656">
      <c r="A1656" s="17" t="inlineStr">
        <is>
          <t>ORD2655</t>
        </is>
      </c>
      <c r="B1656" s="17" t="inlineStr">
        <is>
          <t>2025-03-22</t>
        </is>
      </c>
      <c r="C1656" s="17" t="inlineStr">
        <is>
          <t>22:13:04</t>
        </is>
      </c>
      <c r="D1656" s="17" t="n">
        <v>1266</v>
      </c>
      <c r="E1656" s="17" t="n">
        <v>103</v>
      </c>
      <c r="F1656" s="17" t="n">
        <v>222</v>
      </c>
      <c r="G1656" s="17" t="inlineStr">
        <is>
          <t>Mumbai</t>
        </is>
      </c>
      <c r="H1656" s="17" t="inlineStr">
        <is>
          <t>Italian</t>
        </is>
      </c>
      <c r="I1656" s="22" t="n">
        <v>377</v>
      </c>
      <c r="J1656" s="22" t="n">
        <v>29.8</v>
      </c>
      <c r="K1656" s="22" t="n">
        <v>47</v>
      </c>
      <c r="L1656" s="23" t="n">
        <v>0.18</v>
      </c>
      <c r="M1656" s="22" t="n">
        <v>79.61</v>
      </c>
      <c r="N1656" s="24" t="n">
        <v>7.4</v>
      </c>
      <c r="O1656" s="24" t="n">
        <v>43.4</v>
      </c>
      <c r="P1656" s="17" t="inlineStr">
        <is>
          <t>Credit Card</t>
        </is>
      </c>
      <c r="Q1656" s="17" t="inlineStr">
        <is>
          <t>Delivered</t>
        </is>
      </c>
      <c r="R1656" s="17" t="n">
        <v>5</v>
      </c>
      <c r="S1656" s="17">
        <f>TEXT(B1656,"yyyy-mm")</f>
        <v/>
      </c>
      <c r="T1656" s="17">
        <f>VLOOKUP(D1656,Customers!A:D,4,FALSE)</f>
        <v/>
      </c>
      <c r="U1656" s="17">
        <f>CONCATENATE(A1656,"-",G1656)</f>
        <v/>
      </c>
      <c r="V1656" s="17">
        <f>IF(N1656="","",IF(N1656&lt;=30,"Fast (&lt;30m)",IF(N1656&lt;=45,"Moderate (30-45m)","Delayed (&gt;45m)")))</f>
        <v/>
      </c>
      <c r="W1656" s="17">
        <f>IF(AND(I1656&gt;600,P1656="Delivered"),"High Value Delivered","Standard")</f>
        <v/>
      </c>
      <c r="X1656" s="17">
        <f>IF(OR(N1656&gt;50,Q1656&lt;=2),"High Risk / Delayed","Normal")</f>
        <v/>
      </c>
      <c r="Y1656" s="17">
        <f>IF(NOT(P1656="Cancelled"),"Fulfilled","Cancelled")</f>
        <v/>
      </c>
      <c r="Z1656" s="17">
        <f>IFERROR(Q1656,0)</f>
        <v/>
      </c>
    </row>
    <row r="1657">
      <c r="A1657" s="25" t="inlineStr">
        <is>
          <t>ORD2656</t>
        </is>
      </c>
      <c r="B1657" s="25" t="inlineStr">
        <is>
          <t>2025-03-22</t>
        </is>
      </c>
      <c r="C1657" s="25" t="inlineStr">
        <is>
          <t>21:53:38</t>
        </is>
      </c>
      <c r="D1657" s="25" t="n">
        <v>1139</v>
      </c>
      <c r="E1657" s="25" t="n">
        <v>118</v>
      </c>
      <c r="F1657" s="25" t="n">
        <v>228</v>
      </c>
      <c r="G1657" s="25" t="inlineStr">
        <is>
          <t>Delhi NCR</t>
        </is>
      </c>
      <c r="H1657" s="25" t="inlineStr">
        <is>
          <t>North Indian</t>
        </is>
      </c>
      <c r="I1657" s="26" t="n">
        <v>765</v>
      </c>
      <c r="J1657" s="26" t="n">
        <v>13.19</v>
      </c>
      <c r="K1657" s="26" t="n">
        <v>29.5</v>
      </c>
      <c r="L1657" s="27" t="n">
        <v>0.2</v>
      </c>
      <c r="M1657" s="26" t="n">
        <v>160.38</v>
      </c>
      <c r="N1657" s="28" t="n">
        <v>3.9</v>
      </c>
      <c r="O1657" s="28" t="n">
        <v>33.7</v>
      </c>
      <c r="P1657" s="25" t="inlineStr">
        <is>
          <t>Credit Card</t>
        </is>
      </c>
      <c r="Q1657" s="25" t="inlineStr">
        <is>
          <t>Delivered</t>
        </is>
      </c>
      <c r="R1657" s="25" t="n">
        <v>5</v>
      </c>
      <c r="S1657" s="25">
        <f>TEXT(B1657,"yyyy-mm")</f>
        <v/>
      </c>
      <c r="T1657" s="25">
        <f>VLOOKUP(D1657,Customers!A:D,4,FALSE)</f>
        <v/>
      </c>
      <c r="U1657" s="25">
        <f>CONCATENATE(A1657,"-",G1657)</f>
        <v/>
      </c>
      <c r="V1657" s="25">
        <f>IF(N1657="","",IF(N1657&lt;=30,"Fast (&lt;30m)",IF(N1657&lt;=45,"Moderate (30-45m)","Delayed (&gt;45m)")))</f>
        <v/>
      </c>
      <c r="W1657" s="25">
        <f>IF(AND(I1657&gt;600,P1657="Delivered"),"High Value Delivered","Standard")</f>
        <v/>
      </c>
      <c r="X1657" s="25">
        <f>IF(OR(N1657&gt;50,Q1657&lt;=2),"High Risk / Delayed","Normal")</f>
        <v/>
      </c>
      <c r="Y1657" s="25">
        <f>IF(NOT(P1657="Cancelled"),"Fulfilled","Cancelled")</f>
        <v/>
      </c>
      <c r="Z1657" s="25">
        <f>IFERROR(Q1657,0)</f>
        <v/>
      </c>
    </row>
    <row r="1658">
      <c r="A1658" s="17" t="inlineStr">
        <is>
          <t>ORD2657</t>
        </is>
      </c>
      <c r="B1658" s="17" t="inlineStr">
        <is>
          <t>2025-05-14</t>
        </is>
      </c>
      <c r="C1658" s="17" t="inlineStr">
        <is>
          <t>07:38:13</t>
        </is>
      </c>
      <c r="D1658" s="17" t="n">
        <v>1179</v>
      </c>
      <c r="E1658" s="17" t="n">
        <v>113</v>
      </c>
      <c r="F1658" s="17" t="n">
        <v>222</v>
      </c>
      <c r="G1658" s="17" t="inlineStr">
        <is>
          <t>Mumbai</t>
        </is>
      </c>
      <c r="H1658" s="17" t="inlineStr">
        <is>
          <t>Fast Food</t>
        </is>
      </c>
      <c r="I1658" s="22" t="n">
        <v>390</v>
      </c>
      <c r="J1658" s="22" t="n">
        <v>54.83</v>
      </c>
      <c r="K1658" s="22" t="n">
        <v>25</v>
      </c>
      <c r="L1658" s="23" t="n">
        <v>0.18</v>
      </c>
      <c r="M1658" s="22" t="n">
        <v>76.45</v>
      </c>
      <c r="N1658" s="24" t="n">
        <v>1.8</v>
      </c>
      <c r="O1658" s="24" t="n">
        <v>23.1</v>
      </c>
      <c r="P1658" s="17" t="inlineStr">
        <is>
          <t>Digital Wallet</t>
        </is>
      </c>
      <c r="Q1658" s="17" t="inlineStr">
        <is>
          <t>Delivered</t>
        </is>
      </c>
      <c r="R1658" s="17" t="n">
        <v>5</v>
      </c>
      <c r="S1658" s="17">
        <f>TEXT(B1658,"yyyy-mm")</f>
        <v/>
      </c>
      <c r="T1658" s="17">
        <f>VLOOKUP(D1658,Customers!A:D,4,FALSE)</f>
        <v/>
      </c>
      <c r="U1658" s="17">
        <f>CONCATENATE(A1658,"-",G1658)</f>
        <v/>
      </c>
      <c r="V1658" s="17">
        <f>IF(N1658="","",IF(N1658&lt;=30,"Fast (&lt;30m)",IF(N1658&lt;=45,"Moderate (30-45m)","Delayed (&gt;45m)")))</f>
        <v/>
      </c>
      <c r="W1658" s="17">
        <f>IF(AND(I1658&gt;600,P1658="Delivered"),"High Value Delivered","Standard")</f>
        <v/>
      </c>
      <c r="X1658" s="17">
        <f>IF(OR(N1658&gt;50,Q1658&lt;=2),"High Risk / Delayed","Normal")</f>
        <v/>
      </c>
      <c r="Y1658" s="17">
        <f>IF(NOT(P1658="Cancelled"),"Fulfilled","Cancelled")</f>
        <v/>
      </c>
      <c r="Z1658" s="17">
        <f>IFERROR(Q1658,0)</f>
        <v/>
      </c>
    </row>
    <row r="1659">
      <c r="A1659" s="25" t="inlineStr">
        <is>
          <t>ORD2658</t>
        </is>
      </c>
      <c r="B1659" s="25" t="inlineStr">
        <is>
          <t>2025-12-22</t>
        </is>
      </c>
      <c r="C1659" s="25" t="inlineStr">
        <is>
          <t>20:08:57</t>
        </is>
      </c>
      <c r="D1659" s="25" t="n">
        <v>1185</v>
      </c>
      <c r="E1659" s="25" t="n">
        <v>116</v>
      </c>
      <c r="F1659" s="25" t="n">
        <v>207</v>
      </c>
      <c r="G1659" s="25" t="inlineStr">
        <is>
          <t>Pune</t>
        </is>
      </c>
      <c r="H1659" s="25" t="inlineStr">
        <is>
          <t>Desserts</t>
        </is>
      </c>
      <c r="I1659" s="26" t="n">
        <v>275</v>
      </c>
      <c r="J1659" s="26" t="n">
        <v>0</v>
      </c>
      <c r="K1659" s="26" t="n">
        <v>27.5</v>
      </c>
      <c r="L1659" s="27" t="n">
        <v>0.25</v>
      </c>
      <c r="M1659" s="26" t="n">
        <v>75.62</v>
      </c>
      <c r="N1659" s="28" t="n">
        <v>3.5</v>
      </c>
      <c r="O1659" s="28" t="n">
        <v>35.4</v>
      </c>
      <c r="P1659" s="25" t="inlineStr">
        <is>
          <t>UPI</t>
        </is>
      </c>
      <c r="Q1659" s="25" t="inlineStr">
        <is>
          <t>Delivered</t>
        </is>
      </c>
      <c r="R1659" s="25" t="n">
        <v>4</v>
      </c>
      <c r="S1659" s="25">
        <f>TEXT(B1659,"yyyy-mm")</f>
        <v/>
      </c>
      <c r="T1659" s="25">
        <f>VLOOKUP(D1659,Customers!A:D,4,FALSE)</f>
        <v/>
      </c>
      <c r="U1659" s="25">
        <f>CONCATENATE(A1659,"-",G1659)</f>
        <v/>
      </c>
      <c r="V1659" s="25">
        <f>IF(N1659="","",IF(N1659&lt;=30,"Fast (&lt;30m)",IF(N1659&lt;=45,"Moderate (30-45m)","Delayed (&gt;45m)")))</f>
        <v/>
      </c>
      <c r="W1659" s="25">
        <f>IF(AND(I1659&gt;600,P1659="Delivered"),"High Value Delivered","Standard")</f>
        <v/>
      </c>
      <c r="X1659" s="25">
        <f>IF(OR(N1659&gt;50,Q1659&lt;=2),"High Risk / Delayed","Normal")</f>
        <v/>
      </c>
      <c r="Y1659" s="25">
        <f>IF(NOT(P1659="Cancelled"),"Fulfilled","Cancelled")</f>
        <v/>
      </c>
      <c r="Z1659" s="25">
        <f>IFERROR(Q1659,0)</f>
        <v/>
      </c>
    </row>
    <row r="1660">
      <c r="A1660" s="17" t="inlineStr">
        <is>
          <t>ORD2659</t>
        </is>
      </c>
      <c r="B1660" s="17" t="inlineStr">
        <is>
          <t>2025-01-28</t>
        </is>
      </c>
      <c r="C1660" s="17" t="inlineStr">
        <is>
          <t>08:33:11</t>
        </is>
      </c>
      <c r="D1660" s="17" t="n">
        <v>1282</v>
      </c>
      <c r="E1660" s="17" t="n">
        <v>104</v>
      </c>
      <c r="F1660" s="17" t="n">
        <v>212</v>
      </c>
      <c r="G1660" s="17" t="inlineStr">
        <is>
          <t>Delhi NCR</t>
        </is>
      </c>
      <c r="H1660" s="17" t="inlineStr">
        <is>
          <t>Fast Food</t>
        </is>
      </c>
      <c r="I1660" s="22" t="n">
        <v>771</v>
      </c>
      <c r="J1660" s="22" t="n">
        <v>49.28</v>
      </c>
      <c r="K1660" s="22" t="n">
        <v>25.5</v>
      </c>
      <c r="L1660" s="23" t="n">
        <v>0.18</v>
      </c>
      <c r="M1660" s="22" t="n">
        <v>145.16</v>
      </c>
      <c r="N1660" s="24" t="n">
        <v>3.1</v>
      </c>
      <c r="O1660" s="24" t="n">
        <v>24.7</v>
      </c>
      <c r="P1660" s="17" t="inlineStr">
        <is>
          <t>UPI</t>
        </is>
      </c>
      <c r="Q1660" s="17" t="inlineStr">
        <is>
          <t>Delivered</t>
        </is>
      </c>
      <c r="R1660" s="17" t="n">
        <v>5</v>
      </c>
      <c r="S1660" s="17">
        <f>TEXT(B1660,"yyyy-mm")</f>
        <v/>
      </c>
      <c r="T1660" s="17">
        <f>VLOOKUP(D1660,Customers!A:D,4,FALSE)</f>
        <v/>
      </c>
      <c r="U1660" s="17">
        <f>CONCATENATE(A1660,"-",G1660)</f>
        <v/>
      </c>
      <c r="V1660" s="17">
        <f>IF(N1660="","",IF(N1660&lt;=30,"Fast (&lt;30m)",IF(N1660&lt;=45,"Moderate (30-45m)","Delayed (&gt;45m)")))</f>
        <v/>
      </c>
      <c r="W1660" s="17">
        <f>IF(AND(I1660&gt;600,P1660="Delivered"),"High Value Delivered","Standard")</f>
        <v/>
      </c>
      <c r="X1660" s="17">
        <f>IF(OR(N1660&gt;50,Q1660&lt;=2),"High Risk / Delayed","Normal")</f>
        <v/>
      </c>
      <c r="Y1660" s="17">
        <f>IF(NOT(P1660="Cancelled"),"Fulfilled","Cancelled")</f>
        <v/>
      </c>
      <c r="Z1660" s="17">
        <f>IFERROR(Q1660,0)</f>
        <v/>
      </c>
    </row>
    <row r="1661">
      <c r="A1661" s="25" t="inlineStr">
        <is>
          <t>ORD2660</t>
        </is>
      </c>
      <c r="B1661" s="25" t="inlineStr">
        <is>
          <t>2025-06-23</t>
        </is>
      </c>
      <c r="C1661" s="25" t="inlineStr">
        <is>
          <t>21:33:34</t>
        </is>
      </c>
      <c r="D1661" s="25" t="n">
        <v>1197</v>
      </c>
      <c r="E1661" s="25" t="n">
        <v>103</v>
      </c>
      <c r="F1661" s="25" t="n">
        <v>222</v>
      </c>
      <c r="G1661" s="25" t="inlineStr">
        <is>
          <t>Mumbai</t>
        </is>
      </c>
      <c r="H1661" s="25" t="inlineStr">
        <is>
          <t>Italian</t>
        </is>
      </c>
      <c r="I1661" s="26" t="n">
        <v>315</v>
      </c>
      <c r="J1661" s="26" t="n">
        <v>21.48</v>
      </c>
      <c r="K1661" s="26" t="n">
        <v>25</v>
      </c>
      <c r="L1661" s="27" t="n">
        <v>0.18</v>
      </c>
      <c r="M1661" s="26" t="n">
        <v>62.95</v>
      </c>
      <c r="N1661" s="28" t="n">
        <v>2</v>
      </c>
      <c r="O1661" s="28" t="n">
        <v>26</v>
      </c>
      <c r="P1661" s="25" t="inlineStr">
        <is>
          <t>Credit Card</t>
        </is>
      </c>
      <c r="Q1661" s="25" t="inlineStr">
        <is>
          <t>Delivered</t>
        </is>
      </c>
      <c r="R1661" s="25" t="n">
        <v>5</v>
      </c>
      <c r="S1661" s="25">
        <f>TEXT(B1661,"yyyy-mm")</f>
        <v/>
      </c>
      <c r="T1661" s="25">
        <f>VLOOKUP(D1661,Customers!A:D,4,FALSE)</f>
        <v/>
      </c>
      <c r="U1661" s="25">
        <f>CONCATENATE(A1661,"-",G1661)</f>
        <v/>
      </c>
      <c r="V1661" s="25">
        <f>IF(N1661="","",IF(N1661&lt;=30,"Fast (&lt;30m)",IF(N1661&lt;=45,"Moderate (30-45m)","Delayed (&gt;45m)")))</f>
        <v/>
      </c>
      <c r="W1661" s="25">
        <f>IF(AND(I1661&gt;600,P1661="Delivered"),"High Value Delivered","Standard")</f>
        <v/>
      </c>
      <c r="X1661" s="25">
        <f>IF(OR(N1661&gt;50,Q1661&lt;=2),"High Risk / Delayed","Normal")</f>
        <v/>
      </c>
      <c r="Y1661" s="25">
        <f>IF(NOT(P1661="Cancelled"),"Fulfilled","Cancelled")</f>
        <v/>
      </c>
      <c r="Z1661" s="25">
        <f>IFERROR(Q1661,0)</f>
        <v/>
      </c>
    </row>
    <row r="1662">
      <c r="A1662" s="17" t="inlineStr">
        <is>
          <t>ORD2661</t>
        </is>
      </c>
      <c r="B1662" s="17" t="inlineStr">
        <is>
          <t>2025-08-07</t>
        </is>
      </c>
      <c r="C1662" s="17" t="inlineStr">
        <is>
          <t>01:31:54</t>
        </is>
      </c>
      <c r="D1662" s="17" t="n">
        <v>1044</v>
      </c>
      <c r="E1662" s="17" t="n">
        <v>114</v>
      </c>
      <c r="F1662" s="17" t="n">
        <v>215</v>
      </c>
      <c r="G1662" s="17" t="inlineStr">
        <is>
          <t>Hyderabad</t>
        </is>
      </c>
      <c r="H1662" s="17" t="inlineStr">
        <is>
          <t>Biryani</t>
        </is>
      </c>
      <c r="I1662" s="22" t="n">
        <v>565</v>
      </c>
      <c r="J1662" s="22" t="n">
        <v>101.86</v>
      </c>
      <c r="K1662" s="22" t="n">
        <v>0</v>
      </c>
      <c r="L1662" s="23" t="n">
        <v>0.22</v>
      </c>
      <c r="M1662" s="22" t="n">
        <v>124.3</v>
      </c>
      <c r="N1662" s="24" t="n">
        <v>6.3</v>
      </c>
      <c r="O1662" s="24" t="n">
        <v>32.2</v>
      </c>
      <c r="P1662" s="17" t="inlineStr">
        <is>
          <t>UPI</t>
        </is>
      </c>
      <c r="Q1662" s="17" t="inlineStr">
        <is>
          <t>Delivered</t>
        </is>
      </c>
      <c r="R1662" s="17" t="n">
        <v>5</v>
      </c>
      <c r="S1662" s="17">
        <f>TEXT(B1662,"yyyy-mm")</f>
        <v/>
      </c>
      <c r="T1662" s="17">
        <f>VLOOKUP(D1662,Customers!A:D,4,FALSE)</f>
        <v/>
      </c>
      <c r="U1662" s="17">
        <f>CONCATENATE(A1662,"-",G1662)</f>
        <v/>
      </c>
      <c r="V1662" s="17">
        <f>IF(N1662="","",IF(N1662&lt;=30,"Fast (&lt;30m)",IF(N1662&lt;=45,"Moderate (30-45m)","Delayed (&gt;45m)")))</f>
        <v/>
      </c>
      <c r="W1662" s="17">
        <f>IF(AND(I1662&gt;600,P1662="Delivered"),"High Value Delivered","Standard")</f>
        <v/>
      </c>
      <c r="X1662" s="17">
        <f>IF(OR(N1662&gt;50,Q1662&lt;=2),"High Risk / Delayed","Normal")</f>
        <v/>
      </c>
      <c r="Y1662" s="17">
        <f>IF(NOT(P1662="Cancelled"),"Fulfilled","Cancelled")</f>
        <v/>
      </c>
      <c r="Z1662" s="17">
        <f>IFERROR(Q1662,0)</f>
        <v/>
      </c>
    </row>
    <row r="1663">
      <c r="A1663" s="25" t="inlineStr">
        <is>
          <t>ORD2662</t>
        </is>
      </c>
      <c r="B1663" s="25" t="inlineStr">
        <is>
          <t>2025-08-05</t>
        </is>
      </c>
      <c r="C1663" s="25" t="inlineStr">
        <is>
          <t>12:46:40</t>
        </is>
      </c>
      <c r="D1663" s="25" t="n">
        <v>1296</v>
      </c>
      <c r="E1663" s="25" t="n">
        <v>104</v>
      </c>
      <c r="F1663" s="25" t="n">
        <v>228</v>
      </c>
      <c r="G1663" s="25" t="inlineStr">
        <is>
          <t>Delhi NCR</t>
        </is>
      </c>
      <c r="H1663" s="25" t="inlineStr">
        <is>
          <t>Fast Food</t>
        </is>
      </c>
      <c r="I1663" s="26" t="n">
        <v>779</v>
      </c>
      <c r="J1663" s="26" t="n">
        <v>0</v>
      </c>
      <c r="K1663" s="26" t="n">
        <v>25</v>
      </c>
      <c r="L1663" s="27" t="n">
        <v>0.18</v>
      </c>
      <c r="M1663" s="26" t="n">
        <v>146.47</v>
      </c>
      <c r="N1663" s="28" t="n">
        <v>1.8</v>
      </c>
      <c r="O1663" s="28" t="n">
        <v>27.3</v>
      </c>
      <c r="P1663" s="25" t="inlineStr">
        <is>
          <t>Cash on Delivery</t>
        </is>
      </c>
      <c r="Q1663" s="25" t="inlineStr">
        <is>
          <t>Delivered</t>
        </is>
      </c>
      <c r="R1663" s="25" t="n">
        <v>5</v>
      </c>
      <c r="S1663" s="25">
        <f>TEXT(B1663,"yyyy-mm")</f>
        <v/>
      </c>
      <c r="T1663" s="25">
        <f>VLOOKUP(D1663,Customers!A:D,4,FALSE)</f>
        <v/>
      </c>
      <c r="U1663" s="25">
        <f>CONCATENATE(A1663,"-",G1663)</f>
        <v/>
      </c>
      <c r="V1663" s="25">
        <f>IF(N1663="","",IF(N1663&lt;=30,"Fast (&lt;30m)",IF(N1663&lt;=45,"Moderate (30-45m)","Delayed (&gt;45m)")))</f>
        <v/>
      </c>
      <c r="W1663" s="25">
        <f>IF(AND(I1663&gt;600,P1663="Delivered"),"High Value Delivered","Standard")</f>
        <v/>
      </c>
      <c r="X1663" s="25">
        <f>IF(OR(N1663&gt;50,Q1663&lt;=2),"High Risk / Delayed","Normal")</f>
        <v/>
      </c>
      <c r="Y1663" s="25">
        <f>IF(NOT(P1663="Cancelled"),"Fulfilled","Cancelled")</f>
        <v/>
      </c>
      <c r="Z1663" s="25">
        <f>IFERROR(Q1663,0)</f>
        <v/>
      </c>
    </row>
    <row r="1664">
      <c r="A1664" s="17" t="inlineStr">
        <is>
          <t>ORD2663</t>
        </is>
      </c>
      <c r="B1664" s="17" t="inlineStr">
        <is>
          <t>2025-06-22</t>
        </is>
      </c>
      <c r="C1664" s="17" t="inlineStr">
        <is>
          <t>12:01:02</t>
        </is>
      </c>
      <c r="D1664" s="17" t="n">
        <v>1065</v>
      </c>
      <c r="E1664" s="17" t="n">
        <v>112</v>
      </c>
      <c r="F1664" s="17" t="n">
        <v>212</v>
      </c>
      <c r="G1664" s="17" t="inlineStr">
        <is>
          <t>Delhi NCR</t>
        </is>
      </c>
      <c r="H1664" s="17" t="inlineStr">
        <is>
          <t>North Indian</t>
        </is>
      </c>
      <c r="I1664" s="22" t="n">
        <v>231</v>
      </c>
      <c r="J1664" s="22" t="n">
        <v>14.33</v>
      </c>
      <c r="K1664" s="22" t="n">
        <v>28.5</v>
      </c>
      <c r="L1664" s="23" t="n">
        <v>0.22</v>
      </c>
      <c r="M1664" s="22" t="n">
        <v>57.94</v>
      </c>
      <c r="N1664" s="24" t="n">
        <v>3.7</v>
      </c>
      <c r="O1664" s="24" t="n">
        <v>44.5</v>
      </c>
      <c r="P1664" s="17" t="inlineStr">
        <is>
          <t>UPI</t>
        </is>
      </c>
      <c r="Q1664" s="17" t="inlineStr">
        <is>
          <t>Delivered</t>
        </is>
      </c>
      <c r="R1664" s="17" t="n">
        <v>1</v>
      </c>
      <c r="S1664" s="17">
        <f>TEXT(B1664,"yyyy-mm")</f>
        <v/>
      </c>
      <c r="T1664" s="17">
        <f>VLOOKUP(D1664,Customers!A:D,4,FALSE)</f>
        <v/>
      </c>
      <c r="U1664" s="17">
        <f>CONCATENATE(A1664,"-",G1664)</f>
        <v/>
      </c>
      <c r="V1664" s="17">
        <f>IF(N1664="","",IF(N1664&lt;=30,"Fast (&lt;30m)",IF(N1664&lt;=45,"Moderate (30-45m)","Delayed (&gt;45m)")))</f>
        <v/>
      </c>
      <c r="W1664" s="17">
        <f>IF(AND(I1664&gt;600,P1664="Delivered"),"High Value Delivered","Standard")</f>
        <v/>
      </c>
      <c r="X1664" s="17">
        <f>IF(OR(N1664&gt;50,Q1664&lt;=2),"High Risk / Delayed","Normal")</f>
        <v/>
      </c>
      <c r="Y1664" s="17">
        <f>IF(NOT(P1664="Cancelled"),"Fulfilled","Cancelled")</f>
        <v/>
      </c>
      <c r="Z1664" s="17">
        <f>IFERROR(Q1664,0)</f>
        <v/>
      </c>
    </row>
    <row r="1665">
      <c r="A1665" s="25" t="inlineStr">
        <is>
          <t>ORD2664</t>
        </is>
      </c>
      <c r="B1665" s="25" t="inlineStr">
        <is>
          <t>2025-03-26</t>
        </is>
      </c>
      <c r="C1665" s="25" t="inlineStr">
        <is>
          <t>12:48:47</t>
        </is>
      </c>
      <c r="D1665" s="25" t="n">
        <v>1254</v>
      </c>
      <c r="E1665" s="25" t="n">
        <v>102</v>
      </c>
      <c r="F1665" s="25" t="n">
        <v>225</v>
      </c>
      <c r="G1665" s="25" t="inlineStr">
        <is>
          <t>Hyderabad</t>
        </is>
      </c>
      <c r="H1665" s="25" t="inlineStr">
        <is>
          <t>Biryani</t>
        </is>
      </c>
      <c r="I1665" s="26" t="n">
        <v>872</v>
      </c>
      <c r="J1665" s="26" t="n">
        <v>5.76</v>
      </c>
      <c r="K1665" s="26" t="n">
        <v>25</v>
      </c>
      <c r="L1665" s="27" t="n">
        <v>0.22</v>
      </c>
      <c r="M1665" s="26" t="n">
        <v>198.09</v>
      </c>
      <c r="N1665" s="28" t="n">
        <v>2.6</v>
      </c>
      <c r="O1665" s="28" t="n">
        <v>26</v>
      </c>
      <c r="P1665" s="25" t="inlineStr">
        <is>
          <t>UPI</t>
        </is>
      </c>
      <c r="Q1665" s="25" t="inlineStr">
        <is>
          <t>Delivered</t>
        </is>
      </c>
      <c r="R1665" s="25" t="n">
        <v>3</v>
      </c>
      <c r="S1665" s="25">
        <f>TEXT(B1665,"yyyy-mm")</f>
        <v/>
      </c>
      <c r="T1665" s="25">
        <f>VLOOKUP(D1665,Customers!A:D,4,FALSE)</f>
        <v/>
      </c>
      <c r="U1665" s="25">
        <f>CONCATENATE(A1665,"-",G1665)</f>
        <v/>
      </c>
      <c r="V1665" s="25">
        <f>IF(N1665="","",IF(N1665&lt;=30,"Fast (&lt;30m)",IF(N1665&lt;=45,"Moderate (30-45m)","Delayed (&gt;45m)")))</f>
        <v/>
      </c>
      <c r="W1665" s="25">
        <f>IF(AND(I1665&gt;600,P1665="Delivered"),"High Value Delivered","Standard")</f>
        <v/>
      </c>
      <c r="X1665" s="25">
        <f>IF(OR(N1665&gt;50,Q1665&lt;=2),"High Risk / Delayed","Normal")</f>
        <v/>
      </c>
      <c r="Y1665" s="25">
        <f>IF(NOT(P1665="Cancelled"),"Fulfilled","Cancelled")</f>
        <v/>
      </c>
      <c r="Z1665" s="25">
        <f>IFERROR(Q1665,0)</f>
        <v/>
      </c>
    </row>
    <row r="1666">
      <c r="A1666" s="17" t="inlineStr">
        <is>
          <t>ORD2665</t>
        </is>
      </c>
      <c r="B1666" s="17" t="inlineStr">
        <is>
          <t>2025-11-19</t>
        </is>
      </c>
      <c r="C1666" s="17" t="inlineStr">
        <is>
          <t>19:47:38</t>
        </is>
      </c>
      <c r="D1666" s="17" t="n">
        <v>1198</v>
      </c>
      <c r="E1666" s="17" t="n">
        <v>101</v>
      </c>
      <c r="F1666" s="17" t="n">
        <v>218</v>
      </c>
      <c r="G1666" s="17" t="inlineStr">
        <is>
          <t>Bangalore</t>
        </is>
      </c>
      <c r="H1666" s="17" t="inlineStr">
        <is>
          <t>North Indian</t>
        </is>
      </c>
      <c r="I1666" s="22" t="n">
        <v>530</v>
      </c>
      <c r="J1666" s="22" t="n">
        <v>60.94</v>
      </c>
      <c r="K1666" s="22" t="n">
        <v>0</v>
      </c>
      <c r="L1666" s="23" t="n">
        <v>0.2</v>
      </c>
      <c r="M1666" s="22" t="n">
        <v>106</v>
      </c>
      <c r="N1666" s="24" t="n">
        <v>3.3</v>
      </c>
      <c r="O1666" s="24" t="n">
        <v>28.5</v>
      </c>
      <c r="P1666" s="17" t="inlineStr">
        <is>
          <t>Cash on Delivery</t>
        </is>
      </c>
      <c r="Q1666" s="17" t="inlineStr">
        <is>
          <t>Delivered</t>
        </is>
      </c>
      <c r="R1666" s="17" t="n">
        <v>4</v>
      </c>
      <c r="S1666" s="17">
        <f>TEXT(B1666,"yyyy-mm")</f>
        <v/>
      </c>
      <c r="T1666" s="17">
        <f>VLOOKUP(D1666,Customers!A:D,4,FALSE)</f>
        <v/>
      </c>
      <c r="U1666" s="17">
        <f>CONCATENATE(A1666,"-",G1666)</f>
        <v/>
      </c>
      <c r="V1666" s="17">
        <f>IF(N1666="","",IF(N1666&lt;=30,"Fast (&lt;30m)",IF(N1666&lt;=45,"Moderate (30-45m)","Delayed (&gt;45m)")))</f>
        <v/>
      </c>
      <c r="W1666" s="17">
        <f>IF(AND(I1666&gt;600,P1666="Delivered"),"High Value Delivered","Standard")</f>
        <v/>
      </c>
      <c r="X1666" s="17">
        <f>IF(OR(N1666&gt;50,Q1666&lt;=2),"High Risk / Delayed","Normal")</f>
        <v/>
      </c>
      <c r="Y1666" s="17">
        <f>IF(NOT(P1666="Cancelled"),"Fulfilled","Cancelled")</f>
        <v/>
      </c>
      <c r="Z1666" s="17">
        <f>IFERROR(Q1666,0)</f>
        <v/>
      </c>
    </row>
    <row r="1667">
      <c r="A1667" s="25" t="inlineStr">
        <is>
          <t>ORD2666</t>
        </is>
      </c>
      <c r="B1667" s="25" t="inlineStr">
        <is>
          <t>2025-05-14</t>
        </is>
      </c>
      <c r="C1667" s="25" t="inlineStr">
        <is>
          <t>22:10:05</t>
        </is>
      </c>
      <c r="D1667" s="25" t="n">
        <v>1020</v>
      </c>
      <c r="E1667" s="25" t="n">
        <v>118</v>
      </c>
      <c r="F1667" s="25" t="n">
        <v>211</v>
      </c>
      <c r="G1667" s="25" t="inlineStr">
        <is>
          <t>Delhi NCR</t>
        </is>
      </c>
      <c r="H1667" s="25" t="inlineStr">
        <is>
          <t>North Indian</t>
        </is>
      </c>
      <c r="I1667" s="26" t="n">
        <v>778</v>
      </c>
      <c r="J1667" s="26" t="n">
        <v>37.37</v>
      </c>
      <c r="K1667" s="26" t="n">
        <v>25</v>
      </c>
      <c r="L1667" s="27" t="n">
        <v>0.2</v>
      </c>
      <c r="M1667" s="26" t="n">
        <v>161.85</v>
      </c>
      <c r="N1667" s="28" t="n">
        <v>2.8</v>
      </c>
      <c r="O1667" s="28" t="n">
        <v>27.1</v>
      </c>
      <c r="P1667" s="25" t="inlineStr">
        <is>
          <t>Cash on Delivery</t>
        </is>
      </c>
      <c r="Q1667" s="25" t="inlineStr">
        <is>
          <t>Delivered</t>
        </is>
      </c>
      <c r="R1667" s="25" t="n">
        <v>3</v>
      </c>
      <c r="S1667" s="25">
        <f>TEXT(B1667,"yyyy-mm")</f>
        <v/>
      </c>
      <c r="T1667" s="25">
        <f>VLOOKUP(D1667,Customers!A:D,4,FALSE)</f>
        <v/>
      </c>
      <c r="U1667" s="25">
        <f>CONCATENATE(A1667,"-",G1667)</f>
        <v/>
      </c>
      <c r="V1667" s="25">
        <f>IF(N1667="","",IF(N1667&lt;=30,"Fast (&lt;30m)",IF(N1667&lt;=45,"Moderate (30-45m)","Delayed (&gt;45m)")))</f>
        <v/>
      </c>
      <c r="W1667" s="25">
        <f>IF(AND(I1667&gt;600,P1667="Delivered"),"High Value Delivered","Standard")</f>
        <v/>
      </c>
      <c r="X1667" s="25">
        <f>IF(OR(N1667&gt;50,Q1667&lt;=2),"High Risk / Delayed","Normal")</f>
        <v/>
      </c>
      <c r="Y1667" s="25">
        <f>IF(NOT(P1667="Cancelled"),"Fulfilled","Cancelled")</f>
        <v/>
      </c>
      <c r="Z1667" s="25">
        <f>IFERROR(Q1667,0)</f>
        <v/>
      </c>
    </row>
    <row r="1668">
      <c r="A1668" s="17" t="inlineStr">
        <is>
          <t>ORD2667</t>
        </is>
      </c>
      <c r="B1668" s="17" t="inlineStr">
        <is>
          <t>2025-03-19</t>
        </is>
      </c>
      <c r="C1668" s="17" t="inlineStr">
        <is>
          <t>14:11:52</t>
        </is>
      </c>
      <c r="D1668" s="17" t="n">
        <v>1262</v>
      </c>
      <c r="E1668" s="17" t="n">
        <v>118</v>
      </c>
      <c r="F1668" s="17" t="n">
        <v>221</v>
      </c>
      <c r="G1668" s="17" t="inlineStr">
        <is>
          <t>Delhi NCR</t>
        </is>
      </c>
      <c r="H1668" s="17" t="inlineStr">
        <is>
          <t>North Indian</t>
        </is>
      </c>
      <c r="I1668" s="22" t="n">
        <v>743</v>
      </c>
      <c r="J1668" s="22" t="n">
        <v>120.49</v>
      </c>
      <c r="K1668" s="22" t="n">
        <v>0</v>
      </c>
      <c r="L1668" s="23" t="n">
        <v>0.2</v>
      </c>
      <c r="M1668" s="22" t="n">
        <v>148.6</v>
      </c>
      <c r="N1668" s="24" t="n">
        <v>3.7</v>
      </c>
      <c r="O1668" s="24" t="n">
        <v>33.8</v>
      </c>
      <c r="P1668" s="17" t="inlineStr">
        <is>
          <t>Cash on Delivery</t>
        </is>
      </c>
      <c r="Q1668" s="17" t="inlineStr">
        <is>
          <t>Delivered</t>
        </is>
      </c>
      <c r="R1668" s="17" t="n">
        <v>2</v>
      </c>
      <c r="S1668" s="17">
        <f>TEXT(B1668,"yyyy-mm")</f>
        <v/>
      </c>
      <c r="T1668" s="17">
        <f>VLOOKUP(D1668,Customers!A:D,4,FALSE)</f>
        <v/>
      </c>
      <c r="U1668" s="17">
        <f>CONCATENATE(A1668,"-",G1668)</f>
        <v/>
      </c>
      <c r="V1668" s="17">
        <f>IF(N1668="","",IF(N1668&lt;=30,"Fast (&lt;30m)",IF(N1668&lt;=45,"Moderate (30-45m)","Delayed (&gt;45m)")))</f>
        <v/>
      </c>
      <c r="W1668" s="17">
        <f>IF(AND(I1668&gt;600,P1668="Delivered"),"High Value Delivered","Standard")</f>
        <v/>
      </c>
      <c r="X1668" s="17">
        <f>IF(OR(N1668&gt;50,Q1668&lt;=2),"High Risk / Delayed","Normal")</f>
        <v/>
      </c>
      <c r="Y1668" s="17">
        <f>IF(NOT(P1668="Cancelled"),"Fulfilled","Cancelled")</f>
        <v/>
      </c>
      <c r="Z1668" s="17">
        <f>IFERROR(Q1668,0)</f>
        <v/>
      </c>
    </row>
    <row r="1669">
      <c r="A1669" s="25" t="inlineStr">
        <is>
          <t>ORD2668</t>
        </is>
      </c>
      <c r="B1669" s="25" t="inlineStr">
        <is>
          <t>2025-08-28</t>
        </is>
      </c>
      <c r="C1669" s="25" t="inlineStr">
        <is>
          <t>12:01:02</t>
        </is>
      </c>
      <c r="D1669" s="25" t="n">
        <v>1005</v>
      </c>
      <c r="E1669" s="25" t="n">
        <v>109</v>
      </c>
      <c r="F1669" s="25" t="n">
        <v>225</v>
      </c>
      <c r="G1669" s="25" t="inlineStr">
        <is>
          <t>Hyderabad</t>
        </is>
      </c>
      <c r="H1669" s="25" t="inlineStr">
        <is>
          <t>Biryani</t>
        </is>
      </c>
      <c r="I1669" s="26" t="n">
        <v>833</v>
      </c>
      <c r="J1669" s="26" t="n">
        <v>0</v>
      </c>
      <c r="K1669" s="26" t="n">
        <v>40</v>
      </c>
      <c r="L1669" s="27" t="n">
        <v>0.2</v>
      </c>
      <c r="M1669" s="26" t="n">
        <v>176.6</v>
      </c>
      <c r="N1669" s="28" t="n">
        <v>6</v>
      </c>
      <c r="O1669" s="28" t="n">
        <v>45.5</v>
      </c>
      <c r="P1669" s="25" t="inlineStr">
        <is>
          <t>Credit Card</t>
        </is>
      </c>
      <c r="Q1669" s="25" t="inlineStr">
        <is>
          <t>Delivered</t>
        </is>
      </c>
      <c r="R1669" s="25" t="n">
        <v>2</v>
      </c>
      <c r="S1669" s="25">
        <f>TEXT(B1669,"yyyy-mm")</f>
        <v/>
      </c>
      <c r="T1669" s="25">
        <f>VLOOKUP(D1669,Customers!A:D,4,FALSE)</f>
        <v/>
      </c>
      <c r="U1669" s="25">
        <f>CONCATENATE(A1669,"-",G1669)</f>
        <v/>
      </c>
      <c r="V1669" s="25">
        <f>IF(N1669="","",IF(N1669&lt;=30,"Fast (&lt;30m)",IF(N1669&lt;=45,"Moderate (30-45m)","Delayed (&gt;45m)")))</f>
        <v/>
      </c>
      <c r="W1669" s="25">
        <f>IF(AND(I1669&gt;600,P1669="Delivered"),"High Value Delivered","Standard")</f>
        <v/>
      </c>
      <c r="X1669" s="25">
        <f>IF(OR(N1669&gt;50,Q1669&lt;=2),"High Risk / Delayed","Normal")</f>
        <v/>
      </c>
      <c r="Y1669" s="25">
        <f>IF(NOT(P1669="Cancelled"),"Fulfilled","Cancelled")</f>
        <v/>
      </c>
      <c r="Z1669" s="25">
        <f>IFERROR(Q1669,0)</f>
        <v/>
      </c>
    </row>
    <row r="1670">
      <c r="A1670" s="17" t="inlineStr">
        <is>
          <t>ORD2669</t>
        </is>
      </c>
      <c r="B1670" s="17" t="inlineStr">
        <is>
          <t>2025-02-15</t>
        </is>
      </c>
      <c r="C1670" s="17" t="inlineStr">
        <is>
          <t>21:23:46</t>
        </is>
      </c>
      <c r="D1670" s="17" t="n">
        <v>1288</v>
      </c>
      <c r="E1670" s="17" t="n">
        <v>110</v>
      </c>
      <c r="F1670" s="17" t="n">
        <v>214</v>
      </c>
      <c r="G1670" s="17" t="inlineStr">
        <is>
          <t>Pune</t>
        </is>
      </c>
      <c r="H1670" s="17" t="inlineStr">
        <is>
          <t>North Indian</t>
        </is>
      </c>
      <c r="I1670" s="22" t="n">
        <v>748</v>
      </c>
      <c r="J1670" s="22" t="n">
        <v>0</v>
      </c>
      <c r="K1670" s="22" t="n">
        <v>30.5</v>
      </c>
      <c r="L1670" s="23" t="n">
        <v>0.18</v>
      </c>
      <c r="M1670" s="22" t="n">
        <v>142.26</v>
      </c>
      <c r="N1670" s="24" t="n">
        <v>4.1</v>
      </c>
      <c r="O1670" s="24" t="n">
        <v>35.1</v>
      </c>
      <c r="P1670" s="17" t="inlineStr">
        <is>
          <t>Cash on Delivery</t>
        </is>
      </c>
      <c r="Q1670" s="17" t="inlineStr">
        <is>
          <t>Delivered</t>
        </is>
      </c>
      <c r="R1670" s="17" t="n">
        <v>4</v>
      </c>
      <c r="S1670" s="17">
        <f>TEXT(B1670,"yyyy-mm")</f>
        <v/>
      </c>
      <c r="T1670" s="17">
        <f>VLOOKUP(D1670,Customers!A:D,4,FALSE)</f>
        <v/>
      </c>
      <c r="U1670" s="17">
        <f>CONCATENATE(A1670,"-",G1670)</f>
        <v/>
      </c>
      <c r="V1670" s="17">
        <f>IF(N1670="","",IF(N1670&lt;=30,"Fast (&lt;30m)",IF(N1670&lt;=45,"Moderate (30-45m)","Delayed (&gt;45m)")))</f>
        <v/>
      </c>
      <c r="W1670" s="17">
        <f>IF(AND(I1670&gt;600,P1670="Delivered"),"High Value Delivered","Standard")</f>
        <v/>
      </c>
      <c r="X1670" s="17">
        <f>IF(OR(N1670&gt;50,Q1670&lt;=2),"High Risk / Delayed","Normal")</f>
        <v/>
      </c>
      <c r="Y1670" s="17">
        <f>IF(NOT(P1670="Cancelled"),"Fulfilled","Cancelled")</f>
        <v/>
      </c>
      <c r="Z1670" s="17">
        <f>IFERROR(Q1670,0)</f>
        <v/>
      </c>
    </row>
    <row r="1671">
      <c r="A1671" s="25" t="inlineStr">
        <is>
          <t>ORD2670</t>
        </is>
      </c>
      <c r="B1671" s="25" t="inlineStr">
        <is>
          <t>2025-03-18</t>
        </is>
      </c>
      <c r="C1671" s="25" t="inlineStr">
        <is>
          <t>17:51:17</t>
        </is>
      </c>
      <c r="D1671" s="25" t="n">
        <v>1201</v>
      </c>
      <c r="E1671" s="25" t="n">
        <v>101</v>
      </c>
      <c r="F1671" s="25" t="n">
        <v>203</v>
      </c>
      <c r="G1671" s="25" t="inlineStr">
        <is>
          <t>Bangalore</t>
        </is>
      </c>
      <c r="H1671" s="25" t="inlineStr">
        <is>
          <t>North Indian</t>
        </is>
      </c>
      <c r="I1671" s="26" t="n">
        <v>743</v>
      </c>
      <c r="J1671" s="26" t="n">
        <v>49</v>
      </c>
      <c r="K1671" s="26" t="n">
        <v>29</v>
      </c>
      <c r="L1671" s="27" t="n">
        <v>0.2</v>
      </c>
      <c r="M1671" s="26" t="n">
        <v>155.85</v>
      </c>
      <c r="N1671" s="28" t="n">
        <v>3.8</v>
      </c>
      <c r="O1671" s="28" t="n">
        <v>29.1</v>
      </c>
      <c r="P1671" s="25" t="inlineStr">
        <is>
          <t>UPI</t>
        </is>
      </c>
      <c r="Q1671" s="25" t="inlineStr">
        <is>
          <t>Delivered</t>
        </is>
      </c>
      <c r="R1671" s="25" t="n">
        <v>3</v>
      </c>
      <c r="S1671" s="25">
        <f>TEXT(B1671,"yyyy-mm")</f>
        <v/>
      </c>
      <c r="T1671" s="25">
        <f>VLOOKUP(D1671,Customers!A:D,4,FALSE)</f>
        <v/>
      </c>
      <c r="U1671" s="25">
        <f>CONCATENATE(A1671,"-",G1671)</f>
        <v/>
      </c>
      <c r="V1671" s="25">
        <f>IF(N1671="","",IF(N1671&lt;=30,"Fast (&lt;30m)",IF(N1671&lt;=45,"Moderate (30-45m)","Delayed (&gt;45m)")))</f>
        <v/>
      </c>
      <c r="W1671" s="25">
        <f>IF(AND(I1671&gt;600,P1671="Delivered"),"High Value Delivered","Standard")</f>
        <v/>
      </c>
      <c r="X1671" s="25">
        <f>IF(OR(N1671&gt;50,Q1671&lt;=2),"High Risk / Delayed","Normal")</f>
        <v/>
      </c>
      <c r="Y1671" s="25">
        <f>IF(NOT(P1671="Cancelled"),"Fulfilled","Cancelled")</f>
        <v/>
      </c>
      <c r="Z1671" s="25">
        <f>IFERROR(Q1671,0)</f>
        <v/>
      </c>
    </row>
    <row r="1672">
      <c r="A1672" s="17" t="inlineStr">
        <is>
          <t>ORD2671</t>
        </is>
      </c>
      <c r="B1672" s="17" t="inlineStr">
        <is>
          <t>2025-10-23</t>
        </is>
      </c>
      <c r="C1672" s="17" t="inlineStr">
        <is>
          <t>12:24:46</t>
        </is>
      </c>
      <c r="D1672" s="17" t="n">
        <v>1180</v>
      </c>
      <c r="E1672" s="17" t="n">
        <v>104</v>
      </c>
      <c r="F1672" s="17" t="n">
        <v>228</v>
      </c>
      <c r="G1672" s="17" t="inlineStr">
        <is>
          <t>Delhi NCR</t>
        </is>
      </c>
      <c r="H1672" s="17" t="inlineStr">
        <is>
          <t>Fast Food</t>
        </is>
      </c>
      <c r="I1672" s="22" t="n">
        <v>262</v>
      </c>
      <c r="J1672" s="22" t="n">
        <v>0.83</v>
      </c>
      <c r="K1672" s="22" t="n">
        <v>28.5</v>
      </c>
      <c r="L1672" s="23" t="n">
        <v>0.18</v>
      </c>
      <c r="M1672" s="22" t="n">
        <v>54.28</v>
      </c>
      <c r="N1672" s="24" t="n">
        <v>3.7</v>
      </c>
      <c r="O1672" s="24" t="n">
        <v>35.6</v>
      </c>
      <c r="P1672" s="17" t="inlineStr">
        <is>
          <t>Cash on Delivery</t>
        </is>
      </c>
      <c r="Q1672" s="17" t="inlineStr">
        <is>
          <t>Delivered</t>
        </is>
      </c>
      <c r="R1672" s="17" t="n">
        <v>2</v>
      </c>
      <c r="S1672" s="17">
        <f>TEXT(B1672,"yyyy-mm")</f>
        <v/>
      </c>
      <c r="T1672" s="17">
        <f>VLOOKUP(D1672,Customers!A:D,4,FALSE)</f>
        <v/>
      </c>
      <c r="U1672" s="17">
        <f>CONCATENATE(A1672,"-",G1672)</f>
        <v/>
      </c>
      <c r="V1672" s="17">
        <f>IF(N1672="","",IF(N1672&lt;=30,"Fast (&lt;30m)",IF(N1672&lt;=45,"Moderate (30-45m)","Delayed (&gt;45m)")))</f>
        <v/>
      </c>
      <c r="W1672" s="17">
        <f>IF(AND(I1672&gt;600,P1672="Delivered"),"High Value Delivered","Standard")</f>
        <v/>
      </c>
      <c r="X1672" s="17">
        <f>IF(OR(N1672&gt;50,Q1672&lt;=2),"High Risk / Delayed","Normal")</f>
        <v/>
      </c>
      <c r="Y1672" s="17">
        <f>IF(NOT(P1672="Cancelled"),"Fulfilled","Cancelled")</f>
        <v/>
      </c>
      <c r="Z1672" s="17">
        <f>IFERROR(Q1672,0)</f>
        <v/>
      </c>
    </row>
    <row r="1673">
      <c r="A1673" s="25" t="inlineStr">
        <is>
          <t>ORD2672</t>
        </is>
      </c>
      <c r="B1673" s="25" t="inlineStr">
        <is>
          <t>2025-07-30</t>
        </is>
      </c>
      <c r="C1673" s="25" t="inlineStr">
        <is>
          <t>10:38:54</t>
        </is>
      </c>
      <c r="D1673" s="25" t="n">
        <v>1162</v>
      </c>
      <c r="E1673" s="25" t="n">
        <v>109</v>
      </c>
      <c r="F1673" s="25" t="n">
        <v>225</v>
      </c>
      <c r="G1673" s="25" t="inlineStr">
        <is>
          <t>Hyderabad</t>
        </is>
      </c>
      <c r="H1673" s="25" t="inlineStr">
        <is>
          <t>Biryani</t>
        </is>
      </c>
      <c r="I1673" s="26" t="n">
        <v>848</v>
      </c>
      <c r="J1673" s="26" t="n">
        <v>75.54000000000001</v>
      </c>
      <c r="K1673" s="26" t="n">
        <v>33.5</v>
      </c>
      <c r="L1673" s="27" t="n">
        <v>0.2</v>
      </c>
      <c r="M1673" s="26" t="n">
        <v>177.98</v>
      </c>
      <c r="N1673" s="28" t="n">
        <v>4.7</v>
      </c>
      <c r="O1673" s="28" t="n">
        <v>33.8</v>
      </c>
      <c r="P1673" s="25" t="inlineStr">
        <is>
          <t>UPI</t>
        </is>
      </c>
      <c r="Q1673" s="25" t="inlineStr">
        <is>
          <t>Delivered</t>
        </is>
      </c>
      <c r="R1673" s="25" t="n">
        <v>3</v>
      </c>
      <c r="S1673" s="25">
        <f>TEXT(B1673,"yyyy-mm")</f>
        <v/>
      </c>
      <c r="T1673" s="25">
        <f>VLOOKUP(D1673,Customers!A:D,4,FALSE)</f>
        <v/>
      </c>
      <c r="U1673" s="25">
        <f>CONCATENATE(A1673,"-",G1673)</f>
        <v/>
      </c>
      <c r="V1673" s="25">
        <f>IF(N1673="","",IF(N1673&lt;=30,"Fast (&lt;30m)",IF(N1673&lt;=45,"Moderate (30-45m)","Delayed (&gt;45m)")))</f>
        <v/>
      </c>
      <c r="W1673" s="25">
        <f>IF(AND(I1673&gt;600,P1673="Delivered"),"High Value Delivered","Standard")</f>
        <v/>
      </c>
      <c r="X1673" s="25">
        <f>IF(OR(N1673&gt;50,Q1673&lt;=2),"High Risk / Delayed","Normal")</f>
        <v/>
      </c>
      <c r="Y1673" s="25">
        <f>IF(NOT(P1673="Cancelled"),"Fulfilled","Cancelled")</f>
        <v/>
      </c>
      <c r="Z1673" s="25">
        <f>IFERROR(Q1673,0)</f>
        <v/>
      </c>
    </row>
    <row r="1674">
      <c r="A1674" s="17" t="inlineStr">
        <is>
          <t>ORD2673</t>
        </is>
      </c>
      <c r="B1674" s="17" t="inlineStr">
        <is>
          <t>2025-02-01</t>
        </is>
      </c>
      <c r="C1674" s="17" t="inlineStr">
        <is>
          <t>08:17:51</t>
        </is>
      </c>
      <c r="D1674" s="17" t="n">
        <v>1281</v>
      </c>
      <c r="E1674" s="17" t="n">
        <v>115</v>
      </c>
      <c r="F1674" s="17" t="n">
        <v>205</v>
      </c>
      <c r="G1674" s="17" t="inlineStr">
        <is>
          <t>Bangalore</t>
        </is>
      </c>
      <c r="H1674" s="17" t="inlineStr">
        <is>
          <t>Italian</t>
        </is>
      </c>
      <c r="I1674" s="22" t="n">
        <v>605</v>
      </c>
      <c r="J1674" s="22" t="n">
        <v>67.91</v>
      </c>
      <c r="K1674" s="22" t="n">
        <v>0</v>
      </c>
      <c r="L1674" s="23" t="n">
        <v>0.2</v>
      </c>
      <c r="M1674" s="22" t="n">
        <v>121</v>
      </c>
      <c r="N1674" s="24" t="n">
        <v>4</v>
      </c>
      <c r="O1674" s="24" t="n">
        <v>37.3</v>
      </c>
      <c r="P1674" s="17" t="inlineStr">
        <is>
          <t>Digital Wallet</t>
        </is>
      </c>
      <c r="Q1674" s="17" t="inlineStr">
        <is>
          <t>Delivered</t>
        </is>
      </c>
      <c r="R1674" s="17" t="n">
        <v>4</v>
      </c>
      <c r="S1674" s="17">
        <f>TEXT(B1674,"yyyy-mm")</f>
        <v/>
      </c>
      <c r="T1674" s="17">
        <f>VLOOKUP(D1674,Customers!A:D,4,FALSE)</f>
        <v/>
      </c>
      <c r="U1674" s="17">
        <f>CONCATENATE(A1674,"-",G1674)</f>
        <v/>
      </c>
      <c r="V1674" s="17">
        <f>IF(N1674="","",IF(N1674&lt;=30,"Fast (&lt;30m)",IF(N1674&lt;=45,"Moderate (30-45m)","Delayed (&gt;45m)")))</f>
        <v/>
      </c>
      <c r="W1674" s="17">
        <f>IF(AND(I1674&gt;600,P1674="Delivered"),"High Value Delivered","Standard")</f>
        <v/>
      </c>
      <c r="X1674" s="17">
        <f>IF(OR(N1674&gt;50,Q1674&lt;=2),"High Risk / Delayed","Normal")</f>
        <v/>
      </c>
      <c r="Y1674" s="17">
        <f>IF(NOT(P1674="Cancelled"),"Fulfilled","Cancelled")</f>
        <v/>
      </c>
      <c r="Z1674" s="17">
        <f>IFERROR(Q1674,0)</f>
        <v/>
      </c>
    </row>
    <row r="1675">
      <c r="A1675" s="25" t="inlineStr">
        <is>
          <t>ORD2674</t>
        </is>
      </c>
      <c r="B1675" s="25" t="inlineStr">
        <is>
          <t>2025-05-14</t>
        </is>
      </c>
      <c r="C1675" s="25" t="inlineStr">
        <is>
          <t>15:40:46</t>
        </is>
      </c>
      <c r="D1675" s="25" t="n">
        <v>1180</v>
      </c>
      <c r="E1675" s="25" t="n">
        <v>118</v>
      </c>
      <c r="F1675" s="25" t="n">
        <v>212</v>
      </c>
      <c r="G1675" s="25" t="inlineStr">
        <is>
          <t>Delhi NCR</t>
        </is>
      </c>
      <c r="H1675" s="25" t="inlineStr">
        <is>
          <t>North Indian</t>
        </is>
      </c>
      <c r="I1675" s="26" t="n">
        <v>484</v>
      </c>
      <c r="J1675" s="26" t="n">
        <v>24.93</v>
      </c>
      <c r="K1675" s="26" t="n">
        <v>25</v>
      </c>
      <c r="L1675" s="27" t="n">
        <v>0.2</v>
      </c>
      <c r="M1675" s="26" t="n">
        <v>103.05</v>
      </c>
      <c r="N1675" s="28" t="n">
        <v>2.7</v>
      </c>
      <c r="O1675" s="28" t="n">
        <v>37.3</v>
      </c>
      <c r="P1675" s="25" t="inlineStr">
        <is>
          <t>Cash on Delivery</t>
        </is>
      </c>
      <c r="Q1675" s="25" t="inlineStr">
        <is>
          <t>Delivered</t>
        </is>
      </c>
      <c r="R1675" s="25" t="n">
        <v>4</v>
      </c>
      <c r="S1675" s="25">
        <f>TEXT(B1675,"yyyy-mm")</f>
        <v/>
      </c>
      <c r="T1675" s="25">
        <f>VLOOKUP(D1675,Customers!A:D,4,FALSE)</f>
        <v/>
      </c>
      <c r="U1675" s="25">
        <f>CONCATENATE(A1675,"-",G1675)</f>
        <v/>
      </c>
      <c r="V1675" s="25">
        <f>IF(N1675="","",IF(N1675&lt;=30,"Fast (&lt;30m)",IF(N1675&lt;=45,"Moderate (30-45m)","Delayed (&gt;45m)")))</f>
        <v/>
      </c>
      <c r="W1675" s="25">
        <f>IF(AND(I1675&gt;600,P1675="Delivered"),"High Value Delivered","Standard")</f>
        <v/>
      </c>
      <c r="X1675" s="25">
        <f>IF(OR(N1675&gt;50,Q1675&lt;=2),"High Risk / Delayed","Normal")</f>
        <v/>
      </c>
      <c r="Y1675" s="25">
        <f>IF(NOT(P1675="Cancelled"),"Fulfilled","Cancelled")</f>
        <v/>
      </c>
      <c r="Z1675" s="25">
        <f>IFERROR(Q1675,0)</f>
        <v/>
      </c>
    </row>
    <row r="1676">
      <c r="A1676" s="17" t="inlineStr">
        <is>
          <t>ORD2675</t>
        </is>
      </c>
      <c r="B1676" s="17" t="inlineStr">
        <is>
          <t>2025-07-13</t>
        </is>
      </c>
      <c r="C1676" s="17" t="inlineStr">
        <is>
          <t>17:45:48</t>
        </is>
      </c>
      <c r="D1676" s="17" t="n">
        <v>1086</v>
      </c>
      <c r="E1676" s="17" t="n">
        <v>108</v>
      </c>
      <c r="F1676" s="17" t="n">
        <v>219</v>
      </c>
      <c r="G1676" s="17" t="inlineStr">
        <is>
          <t>Delhi NCR</t>
        </is>
      </c>
      <c r="H1676" s="17" t="inlineStr">
        <is>
          <t>Fast Food</t>
        </is>
      </c>
      <c r="I1676" s="22" t="n">
        <v>412</v>
      </c>
      <c r="J1676" s="22" t="n">
        <v>2.11</v>
      </c>
      <c r="K1676" s="22" t="n">
        <v>35.5</v>
      </c>
      <c r="L1676" s="23" t="n">
        <v>0.18</v>
      </c>
      <c r="M1676" s="22" t="n">
        <v>83.04000000000001</v>
      </c>
      <c r="N1676" s="24" t="n">
        <v>5.1</v>
      </c>
      <c r="O1676" s="24" t="n">
        <v>30.5</v>
      </c>
      <c r="P1676" s="17" t="inlineStr">
        <is>
          <t>Credit Card</t>
        </is>
      </c>
      <c r="Q1676" s="17" t="inlineStr">
        <is>
          <t>Delivered</t>
        </is>
      </c>
      <c r="R1676" s="17" t="n">
        <v>4</v>
      </c>
      <c r="S1676" s="17">
        <f>TEXT(B1676,"yyyy-mm")</f>
        <v/>
      </c>
      <c r="T1676" s="17">
        <f>VLOOKUP(D1676,Customers!A:D,4,FALSE)</f>
        <v/>
      </c>
      <c r="U1676" s="17">
        <f>CONCATENATE(A1676,"-",G1676)</f>
        <v/>
      </c>
      <c r="V1676" s="17">
        <f>IF(N1676="","",IF(N1676&lt;=30,"Fast (&lt;30m)",IF(N1676&lt;=45,"Moderate (30-45m)","Delayed (&gt;45m)")))</f>
        <v/>
      </c>
      <c r="W1676" s="17">
        <f>IF(AND(I1676&gt;600,P1676="Delivered"),"High Value Delivered","Standard")</f>
        <v/>
      </c>
      <c r="X1676" s="17">
        <f>IF(OR(N1676&gt;50,Q1676&lt;=2),"High Risk / Delayed","Normal")</f>
        <v/>
      </c>
      <c r="Y1676" s="17">
        <f>IF(NOT(P1676="Cancelled"),"Fulfilled","Cancelled")</f>
        <v/>
      </c>
      <c r="Z1676" s="17">
        <f>IFERROR(Q1676,0)</f>
        <v/>
      </c>
    </row>
    <row r="1677">
      <c r="A1677" s="25" t="inlineStr">
        <is>
          <t>ORD2676</t>
        </is>
      </c>
      <c r="B1677" s="25" t="inlineStr">
        <is>
          <t>2025-11-13</t>
        </is>
      </c>
      <c r="C1677" s="25" t="inlineStr">
        <is>
          <t>14:43:18</t>
        </is>
      </c>
      <c r="D1677" s="25" t="n">
        <v>1271</v>
      </c>
      <c r="E1677" s="25" t="n">
        <v>104</v>
      </c>
      <c r="F1677" s="25" t="n">
        <v>211</v>
      </c>
      <c r="G1677" s="25" t="inlineStr">
        <is>
          <t>Delhi NCR</t>
        </is>
      </c>
      <c r="H1677" s="25" t="inlineStr">
        <is>
          <t>Fast Food</t>
        </is>
      </c>
      <c r="I1677" s="26" t="n">
        <v>394</v>
      </c>
      <c r="J1677" s="26" t="n">
        <v>34.09</v>
      </c>
      <c r="K1677" s="26" t="n">
        <v>28.5</v>
      </c>
      <c r="L1677" s="27" t="n">
        <v>0.18</v>
      </c>
      <c r="M1677" s="26" t="n">
        <v>78.04000000000001</v>
      </c>
      <c r="N1677" s="28" t="n">
        <v>3.7</v>
      </c>
      <c r="O1677" s="28" t="n">
        <v>42.1</v>
      </c>
      <c r="P1677" s="25" t="inlineStr">
        <is>
          <t>Debit Card</t>
        </is>
      </c>
      <c r="Q1677" s="25" t="inlineStr">
        <is>
          <t>Delivered</t>
        </is>
      </c>
      <c r="R1677" s="25" t="n">
        <v>2</v>
      </c>
      <c r="S1677" s="25">
        <f>TEXT(B1677,"yyyy-mm")</f>
        <v/>
      </c>
      <c r="T1677" s="25">
        <f>VLOOKUP(D1677,Customers!A:D,4,FALSE)</f>
        <v/>
      </c>
      <c r="U1677" s="25">
        <f>CONCATENATE(A1677,"-",G1677)</f>
        <v/>
      </c>
      <c r="V1677" s="25">
        <f>IF(N1677="","",IF(N1677&lt;=30,"Fast (&lt;30m)",IF(N1677&lt;=45,"Moderate (30-45m)","Delayed (&gt;45m)")))</f>
        <v/>
      </c>
      <c r="W1677" s="25">
        <f>IF(AND(I1677&gt;600,P1677="Delivered"),"High Value Delivered","Standard")</f>
        <v/>
      </c>
      <c r="X1677" s="25">
        <f>IF(OR(N1677&gt;50,Q1677&lt;=2),"High Risk / Delayed","Normal")</f>
        <v/>
      </c>
      <c r="Y1677" s="25">
        <f>IF(NOT(P1677="Cancelled"),"Fulfilled","Cancelled")</f>
        <v/>
      </c>
      <c r="Z1677" s="25">
        <f>IFERROR(Q1677,0)</f>
        <v/>
      </c>
    </row>
    <row r="1678">
      <c r="A1678" s="17" t="inlineStr">
        <is>
          <t>ORD2677</t>
        </is>
      </c>
      <c r="B1678" s="17" t="inlineStr">
        <is>
          <t>2025-01-11</t>
        </is>
      </c>
      <c r="C1678" s="17" t="inlineStr">
        <is>
          <t>07:15:56</t>
        </is>
      </c>
      <c r="D1678" s="17" t="n">
        <v>1056</v>
      </c>
      <c r="E1678" s="17" t="n">
        <v>102</v>
      </c>
      <c r="F1678" s="17" t="n">
        <v>215</v>
      </c>
      <c r="G1678" s="17" t="inlineStr">
        <is>
          <t>Hyderabad</t>
        </is>
      </c>
      <c r="H1678" s="17" t="inlineStr">
        <is>
          <t>Biryani</t>
        </is>
      </c>
      <c r="I1678" s="22" t="n">
        <v>942</v>
      </c>
      <c r="J1678" s="22" t="n">
        <v>161.74</v>
      </c>
      <c r="K1678" s="22" t="n">
        <v>0</v>
      </c>
      <c r="L1678" s="23" t="n">
        <v>0.22</v>
      </c>
      <c r="M1678" s="22" t="n">
        <v>207.24</v>
      </c>
      <c r="N1678" s="24" t="n">
        <v>3.1</v>
      </c>
      <c r="O1678" s="24" t="n">
        <v>26.7</v>
      </c>
      <c r="P1678" s="17" t="inlineStr">
        <is>
          <t>Digital Wallet</t>
        </is>
      </c>
      <c r="Q1678" s="17" t="inlineStr">
        <is>
          <t>Delivered</t>
        </is>
      </c>
      <c r="R1678" s="17" t="n">
        <v>3</v>
      </c>
      <c r="S1678" s="17">
        <f>TEXT(B1678,"yyyy-mm")</f>
        <v/>
      </c>
      <c r="T1678" s="17">
        <f>VLOOKUP(D1678,Customers!A:D,4,FALSE)</f>
        <v/>
      </c>
      <c r="U1678" s="17">
        <f>CONCATENATE(A1678,"-",G1678)</f>
        <v/>
      </c>
      <c r="V1678" s="17">
        <f>IF(N1678="","",IF(N1678&lt;=30,"Fast (&lt;30m)",IF(N1678&lt;=45,"Moderate (30-45m)","Delayed (&gt;45m)")))</f>
        <v/>
      </c>
      <c r="W1678" s="17">
        <f>IF(AND(I1678&gt;600,P1678="Delivered"),"High Value Delivered","Standard")</f>
        <v/>
      </c>
      <c r="X1678" s="17">
        <f>IF(OR(N1678&gt;50,Q1678&lt;=2),"High Risk / Delayed","Normal")</f>
        <v/>
      </c>
      <c r="Y1678" s="17">
        <f>IF(NOT(P1678="Cancelled"),"Fulfilled","Cancelled")</f>
        <v/>
      </c>
      <c r="Z1678" s="17">
        <f>IFERROR(Q1678,0)</f>
        <v/>
      </c>
    </row>
    <row r="1679">
      <c r="A1679" s="25" t="inlineStr">
        <is>
          <t>ORD2678</t>
        </is>
      </c>
      <c r="B1679" s="25" t="inlineStr">
        <is>
          <t>2025-06-08</t>
        </is>
      </c>
      <c r="C1679" s="25" t="inlineStr">
        <is>
          <t>21:49:16</t>
        </is>
      </c>
      <c r="D1679" s="25" t="n">
        <v>1233</v>
      </c>
      <c r="E1679" s="25" t="n">
        <v>120</v>
      </c>
      <c r="F1679" s="25" t="n">
        <v>217</v>
      </c>
      <c r="G1679" s="25" t="inlineStr">
        <is>
          <t>Pune</t>
        </is>
      </c>
      <c r="H1679" s="25" t="inlineStr">
        <is>
          <t>Fast Food</t>
        </is>
      </c>
      <c r="I1679" s="26" t="n">
        <v>304</v>
      </c>
      <c r="J1679" s="26" t="n">
        <v>0</v>
      </c>
      <c r="K1679" s="26" t="n">
        <v>35.5</v>
      </c>
      <c r="L1679" s="27" t="n">
        <v>0.18</v>
      </c>
      <c r="M1679" s="26" t="n">
        <v>63.6</v>
      </c>
      <c r="N1679" s="28" t="n">
        <v>5.1</v>
      </c>
      <c r="O1679" s="28" t="n">
        <v>36.2</v>
      </c>
      <c r="P1679" s="25" t="inlineStr">
        <is>
          <t>Cash on Delivery</t>
        </is>
      </c>
      <c r="Q1679" s="25" t="inlineStr">
        <is>
          <t>Delivered</t>
        </is>
      </c>
      <c r="R1679" s="25" t="n">
        <v>1</v>
      </c>
      <c r="S1679" s="25">
        <f>TEXT(B1679,"yyyy-mm")</f>
        <v/>
      </c>
      <c r="T1679" s="25">
        <f>VLOOKUP(D1679,Customers!A:D,4,FALSE)</f>
        <v/>
      </c>
      <c r="U1679" s="25">
        <f>CONCATENATE(A1679,"-",G1679)</f>
        <v/>
      </c>
      <c r="V1679" s="25">
        <f>IF(N1679="","",IF(N1679&lt;=30,"Fast (&lt;30m)",IF(N1679&lt;=45,"Moderate (30-45m)","Delayed (&gt;45m)")))</f>
        <v/>
      </c>
      <c r="W1679" s="25">
        <f>IF(AND(I1679&gt;600,P1679="Delivered"),"High Value Delivered","Standard")</f>
        <v/>
      </c>
      <c r="X1679" s="25">
        <f>IF(OR(N1679&gt;50,Q1679&lt;=2),"High Risk / Delayed","Normal")</f>
        <v/>
      </c>
      <c r="Y1679" s="25">
        <f>IF(NOT(P1679="Cancelled"),"Fulfilled","Cancelled")</f>
        <v/>
      </c>
      <c r="Z1679" s="25">
        <f>IFERROR(Q1679,0)</f>
        <v/>
      </c>
    </row>
    <row r="1680">
      <c r="A1680" s="17" t="inlineStr">
        <is>
          <t>ORD2679</t>
        </is>
      </c>
      <c r="B1680" s="17" t="inlineStr">
        <is>
          <t>2025-07-01</t>
        </is>
      </c>
      <c r="C1680" s="17" t="inlineStr">
        <is>
          <t>19:48:23</t>
        </is>
      </c>
      <c r="D1680" s="17" t="n">
        <v>1273</v>
      </c>
      <c r="E1680" s="17" t="n">
        <v>109</v>
      </c>
      <c r="F1680" s="17" t="n">
        <v>225</v>
      </c>
      <c r="G1680" s="17" t="inlineStr">
        <is>
          <t>Hyderabad</t>
        </is>
      </c>
      <c r="H1680" s="17" t="inlineStr">
        <is>
          <t>Biryani</t>
        </is>
      </c>
      <c r="I1680" s="22" t="n">
        <v>838</v>
      </c>
      <c r="J1680" s="22" t="n">
        <v>157</v>
      </c>
      <c r="K1680" s="22" t="n">
        <v>0</v>
      </c>
      <c r="L1680" s="23" t="n">
        <v>0.2</v>
      </c>
      <c r="M1680" s="22" t="n">
        <v>167.6</v>
      </c>
      <c r="N1680" s="24" t="n">
        <v>3</v>
      </c>
      <c r="O1680" s="24" t="n">
        <v>29.1</v>
      </c>
      <c r="P1680" s="17" t="inlineStr">
        <is>
          <t>Credit Card</t>
        </is>
      </c>
      <c r="Q1680" s="17" t="inlineStr">
        <is>
          <t>Delivered</t>
        </is>
      </c>
      <c r="R1680" s="17" t="n">
        <v>5</v>
      </c>
      <c r="S1680" s="17">
        <f>TEXT(B1680,"yyyy-mm")</f>
        <v/>
      </c>
      <c r="T1680" s="17">
        <f>VLOOKUP(D1680,Customers!A:D,4,FALSE)</f>
        <v/>
      </c>
      <c r="U1680" s="17">
        <f>CONCATENATE(A1680,"-",G1680)</f>
        <v/>
      </c>
      <c r="V1680" s="17">
        <f>IF(N1680="","",IF(N1680&lt;=30,"Fast (&lt;30m)",IF(N1680&lt;=45,"Moderate (30-45m)","Delayed (&gt;45m)")))</f>
        <v/>
      </c>
      <c r="W1680" s="17">
        <f>IF(AND(I1680&gt;600,P1680="Delivered"),"High Value Delivered","Standard")</f>
        <v/>
      </c>
      <c r="X1680" s="17">
        <f>IF(OR(N1680&gt;50,Q1680&lt;=2),"High Risk / Delayed","Normal")</f>
        <v/>
      </c>
      <c r="Y1680" s="17">
        <f>IF(NOT(P1680="Cancelled"),"Fulfilled","Cancelled")</f>
        <v/>
      </c>
      <c r="Z1680" s="17">
        <f>IFERROR(Q1680,0)</f>
        <v/>
      </c>
    </row>
    <row r="1681">
      <c r="A1681" s="25" t="inlineStr">
        <is>
          <t>ORD2680</t>
        </is>
      </c>
      <c r="B1681" s="25" t="inlineStr">
        <is>
          <t>2025-05-31</t>
        </is>
      </c>
      <c r="C1681" s="25" t="inlineStr">
        <is>
          <t>07:12:55</t>
        </is>
      </c>
      <c r="D1681" s="25" t="n">
        <v>1030</v>
      </c>
      <c r="E1681" s="25" t="n">
        <v>102</v>
      </c>
      <c r="F1681" s="25" t="n">
        <v>225</v>
      </c>
      <c r="G1681" s="25" t="inlineStr">
        <is>
          <t>Hyderabad</t>
        </is>
      </c>
      <c r="H1681" s="25" t="inlineStr">
        <is>
          <t>Biryani</t>
        </is>
      </c>
      <c r="I1681" s="26" t="n">
        <v>243</v>
      </c>
      <c r="J1681" s="26" t="n">
        <v>9.130000000000001</v>
      </c>
      <c r="K1681" s="26" t="n">
        <v>26.5</v>
      </c>
      <c r="L1681" s="27" t="n">
        <v>0.22</v>
      </c>
      <c r="M1681" s="26" t="n">
        <v>60.08</v>
      </c>
      <c r="N1681" s="28" t="n">
        <v>3.3</v>
      </c>
      <c r="O1681" s="28" t="n">
        <v>28.4</v>
      </c>
      <c r="P1681" s="25" t="inlineStr">
        <is>
          <t>Debit Card</t>
        </is>
      </c>
      <c r="Q1681" s="25" t="inlineStr">
        <is>
          <t>Delivered</t>
        </is>
      </c>
      <c r="R1681" s="25" t="n">
        <v>4</v>
      </c>
      <c r="S1681" s="25">
        <f>TEXT(B1681,"yyyy-mm")</f>
        <v/>
      </c>
      <c r="T1681" s="25">
        <f>VLOOKUP(D1681,Customers!A:D,4,FALSE)</f>
        <v/>
      </c>
      <c r="U1681" s="25">
        <f>CONCATENATE(A1681,"-",G1681)</f>
        <v/>
      </c>
      <c r="V1681" s="25">
        <f>IF(N1681="","",IF(N1681&lt;=30,"Fast (&lt;30m)",IF(N1681&lt;=45,"Moderate (30-45m)","Delayed (&gt;45m)")))</f>
        <v/>
      </c>
      <c r="W1681" s="25">
        <f>IF(AND(I1681&gt;600,P1681="Delivered"),"High Value Delivered","Standard")</f>
        <v/>
      </c>
      <c r="X1681" s="25">
        <f>IF(OR(N1681&gt;50,Q1681&lt;=2),"High Risk / Delayed","Normal")</f>
        <v/>
      </c>
      <c r="Y1681" s="25">
        <f>IF(NOT(P1681="Cancelled"),"Fulfilled","Cancelled")</f>
        <v/>
      </c>
      <c r="Z1681" s="25">
        <f>IFERROR(Q1681,0)</f>
        <v/>
      </c>
    </row>
    <row r="1682">
      <c r="A1682" s="17" t="inlineStr">
        <is>
          <t>ORD2681</t>
        </is>
      </c>
      <c r="B1682" s="17" t="inlineStr">
        <is>
          <t>2025-02-25</t>
        </is>
      </c>
      <c r="C1682" s="17" t="inlineStr">
        <is>
          <t>12:23:15</t>
        </is>
      </c>
      <c r="D1682" s="17" t="n">
        <v>1264</v>
      </c>
      <c r="E1682" s="17" t="n">
        <v>101</v>
      </c>
      <c r="F1682" s="17" t="n">
        <v>210</v>
      </c>
      <c r="G1682" s="17" t="inlineStr">
        <is>
          <t>Bangalore</t>
        </is>
      </c>
      <c r="H1682" s="17" t="inlineStr">
        <is>
          <t>North Indian</t>
        </is>
      </c>
      <c r="I1682" s="22" t="n">
        <v>789</v>
      </c>
      <c r="J1682" s="22" t="n">
        <v>32.74</v>
      </c>
      <c r="K1682" s="22" t="n">
        <v>34.5</v>
      </c>
      <c r="L1682" s="23" t="n">
        <v>0.2</v>
      </c>
      <c r="M1682" s="22" t="n">
        <v>166.42</v>
      </c>
      <c r="N1682" s="24" t="n">
        <v>4.9</v>
      </c>
      <c r="O1682" s="24" t="n">
        <v>38.9</v>
      </c>
      <c r="P1682" s="17" t="inlineStr">
        <is>
          <t>Debit Card</t>
        </is>
      </c>
      <c r="Q1682" s="17" t="inlineStr">
        <is>
          <t>Delivered</t>
        </is>
      </c>
      <c r="R1682" s="17" t="n">
        <v>3</v>
      </c>
      <c r="S1682" s="17">
        <f>TEXT(B1682,"yyyy-mm")</f>
        <v/>
      </c>
      <c r="T1682" s="17">
        <f>VLOOKUP(D1682,Customers!A:D,4,FALSE)</f>
        <v/>
      </c>
      <c r="U1682" s="17">
        <f>CONCATENATE(A1682,"-",G1682)</f>
        <v/>
      </c>
      <c r="V1682" s="17">
        <f>IF(N1682="","",IF(N1682&lt;=30,"Fast (&lt;30m)",IF(N1682&lt;=45,"Moderate (30-45m)","Delayed (&gt;45m)")))</f>
        <v/>
      </c>
      <c r="W1682" s="17">
        <f>IF(AND(I1682&gt;600,P1682="Delivered"),"High Value Delivered","Standard")</f>
        <v/>
      </c>
      <c r="X1682" s="17">
        <f>IF(OR(N1682&gt;50,Q1682&lt;=2),"High Risk / Delayed","Normal")</f>
        <v/>
      </c>
      <c r="Y1682" s="17">
        <f>IF(NOT(P1682="Cancelled"),"Fulfilled","Cancelled")</f>
        <v/>
      </c>
      <c r="Z1682" s="17">
        <f>IFERROR(Q1682,0)</f>
        <v/>
      </c>
    </row>
    <row r="1683">
      <c r="A1683" s="25" t="inlineStr">
        <is>
          <t>ORD2682</t>
        </is>
      </c>
      <c r="B1683" s="25" t="inlineStr">
        <is>
          <t>2025-11-09</t>
        </is>
      </c>
      <c r="C1683" s="25" t="inlineStr">
        <is>
          <t>20:53:44</t>
        </is>
      </c>
      <c r="D1683" s="25" t="n">
        <v>1149</v>
      </c>
      <c r="E1683" s="25" t="n">
        <v>120</v>
      </c>
      <c r="F1683" s="25" t="n">
        <v>207</v>
      </c>
      <c r="G1683" s="25" t="inlineStr">
        <is>
          <t>Pune</t>
        </is>
      </c>
      <c r="H1683" s="25" t="inlineStr">
        <is>
          <t>Fast Food</t>
        </is>
      </c>
      <c r="I1683" s="26" t="n">
        <v>283</v>
      </c>
      <c r="J1683" s="26" t="n">
        <v>7.7</v>
      </c>
      <c r="K1683" s="26" t="n">
        <v>47</v>
      </c>
      <c r="L1683" s="27" t="n">
        <v>0.18</v>
      </c>
      <c r="M1683" s="26" t="n">
        <v>62.69</v>
      </c>
      <c r="N1683" s="28" t="n">
        <v>7.4</v>
      </c>
      <c r="O1683" s="28" t="n">
        <v>43.7</v>
      </c>
      <c r="P1683" s="25" t="inlineStr">
        <is>
          <t>UPI</t>
        </is>
      </c>
      <c r="Q1683" s="25" t="inlineStr">
        <is>
          <t>Delivered</t>
        </is>
      </c>
      <c r="R1683" s="25" t="n">
        <v>3</v>
      </c>
      <c r="S1683" s="25">
        <f>TEXT(B1683,"yyyy-mm")</f>
        <v/>
      </c>
      <c r="T1683" s="25">
        <f>VLOOKUP(D1683,Customers!A:D,4,FALSE)</f>
        <v/>
      </c>
      <c r="U1683" s="25">
        <f>CONCATENATE(A1683,"-",G1683)</f>
        <v/>
      </c>
      <c r="V1683" s="25">
        <f>IF(N1683="","",IF(N1683&lt;=30,"Fast (&lt;30m)",IF(N1683&lt;=45,"Moderate (30-45m)","Delayed (&gt;45m)")))</f>
        <v/>
      </c>
      <c r="W1683" s="25">
        <f>IF(AND(I1683&gt;600,P1683="Delivered"),"High Value Delivered","Standard")</f>
        <v/>
      </c>
      <c r="X1683" s="25">
        <f>IF(OR(N1683&gt;50,Q1683&lt;=2),"High Risk / Delayed","Normal")</f>
        <v/>
      </c>
      <c r="Y1683" s="25">
        <f>IF(NOT(P1683="Cancelled"),"Fulfilled","Cancelled")</f>
        <v/>
      </c>
      <c r="Z1683" s="25">
        <f>IFERROR(Q1683,0)</f>
        <v/>
      </c>
    </row>
    <row r="1684">
      <c r="A1684" s="17" t="inlineStr">
        <is>
          <t>ORD2683</t>
        </is>
      </c>
      <c r="B1684" s="17" t="inlineStr">
        <is>
          <t>2025-04-21</t>
        </is>
      </c>
      <c r="C1684" s="17" t="inlineStr">
        <is>
          <t>12:13:48</t>
        </is>
      </c>
      <c r="D1684" s="17" t="n">
        <v>1180</v>
      </c>
      <c r="E1684" s="17" t="n">
        <v>118</v>
      </c>
      <c r="F1684" s="17" t="n">
        <v>230</v>
      </c>
      <c r="G1684" s="17" t="inlineStr">
        <is>
          <t>Delhi NCR</t>
        </is>
      </c>
      <c r="H1684" s="17" t="inlineStr">
        <is>
          <t>North Indian</t>
        </is>
      </c>
      <c r="I1684" s="22" t="n">
        <v>583</v>
      </c>
      <c r="J1684" s="22" t="n">
        <v>0</v>
      </c>
      <c r="K1684" s="22" t="n">
        <v>25</v>
      </c>
      <c r="L1684" s="23" t="n">
        <v>0.2</v>
      </c>
      <c r="M1684" s="22" t="n">
        <v>122.85</v>
      </c>
      <c r="N1684" s="24" t="n">
        <v>1.5</v>
      </c>
      <c r="O1684" s="24" t="n">
        <v>24.6</v>
      </c>
      <c r="P1684" s="17" t="inlineStr">
        <is>
          <t>Digital Wallet</t>
        </is>
      </c>
      <c r="Q1684" s="17" t="inlineStr">
        <is>
          <t>Delivered</t>
        </is>
      </c>
      <c r="R1684" s="17" t="n">
        <v>2</v>
      </c>
      <c r="S1684" s="17">
        <f>TEXT(B1684,"yyyy-mm")</f>
        <v/>
      </c>
      <c r="T1684" s="17">
        <f>VLOOKUP(D1684,Customers!A:D,4,FALSE)</f>
        <v/>
      </c>
      <c r="U1684" s="17">
        <f>CONCATENATE(A1684,"-",G1684)</f>
        <v/>
      </c>
      <c r="V1684" s="17">
        <f>IF(N1684="","",IF(N1684&lt;=30,"Fast (&lt;30m)",IF(N1684&lt;=45,"Moderate (30-45m)","Delayed (&gt;45m)")))</f>
        <v/>
      </c>
      <c r="W1684" s="17">
        <f>IF(AND(I1684&gt;600,P1684="Delivered"),"High Value Delivered","Standard")</f>
        <v/>
      </c>
      <c r="X1684" s="17">
        <f>IF(OR(N1684&gt;50,Q1684&lt;=2),"High Risk / Delayed","Normal")</f>
        <v/>
      </c>
      <c r="Y1684" s="17">
        <f>IF(NOT(P1684="Cancelled"),"Fulfilled","Cancelled")</f>
        <v/>
      </c>
      <c r="Z1684" s="17">
        <f>IFERROR(Q1684,0)</f>
        <v/>
      </c>
    </row>
    <row r="1685">
      <c r="A1685" s="25" t="inlineStr">
        <is>
          <t>ORD2684</t>
        </is>
      </c>
      <c r="B1685" s="25" t="inlineStr">
        <is>
          <t>2025-04-24</t>
        </is>
      </c>
      <c r="C1685" s="25" t="inlineStr">
        <is>
          <t>12:51:09</t>
        </is>
      </c>
      <c r="D1685" s="25" t="n">
        <v>1094</v>
      </c>
      <c r="E1685" s="25" t="n">
        <v>112</v>
      </c>
      <c r="F1685" s="25" t="n">
        <v>228</v>
      </c>
      <c r="G1685" s="25" t="inlineStr">
        <is>
          <t>Delhi NCR</t>
        </is>
      </c>
      <c r="H1685" s="25" t="inlineStr">
        <is>
          <t>North Indian</t>
        </is>
      </c>
      <c r="I1685" s="26" t="n">
        <v>324</v>
      </c>
      <c r="J1685" s="26" t="n">
        <v>0</v>
      </c>
      <c r="K1685" s="26" t="n">
        <v>63.5</v>
      </c>
      <c r="L1685" s="27" t="n">
        <v>0.22</v>
      </c>
      <c r="M1685" s="26" t="n">
        <v>87.16</v>
      </c>
      <c r="N1685" s="28" t="n">
        <v>10.7</v>
      </c>
      <c r="O1685" s="28" t="n">
        <v>59.9</v>
      </c>
      <c r="P1685" s="25" t="inlineStr">
        <is>
          <t>Cash on Delivery</t>
        </is>
      </c>
      <c r="Q1685" s="25" t="inlineStr">
        <is>
          <t>Delivered</t>
        </is>
      </c>
      <c r="R1685" s="25" t="n">
        <v>2</v>
      </c>
      <c r="S1685" s="25">
        <f>TEXT(B1685,"yyyy-mm")</f>
        <v/>
      </c>
      <c r="T1685" s="25">
        <f>VLOOKUP(D1685,Customers!A:D,4,FALSE)</f>
        <v/>
      </c>
      <c r="U1685" s="25">
        <f>CONCATENATE(A1685,"-",G1685)</f>
        <v/>
      </c>
      <c r="V1685" s="25">
        <f>IF(N1685="","",IF(N1685&lt;=30,"Fast (&lt;30m)",IF(N1685&lt;=45,"Moderate (30-45m)","Delayed (&gt;45m)")))</f>
        <v/>
      </c>
      <c r="W1685" s="25">
        <f>IF(AND(I1685&gt;600,P1685="Delivered"),"High Value Delivered","Standard")</f>
        <v/>
      </c>
      <c r="X1685" s="25">
        <f>IF(OR(N1685&gt;50,Q1685&lt;=2),"High Risk / Delayed","Normal")</f>
        <v/>
      </c>
      <c r="Y1685" s="25">
        <f>IF(NOT(P1685="Cancelled"),"Fulfilled","Cancelled")</f>
        <v/>
      </c>
      <c r="Z1685" s="25">
        <f>IFERROR(Q1685,0)</f>
        <v/>
      </c>
    </row>
    <row r="1686">
      <c r="A1686" s="17" t="inlineStr">
        <is>
          <t>ORD2685</t>
        </is>
      </c>
      <c r="B1686" s="17" t="inlineStr">
        <is>
          <t>2025-11-07</t>
        </is>
      </c>
      <c r="C1686" s="17" t="inlineStr">
        <is>
          <t>20:12:15</t>
        </is>
      </c>
      <c r="D1686" s="17" t="n">
        <v>1028</v>
      </c>
      <c r="E1686" s="17" t="n">
        <v>109</v>
      </c>
      <c r="F1686" s="17" t="n">
        <v>215</v>
      </c>
      <c r="G1686" s="17" t="inlineStr">
        <is>
          <t>Hyderabad</t>
        </is>
      </c>
      <c r="H1686" s="17" t="inlineStr">
        <is>
          <t>Biryani</t>
        </is>
      </c>
      <c r="I1686" s="22" t="n">
        <v>827</v>
      </c>
      <c r="J1686" s="22" t="n">
        <v>0</v>
      </c>
      <c r="K1686" s="22" t="n">
        <v>34</v>
      </c>
      <c r="L1686" s="23" t="n">
        <v>0.2</v>
      </c>
      <c r="M1686" s="22" t="n">
        <v>173.9</v>
      </c>
      <c r="N1686" s="24" t="n">
        <v>4.8</v>
      </c>
      <c r="O1686" s="24" t="n">
        <v>37.1</v>
      </c>
      <c r="P1686" s="17" t="inlineStr">
        <is>
          <t>Cash on Delivery</t>
        </is>
      </c>
      <c r="Q1686" s="17" t="inlineStr">
        <is>
          <t>Delivered</t>
        </is>
      </c>
      <c r="R1686" s="17" t="n">
        <v>4</v>
      </c>
      <c r="S1686" s="17">
        <f>TEXT(B1686,"yyyy-mm")</f>
        <v/>
      </c>
      <c r="T1686" s="17">
        <f>VLOOKUP(D1686,Customers!A:D,4,FALSE)</f>
        <v/>
      </c>
      <c r="U1686" s="17">
        <f>CONCATENATE(A1686,"-",G1686)</f>
        <v/>
      </c>
      <c r="V1686" s="17">
        <f>IF(N1686="","",IF(N1686&lt;=30,"Fast (&lt;30m)",IF(N1686&lt;=45,"Moderate (30-45m)","Delayed (&gt;45m)")))</f>
        <v/>
      </c>
      <c r="W1686" s="17">
        <f>IF(AND(I1686&gt;600,P1686="Delivered"),"High Value Delivered","Standard")</f>
        <v/>
      </c>
      <c r="X1686" s="17">
        <f>IF(OR(N1686&gt;50,Q1686&lt;=2),"High Risk / Delayed","Normal")</f>
        <v/>
      </c>
      <c r="Y1686" s="17">
        <f>IF(NOT(P1686="Cancelled"),"Fulfilled","Cancelled")</f>
        <v/>
      </c>
      <c r="Z1686" s="17">
        <f>IFERROR(Q1686,0)</f>
        <v/>
      </c>
    </row>
    <row r="1687">
      <c r="A1687" s="25" t="inlineStr">
        <is>
          <t>ORD2686</t>
        </is>
      </c>
      <c r="B1687" s="25" t="inlineStr">
        <is>
          <t>2025-07-27</t>
        </is>
      </c>
      <c r="C1687" s="25" t="inlineStr">
        <is>
          <t>11:41:20</t>
        </is>
      </c>
      <c r="D1687" s="25" t="n">
        <v>1013</v>
      </c>
      <c r="E1687" s="25" t="n">
        <v>111</v>
      </c>
      <c r="F1687" s="25" t="n">
        <v>201</v>
      </c>
      <c r="G1687" s="25" t="inlineStr">
        <is>
          <t>Bangalore</t>
        </is>
      </c>
      <c r="H1687" s="25" t="inlineStr">
        <is>
          <t>South Indian</t>
        </is>
      </c>
      <c r="I1687" s="26" t="n">
        <v>451</v>
      </c>
      <c r="J1687" s="26" t="n">
        <v>23.79</v>
      </c>
      <c r="K1687" s="26" t="n">
        <v>36</v>
      </c>
      <c r="L1687" s="27" t="n">
        <v>0.15</v>
      </c>
      <c r="M1687" s="26" t="n">
        <v>76.65000000000001</v>
      </c>
      <c r="N1687" s="28" t="n">
        <v>5.2</v>
      </c>
      <c r="O1687" s="28" t="n">
        <v>30.8</v>
      </c>
      <c r="P1687" s="25" t="inlineStr">
        <is>
          <t>UPI</t>
        </is>
      </c>
      <c r="Q1687" s="25" t="inlineStr">
        <is>
          <t>Delivered</t>
        </is>
      </c>
      <c r="R1687" s="25" t="n">
        <v>5</v>
      </c>
      <c r="S1687" s="25">
        <f>TEXT(B1687,"yyyy-mm")</f>
        <v/>
      </c>
      <c r="T1687" s="25">
        <f>VLOOKUP(D1687,Customers!A:D,4,FALSE)</f>
        <v/>
      </c>
      <c r="U1687" s="25">
        <f>CONCATENATE(A1687,"-",G1687)</f>
        <v/>
      </c>
      <c r="V1687" s="25">
        <f>IF(N1687="","",IF(N1687&lt;=30,"Fast (&lt;30m)",IF(N1687&lt;=45,"Moderate (30-45m)","Delayed (&gt;45m)")))</f>
        <v/>
      </c>
      <c r="W1687" s="25">
        <f>IF(AND(I1687&gt;600,P1687="Delivered"),"High Value Delivered","Standard")</f>
        <v/>
      </c>
      <c r="X1687" s="25">
        <f>IF(OR(N1687&gt;50,Q1687&lt;=2),"High Risk / Delayed","Normal")</f>
        <v/>
      </c>
      <c r="Y1687" s="25">
        <f>IF(NOT(P1687="Cancelled"),"Fulfilled","Cancelled")</f>
        <v/>
      </c>
      <c r="Z1687" s="25">
        <f>IFERROR(Q1687,0)</f>
        <v/>
      </c>
    </row>
    <row r="1688">
      <c r="A1688" s="17" t="inlineStr">
        <is>
          <t>ORD2687</t>
        </is>
      </c>
      <c r="B1688" s="17" t="inlineStr">
        <is>
          <t>2025-06-17</t>
        </is>
      </c>
      <c r="C1688" s="17" t="inlineStr">
        <is>
          <t>16:24:06</t>
        </is>
      </c>
      <c r="D1688" s="17" t="n">
        <v>1040</v>
      </c>
      <c r="E1688" s="17" t="n">
        <v>110</v>
      </c>
      <c r="F1688" s="17" t="n">
        <v>207</v>
      </c>
      <c r="G1688" s="17" t="inlineStr">
        <is>
          <t>Pune</t>
        </is>
      </c>
      <c r="H1688" s="17" t="inlineStr">
        <is>
          <t>North Indian</t>
        </is>
      </c>
      <c r="I1688" s="22" t="n">
        <v>692</v>
      </c>
      <c r="J1688" s="22" t="n">
        <v>47.52</v>
      </c>
      <c r="K1688" s="22" t="n">
        <v>26.5</v>
      </c>
      <c r="L1688" s="23" t="n">
        <v>0.18</v>
      </c>
      <c r="M1688" s="22" t="n">
        <v>131.18</v>
      </c>
      <c r="N1688" s="24" t="n">
        <v>3.3</v>
      </c>
      <c r="O1688" s="24" t="n">
        <v>31.2</v>
      </c>
      <c r="P1688" s="17" t="inlineStr">
        <is>
          <t>Digital Wallet</t>
        </is>
      </c>
      <c r="Q1688" s="17" t="inlineStr">
        <is>
          <t>Delivered</t>
        </is>
      </c>
      <c r="R1688" s="17" t="n">
        <v>2</v>
      </c>
      <c r="S1688" s="17">
        <f>TEXT(B1688,"yyyy-mm")</f>
        <v/>
      </c>
      <c r="T1688" s="17">
        <f>VLOOKUP(D1688,Customers!A:D,4,FALSE)</f>
        <v/>
      </c>
      <c r="U1688" s="17">
        <f>CONCATENATE(A1688,"-",G1688)</f>
        <v/>
      </c>
      <c r="V1688" s="17">
        <f>IF(N1688="","",IF(N1688&lt;=30,"Fast (&lt;30m)",IF(N1688&lt;=45,"Moderate (30-45m)","Delayed (&gt;45m)")))</f>
        <v/>
      </c>
      <c r="W1688" s="17">
        <f>IF(AND(I1688&gt;600,P1688="Delivered"),"High Value Delivered","Standard")</f>
        <v/>
      </c>
      <c r="X1688" s="17">
        <f>IF(OR(N1688&gt;50,Q1688&lt;=2),"High Risk / Delayed","Normal")</f>
        <v/>
      </c>
      <c r="Y1688" s="17">
        <f>IF(NOT(P1688="Cancelled"),"Fulfilled","Cancelled")</f>
        <v/>
      </c>
      <c r="Z1688" s="17">
        <f>IFERROR(Q1688,0)</f>
        <v/>
      </c>
    </row>
    <row r="1689">
      <c r="A1689" s="25" t="inlineStr">
        <is>
          <t>ORD2688</t>
        </is>
      </c>
      <c r="B1689" s="25" t="inlineStr">
        <is>
          <t>2025-04-05</t>
        </is>
      </c>
      <c r="C1689" s="25" t="inlineStr">
        <is>
          <t>11:13:52</t>
        </is>
      </c>
      <c r="D1689" s="25" t="n">
        <v>1040</v>
      </c>
      <c r="E1689" s="25" t="n">
        <v>120</v>
      </c>
      <c r="F1689" s="25" t="n">
        <v>224</v>
      </c>
      <c r="G1689" s="25" t="inlineStr">
        <is>
          <t>Pune</t>
        </is>
      </c>
      <c r="H1689" s="25" t="inlineStr">
        <is>
          <t>Fast Food</t>
        </is>
      </c>
      <c r="I1689" s="26" t="n">
        <v>247</v>
      </c>
      <c r="J1689" s="26" t="n">
        <v>0.58</v>
      </c>
      <c r="K1689" s="26" t="n">
        <v>34.5</v>
      </c>
      <c r="L1689" s="27" t="n">
        <v>0.18</v>
      </c>
      <c r="M1689" s="26" t="n">
        <v>53.08</v>
      </c>
      <c r="N1689" s="28" t="n">
        <v>4.9</v>
      </c>
      <c r="O1689" s="28" t="n">
        <v>32</v>
      </c>
      <c r="P1689" s="25" t="inlineStr">
        <is>
          <t>Cash on Delivery</t>
        </is>
      </c>
      <c r="Q1689" s="25" t="inlineStr">
        <is>
          <t>Delivered</t>
        </is>
      </c>
      <c r="R1689" s="25" t="n">
        <v>5</v>
      </c>
      <c r="S1689" s="25">
        <f>TEXT(B1689,"yyyy-mm")</f>
        <v/>
      </c>
      <c r="T1689" s="25">
        <f>VLOOKUP(D1689,Customers!A:D,4,FALSE)</f>
        <v/>
      </c>
      <c r="U1689" s="25">
        <f>CONCATENATE(A1689,"-",G1689)</f>
        <v/>
      </c>
      <c r="V1689" s="25">
        <f>IF(N1689="","",IF(N1689&lt;=30,"Fast (&lt;30m)",IF(N1689&lt;=45,"Moderate (30-45m)","Delayed (&gt;45m)")))</f>
        <v/>
      </c>
      <c r="W1689" s="25">
        <f>IF(AND(I1689&gt;600,P1689="Delivered"),"High Value Delivered","Standard")</f>
        <v/>
      </c>
      <c r="X1689" s="25">
        <f>IF(OR(N1689&gt;50,Q1689&lt;=2),"High Risk / Delayed","Normal")</f>
        <v/>
      </c>
      <c r="Y1689" s="25">
        <f>IF(NOT(P1689="Cancelled"),"Fulfilled","Cancelled")</f>
        <v/>
      </c>
      <c r="Z1689" s="25">
        <f>IFERROR(Q1689,0)</f>
        <v/>
      </c>
    </row>
    <row r="1690">
      <c r="A1690" s="17" t="inlineStr">
        <is>
          <t>ORD2689</t>
        </is>
      </c>
      <c r="B1690" s="17" t="inlineStr">
        <is>
          <t>2025-11-02</t>
        </is>
      </c>
      <c r="C1690" s="17" t="inlineStr">
        <is>
          <t>10:33:59</t>
        </is>
      </c>
      <c r="D1690" s="17" t="n">
        <v>1082</v>
      </c>
      <c r="E1690" s="17" t="n">
        <v>116</v>
      </c>
      <c r="F1690" s="17" t="n">
        <v>226</v>
      </c>
      <c r="G1690" s="17" t="inlineStr">
        <is>
          <t>Pune</t>
        </is>
      </c>
      <c r="H1690" s="17" t="inlineStr">
        <is>
          <t>Desserts</t>
        </is>
      </c>
      <c r="I1690" s="22" t="n">
        <v>233</v>
      </c>
      <c r="J1690" s="22" t="n">
        <v>15.64</v>
      </c>
      <c r="K1690" s="22" t="n">
        <v>30.5</v>
      </c>
      <c r="L1690" s="23" t="n">
        <v>0.25</v>
      </c>
      <c r="M1690" s="22" t="n">
        <v>65.88</v>
      </c>
      <c r="N1690" s="24" t="n">
        <v>4.1</v>
      </c>
      <c r="O1690" s="24" t="n">
        <v>33.6</v>
      </c>
      <c r="P1690" s="17" t="inlineStr">
        <is>
          <t>Cash on Delivery</t>
        </is>
      </c>
      <c r="Q1690" s="17" t="inlineStr">
        <is>
          <t>Delivered</t>
        </is>
      </c>
      <c r="R1690" s="17" t="n">
        <v>3</v>
      </c>
      <c r="S1690" s="17">
        <f>TEXT(B1690,"yyyy-mm")</f>
        <v/>
      </c>
      <c r="T1690" s="17">
        <f>VLOOKUP(D1690,Customers!A:D,4,FALSE)</f>
        <v/>
      </c>
      <c r="U1690" s="17">
        <f>CONCATENATE(A1690,"-",G1690)</f>
        <v/>
      </c>
      <c r="V1690" s="17">
        <f>IF(N1690="","",IF(N1690&lt;=30,"Fast (&lt;30m)",IF(N1690&lt;=45,"Moderate (30-45m)","Delayed (&gt;45m)")))</f>
        <v/>
      </c>
      <c r="W1690" s="17">
        <f>IF(AND(I1690&gt;600,P1690="Delivered"),"High Value Delivered","Standard")</f>
        <v/>
      </c>
      <c r="X1690" s="17">
        <f>IF(OR(N1690&gt;50,Q1690&lt;=2),"High Risk / Delayed","Normal")</f>
        <v/>
      </c>
      <c r="Y1690" s="17">
        <f>IF(NOT(P1690="Cancelled"),"Fulfilled","Cancelled")</f>
        <v/>
      </c>
      <c r="Z1690" s="17">
        <f>IFERROR(Q1690,0)</f>
        <v/>
      </c>
    </row>
    <row r="1691">
      <c r="A1691" s="25" t="inlineStr">
        <is>
          <t>ORD2690</t>
        </is>
      </c>
      <c r="B1691" s="25" t="inlineStr">
        <is>
          <t>2025-11-02</t>
        </is>
      </c>
      <c r="C1691" s="25" t="inlineStr">
        <is>
          <t>13:07:46</t>
        </is>
      </c>
      <c r="D1691" s="25" t="n">
        <v>1180</v>
      </c>
      <c r="E1691" s="25" t="n">
        <v>118</v>
      </c>
      <c r="F1691" s="25" t="n">
        <v>221</v>
      </c>
      <c r="G1691" s="25" t="inlineStr">
        <is>
          <t>Delhi NCR</t>
        </is>
      </c>
      <c r="H1691" s="25" t="inlineStr">
        <is>
          <t>North Indian</t>
        </is>
      </c>
      <c r="I1691" s="26" t="n">
        <v>645</v>
      </c>
      <c r="J1691" s="26" t="n">
        <v>45.53</v>
      </c>
      <c r="K1691" s="26" t="n">
        <v>28.5</v>
      </c>
      <c r="L1691" s="27" t="n">
        <v>0.2</v>
      </c>
      <c r="M1691" s="26" t="n">
        <v>136.12</v>
      </c>
      <c r="N1691" s="28" t="n">
        <v>3.7</v>
      </c>
      <c r="O1691" s="28" t="n">
        <v>34.7</v>
      </c>
      <c r="P1691" s="25" t="inlineStr">
        <is>
          <t>Cash on Delivery</t>
        </is>
      </c>
      <c r="Q1691" s="25" t="inlineStr">
        <is>
          <t>Delivered</t>
        </is>
      </c>
      <c r="R1691" s="25" t="n">
        <v>5</v>
      </c>
      <c r="S1691" s="25">
        <f>TEXT(B1691,"yyyy-mm")</f>
        <v/>
      </c>
      <c r="T1691" s="25">
        <f>VLOOKUP(D1691,Customers!A:D,4,FALSE)</f>
        <v/>
      </c>
      <c r="U1691" s="25">
        <f>CONCATENATE(A1691,"-",G1691)</f>
        <v/>
      </c>
      <c r="V1691" s="25">
        <f>IF(N1691="","",IF(N1691&lt;=30,"Fast (&lt;30m)",IF(N1691&lt;=45,"Moderate (30-45m)","Delayed (&gt;45m)")))</f>
        <v/>
      </c>
      <c r="W1691" s="25">
        <f>IF(AND(I1691&gt;600,P1691="Delivered"),"High Value Delivered","Standard")</f>
        <v/>
      </c>
      <c r="X1691" s="25">
        <f>IF(OR(N1691&gt;50,Q1691&lt;=2),"High Risk / Delayed","Normal")</f>
        <v/>
      </c>
      <c r="Y1691" s="25">
        <f>IF(NOT(P1691="Cancelled"),"Fulfilled","Cancelled")</f>
        <v/>
      </c>
      <c r="Z1691" s="25">
        <f>IFERROR(Q1691,0)</f>
        <v/>
      </c>
    </row>
    <row r="1692">
      <c r="A1692" s="17" t="inlineStr">
        <is>
          <t>ORD2691</t>
        </is>
      </c>
      <c r="B1692" s="17" t="inlineStr">
        <is>
          <t>2025-01-30</t>
        </is>
      </c>
      <c r="C1692" s="17" t="inlineStr">
        <is>
          <t>21:04:19</t>
        </is>
      </c>
      <c r="D1692" s="17" t="n">
        <v>1190</v>
      </c>
      <c r="E1692" s="17" t="n">
        <v>119</v>
      </c>
      <c r="F1692" s="17" t="n">
        <v>215</v>
      </c>
      <c r="G1692" s="17" t="inlineStr">
        <is>
          <t>Hyderabad</t>
        </is>
      </c>
      <c r="H1692" s="17" t="inlineStr">
        <is>
          <t>Biryani</t>
        </is>
      </c>
      <c r="I1692" s="22" t="n">
        <v>838</v>
      </c>
      <c r="J1692" s="22" t="n">
        <v>0</v>
      </c>
      <c r="K1692" s="22" t="n">
        <v>50</v>
      </c>
      <c r="L1692" s="23" t="n">
        <v>0.2</v>
      </c>
      <c r="M1692" s="22" t="n">
        <v>180.1</v>
      </c>
      <c r="N1692" s="24" t="n">
        <v>8</v>
      </c>
      <c r="O1692" s="24" t="n">
        <v>45.5</v>
      </c>
      <c r="P1692" s="17" t="inlineStr">
        <is>
          <t>Digital Wallet</t>
        </is>
      </c>
      <c r="Q1692" s="17" t="inlineStr">
        <is>
          <t>Delivered</t>
        </is>
      </c>
      <c r="R1692" s="17" t="n">
        <v>2</v>
      </c>
      <c r="S1692" s="17">
        <f>TEXT(B1692,"yyyy-mm")</f>
        <v/>
      </c>
      <c r="T1692" s="17">
        <f>VLOOKUP(D1692,Customers!A:D,4,FALSE)</f>
        <v/>
      </c>
      <c r="U1692" s="17">
        <f>CONCATENATE(A1692,"-",G1692)</f>
        <v/>
      </c>
      <c r="V1692" s="17">
        <f>IF(N1692="","",IF(N1692&lt;=30,"Fast (&lt;30m)",IF(N1692&lt;=45,"Moderate (30-45m)","Delayed (&gt;45m)")))</f>
        <v/>
      </c>
      <c r="W1692" s="17">
        <f>IF(AND(I1692&gt;600,P1692="Delivered"),"High Value Delivered","Standard")</f>
        <v/>
      </c>
      <c r="X1692" s="17">
        <f>IF(OR(N1692&gt;50,Q1692&lt;=2),"High Risk / Delayed","Normal")</f>
        <v/>
      </c>
      <c r="Y1692" s="17">
        <f>IF(NOT(P1692="Cancelled"),"Fulfilled","Cancelled")</f>
        <v/>
      </c>
      <c r="Z1692" s="17">
        <f>IFERROR(Q1692,0)</f>
        <v/>
      </c>
    </row>
    <row r="1693">
      <c r="A1693" s="25" t="inlineStr">
        <is>
          <t>ORD2692</t>
        </is>
      </c>
      <c r="B1693" s="25" t="inlineStr">
        <is>
          <t>2025-04-26</t>
        </is>
      </c>
      <c r="C1693" s="25" t="inlineStr">
        <is>
          <t>14:14:25</t>
        </is>
      </c>
      <c r="D1693" s="25" t="n">
        <v>1007</v>
      </c>
      <c r="E1693" s="25" t="n">
        <v>101</v>
      </c>
      <c r="F1693" s="25" t="n">
        <v>203</v>
      </c>
      <c r="G1693" s="25" t="inlineStr">
        <is>
          <t>Bangalore</t>
        </is>
      </c>
      <c r="H1693" s="25" t="inlineStr">
        <is>
          <t>North Indian</t>
        </is>
      </c>
      <c r="I1693" s="26" t="n">
        <v>762</v>
      </c>
      <c r="J1693" s="26" t="n">
        <v>0</v>
      </c>
      <c r="K1693" s="26" t="n">
        <v>45</v>
      </c>
      <c r="L1693" s="27" t="n">
        <v>0.2</v>
      </c>
      <c r="M1693" s="26" t="n">
        <v>163.65</v>
      </c>
      <c r="N1693" s="28" t="n">
        <v>7</v>
      </c>
      <c r="O1693" s="28" t="n">
        <v>53.1</v>
      </c>
      <c r="P1693" s="25" t="inlineStr">
        <is>
          <t>Digital Wallet</t>
        </is>
      </c>
      <c r="Q1693" s="25" t="inlineStr">
        <is>
          <t>Delivered</t>
        </is>
      </c>
      <c r="R1693" s="25" t="n">
        <v>1</v>
      </c>
      <c r="S1693" s="25">
        <f>TEXT(B1693,"yyyy-mm")</f>
        <v/>
      </c>
      <c r="T1693" s="25">
        <f>VLOOKUP(D1693,Customers!A:D,4,FALSE)</f>
        <v/>
      </c>
      <c r="U1693" s="25">
        <f>CONCATENATE(A1693,"-",G1693)</f>
        <v/>
      </c>
      <c r="V1693" s="25">
        <f>IF(N1693="","",IF(N1693&lt;=30,"Fast (&lt;30m)",IF(N1693&lt;=45,"Moderate (30-45m)","Delayed (&gt;45m)")))</f>
        <v/>
      </c>
      <c r="W1693" s="25">
        <f>IF(AND(I1693&gt;600,P1693="Delivered"),"High Value Delivered","Standard")</f>
        <v/>
      </c>
      <c r="X1693" s="25">
        <f>IF(OR(N1693&gt;50,Q1693&lt;=2),"High Risk / Delayed","Normal")</f>
        <v/>
      </c>
      <c r="Y1693" s="25">
        <f>IF(NOT(P1693="Cancelled"),"Fulfilled","Cancelled")</f>
        <v/>
      </c>
      <c r="Z1693" s="25">
        <f>IFERROR(Q1693,0)</f>
        <v/>
      </c>
    </row>
    <row r="1694">
      <c r="A1694" s="17" t="inlineStr">
        <is>
          <t>ORD2693</t>
        </is>
      </c>
      <c r="B1694" s="17" t="inlineStr">
        <is>
          <t>2025-04-10</t>
        </is>
      </c>
      <c r="C1694" s="17" t="inlineStr">
        <is>
          <t>18:10:52</t>
        </is>
      </c>
      <c r="D1694" s="17" t="n">
        <v>1074</v>
      </c>
      <c r="E1694" s="17" t="n">
        <v>120</v>
      </c>
      <c r="F1694" s="17" t="n">
        <v>226</v>
      </c>
      <c r="G1694" s="17" t="inlineStr">
        <is>
          <t>Pune</t>
        </is>
      </c>
      <c r="H1694" s="17" t="inlineStr">
        <is>
          <t>Fast Food</t>
        </is>
      </c>
      <c r="I1694" s="22" t="n">
        <v>381</v>
      </c>
      <c r="J1694" s="22" t="n">
        <v>44.16</v>
      </c>
      <c r="K1694" s="22" t="n">
        <v>25</v>
      </c>
      <c r="L1694" s="23" t="n">
        <v>0.18</v>
      </c>
      <c r="M1694" s="22" t="n">
        <v>74.83</v>
      </c>
      <c r="N1694" s="24" t="n">
        <v>1.8</v>
      </c>
      <c r="O1694" s="24" t="n">
        <v>23.3</v>
      </c>
      <c r="P1694" s="17" t="inlineStr">
        <is>
          <t>Digital Wallet</t>
        </is>
      </c>
      <c r="Q1694" s="17" t="inlineStr">
        <is>
          <t>Delivered</t>
        </is>
      </c>
      <c r="R1694" s="17" t="n">
        <v>4</v>
      </c>
      <c r="S1694" s="17">
        <f>TEXT(B1694,"yyyy-mm")</f>
        <v/>
      </c>
      <c r="T1694" s="17">
        <f>VLOOKUP(D1694,Customers!A:D,4,FALSE)</f>
        <v/>
      </c>
      <c r="U1694" s="17">
        <f>CONCATENATE(A1694,"-",G1694)</f>
        <v/>
      </c>
      <c r="V1694" s="17">
        <f>IF(N1694="","",IF(N1694&lt;=30,"Fast (&lt;30m)",IF(N1694&lt;=45,"Moderate (30-45m)","Delayed (&gt;45m)")))</f>
        <v/>
      </c>
      <c r="W1694" s="17">
        <f>IF(AND(I1694&gt;600,P1694="Delivered"),"High Value Delivered","Standard")</f>
        <v/>
      </c>
      <c r="X1694" s="17">
        <f>IF(OR(N1694&gt;50,Q1694&lt;=2),"High Risk / Delayed","Normal")</f>
        <v/>
      </c>
      <c r="Y1694" s="17">
        <f>IF(NOT(P1694="Cancelled"),"Fulfilled","Cancelled")</f>
        <v/>
      </c>
      <c r="Z1694" s="17">
        <f>IFERROR(Q1694,0)</f>
        <v/>
      </c>
    </row>
    <row r="1695">
      <c r="A1695" s="25" t="inlineStr">
        <is>
          <t>ORD2694</t>
        </is>
      </c>
      <c r="B1695" s="25" t="inlineStr">
        <is>
          <t>2025-05-03</t>
        </is>
      </c>
      <c r="C1695" s="25" t="inlineStr">
        <is>
          <t>12:28:17</t>
        </is>
      </c>
      <c r="D1695" s="25" t="n">
        <v>1089</v>
      </c>
      <c r="E1695" s="25" t="n">
        <v>105</v>
      </c>
      <c r="F1695" s="25" t="n">
        <v>218</v>
      </c>
      <c r="G1695" s="25" t="inlineStr">
        <is>
          <t>Bangalore</t>
        </is>
      </c>
      <c r="H1695" s="25" t="inlineStr">
        <is>
          <t>Chinese</t>
        </is>
      </c>
      <c r="I1695" s="26" t="n">
        <v>749</v>
      </c>
      <c r="J1695" s="26" t="n">
        <v>106.23</v>
      </c>
      <c r="K1695" s="26" t="n">
        <v>0</v>
      </c>
      <c r="L1695" s="27" t="n">
        <v>0.2</v>
      </c>
      <c r="M1695" s="26" t="n">
        <v>149.8</v>
      </c>
      <c r="N1695" s="28" t="n">
        <v>3.4</v>
      </c>
      <c r="O1695" s="28" t="n">
        <v>28.5</v>
      </c>
      <c r="P1695" s="25" t="inlineStr">
        <is>
          <t>UPI</t>
        </is>
      </c>
      <c r="Q1695" s="25" t="inlineStr">
        <is>
          <t>Delivered</t>
        </is>
      </c>
      <c r="R1695" s="25" t="n">
        <v>4</v>
      </c>
      <c r="S1695" s="25">
        <f>TEXT(B1695,"yyyy-mm")</f>
        <v/>
      </c>
      <c r="T1695" s="25">
        <f>VLOOKUP(D1695,Customers!A:D,4,FALSE)</f>
        <v/>
      </c>
      <c r="U1695" s="25">
        <f>CONCATENATE(A1695,"-",G1695)</f>
        <v/>
      </c>
      <c r="V1695" s="25">
        <f>IF(N1695="","",IF(N1695&lt;=30,"Fast (&lt;30m)",IF(N1695&lt;=45,"Moderate (30-45m)","Delayed (&gt;45m)")))</f>
        <v/>
      </c>
      <c r="W1695" s="25">
        <f>IF(AND(I1695&gt;600,P1695="Delivered"),"High Value Delivered","Standard")</f>
        <v/>
      </c>
      <c r="X1695" s="25">
        <f>IF(OR(N1695&gt;50,Q1695&lt;=2),"High Risk / Delayed","Normal")</f>
        <v/>
      </c>
      <c r="Y1695" s="25">
        <f>IF(NOT(P1695="Cancelled"),"Fulfilled","Cancelled")</f>
        <v/>
      </c>
      <c r="Z1695" s="25">
        <f>IFERROR(Q1695,0)</f>
        <v/>
      </c>
    </row>
    <row r="1696">
      <c r="A1696" s="17" t="inlineStr">
        <is>
          <t>ORD2695</t>
        </is>
      </c>
      <c r="B1696" s="17" t="inlineStr">
        <is>
          <t>2025-01-22</t>
        </is>
      </c>
      <c r="C1696" s="17" t="inlineStr">
        <is>
          <t>18:53:23</t>
        </is>
      </c>
      <c r="D1696" s="17" t="n">
        <v>1088</v>
      </c>
      <c r="E1696" s="17" t="n">
        <v>116</v>
      </c>
      <c r="F1696" s="17" t="n">
        <v>208</v>
      </c>
      <c r="G1696" s="17" t="inlineStr">
        <is>
          <t>Pune</t>
        </is>
      </c>
      <c r="H1696" s="17" t="inlineStr">
        <is>
          <t>Desserts</t>
        </is>
      </c>
      <c r="I1696" s="22" t="n">
        <v>865</v>
      </c>
      <c r="J1696" s="22" t="n">
        <v>44.54</v>
      </c>
      <c r="K1696" s="22" t="n">
        <v>31.5</v>
      </c>
      <c r="L1696" s="23" t="n">
        <v>0.25</v>
      </c>
      <c r="M1696" s="22" t="n">
        <v>224.12</v>
      </c>
      <c r="N1696" s="24" t="n">
        <v>4.3</v>
      </c>
      <c r="O1696" s="24" t="n">
        <v>36.5</v>
      </c>
      <c r="P1696" s="17" t="inlineStr">
        <is>
          <t>Credit Card</t>
        </is>
      </c>
      <c r="Q1696" s="17" t="inlineStr">
        <is>
          <t>Delivered</t>
        </is>
      </c>
      <c r="R1696" s="17" t="n">
        <v>5</v>
      </c>
      <c r="S1696" s="17">
        <f>TEXT(B1696,"yyyy-mm")</f>
        <v/>
      </c>
      <c r="T1696" s="17">
        <f>VLOOKUP(D1696,Customers!A:D,4,FALSE)</f>
        <v/>
      </c>
      <c r="U1696" s="17">
        <f>CONCATENATE(A1696,"-",G1696)</f>
        <v/>
      </c>
      <c r="V1696" s="17">
        <f>IF(N1696="","",IF(N1696&lt;=30,"Fast (&lt;30m)",IF(N1696&lt;=45,"Moderate (30-45m)","Delayed (&gt;45m)")))</f>
        <v/>
      </c>
      <c r="W1696" s="17">
        <f>IF(AND(I1696&gt;600,P1696="Delivered"),"High Value Delivered","Standard")</f>
        <v/>
      </c>
      <c r="X1696" s="17">
        <f>IF(OR(N1696&gt;50,Q1696&lt;=2),"High Risk / Delayed","Normal")</f>
        <v/>
      </c>
      <c r="Y1696" s="17">
        <f>IF(NOT(P1696="Cancelled"),"Fulfilled","Cancelled")</f>
        <v/>
      </c>
      <c r="Z1696" s="17">
        <f>IFERROR(Q1696,0)</f>
        <v/>
      </c>
    </row>
    <row r="1697">
      <c r="A1697" s="25" t="inlineStr">
        <is>
          <t>ORD2696</t>
        </is>
      </c>
      <c r="B1697" s="25" t="inlineStr">
        <is>
          <t>2025-08-11</t>
        </is>
      </c>
      <c r="C1697" s="25" t="inlineStr">
        <is>
          <t>23:50:47</t>
        </is>
      </c>
      <c r="D1697" s="25" t="n">
        <v>1061</v>
      </c>
      <c r="E1697" s="25" t="n">
        <v>106</v>
      </c>
      <c r="F1697" s="25" t="n">
        <v>214</v>
      </c>
      <c r="G1697" s="25" t="inlineStr">
        <is>
          <t>Pune</t>
        </is>
      </c>
      <c r="H1697" s="25" t="inlineStr">
        <is>
          <t>South Indian</t>
        </is>
      </c>
      <c r="I1697" s="26" t="n">
        <v>267</v>
      </c>
      <c r="J1697" s="26" t="n">
        <v>2.05</v>
      </c>
      <c r="K1697" s="26" t="n">
        <v>25</v>
      </c>
      <c r="L1697" s="27" t="n">
        <v>0.15</v>
      </c>
      <c r="M1697" s="26" t="n">
        <v>46.3</v>
      </c>
      <c r="N1697" s="28" t="n">
        <v>3</v>
      </c>
      <c r="O1697" s="28" t="n">
        <v>38.7</v>
      </c>
      <c r="P1697" s="25" t="inlineStr">
        <is>
          <t>Cash on Delivery</t>
        </is>
      </c>
      <c r="Q1697" s="25" t="inlineStr">
        <is>
          <t>Delivered</t>
        </is>
      </c>
      <c r="R1697" s="25" t="n">
        <v>5</v>
      </c>
      <c r="S1697" s="25">
        <f>TEXT(B1697,"yyyy-mm")</f>
        <v/>
      </c>
      <c r="T1697" s="25">
        <f>VLOOKUP(D1697,Customers!A:D,4,FALSE)</f>
        <v/>
      </c>
      <c r="U1697" s="25">
        <f>CONCATENATE(A1697,"-",G1697)</f>
        <v/>
      </c>
      <c r="V1697" s="25">
        <f>IF(N1697="","",IF(N1697&lt;=30,"Fast (&lt;30m)",IF(N1697&lt;=45,"Moderate (30-45m)","Delayed (&gt;45m)")))</f>
        <v/>
      </c>
      <c r="W1697" s="25">
        <f>IF(AND(I1697&gt;600,P1697="Delivered"),"High Value Delivered","Standard")</f>
        <v/>
      </c>
      <c r="X1697" s="25">
        <f>IF(OR(N1697&gt;50,Q1697&lt;=2),"High Risk / Delayed","Normal")</f>
        <v/>
      </c>
      <c r="Y1697" s="25">
        <f>IF(NOT(P1697="Cancelled"),"Fulfilled","Cancelled")</f>
        <v/>
      </c>
      <c r="Z1697" s="25">
        <f>IFERROR(Q1697,0)</f>
        <v/>
      </c>
    </row>
    <row r="1698">
      <c r="A1698" s="17" t="inlineStr">
        <is>
          <t>ORD2697</t>
        </is>
      </c>
      <c r="B1698" s="17" t="inlineStr">
        <is>
          <t>2025-04-09</t>
        </is>
      </c>
      <c r="C1698" s="17" t="inlineStr">
        <is>
          <t>01:55:03</t>
        </is>
      </c>
      <c r="D1698" s="17" t="n">
        <v>1177</v>
      </c>
      <c r="E1698" s="17" t="n">
        <v>104</v>
      </c>
      <c r="F1698" s="17" t="n">
        <v>219</v>
      </c>
      <c r="G1698" s="17" t="inlineStr">
        <is>
          <t>Delhi NCR</t>
        </is>
      </c>
      <c r="H1698" s="17" t="inlineStr">
        <is>
          <t>Fast Food</t>
        </is>
      </c>
      <c r="I1698" s="22" t="n">
        <v>752</v>
      </c>
      <c r="J1698" s="22" t="n">
        <v>84.18000000000001</v>
      </c>
      <c r="K1698" s="22" t="n">
        <v>38</v>
      </c>
      <c r="L1698" s="23" t="n">
        <v>0.18</v>
      </c>
      <c r="M1698" s="22" t="n">
        <v>144.86</v>
      </c>
      <c r="N1698" s="24" t="n">
        <v>5.6</v>
      </c>
      <c r="O1698" s="24" t="n">
        <v>31.5</v>
      </c>
      <c r="P1698" s="17" t="inlineStr">
        <is>
          <t>Cash on Delivery</t>
        </is>
      </c>
      <c r="Q1698" s="17" t="inlineStr">
        <is>
          <t>Delivered</t>
        </is>
      </c>
      <c r="R1698" s="17" t="n">
        <v>4</v>
      </c>
      <c r="S1698" s="17">
        <f>TEXT(B1698,"yyyy-mm")</f>
        <v/>
      </c>
      <c r="T1698" s="17">
        <f>VLOOKUP(D1698,Customers!A:D,4,FALSE)</f>
        <v/>
      </c>
      <c r="U1698" s="17">
        <f>CONCATENATE(A1698,"-",G1698)</f>
        <v/>
      </c>
      <c r="V1698" s="17">
        <f>IF(N1698="","",IF(N1698&lt;=30,"Fast (&lt;30m)",IF(N1698&lt;=45,"Moderate (30-45m)","Delayed (&gt;45m)")))</f>
        <v/>
      </c>
      <c r="W1698" s="17">
        <f>IF(AND(I1698&gt;600,P1698="Delivered"),"High Value Delivered","Standard")</f>
        <v/>
      </c>
      <c r="X1698" s="17">
        <f>IF(OR(N1698&gt;50,Q1698&lt;=2),"High Risk / Delayed","Normal")</f>
        <v/>
      </c>
      <c r="Y1698" s="17">
        <f>IF(NOT(P1698="Cancelled"),"Fulfilled","Cancelled")</f>
        <v/>
      </c>
      <c r="Z1698" s="17">
        <f>IFERROR(Q1698,0)</f>
        <v/>
      </c>
    </row>
    <row r="1699">
      <c r="A1699" s="25" t="inlineStr">
        <is>
          <t>ORD2698</t>
        </is>
      </c>
      <c r="B1699" s="25" t="inlineStr">
        <is>
          <t>2025-03-20</t>
        </is>
      </c>
      <c r="C1699" s="25" t="inlineStr">
        <is>
          <t>19:43:29</t>
        </is>
      </c>
      <c r="D1699" s="25" t="n">
        <v>1060</v>
      </c>
      <c r="E1699" s="25" t="n">
        <v>104</v>
      </c>
      <c r="F1699" s="25" t="n">
        <v>228</v>
      </c>
      <c r="G1699" s="25" t="inlineStr">
        <is>
          <t>Delhi NCR</t>
        </is>
      </c>
      <c r="H1699" s="25" t="inlineStr">
        <is>
          <t>Fast Food</t>
        </is>
      </c>
      <c r="I1699" s="26" t="n">
        <v>294</v>
      </c>
      <c r="J1699" s="26" t="n">
        <v>0</v>
      </c>
      <c r="K1699" s="26" t="n">
        <v>25</v>
      </c>
      <c r="L1699" s="27" t="n">
        <v>0.18</v>
      </c>
      <c r="M1699" s="26" t="n">
        <v>59.17</v>
      </c>
      <c r="N1699" s="28" t="n">
        <v>2.7</v>
      </c>
      <c r="O1699" s="28" t="n">
        <v>30.4</v>
      </c>
      <c r="P1699" s="25" t="inlineStr">
        <is>
          <t>UPI</t>
        </is>
      </c>
      <c r="Q1699" s="25" t="inlineStr">
        <is>
          <t>Delivered</t>
        </is>
      </c>
      <c r="R1699" s="25" t="n">
        <v>4</v>
      </c>
      <c r="S1699" s="25">
        <f>TEXT(B1699,"yyyy-mm")</f>
        <v/>
      </c>
      <c r="T1699" s="25">
        <f>VLOOKUP(D1699,Customers!A:D,4,FALSE)</f>
        <v/>
      </c>
      <c r="U1699" s="25">
        <f>CONCATENATE(A1699,"-",G1699)</f>
        <v/>
      </c>
      <c r="V1699" s="25">
        <f>IF(N1699="","",IF(N1699&lt;=30,"Fast (&lt;30m)",IF(N1699&lt;=45,"Moderate (30-45m)","Delayed (&gt;45m)")))</f>
        <v/>
      </c>
      <c r="W1699" s="25">
        <f>IF(AND(I1699&gt;600,P1699="Delivered"),"High Value Delivered","Standard")</f>
        <v/>
      </c>
      <c r="X1699" s="25">
        <f>IF(OR(N1699&gt;50,Q1699&lt;=2),"High Risk / Delayed","Normal")</f>
        <v/>
      </c>
      <c r="Y1699" s="25">
        <f>IF(NOT(P1699="Cancelled"),"Fulfilled","Cancelled")</f>
        <v/>
      </c>
      <c r="Z1699" s="25">
        <f>IFERROR(Q1699,0)</f>
        <v/>
      </c>
    </row>
    <row r="1700">
      <c r="A1700" s="17" t="inlineStr">
        <is>
          <t>ORD2699</t>
        </is>
      </c>
      <c r="B1700" s="17" t="inlineStr">
        <is>
          <t>2025-05-11</t>
        </is>
      </c>
      <c r="C1700" s="17" t="inlineStr">
        <is>
          <t>13:57:21</t>
        </is>
      </c>
      <c r="D1700" s="17" t="n">
        <v>1012</v>
      </c>
      <c r="E1700" s="17" t="n">
        <v>106</v>
      </c>
      <c r="F1700" s="17" t="n">
        <v>209</v>
      </c>
      <c r="G1700" s="17" t="inlineStr">
        <is>
          <t>Pune</t>
        </is>
      </c>
      <c r="H1700" s="17" t="inlineStr">
        <is>
          <t>South Indian</t>
        </is>
      </c>
      <c r="I1700" s="22" t="n">
        <v>697</v>
      </c>
      <c r="J1700" s="22" t="n">
        <v>126.67</v>
      </c>
      <c r="K1700" s="22" t="n">
        <v>0</v>
      </c>
      <c r="L1700" s="23" t="n">
        <v>0.15</v>
      </c>
      <c r="M1700" s="22" t="n">
        <v>104.55</v>
      </c>
      <c r="N1700" s="24" t="n">
        <v>2.7</v>
      </c>
      <c r="O1700" s="24" t="n">
        <v>28.3</v>
      </c>
      <c r="P1700" s="17" t="inlineStr">
        <is>
          <t>Credit Card</t>
        </is>
      </c>
      <c r="Q1700" s="17" t="inlineStr">
        <is>
          <t>Delivered</t>
        </is>
      </c>
      <c r="R1700" s="17" t="n">
        <v>2</v>
      </c>
      <c r="S1700" s="17">
        <f>TEXT(B1700,"yyyy-mm")</f>
        <v/>
      </c>
      <c r="T1700" s="17">
        <f>VLOOKUP(D1700,Customers!A:D,4,FALSE)</f>
        <v/>
      </c>
      <c r="U1700" s="17">
        <f>CONCATENATE(A1700,"-",G1700)</f>
        <v/>
      </c>
      <c r="V1700" s="17">
        <f>IF(N1700="","",IF(N1700&lt;=30,"Fast (&lt;30m)",IF(N1700&lt;=45,"Moderate (30-45m)","Delayed (&gt;45m)")))</f>
        <v/>
      </c>
      <c r="W1700" s="17">
        <f>IF(AND(I1700&gt;600,P1700="Delivered"),"High Value Delivered","Standard")</f>
        <v/>
      </c>
      <c r="X1700" s="17">
        <f>IF(OR(N1700&gt;50,Q1700&lt;=2),"High Risk / Delayed","Normal")</f>
        <v/>
      </c>
      <c r="Y1700" s="17">
        <f>IF(NOT(P1700="Cancelled"),"Fulfilled","Cancelled")</f>
        <v/>
      </c>
      <c r="Z1700" s="17">
        <f>IFERROR(Q1700,0)</f>
        <v/>
      </c>
    </row>
    <row r="1701">
      <c r="A1701" s="25" t="inlineStr">
        <is>
          <t>ORD2700</t>
        </is>
      </c>
      <c r="B1701" s="25" t="inlineStr">
        <is>
          <t>2025-11-17</t>
        </is>
      </c>
      <c r="C1701" s="25" t="inlineStr">
        <is>
          <t>23:54:31</t>
        </is>
      </c>
      <c r="D1701" s="25" t="n">
        <v>1168</v>
      </c>
      <c r="E1701" s="25" t="n">
        <v>120</v>
      </c>
      <c r="F1701" s="25" t="n">
        <v>208</v>
      </c>
      <c r="G1701" s="25" t="inlineStr">
        <is>
          <t>Pune</t>
        </is>
      </c>
      <c r="H1701" s="25" t="inlineStr">
        <is>
          <t>Fast Food</t>
        </is>
      </c>
      <c r="I1701" s="26" t="n">
        <v>654</v>
      </c>
      <c r="J1701" s="26" t="n">
        <v>33.7</v>
      </c>
      <c r="K1701" s="26" t="n">
        <v>44</v>
      </c>
      <c r="L1701" s="27" t="n">
        <v>0.18</v>
      </c>
      <c r="M1701" s="26" t="n">
        <v>128.72</v>
      </c>
      <c r="N1701" s="28" t="n">
        <v>6.8</v>
      </c>
      <c r="O1701" s="28" t="n">
        <v>36.2</v>
      </c>
      <c r="P1701" s="25" t="inlineStr">
        <is>
          <t>Credit Card</t>
        </is>
      </c>
      <c r="Q1701" s="25" t="inlineStr">
        <is>
          <t>Delivered</t>
        </is>
      </c>
      <c r="R1701" s="25" t="n">
        <v>4</v>
      </c>
      <c r="S1701" s="25">
        <f>TEXT(B1701,"yyyy-mm")</f>
        <v/>
      </c>
      <c r="T1701" s="25">
        <f>VLOOKUP(D1701,Customers!A:D,4,FALSE)</f>
        <v/>
      </c>
      <c r="U1701" s="25">
        <f>CONCATENATE(A1701,"-",G1701)</f>
        <v/>
      </c>
      <c r="V1701" s="25">
        <f>IF(N1701="","",IF(N1701&lt;=30,"Fast (&lt;30m)",IF(N1701&lt;=45,"Moderate (30-45m)","Delayed (&gt;45m)")))</f>
        <v/>
      </c>
      <c r="W1701" s="25">
        <f>IF(AND(I1701&gt;600,P1701="Delivered"),"High Value Delivered","Standard")</f>
        <v/>
      </c>
      <c r="X1701" s="25">
        <f>IF(OR(N1701&gt;50,Q1701&lt;=2),"High Risk / Delayed","Normal")</f>
        <v/>
      </c>
      <c r="Y1701" s="25">
        <f>IF(NOT(P1701="Cancelled"),"Fulfilled","Cancelled")</f>
        <v/>
      </c>
      <c r="Z1701" s="25">
        <f>IFERROR(Q1701,0)</f>
        <v/>
      </c>
    </row>
    <row r="1702">
      <c r="A1702" s="17" t="inlineStr">
        <is>
          <t>ORD2701</t>
        </is>
      </c>
      <c r="B1702" s="17" t="inlineStr">
        <is>
          <t>2025-03-01</t>
        </is>
      </c>
      <c r="C1702" s="17" t="inlineStr">
        <is>
          <t>11:15:19</t>
        </is>
      </c>
      <c r="D1702" s="17" t="n">
        <v>1236</v>
      </c>
      <c r="E1702" s="17" t="n">
        <v>108</v>
      </c>
      <c r="F1702" s="17" t="n">
        <v>211</v>
      </c>
      <c r="G1702" s="17" t="inlineStr">
        <is>
          <t>Delhi NCR</t>
        </is>
      </c>
      <c r="H1702" s="17" t="inlineStr">
        <is>
          <t>Fast Food</t>
        </is>
      </c>
      <c r="I1702" s="22" t="n">
        <v>787</v>
      </c>
      <c r="J1702" s="22" t="n">
        <v>39.62</v>
      </c>
      <c r="K1702" s="22" t="n">
        <v>47.5</v>
      </c>
      <c r="L1702" s="23" t="n">
        <v>0.18</v>
      </c>
      <c r="M1702" s="22" t="n">
        <v>153.54</v>
      </c>
      <c r="N1702" s="24" t="n">
        <v>7.5</v>
      </c>
      <c r="O1702" s="24" t="n">
        <v>40.3</v>
      </c>
      <c r="P1702" s="17" t="inlineStr">
        <is>
          <t>Cash on Delivery</t>
        </is>
      </c>
      <c r="Q1702" s="17" t="inlineStr">
        <is>
          <t>Delivered</t>
        </is>
      </c>
      <c r="R1702" s="17" t="n">
        <v>1</v>
      </c>
      <c r="S1702" s="17">
        <f>TEXT(B1702,"yyyy-mm")</f>
        <v/>
      </c>
      <c r="T1702" s="17">
        <f>VLOOKUP(D1702,Customers!A:D,4,FALSE)</f>
        <v/>
      </c>
      <c r="U1702" s="17">
        <f>CONCATENATE(A1702,"-",G1702)</f>
        <v/>
      </c>
      <c r="V1702" s="17">
        <f>IF(N1702="","",IF(N1702&lt;=30,"Fast (&lt;30m)",IF(N1702&lt;=45,"Moderate (30-45m)","Delayed (&gt;45m)")))</f>
        <v/>
      </c>
      <c r="W1702" s="17">
        <f>IF(AND(I1702&gt;600,P1702="Delivered"),"High Value Delivered","Standard")</f>
        <v/>
      </c>
      <c r="X1702" s="17">
        <f>IF(OR(N1702&gt;50,Q1702&lt;=2),"High Risk / Delayed","Normal")</f>
        <v/>
      </c>
      <c r="Y1702" s="17">
        <f>IF(NOT(P1702="Cancelled"),"Fulfilled","Cancelled")</f>
        <v/>
      </c>
      <c r="Z1702" s="17">
        <f>IFERROR(Q1702,0)</f>
        <v/>
      </c>
    </row>
    <row r="1703">
      <c r="A1703" s="25" t="inlineStr">
        <is>
          <t>ORD2702</t>
        </is>
      </c>
      <c r="B1703" s="25" t="inlineStr">
        <is>
          <t>2025-06-02</t>
        </is>
      </c>
      <c r="C1703" s="25" t="inlineStr">
        <is>
          <t>17:15:30</t>
        </is>
      </c>
      <c r="D1703" s="25" t="n">
        <v>1212</v>
      </c>
      <c r="E1703" s="25" t="n">
        <v>114</v>
      </c>
      <c r="F1703" s="25" t="n">
        <v>215</v>
      </c>
      <c r="G1703" s="25" t="inlineStr">
        <is>
          <t>Hyderabad</t>
        </is>
      </c>
      <c r="H1703" s="25" t="inlineStr">
        <is>
          <t>Biryani</t>
        </is>
      </c>
      <c r="I1703" s="26" t="n">
        <v>903</v>
      </c>
      <c r="J1703" s="26" t="n">
        <v>102.84</v>
      </c>
      <c r="K1703" s="26" t="n">
        <v>26</v>
      </c>
      <c r="L1703" s="27" t="n">
        <v>0.22</v>
      </c>
      <c r="M1703" s="26" t="n">
        <v>205.16</v>
      </c>
      <c r="N1703" s="28" t="n">
        <v>3.2</v>
      </c>
      <c r="O1703" s="28" t="n">
        <v>31.6</v>
      </c>
      <c r="P1703" s="25" t="inlineStr">
        <is>
          <t>Digital Wallet</t>
        </is>
      </c>
      <c r="Q1703" s="25" t="inlineStr">
        <is>
          <t>Delivered</t>
        </is>
      </c>
      <c r="R1703" s="25" t="n">
        <v>3</v>
      </c>
      <c r="S1703" s="25">
        <f>TEXT(B1703,"yyyy-mm")</f>
        <v/>
      </c>
      <c r="T1703" s="25">
        <f>VLOOKUP(D1703,Customers!A:D,4,FALSE)</f>
        <v/>
      </c>
      <c r="U1703" s="25">
        <f>CONCATENATE(A1703,"-",G1703)</f>
        <v/>
      </c>
      <c r="V1703" s="25">
        <f>IF(N1703="","",IF(N1703&lt;=30,"Fast (&lt;30m)",IF(N1703&lt;=45,"Moderate (30-45m)","Delayed (&gt;45m)")))</f>
        <v/>
      </c>
      <c r="W1703" s="25">
        <f>IF(AND(I1703&gt;600,P1703="Delivered"),"High Value Delivered","Standard")</f>
        <v/>
      </c>
      <c r="X1703" s="25">
        <f>IF(OR(N1703&gt;50,Q1703&lt;=2),"High Risk / Delayed","Normal")</f>
        <v/>
      </c>
      <c r="Y1703" s="25">
        <f>IF(NOT(P1703="Cancelled"),"Fulfilled","Cancelled")</f>
        <v/>
      </c>
      <c r="Z1703" s="25">
        <f>IFERROR(Q1703,0)</f>
        <v/>
      </c>
    </row>
    <row r="1704">
      <c r="A1704" s="17" t="inlineStr">
        <is>
          <t>ORD2703</t>
        </is>
      </c>
      <c r="B1704" s="17" t="inlineStr">
        <is>
          <t>2025-01-24</t>
        </is>
      </c>
      <c r="C1704" s="17" t="inlineStr">
        <is>
          <t>22:13:14</t>
        </is>
      </c>
      <c r="D1704" s="17" t="n">
        <v>1055</v>
      </c>
      <c r="E1704" s="17" t="n">
        <v>111</v>
      </c>
      <c r="F1704" s="17" t="n">
        <v>227</v>
      </c>
      <c r="G1704" s="17" t="inlineStr">
        <is>
          <t>Bangalore</t>
        </is>
      </c>
      <c r="H1704" s="17" t="inlineStr">
        <is>
          <t>South Indian</t>
        </is>
      </c>
      <c r="I1704" s="22" t="n">
        <v>880</v>
      </c>
      <c r="J1704" s="22" t="n">
        <v>0</v>
      </c>
      <c r="K1704" s="22" t="n">
        <v>32.5</v>
      </c>
      <c r="L1704" s="23" t="n">
        <v>0.15</v>
      </c>
      <c r="M1704" s="22" t="n">
        <v>140.12</v>
      </c>
      <c r="N1704" s="24" t="n">
        <v>4.5</v>
      </c>
      <c r="O1704" s="24" t="n">
        <v>33.2</v>
      </c>
      <c r="P1704" s="17" t="inlineStr">
        <is>
          <t>UPI</t>
        </is>
      </c>
      <c r="Q1704" s="17" t="inlineStr">
        <is>
          <t>Delivered</t>
        </is>
      </c>
      <c r="R1704" s="17" t="n">
        <v>3</v>
      </c>
      <c r="S1704" s="17">
        <f>TEXT(B1704,"yyyy-mm")</f>
        <v/>
      </c>
      <c r="T1704" s="17">
        <f>VLOOKUP(D1704,Customers!A:D,4,FALSE)</f>
        <v/>
      </c>
      <c r="U1704" s="17">
        <f>CONCATENATE(A1704,"-",G1704)</f>
        <v/>
      </c>
      <c r="V1704" s="17">
        <f>IF(N1704="","",IF(N1704&lt;=30,"Fast (&lt;30m)",IF(N1704&lt;=45,"Moderate (30-45m)","Delayed (&gt;45m)")))</f>
        <v/>
      </c>
      <c r="W1704" s="17">
        <f>IF(AND(I1704&gt;600,P1704="Delivered"),"High Value Delivered","Standard")</f>
        <v/>
      </c>
      <c r="X1704" s="17">
        <f>IF(OR(N1704&gt;50,Q1704&lt;=2),"High Risk / Delayed","Normal")</f>
        <v/>
      </c>
      <c r="Y1704" s="17">
        <f>IF(NOT(P1704="Cancelled"),"Fulfilled","Cancelled")</f>
        <v/>
      </c>
      <c r="Z1704" s="17">
        <f>IFERROR(Q1704,0)</f>
        <v/>
      </c>
    </row>
    <row r="1705">
      <c r="A1705" s="25" t="inlineStr">
        <is>
          <t>ORD2704</t>
        </is>
      </c>
      <c r="B1705" s="25" t="inlineStr">
        <is>
          <t>2025-08-20</t>
        </is>
      </c>
      <c r="C1705" s="25" t="inlineStr">
        <is>
          <t>16:44:44</t>
        </is>
      </c>
      <c r="D1705" s="25" t="n">
        <v>1030</v>
      </c>
      <c r="E1705" s="25" t="n">
        <v>102</v>
      </c>
      <c r="F1705" s="25" t="n">
        <v>225</v>
      </c>
      <c r="G1705" s="25" t="inlineStr">
        <is>
          <t>Hyderabad</t>
        </is>
      </c>
      <c r="H1705" s="25" t="inlineStr">
        <is>
          <t>Biryani</t>
        </is>
      </c>
      <c r="I1705" s="26" t="n">
        <v>238</v>
      </c>
      <c r="J1705" s="26" t="n">
        <v>0.9</v>
      </c>
      <c r="K1705" s="26" t="n">
        <v>25</v>
      </c>
      <c r="L1705" s="27" t="n">
        <v>0.22</v>
      </c>
      <c r="M1705" s="26" t="n">
        <v>58.61</v>
      </c>
      <c r="N1705" s="28" t="n">
        <v>2.9</v>
      </c>
      <c r="O1705" s="28" t="n">
        <v>26.3</v>
      </c>
      <c r="P1705" s="25" t="inlineStr">
        <is>
          <t>Digital Wallet</t>
        </is>
      </c>
      <c r="Q1705" s="25" t="inlineStr">
        <is>
          <t>Delivered</t>
        </is>
      </c>
      <c r="R1705" s="25" t="n">
        <v>4</v>
      </c>
      <c r="S1705" s="25">
        <f>TEXT(B1705,"yyyy-mm")</f>
        <v/>
      </c>
      <c r="T1705" s="25">
        <f>VLOOKUP(D1705,Customers!A:D,4,FALSE)</f>
        <v/>
      </c>
      <c r="U1705" s="25">
        <f>CONCATENATE(A1705,"-",G1705)</f>
        <v/>
      </c>
      <c r="V1705" s="25">
        <f>IF(N1705="","",IF(N1705&lt;=30,"Fast (&lt;30m)",IF(N1705&lt;=45,"Moderate (30-45m)","Delayed (&gt;45m)")))</f>
        <v/>
      </c>
      <c r="W1705" s="25">
        <f>IF(AND(I1705&gt;600,P1705="Delivered"),"High Value Delivered","Standard")</f>
        <v/>
      </c>
      <c r="X1705" s="25">
        <f>IF(OR(N1705&gt;50,Q1705&lt;=2),"High Risk / Delayed","Normal")</f>
        <v/>
      </c>
      <c r="Y1705" s="25">
        <f>IF(NOT(P1705="Cancelled"),"Fulfilled","Cancelled")</f>
        <v/>
      </c>
      <c r="Z1705" s="25">
        <f>IFERROR(Q1705,0)</f>
        <v/>
      </c>
    </row>
    <row r="1706">
      <c r="A1706" s="17" t="inlineStr">
        <is>
          <t>ORD2705</t>
        </is>
      </c>
      <c r="B1706" s="17" t="inlineStr">
        <is>
          <t>2025-10-21</t>
        </is>
      </c>
      <c r="C1706" s="17" t="inlineStr">
        <is>
          <t>13:11:59</t>
        </is>
      </c>
      <c r="D1706" s="17" t="n">
        <v>1110</v>
      </c>
      <c r="E1706" s="17" t="n">
        <v>117</v>
      </c>
      <c r="F1706" s="17" t="n">
        <v>202</v>
      </c>
      <c r="G1706" s="17" t="inlineStr">
        <is>
          <t>Mumbai</t>
        </is>
      </c>
      <c r="H1706" s="17" t="inlineStr">
        <is>
          <t>Chinese</t>
        </is>
      </c>
      <c r="I1706" s="22" t="n">
        <v>236</v>
      </c>
      <c r="J1706" s="22" t="n">
        <v>8.550000000000001</v>
      </c>
      <c r="K1706" s="22" t="n">
        <v>40.5</v>
      </c>
      <c r="L1706" s="23" t="n">
        <v>0.2</v>
      </c>
      <c r="M1706" s="22" t="n">
        <v>57.32</v>
      </c>
      <c r="N1706" s="24" t="n">
        <v>6.1</v>
      </c>
      <c r="O1706" s="24" t="n">
        <v>44.8</v>
      </c>
      <c r="P1706" s="17" t="inlineStr">
        <is>
          <t>Credit Card</t>
        </is>
      </c>
      <c r="Q1706" s="17" t="inlineStr">
        <is>
          <t>Delivered</t>
        </is>
      </c>
      <c r="R1706" s="17" t="n">
        <v>5</v>
      </c>
      <c r="S1706" s="17">
        <f>TEXT(B1706,"yyyy-mm")</f>
        <v/>
      </c>
      <c r="T1706" s="17">
        <f>VLOOKUP(D1706,Customers!A:D,4,FALSE)</f>
        <v/>
      </c>
      <c r="U1706" s="17">
        <f>CONCATENATE(A1706,"-",G1706)</f>
        <v/>
      </c>
      <c r="V1706" s="17">
        <f>IF(N1706="","",IF(N1706&lt;=30,"Fast (&lt;30m)",IF(N1706&lt;=45,"Moderate (30-45m)","Delayed (&gt;45m)")))</f>
        <v/>
      </c>
      <c r="W1706" s="17">
        <f>IF(AND(I1706&gt;600,P1706="Delivered"),"High Value Delivered","Standard")</f>
        <v/>
      </c>
      <c r="X1706" s="17">
        <f>IF(OR(N1706&gt;50,Q1706&lt;=2),"High Risk / Delayed","Normal")</f>
        <v/>
      </c>
      <c r="Y1706" s="17">
        <f>IF(NOT(P1706="Cancelled"),"Fulfilled","Cancelled")</f>
        <v/>
      </c>
      <c r="Z1706" s="17">
        <f>IFERROR(Q1706,0)</f>
        <v/>
      </c>
    </row>
    <row r="1707">
      <c r="A1707" s="25" t="inlineStr">
        <is>
          <t>ORD2706</t>
        </is>
      </c>
      <c r="B1707" s="25" t="inlineStr">
        <is>
          <t>2025-12-03</t>
        </is>
      </c>
      <c r="C1707" s="25" t="inlineStr">
        <is>
          <t>20:18:53</t>
        </is>
      </c>
      <c r="D1707" s="25" t="n">
        <v>1252</v>
      </c>
      <c r="E1707" s="25" t="n">
        <v>103</v>
      </c>
      <c r="F1707" s="25" t="n">
        <v>229</v>
      </c>
      <c r="G1707" s="25" t="inlineStr">
        <is>
          <t>Mumbai</t>
        </is>
      </c>
      <c r="H1707" s="25" t="inlineStr">
        <is>
          <t>Italian</t>
        </is>
      </c>
      <c r="I1707" s="26" t="n">
        <v>785</v>
      </c>
      <c r="J1707" s="26" t="n">
        <v>47.7</v>
      </c>
      <c r="K1707" s="26" t="n">
        <v>28</v>
      </c>
      <c r="L1707" s="27" t="n">
        <v>0.18</v>
      </c>
      <c r="M1707" s="26" t="n">
        <v>148.3</v>
      </c>
      <c r="N1707" s="28" t="n">
        <v>3.6</v>
      </c>
      <c r="O1707" s="28" t="n">
        <v>33.8</v>
      </c>
      <c r="P1707" s="25" t="inlineStr">
        <is>
          <t>Cash on Delivery</t>
        </is>
      </c>
      <c r="Q1707" s="25" t="inlineStr">
        <is>
          <t>Delivered</t>
        </is>
      </c>
      <c r="R1707" s="25" t="n">
        <v>4</v>
      </c>
      <c r="S1707" s="25">
        <f>TEXT(B1707,"yyyy-mm")</f>
        <v/>
      </c>
      <c r="T1707" s="25">
        <f>VLOOKUP(D1707,Customers!A:D,4,FALSE)</f>
        <v/>
      </c>
      <c r="U1707" s="25">
        <f>CONCATENATE(A1707,"-",G1707)</f>
        <v/>
      </c>
      <c r="V1707" s="25">
        <f>IF(N1707="","",IF(N1707&lt;=30,"Fast (&lt;30m)",IF(N1707&lt;=45,"Moderate (30-45m)","Delayed (&gt;45m)")))</f>
        <v/>
      </c>
      <c r="W1707" s="25">
        <f>IF(AND(I1707&gt;600,P1707="Delivered"),"High Value Delivered","Standard")</f>
        <v/>
      </c>
      <c r="X1707" s="25">
        <f>IF(OR(N1707&gt;50,Q1707&lt;=2),"High Risk / Delayed","Normal")</f>
        <v/>
      </c>
      <c r="Y1707" s="25">
        <f>IF(NOT(P1707="Cancelled"),"Fulfilled","Cancelled")</f>
        <v/>
      </c>
      <c r="Z1707" s="25">
        <f>IFERROR(Q1707,0)</f>
        <v/>
      </c>
    </row>
    <row r="1708">
      <c r="A1708" s="17" t="inlineStr">
        <is>
          <t>ORD2707</t>
        </is>
      </c>
      <c r="B1708" s="17" t="inlineStr">
        <is>
          <t>2025-03-16</t>
        </is>
      </c>
      <c r="C1708" s="17" t="inlineStr">
        <is>
          <t>15:34:50</t>
        </is>
      </c>
      <c r="D1708" s="17" t="n">
        <v>1103</v>
      </c>
      <c r="E1708" s="17" t="n">
        <v>104</v>
      </c>
      <c r="F1708" s="17" t="n">
        <v>219</v>
      </c>
      <c r="G1708" s="17" t="inlineStr">
        <is>
          <t>Delhi NCR</t>
        </is>
      </c>
      <c r="H1708" s="17" t="inlineStr">
        <is>
          <t>Fast Food</t>
        </is>
      </c>
      <c r="I1708" s="22" t="n">
        <v>594</v>
      </c>
      <c r="J1708" s="22" t="n">
        <v>30.26</v>
      </c>
      <c r="K1708" s="22" t="n">
        <v>25</v>
      </c>
      <c r="L1708" s="23" t="n">
        <v>0.18</v>
      </c>
      <c r="M1708" s="22" t="n">
        <v>113.17</v>
      </c>
      <c r="N1708" s="24" t="n">
        <v>2.4</v>
      </c>
      <c r="O1708" s="24" t="n">
        <v>24.8</v>
      </c>
      <c r="P1708" s="17" t="inlineStr">
        <is>
          <t>Credit Card</t>
        </is>
      </c>
      <c r="Q1708" s="17" t="inlineStr">
        <is>
          <t>Delivered</t>
        </is>
      </c>
      <c r="R1708" s="17" t="n">
        <v>5</v>
      </c>
      <c r="S1708" s="17">
        <f>TEXT(B1708,"yyyy-mm")</f>
        <v/>
      </c>
      <c r="T1708" s="17">
        <f>VLOOKUP(D1708,Customers!A:D,4,FALSE)</f>
        <v/>
      </c>
      <c r="U1708" s="17">
        <f>CONCATENATE(A1708,"-",G1708)</f>
        <v/>
      </c>
      <c r="V1708" s="17">
        <f>IF(N1708="","",IF(N1708&lt;=30,"Fast (&lt;30m)",IF(N1708&lt;=45,"Moderate (30-45m)","Delayed (&gt;45m)")))</f>
        <v/>
      </c>
      <c r="W1708" s="17">
        <f>IF(AND(I1708&gt;600,P1708="Delivered"),"High Value Delivered","Standard")</f>
        <v/>
      </c>
      <c r="X1708" s="17">
        <f>IF(OR(N1708&gt;50,Q1708&lt;=2),"High Risk / Delayed","Normal")</f>
        <v/>
      </c>
      <c r="Y1708" s="17">
        <f>IF(NOT(P1708="Cancelled"),"Fulfilled","Cancelled")</f>
        <v/>
      </c>
      <c r="Z1708" s="17">
        <f>IFERROR(Q1708,0)</f>
        <v/>
      </c>
    </row>
    <row r="1709">
      <c r="A1709" s="25" t="inlineStr">
        <is>
          <t>ORD2708</t>
        </is>
      </c>
      <c r="B1709" s="25" t="inlineStr">
        <is>
          <t>2025-01-11</t>
        </is>
      </c>
      <c r="C1709" s="25" t="inlineStr">
        <is>
          <t>18:49:32</t>
        </is>
      </c>
      <c r="D1709" s="25" t="n">
        <v>1148</v>
      </c>
      <c r="E1709" s="25" t="n">
        <v>111</v>
      </c>
      <c r="F1709" s="25" t="n">
        <v>213</v>
      </c>
      <c r="G1709" s="25" t="inlineStr">
        <is>
          <t>Bangalore</t>
        </is>
      </c>
      <c r="H1709" s="25" t="inlineStr">
        <is>
          <t>South Indian</t>
        </is>
      </c>
      <c r="I1709" s="26" t="n">
        <v>537</v>
      </c>
      <c r="J1709" s="26" t="n">
        <v>34.04</v>
      </c>
      <c r="K1709" s="26" t="n">
        <v>29</v>
      </c>
      <c r="L1709" s="27" t="n">
        <v>0.15</v>
      </c>
      <c r="M1709" s="26" t="n">
        <v>87.8</v>
      </c>
      <c r="N1709" s="28" t="n">
        <v>3.8</v>
      </c>
      <c r="O1709" s="28" t="n">
        <v>33.8</v>
      </c>
      <c r="P1709" s="25" t="inlineStr">
        <is>
          <t>Credit Card</t>
        </is>
      </c>
      <c r="Q1709" s="25" t="inlineStr">
        <is>
          <t>Delivered</t>
        </is>
      </c>
      <c r="R1709" s="25" t="n">
        <v>5</v>
      </c>
      <c r="S1709" s="25">
        <f>TEXT(B1709,"yyyy-mm")</f>
        <v/>
      </c>
      <c r="T1709" s="25">
        <f>VLOOKUP(D1709,Customers!A:D,4,FALSE)</f>
        <v/>
      </c>
      <c r="U1709" s="25">
        <f>CONCATENATE(A1709,"-",G1709)</f>
        <v/>
      </c>
      <c r="V1709" s="25">
        <f>IF(N1709="","",IF(N1709&lt;=30,"Fast (&lt;30m)",IF(N1709&lt;=45,"Moderate (30-45m)","Delayed (&gt;45m)")))</f>
        <v/>
      </c>
      <c r="W1709" s="25">
        <f>IF(AND(I1709&gt;600,P1709="Delivered"),"High Value Delivered","Standard")</f>
        <v/>
      </c>
      <c r="X1709" s="25">
        <f>IF(OR(N1709&gt;50,Q1709&lt;=2),"High Risk / Delayed","Normal")</f>
        <v/>
      </c>
      <c r="Y1709" s="25">
        <f>IF(NOT(P1709="Cancelled"),"Fulfilled","Cancelled")</f>
        <v/>
      </c>
      <c r="Z1709" s="25">
        <f>IFERROR(Q1709,0)</f>
        <v/>
      </c>
    </row>
    <row r="1710">
      <c r="A1710" s="17" t="inlineStr">
        <is>
          <t>ORD2709</t>
        </is>
      </c>
      <c r="B1710" s="17" t="inlineStr">
        <is>
          <t>2025-04-05</t>
        </is>
      </c>
      <c r="C1710" s="17" t="inlineStr">
        <is>
          <t>10:53:49</t>
        </is>
      </c>
      <c r="D1710" s="17" t="n">
        <v>1104</v>
      </c>
      <c r="E1710" s="17" t="n">
        <v>113</v>
      </c>
      <c r="F1710" s="17" t="n">
        <v>202</v>
      </c>
      <c r="G1710" s="17" t="inlineStr">
        <is>
          <t>Mumbai</t>
        </is>
      </c>
      <c r="H1710" s="17" t="inlineStr">
        <is>
          <t>Fast Food</t>
        </is>
      </c>
      <c r="I1710" s="22" t="n">
        <v>448</v>
      </c>
      <c r="J1710" s="22" t="n">
        <v>0</v>
      </c>
      <c r="K1710" s="22" t="n">
        <v>25</v>
      </c>
      <c r="L1710" s="23" t="n">
        <v>0.18</v>
      </c>
      <c r="M1710" s="22" t="n">
        <v>86.89</v>
      </c>
      <c r="N1710" s="24" t="n">
        <v>2.2</v>
      </c>
      <c r="O1710" s="24" t="n">
        <v>22.1</v>
      </c>
      <c r="P1710" s="17" t="inlineStr">
        <is>
          <t>Cash on Delivery</t>
        </is>
      </c>
      <c r="Q1710" s="17" t="inlineStr">
        <is>
          <t>Delivered</t>
        </is>
      </c>
      <c r="R1710" s="17" t="n">
        <v>4</v>
      </c>
      <c r="S1710" s="17">
        <f>TEXT(B1710,"yyyy-mm")</f>
        <v/>
      </c>
      <c r="T1710" s="17">
        <f>VLOOKUP(D1710,Customers!A:D,4,FALSE)</f>
        <v/>
      </c>
      <c r="U1710" s="17">
        <f>CONCATENATE(A1710,"-",G1710)</f>
        <v/>
      </c>
      <c r="V1710" s="17">
        <f>IF(N1710="","",IF(N1710&lt;=30,"Fast (&lt;30m)",IF(N1710&lt;=45,"Moderate (30-45m)","Delayed (&gt;45m)")))</f>
        <v/>
      </c>
      <c r="W1710" s="17">
        <f>IF(AND(I1710&gt;600,P1710="Delivered"),"High Value Delivered","Standard")</f>
        <v/>
      </c>
      <c r="X1710" s="17">
        <f>IF(OR(N1710&gt;50,Q1710&lt;=2),"High Risk / Delayed","Normal")</f>
        <v/>
      </c>
      <c r="Y1710" s="17">
        <f>IF(NOT(P1710="Cancelled"),"Fulfilled","Cancelled")</f>
        <v/>
      </c>
      <c r="Z1710" s="17">
        <f>IFERROR(Q1710,0)</f>
        <v/>
      </c>
    </row>
    <row r="1711">
      <c r="A1711" s="25" t="inlineStr">
        <is>
          <t>ORD2710</t>
        </is>
      </c>
      <c r="B1711" s="25" t="inlineStr">
        <is>
          <t>2025-11-15</t>
        </is>
      </c>
      <c r="C1711" s="25" t="inlineStr">
        <is>
          <t>13:44:01</t>
        </is>
      </c>
      <c r="D1711" s="25" t="n">
        <v>1019</v>
      </c>
      <c r="E1711" s="25" t="n">
        <v>116</v>
      </c>
      <c r="F1711" s="25" t="n">
        <v>226</v>
      </c>
      <c r="G1711" s="25" t="inlineStr">
        <is>
          <t>Pune</t>
        </is>
      </c>
      <c r="H1711" s="25" t="inlineStr">
        <is>
          <t>Desserts</t>
        </is>
      </c>
      <c r="I1711" s="26" t="n">
        <v>791</v>
      </c>
      <c r="J1711" s="26" t="n">
        <v>0</v>
      </c>
      <c r="K1711" s="26" t="n">
        <v>40.5</v>
      </c>
      <c r="L1711" s="27" t="n">
        <v>0.25</v>
      </c>
      <c r="M1711" s="26" t="n">
        <v>207.88</v>
      </c>
      <c r="N1711" s="28" t="n">
        <v>6.1</v>
      </c>
      <c r="O1711" s="28" t="n">
        <v>39.1</v>
      </c>
      <c r="P1711" s="25" t="inlineStr">
        <is>
          <t>UPI</t>
        </is>
      </c>
      <c r="Q1711" s="25" t="inlineStr">
        <is>
          <t>Delivered</t>
        </is>
      </c>
      <c r="R1711" s="25" t="n">
        <v>4</v>
      </c>
      <c r="S1711" s="25">
        <f>TEXT(B1711,"yyyy-mm")</f>
        <v/>
      </c>
      <c r="T1711" s="25">
        <f>VLOOKUP(D1711,Customers!A:D,4,FALSE)</f>
        <v/>
      </c>
      <c r="U1711" s="25">
        <f>CONCATENATE(A1711,"-",G1711)</f>
        <v/>
      </c>
      <c r="V1711" s="25">
        <f>IF(N1711="","",IF(N1711&lt;=30,"Fast (&lt;30m)",IF(N1711&lt;=45,"Moderate (30-45m)","Delayed (&gt;45m)")))</f>
        <v/>
      </c>
      <c r="W1711" s="25">
        <f>IF(AND(I1711&gt;600,P1711="Delivered"),"High Value Delivered","Standard")</f>
        <v/>
      </c>
      <c r="X1711" s="25">
        <f>IF(OR(N1711&gt;50,Q1711&lt;=2),"High Risk / Delayed","Normal")</f>
        <v/>
      </c>
      <c r="Y1711" s="25">
        <f>IF(NOT(P1711="Cancelled"),"Fulfilled","Cancelled")</f>
        <v/>
      </c>
      <c r="Z1711" s="25">
        <f>IFERROR(Q1711,0)</f>
        <v/>
      </c>
    </row>
    <row r="1712">
      <c r="A1712" s="17" t="inlineStr">
        <is>
          <t>ORD2711</t>
        </is>
      </c>
      <c r="B1712" s="17" t="inlineStr">
        <is>
          <t>2025-11-25</t>
        </is>
      </c>
      <c r="C1712" s="17" t="inlineStr">
        <is>
          <t>13:28:11</t>
        </is>
      </c>
      <c r="D1712" s="17" t="n">
        <v>1032</v>
      </c>
      <c r="E1712" s="17" t="n">
        <v>104</v>
      </c>
      <c r="F1712" s="17" t="n">
        <v>228</v>
      </c>
      <c r="G1712" s="17" t="inlineStr">
        <is>
          <t>Delhi NCR</t>
        </is>
      </c>
      <c r="H1712" s="17" t="inlineStr">
        <is>
          <t>Fast Food</t>
        </is>
      </c>
      <c r="I1712" s="22" t="n">
        <v>441</v>
      </c>
      <c r="J1712" s="22" t="n">
        <v>0</v>
      </c>
      <c r="K1712" s="22" t="n">
        <v>29.5</v>
      </c>
      <c r="L1712" s="23" t="n">
        <v>0.18</v>
      </c>
      <c r="M1712" s="22" t="n">
        <v>86.76000000000001</v>
      </c>
      <c r="N1712" s="24" t="n">
        <v>3.9</v>
      </c>
      <c r="O1712" s="24" t="n">
        <v>36.5</v>
      </c>
      <c r="P1712" s="17" t="inlineStr">
        <is>
          <t>Credit Card</t>
        </is>
      </c>
      <c r="Q1712" s="17" t="inlineStr">
        <is>
          <t>Delivered</t>
        </is>
      </c>
      <c r="R1712" s="17" t="n">
        <v>5</v>
      </c>
      <c r="S1712" s="17">
        <f>TEXT(B1712,"yyyy-mm")</f>
        <v/>
      </c>
      <c r="T1712" s="17">
        <f>VLOOKUP(D1712,Customers!A:D,4,FALSE)</f>
        <v/>
      </c>
      <c r="U1712" s="17">
        <f>CONCATENATE(A1712,"-",G1712)</f>
        <v/>
      </c>
      <c r="V1712" s="17">
        <f>IF(N1712="","",IF(N1712&lt;=30,"Fast (&lt;30m)",IF(N1712&lt;=45,"Moderate (30-45m)","Delayed (&gt;45m)")))</f>
        <v/>
      </c>
      <c r="W1712" s="17">
        <f>IF(AND(I1712&gt;600,P1712="Delivered"),"High Value Delivered","Standard")</f>
        <v/>
      </c>
      <c r="X1712" s="17">
        <f>IF(OR(N1712&gt;50,Q1712&lt;=2),"High Risk / Delayed","Normal")</f>
        <v/>
      </c>
      <c r="Y1712" s="17">
        <f>IF(NOT(P1712="Cancelled"),"Fulfilled","Cancelled")</f>
        <v/>
      </c>
      <c r="Z1712" s="17">
        <f>IFERROR(Q1712,0)</f>
        <v/>
      </c>
    </row>
    <row r="1713">
      <c r="A1713" s="25" t="inlineStr">
        <is>
          <t>ORD2712</t>
        </is>
      </c>
      <c r="B1713" s="25" t="inlineStr">
        <is>
          <t>2025-11-29</t>
        </is>
      </c>
      <c r="C1713" s="25" t="inlineStr">
        <is>
          <t>11:15:57</t>
        </is>
      </c>
      <c r="D1713" s="25" t="n">
        <v>1236</v>
      </c>
      <c r="E1713" s="25" t="n">
        <v>104</v>
      </c>
      <c r="F1713" s="25" t="n">
        <v>221</v>
      </c>
      <c r="G1713" s="25" t="inlineStr">
        <is>
          <t>Delhi NCR</t>
        </is>
      </c>
      <c r="H1713" s="25" t="inlineStr">
        <is>
          <t>Fast Food</t>
        </is>
      </c>
      <c r="I1713" s="26" t="n">
        <v>752</v>
      </c>
      <c r="J1713" s="26" t="n">
        <v>44.89</v>
      </c>
      <c r="K1713" s="26" t="n">
        <v>28.5</v>
      </c>
      <c r="L1713" s="27" t="n">
        <v>0.18</v>
      </c>
      <c r="M1713" s="26" t="n">
        <v>142.48</v>
      </c>
      <c r="N1713" s="28" t="n">
        <v>3.7</v>
      </c>
      <c r="O1713" s="28" t="n">
        <v>31.8</v>
      </c>
      <c r="P1713" s="25" t="inlineStr">
        <is>
          <t>UPI</t>
        </is>
      </c>
      <c r="Q1713" s="25" t="inlineStr">
        <is>
          <t>Delivered</t>
        </is>
      </c>
      <c r="R1713" s="25" t="n">
        <v>4</v>
      </c>
      <c r="S1713" s="25">
        <f>TEXT(B1713,"yyyy-mm")</f>
        <v/>
      </c>
      <c r="T1713" s="25">
        <f>VLOOKUP(D1713,Customers!A:D,4,FALSE)</f>
        <v/>
      </c>
      <c r="U1713" s="25">
        <f>CONCATENATE(A1713,"-",G1713)</f>
        <v/>
      </c>
      <c r="V1713" s="25">
        <f>IF(N1713="","",IF(N1713&lt;=30,"Fast (&lt;30m)",IF(N1713&lt;=45,"Moderate (30-45m)","Delayed (&gt;45m)")))</f>
        <v/>
      </c>
      <c r="W1713" s="25">
        <f>IF(AND(I1713&gt;600,P1713="Delivered"),"High Value Delivered","Standard")</f>
        <v/>
      </c>
      <c r="X1713" s="25">
        <f>IF(OR(N1713&gt;50,Q1713&lt;=2),"High Risk / Delayed","Normal")</f>
        <v/>
      </c>
      <c r="Y1713" s="25">
        <f>IF(NOT(P1713="Cancelled"),"Fulfilled","Cancelled")</f>
        <v/>
      </c>
      <c r="Z1713" s="25">
        <f>IFERROR(Q1713,0)</f>
        <v/>
      </c>
    </row>
    <row r="1714">
      <c r="A1714" s="17" t="inlineStr">
        <is>
          <t>ORD2713</t>
        </is>
      </c>
      <c r="B1714" s="17" t="inlineStr">
        <is>
          <t>2025-07-28</t>
        </is>
      </c>
      <c r="C1714" s="17" t="inlineStr">
        <is>
          <t>10:56:42</t>
        </is>
      </c>
      <c r="D1714" s="17" t="n">
        <v>1032</v>
      </c>
      <c r="E1714" s="17" t="n">
        <v>112</v>
      </c>
      <c r="F1714" s="17" t="n">
        <v>212</v>
      </c>
      <c r="G1714" s="17" t="inlineStr">
        <is>
          <t>Delhi NCR</t>
        </is>
      </c>
      <c r="H1714" s="17" t="inlineStr">
        <is>
          <t>North Indian</t>
        </is>
      </c>
      <c r="I1714" s="22" t="n">
        <v>340</v>
      </c>
      <c r="J1714" s="22" t="n">
        <v>24.54</v>
      </c>
      <c r="K1714" s="22" t="n">
        <v>25</v>
      </c>
      <c r="L1714" s="23" t="n">
        <v>0.22</v>
      </c>
      <c r="M1714" s="22" t="n">
        <v>81.05</v>
      </c>
      <c r="N1714" s="24" t="n">
        <v>2.2</v>
      </c>
      <c r="O1714" s="24" t="n">
        <v>26.2</v>
      </c>
      <c r="P1714" s="17" t="inlineStr">
        <is>
          <t>Cash on Delivery</t>
        </is>
      </c>
      <c r="Q1714" s="17" t="inlineStr">
        <is>
          <t>Delivered</t>
        </is>
      </c>
      <c r="R1714" s="17" t="n">
        <v>4</v>
      </c>
      <c r="S1714" s="17">
        <f>TEXT(B1714,"yyyy-mm")</f>
        <v/>
      </c>
      <c r="T1714" s="17">
        <f>VLOOKUP(D1714,Customers!A:D,4,FALSE)</f>
        <v/>
      </c>
      <c r="U1714" s="17">
        <f>CONCATENATE(A1714,"-",G1714)</f>
        <v/>
      </c>
      <c r="V1714" s="17">
        <f>IF(N1714="","",IF(N1714&lt;=30,"Fast (&lt;30m)",IF(N1714&lt;=45,"Moderate (30-45m)","Delayed (&gt;45m)")))</f>
        <v/>
      </c>
      <c r="W1714" s="17">
        <f>IF(AND(I1714&gt;600,P1714="Delivered"),"High Value Delivered","Standard")</f>
        <v/>
      </c>
      <c r="X1714" s="17">
        <f>IF(OR(N1714&gt;50,Q1714&lt;=2),"High Risk / Delayed","Normal")</f>
        <v/>
      </c>
      <c r="Y1714" s="17">
        <f>IF(NOT(P1714="Cancelled"),"Fulfilled","Cancelled")</f>
        <v/>
      </c>
      <c r="Z1714" s="17">
        <f>IFERROR(Q1714,0)</f>
        <v/>
      </c>
    </row>
    <row r="1715">
      <c r="A1715" s="25" t="inlineStr">
        <is>
          <t>ORD2714</t>
        </is>
      </c>
      <c r="B1715" s="25" t="inlineStr">
        <is>
          <t>2025-07-27</t>
        </is>
      </c>
      <c r="C1715" s="25" t="inlineStr">
        <is>
          <t>20:37:48</t>
        </is>
      </c>
      <c r="D1715" s="25" t="n">
        <v>1032</v>
      </c>
      <c r="E1715" s="25" t="n">
        <v>112</v>
      </c>
      <c r="F1715" s="25" t="n">
        <v>212</v>
      </c>
      <c r="G1715" s="25" t="inlineStr">
        <is>
          <t>Delhi NCR</t>
        </is>
      </c>
      <c r="H1715" s="25" t="inlineStr">
        <is>
          <t>North Indian</t>
        </is>
      </c>
      <c r="I1715" s="26" t="n">
        <v>587</v>
      </c>
      <c r="J1715" s="26" t="n">
        <v>6.88</v>
      </c>
      <c r="K1715" s="26" t="n">
        <v>30</v>
      </c>
      <c r="L1715" s="27" t="n">
        <v>0.22</v>
      </c>
      <c r="M1715" s="26" t="n">
        <v>136.64</v>
      </c>
      <c r="N1715" s="28" t="n">
        <v>4</v>
      </c>
      <c r="O1715" s="28" t="n">
        <v>34.2</v>
      </c>
      <c r="P1715" s="25" t="inlineStr">
        <is>
          <t>UPI</t>
        </is>
      </c>
      <c r="Q1715" s="25" t="inlineStr">
        <is>
          <t>Delivered</t>
        </is>
      </c>
      <c r="R1715" s="25" t="n">
        <v>4</v>
      </c>
      <c r="S1715" s="25">
        <f>TEXT(B1715,"yyyy-mm")</f>
        <v/>
      </c>
      <c r="T1715" s="25">
        <f>VLOOKUP(D1715,Customers!A:D,4,FALSE)</f>
        <v/>
      </c>
      <c r="U1715" s="25">
        <f>CONCATENATE(A1715,"-",G1715)</f>
        <v/>
      </c>
      <c r="V1715" s="25">
        <f>IF(N1715="","",IF(N1715&lt;=30,"Fast (&lt;30m)",IF(N1715&lt;=45,"Moderate (30-45m)","Delayed (&gt;45m)")))</f>
        <v/>
      </c>
      <c r="W1715" s="25">
        <f>IF(AND(I1715&gt;600,P1715="Delivered"),"High Value Delivered","Standard")</f>
        <v/>
      </c>
      <c r="X1715" s="25">
        <f>IF(OR(N1715&gt;50,Q1715&lt;=2),"High Risk / Delayed","Normal")</f>
        <v/>
      </c>
      <c r="Y1715" s="25">
        <f>IF(NOT(P1715="Cancelled"),"Fulfilled","Cancelled")</f>
        <v/>
      </c>
      <c r="Z1715" s="25">
        <f>IFERROR(Q1715,0)</f>
        <v/>
      </c>
    </row>
    <row r="1716">
      <c r="A1716" s="17" t="inlineStr">
        <is>
          <t>ORD2715</t>
        </is>
      </c>
      <c r="B1716" s="17" t="inlineStr">
        <is>
          <t>2025-07-28</t>
        </is>
      </c>
      <c r="C1716" s="17" t="inlineStr">
        <is>
          <t>21:40:04</t>
        </is>
      </c>
      <c r="D1716" s="17" t="n">
        <v>1224</v>
      </c>
      <c r="E1716" s="17" t="n">
        <v>108</v>
      </c>
      <c r="F1716" s="17" t="n">
        <v>228</v>
      </c>
      <c r="G1716" s="17" t="inlineStr">
        <is>
          <t>Delhi NCR</t>
        </is>
      </c>
      <c r="H1716" s="17" t="inlineStr">
        <is>
          <t>Fast Food</t>
        </is>
      </c>
      <c r="I1716" s="22" t="n">
        <v>441</v>
      </c>
      <c r="J1716" s="22" t="n">
        <v>0</v>
      </c>
      <c r="K1716" s="22" t="n">
        <v>35</v>
      </c>
      <c r="L1716" s="23" t="n">
        <v>0.18</v>
      </c>
      <c r="M1716" s="22" t="n">
        <v>88.13</v>
      </c>
      <c r="N1716" s="24" t="n">
        <v>5</v>
      </c>
      <c r="O1716" s="24" t="n">
        <v>39.4</v>
      </c>
      <c r="P1716" s="17" t="inlineStr">
        <is>
          <t>Cash on Delivery</t>
        </is>
      </c>
      <c r="Q1716" s="17" t="inlineStr">
        <is>
          <t>Delivered</t>
        </is>
      </c>
      <c r="R1716" s="17" t="n">
        <v>5</v>
      </c>
      <c r="S1716" s="17">
        <f>TEXT(B1716,"yyyy-mm")</f>
        <v/>
      </c>
      <c r="T1716" s="17">
        <f>VLOOKUP(D1716,Customers!A:D,4,FALSE)</f>
        <v/>
      </c>
      <c r="U1716" s="17">
        <f>CONCATENATE(A1716,"-",G1716)</f>
        <v/>
      </c>
      <c r="V1716" s="17">
        <f>IF(N1716="","",IF(N1716&lt;=30,"Fast (&lt;30m)",IF(N1716&lt;=45,"Moderate (30-45m)","Delayed (&gt;45m)")))</f>
        <v/>
      </c>
      <c r="W1716" s="17">
        <f>IF(AND(I1716&gt;600,P1716="Delivered"),"High Value Delivered","Standard")</f>
        <v/>
      </c>
      <c r="X1716" s="17">
        <f>IF(OR(N1716&gt;50,Q1716&lt;=2),"High Risk / Delayed","Normal")</f>
        <v/>
      </c>
      <c r="Y1716" s="17">
        <f>IF(NOT(P1716="Cancelled"),"Fulfilled","Cancelled")</f>
        <v/>
      </c>
      <c r="Z1716" s="17">
        <f>IFERROR(Q1716,0)</f>
        <v/>
      </c>
    </row>
    <row r="1717">
      <c r="A1717" s="25" t="inlineStr">
        <is>
          <t>ORD2716</t>
        </is>
      </c>
      <c r="B1717" s="25" t="inlineStr">
        <is>
          <t>2025-04-08</t>
        </is>
      </c>
      <c r="C1717" s="25" t="inlineStr">
        <is>
          <t>12:51:33</t>
        </is>
      </c>
      <c r="D1717" s="25" t="n">
        <v>1167</v>
      </c>
      <c r="E1717" s="25" t="n">
        <v>112</v>
      </c>
      <c r="F1717" s="25" t="n">
        <v>230</v>
      </c>
      <c r="G1717" s="25" t="inlineStr">
        <is>
          <t>Delhi NCR</t>
        </is>
      </c>
      <c r="H1717" s="25" t="inlineStr">
        <is>
          <t>North Indian</t>
        </is>
      </c>
      <c r="I1717" s="26" t="n">
        <v>541</v>
      </c>
      <c r="J1717" s="26" t="n">
        <v>42.43</v>
      </c>
      <c r="K1717" s="26" t="n">
        <v>25</v>
      </c>
      <c r="L1717" s="27" t="n">
        <v>0.22</v>
      </c>
      <c r="M1717" s="26" t="n">
        <v>125.27</v>
      </c>
      <c r="N1717" s="28" t="n">
        <v>2.6</v>
      </c>
      <c r="O1717" s="28" t="n">
        <v>29.4</v>
      </c>
      <c r="P1717" s="25" t="inlineStr">
        <is>
          <t>Debit Card</t>
        </is>
      </c>
      <c r="Q1717" s="25" t="inlineStr">
        <is>
          <t>Delivered</t>
        </is>
      </c>
      <c r="R1717" s="25" t="n">
        <v>5</v>
      </c>
      <c r="S1717" s="25">
        <f>TEXT(B1717,"yyyy-mm")</f>
        <v/>
      </c>
      <c r="T1717" s="25">
        <f>VLOOKUP(D1717,Customers!A:D,4,FALSE)</f>
        <v/>
      </c>
      <c r="U1717" s="25">
        <f>CONCATENATE(A1717,"-",G1717)</f>
        <v/>
      </c>
      <c r="V1717" s="25">
        <f>IF(N1717="","",IF(N1717&lt;=30,"Fast (&lt;30m)",IF(N1717&lt;=45,"Moderate (30-45m)","Delayed (&gt;45m)")))</f>
        <v/>
      </c>
      <c r="W1717" s="25">
        <f>IF(AND(I1717&gt;600,P1717="Delivered"),"High Value Delivered","Standard")</f>
        <v/>
      </c>
      <c r="X1717" s="25">
        <f>IF(OR(N1717&gt;50,Q1717&lt;=2),"High Risk / Delayed","Normal")</f>
        <v/>
      </c>
      <c r="Y1717" s="25">
        <f>IF(NOT(P1717="Cancelled"),"Fulfilled","Cancelled")</f>
        <v/>
      </c>
      <c r="Z1717" s="25">
        <f>IFERROR(Q1717,0)</f>
        <v/>
      </c>
    </row>
    <row r="1718">
      <c r="A1718" s="17" t="inlineStr">
        <is>
          <t>ORD2717</t>
        </is>
      </c>
      <c r="B1718" s="17" t="inlineStr">
        <is>
          <t>2025-07-24</t>
        </is>
      </c>
      <c r="C1718" s="17" t="inlineStr">
        <is>
          <t>17:34:09</t>
        </is>
      </c>
      <c r="D1718" s="17" t="n">
        <v>1002</v>
      </c>
      <c r="E1718" s="17" t="n">
        <v>118</v>
      </c>
      <c r="F1718" s="17" t="n">
        <v>212</v>
      </c>
      <c r="G1718" s="17" t="inlineStr">
        <is>
          <t>Delhi NCR</t>
        </is>
      </c>
      <c r="H1718" s="17" t="inlineStr">
        <is>
          <t>North Indian</t>
        </is>
      </c>
      <c r="I1718" s="22" t="n">
        <v>716</v>
      </c>
      <c r="J1718" s="22" t="n">
        <v>128.61</v>
      </c>
      <c r="K1718" s="22" t="n">
        <v>0</v>
      </c>
      <c r="L1718" s="23" t="n">
        <v>0.2</v>
      </c>
      <c r="M1718" s="22" t="n">
        <v>143.2</v>
      </c>
      <c r="N1718" s="24" t="n">
        <v>7.4</v>
      </c>
      <c r="O1718" s="24" t="n">
        <v>37.1</v>
      </c>
      <c r="P1718" s="17" t="inlineStr">
        <is>
          <t>Digital Wallet</t>
        </is>
      </c>
      <c r="Q1718" s="17" t="inlineStr">
        <is>
          <t>Delivered</t>
        </is>
      </c>
      <c r="R1718" s="17" t="n">
        <v>5</v>
      </c>
      <c r="S1718" s="17">
        <f>TEXT(B1718,"yyyy-mm")</f>
        <v/>
      </c>
      <c r="T1718" s="17">
        <f>VLOOKUP(D1718,Customers!A:D,4,FALSE)</f>
        <v/>
      </c>
      <c r="U1718" s="17">
        <f>CONCATENATE(A1718,"-",G1718)</f>
        <v/>
      </c>
      <c r="V1718" s="17">
        <f>IF(N1718="","",IF(N1718&lt;=30,"Fast (&lt;30m)",IF(N1718&lt;=45,"Moderate (30-45m)","Delayed (&gt;45m)")))</f>
        <v/>
      </c>
      <c r="W1718" s="17">
        <f>IF(AND(I1718&gt;600,P1718="Delivered"),"High Value Delivered","Standard")</f>
        <v/>
      </c>
      <c r="X1718" s="17">
        <f>IF(OR(N1718&gt;50,Q1718&lt;=2),"High Risk / Delayed","Normal")</f>
        <v/>
      </c>
      <c r="Y1718" s="17">
        <f>IF(NOT(P1718="Cancelled"),"Fulfilled","Cancelled")</f>
        <v/>
      </c>
      <c r="Z1718" s="17">
        <f>IFERROR(Q1718,0)</f>
        <v/>
      </c>
    </row>
    <row r="1719">
      <c r="A1719" s="25" t="inlineStr">
        <is>
          <t>ORD2718</t>
        </is>
      </c>
      <c r="B1719" s="25" t="inlineStr">
        <is>
          <t>2025-03-26</t>
        </is>
      </c>
      <c r="C1719" s="25" t="inlineStr">
        <is>
          <t>19:30:48</t>
        </is>
      </c>
      <c r="D1719" s="25" t="n">
        <v>1056</v>
      </c>
      <c r="E1719" s="25" t="n">
        <v>109</v>
      </c>
      <c r="F1719" s="25" t="n">
        <v>215</v>
      </c>
      <c r="G1719" s="25" t="inlineStr">
        <is>
          <t>Hyderabad</t>
        </is>
      </c>
      <c r="H1719" s="25" t="inlineStr">
        <is>
          <t>Biryani</t>
        </is>
      </c>
      <c r="I1719" s="26" t="n">
        <v>549</v>
      </c>
      <c r="J1719" s="26" t="n">
        <v>55.26</v>
      </c>
      <c r="K1719" s="26" t="n">
        <v>0</v>
      </c>
      <c r="L1719" s="27" t="n">
        <v>0.2</v>
      </c>
      <c r="M1719" s="26" t="n">
        <v>109.8</v>
      </c>
      <c r="N1719" s="28" t="n">
        <v>3.4</v>
      </c>
      <c r="O1719" s="28" t="n">
        <v>34.8</v>
      </c>
      <c r="P1719" s="25" t="inlineStr">
        <is>
          <t>Cash on Delivery</t>
        </is>
      </c>
      <c r="Q1719" s="25" t="inlineStr">
        <is>
          <t>Delivered</t>
        </is>
      </c>
      <c r="R1719" s="25" t="n">
        <v>5</v>
      </c>
      <c r="S1719" s="25">
        <f>TEXT(B1719,"yyyy-mm")</f>
        <v/>
      </c>
      <c r="T1719" s="25">
        <f>VLOOKUP(D1719,Customers!A:D,4,FALSE)</f>
        <v/>
      </c>
      <c r="U1719" s="25">
        <f>CONCATENATE(A1719,"-",G1719)</f>
        <v/>
      </c>
      <c r="V1719" s="25">
        <f>IF(N1719="","",IF(N1719&lt;=30,"Fast (&lt;30m)",IF(N1719&lt;=45,"Moderate (30-45m)","Delayed (&gt;45m)")))</f>
        <v/>
      </c>
      <c r="W1719" s="25">
        <f>IF(AND(I1719&gt;600,P1719="Delivered"),"High Value Delivered","Standard")</f>
        <v/>
      </c>
      <c r="X1719" s="25">
        <f>IF(OR(N1719&gt;50,Q1719&lt;=2),"High Risk / Delayed","Normal")</f>
        <v/>
      </c>
      <c r="Y1719" s="25">
        <f>IF(NOT(P1719="Cancelled"),"Fulfilled","Cancelled")</f>
        <v/>
      </c>
      <c r="Z1719" s="25">
        <f>IFERROR(Q1719,0)</f>
        <v/>
      </c>
    </row>
    <row r="1720">
      <c r="A1720" s="17" t="inlineStr">
        <is>
          <t>ORD2719</t>
        </is>
      </c>
      <c r="B1720" s="17" t="inlineStr">
        <is>
          <t>2025-01-29</t>
        </is>
      </c>
      <c r="C1720" s="17" t="inlineStr">
        <is>
          <t>11:07:53</t>
        </is>
      </c>
      <c r="D1720" s="17" t="n">
        <v>1224</v>
      </c>
      <c r="E1720" s="17" t="n">
        <v>108</v>
      </c>
      <c r="F1720" s="17" t="n">
        <v>228</v>
      </c>
      <c r="G1720" s="17" t="inlineStr">
        <is>
          <t>Delhi NCR</t>
        </is>
      </c>
      <c r="H1720" s="17" t="inlineStr">
        <is>
          <t>Fast Food</t>
        </is>
      </c>
      <c r="I1720" s="22" t="n">
        <v>616</v>
      </c>
      <c r="J1720" s="22" t="n">
        <v>3.7</v>
      </c>
      <c r="K1720" s="22" t="n">
        <v>25</v>
      </c>
      <c r="L1720" s="23" t="n">
        <v>0.18</v>
      </c>
      <c r="M1720" s="22" t="n">
        <v>117.13</v>
      </c>
      <c r="N1720" s="24" t="n">
        <v>1.8</v>
      </c>
      <c r="O1720" s="24" t="n">
        <v>31.9</v>
      </c>
      <c r="P1720" s="17" t="inlineStr">
        <is>
          <t>Digital Wallet</t>
        </is>
      </c>
      <c r="Q1720" s="17" t="inlineStr">
        <is>
          <t>Delivered</t>
        </is>
      </c>
      <c r="R1720" s="17" t="n">
        <v>5</v>
      </c>
      <c r="S1720" s="17">
        <f>TEXT(B1720,"yyyy-mm")</f>
        <v/>
      </c>
      <c r="T1720" s="17">
        <f>VLOOKUP(D1720,Customers!A:D,4,FALSE)</f>
        <v/>
      </c>
      <c r="U1720" s="17">
        <f>CONCATENATE(A1720,"-",G1720)</f>
        <v/>
      </c>
      <c r="V1720" s="17">
        <f>IF(N1720="","",IF(N1720&lt;=30,"Fast (&lt;30m)",IF(N1720&lt;=45,"Moderate (30-45m)","Delayed (&gt;45m)")))</f>
        <v/>
      </c>
      <c r="W1720" s="17">
        <f>IF(AND(I1720&gt;600,P1720="Delivered"),"High Value Delivered","Standard")</f>
        <v/>
      </c>
      <c r="X1720" s="17">
        <f>IF(OR(N1720&gt;50,Q1720&lt;=2),"High Risk / Delayed","Normal")</f>
        <v/>
      </c>
      <c r="Y1720" s="17">
        <f>IF(NOT(P1720="Cancelled"),"Fulfilled","Cancelled")</f>
        <v/>
      </c>
      <c r="Z1720" s="17">
        <f>IFERROR(Q1720,0)</f>
        <v/>
      </c>
    </row>
    <row r="1721">
      <c r="A1721" s="25" t="inlineStr">
        <is>
          <t>ORD2720</t>
        </is>
      </c>
      <c r="B1721" s="25" t="inlineStr">
        <is>
          <t>2025-02-03</t>
        </is>
      </c>
      <c r="C1721" s="25" t="inlineStr">
        <is>
          <t>13:24:33</t>
        </is>
      </c>
      <c r="D1721" s="25" t="n">
        <v>1152</v>
      </c>
      <c r="E1721" s="25" t="n">
        <v>102</v>
      </c>
      <c r="F1721" s="25" t="n">
        <v>225</v>
      </c>
      <c r="G1721" s="25" t="inlineStr">
        <is>
          <t>Hyderabad</t>
        </is>
      </c>
      <c r="H1721" s="25" t="inlineStr">
        <is>
          <t>Biryani</t>
        </is>
      </c>
      <c r="I1721" s="26" t="n">
        <v>277</v>
      </c>
      <c r="J1721" s="26" t="n">
        <v>6.19</v>
      </c>
      <c r="K1721" s="26" t="n">
        <v>26</v>
      </c>
      <c r="L1721" s="27" t="n">
        <v>0.22</v>
      </c>
      <c r="M1721" s="26" t="n">
        <v>67.44</v>
      </c>
      <c r="N1721" s="28" t="n">
        <v>3.2</v>
      </c>
      <c r="O1721" s="28" t="n">
        <v>28.4</v>
      </c>
      <c r="P1721" s="25" t="inlineStr">
        <is>
          <t>Digital Wallet</t>
        </is>
      </c>
      <c r="Q1721" s="25" t="inlineStr">
        <is>
          <t>Delivered</t>
        </is>
      </c>
      <c r="R1721" s="25" t="n">
        <v>5</v>
      </c>
      <c r="S1721" s="25">
        <f>TEXT(B1721,"yyyy-mm")</f>
        <v/>
      </c>
      <c r="T1721" s="25">
        <f>VLOOKUP(D1721,Customers!A:D,4,FALSE)</f>
        <v/>
      </c>
      <c r="U1721" s="25">
        <f>CONCATENATE(A1721,"-",G1721)</f>
        <v/>
      </c>
      <c r="V1721" s="25">
        <f>IF(N1721="","",IF(N1721&lt;=30,"Fast (&lt;30m)",IF(N1721&lt;=45,"Moderate (30-45m)","Delayed (&gt;45m)")))</f>
        <v/>
      </c>
      <c r="W1721" s="25">
        <f>IF(AND(I1721&gt;600,P1721="Delivered"),"High Value Delivered","Standard")</f>
        <v/>
      </c>
      <c r="X1721" s="25">
        <f>IF(OR(N1721&gt;50,Q1721&lt;=2),"High Risk / Delayed","Normal")</f>
        <v/>
      </c>
      <c r="Y1721" s="25">
        <f>IF(NOT(P1721="Cancelled"),"Fulfilled","Cancelled")</f>
        <v/>
      </c>
      <c r="Z1721" s="25">
        <f>IFERROR(Q1721,0)</f>
        <v/>
      </c>
    </row>
    <row r="1722">
      <c r="A1722" s="17" t="inlineStr">
        <is>
          <t>ORD2721</t>
        </is>
      </c>
      <c r="B1722" s="17" t="inlineStr">
        <is>
          <t>2025-01-28</t>
        </is>
      </c>
      <c r="C1722" s="17" t="inlineStr">
        <is>
          <t>17:29:26</t>
        </is>
      </c>
      <c r="D1722" s="17" t="n">
        <v>1056</v>
      </c>
      <c r="E1722" s="17" t="n">
        <v>119</v>
      </c>
      <c r="F1722" s="17" t="n">
        <v>216</v>
      </c>
      <c r="G1722" s="17" t="inlineStr">
        <is>
          <t>Hyderabad</t>
        </is>
      </c>
      <c r="H1722" s="17" t="inlineStr">
        <is>
          <t>Biryani</t>
        </is>
      </c>
      <c r="I1722" s="22" t="n">
        <v>721</v>
      </c>
      <c r="J1722" s="22" t="n">
        <v>117.49</v>
      </c>
      <c r="K1722" s="22" t="n">
        <v>0</v>
      </c>
      <c r="L1722" s="23" t="n">
        <v>0.2</v>
      </c>
      <c r="M1722" s="22" t="n">
        <v>144.2</v>
      </c>
      <c r="N1722" s="24" t="n">
        <v>4.5</v>
      </c>
      <c r="O1722" s="24" t="n">
        <v>27.2</v>
      </c>
      <c r="P1722" s="17" t="inlineStr">
        <is>
          <t>Digital Wallet</t>
        </is>
      </c>
      <c r="Q1722" s="17" t="inlineStr">
        <is>
          <t>Delivered</t>
        </is>
      </c>
      <c r="R1722" s="17" t="n">
        <v>5</v>
      </c>
      <c r="S1722" s="17">
        <f>TEXT(B1722,"yyyy-mm")</f>
        <v/>
      </c>
      <c r="T1722" s="17">
        <f>VLOOKUP(D1722,Customers!A:D,4,FALSE)</f>
        <v/>
      </c>
      <c r="U1722" s="17">
        <f>CONCATENATE(A1722,"-",G1722)</f>
        <v/>
      </c>
      <c r="V1722" s="17">
        <f>IF(N1722="","",IF(N1722&lt;=30,"Fast (&lt;30m)",IF(N1722&lt;=45,"Moderate (30-45m)","Delayed (&gt;45m)")))</f>
        <v/>
      </c>
      <c r="W1722" s="17">
        <f>IF(AND(I1722&gt;600,P1722="Delivered"),"High Value Delivered","Standard")</f>
        <v/>
      </c>
      <c r="X1722" s="17">
        <f>IF(OR(N1722&gt;50,Q1722&lt;=2),"High Risk / Delayed","Normal")</f>
        <v/>
      </c>
      <c r="Y1722" s="17">
        <f>IF(NOT(P1722="Cancelled"),"Fulfilled","Cancelled")</f>
        <v/>
      </c>
      <c r="Z1722" s="17">
        <f>IFERROR(Q1722,0)</f>
        <v/>
      </c>
    </row>
    <row r="1723">
      <c r="A1723" s="25" t="inlineStr">
        <is>
          <t>ORD2722</t>
        </is>
      </c>
      <c r="B1723" s="25" t="inlineStr">
        <is>
          <t>2025-01-26</t>
        </is>
      </c>
      <c r="C1723" s="25" t="inlineStr">
        <is>
          <t>12:46:23</t>
        </is>
      </c>
      <c r="D1723" s="25" t="n">
        <v>1089</v>
      </c>
      <c r="E1723" s="25" t="n">
        <v>111</v>
      </c>
      <c r="F1723" s="25" t="n">
        <v>205</v>
      </c>
      <c r="G1723" s="25" t="inlineStr">
        <is>
          <t>Bangalore</t>
        </is>
      </c>
      <c r="H1723" s="25" t="inlineStr">
        <is>
          <t>South Indian</t>
        </is>
      </c>
      <c r="I1723" s="26" t="n">
        <v>708</v>
      </c>
      <c r="J1723" s="26" t="n">
        <v>90.61</v>
      </c>
      <c r="K1723" s="26" t="n">
        <v>0</v>
      </c>
      <c r="L1723" s="27" t="n">
        <v>0.15</v>
      </c>
      <c r="M1723" s="26" t="n">
        <v>106.2</v>
      </c>
      <c r="N1723" s="28" t="n">
        <v>4.6</v>
      </c>
      <c r="O1723" s="28" t="n">
        <v>33.8</v>
      </c>
      <c r="P1723" s="25" t="inlineStr">
        <is>
          <t>Cash on Delivery</t>
        </is>
      </c>
      <c r="Q1723" s="25" t="inlineStr">
        <is>
          <t>Delivered</t>
        </is>
      </c>
      <c r="R1723" s="25" t="n">
        <v>4</v>
      </c>
      <c r="S1723" s="25">
        <f>TEXT(B1723,"yyyy-mm")</f>
        <v/>
      </c>
      <c r="T1723" s="25">
        <f>VLOOKUP(D1723,Customers!A:D,4,FALSE)</f>
        <v/>
      </c>
      <c r="U1723" s="25">
        <f>CONCATENATE(A1723,"-",G1723)</f>
        <v/>
      </c>
      <c r="V1723" s="25">
        <f>IF(N1723="","",IF(N1723&lt;=30,"Fast (&lt;30m)",IF(N1723&lt;=45,"Moderate (30-45m)","Delayed (&gt;45m)")))</f>
        <v/>
      </c>
      <c r="W1723" s="25">
        <f>IF(AND(I1723&gt;600,P1723="Delivered"),"High Value Delivered","Standard")</f>
        <v/>
      </c>
      <c r="X1723" s="25">
        <f>IF(OR(N1723&gt;50,Q1723&lt;=2),"High Risk / Delayed","Normal")</f>
        <v/>
      </c>
      <c r="Y1723" s="25">
        <f>IF(NOT(P1723="Cancelled"),"Fulfilled","Cancelled")</f>
        <v/>
      </c>
      <c r="Z1723" s="25">
        <f>IFERROR(Q1723,0)</f>
        <v/>
      </c>
    </row>
    <row r="1724">
      <c r="A1724" s="17" t="inlineStr">
        <is>
          <t>ORD2723</t>
        </is>
      </c>
      <c r="B1724" s="17" t="inlineStr">
        <is>
          <t>2025-07-20</t>
        </is>
      </c>
      <c r="C1724" s="17" t="inlineStr">
        <is>
          <t>10:10:03</t>
        </is>
      </c>
      <c r="D1724" s="17" t="n">
        <v>1282</v>
      </c>
      <c r="E1724" s="17" t="n">
        <v>118</v>
      </c>
      <c r="F1724" s="17" t="n">
        <v>230</v>
      </c>
      <c r="G1724" s="17" t="inlineStr">
        <is>
          <t>Delhi NCR</t>
        </is>
      </c>
      <c r="H1724" s="17" t="inlineStr">
        <is>
          <t>North Indian</t>
        </is>
      </c>
      <c r="I1724" s="22" t="n">
        <v>679</v>
      </c>
      <c r="J1724" s="22" t="n">
        <v>39.44</v>
      </c>
      <c r="K1724" s="22" t="n">
        <v>25</v>
      </c>
      <c r="L1724" s="23" t="n">
        <v>0.2</v>
      </c>
      <c r="M1724" s="22" t="n">
        <v>142.05</v>
      </c>
      <c r="N1724" s="24" t="n">
        <v>2.9</v>
      </c>
      <c r="O1724" s="24" t="n">
        <v>32.6</v>
      </c>
      <c r="P1724" s="17" t="inlineStr">
        <is>
          <t>Cash on Delivery</t>
        </is>
      </c>
      <c r="Q1724" s="17" t="inlineStr">
        <is>
          <t>Delivered</t>
        </is>
      </c>
      <c r="R1724" s="17" t="n">
        <v>4</v>
      </c>
      <c r="S1724" s="17">
        <f>TEXT(B1724,"yyyy-mm")</f>
        <v/>
      </c>
      <c r="T1724" s="17">
        <f>VLOOKUP(D1724,Customers!A:D,4,FALSE)</f>
        <v/>
      </c>
      <c r="U1724" s="17">
        <f>CONCATENATE(A1724,"-",G1724)</f>
        <v/>
      </c>
      <c r="V1724" s="17">
        <f>IF(N1724="","",IF(N1724&lt;=30,"Fast (&lt;30m)",IF(N1724&lt;=45,"Moderate (30-45m)","Delayed (&gt;45m)")))</f>
        <v/>
      </c>
      <c r="W1724" s="17">
        <f>IF(AND(I1724&gt;600,P1724="Delivered"),"High Value Delivered","Standard")</f>
        <v/>
      </c>
      <c r="X1724" s="17">
        <f>IF(OR(N1724&gt;50,Q1724&lt;=2),"High Risk / Delayed","Normal")</f>
        <v/>
      </c>
      <c r="Y1724" s="17">
        <f>IF(NOT(P1724="Cancelled"),"Fulfilled","Cancelled")</f>
        <v/>
      </c>
      <c r="Z1724" s="17">
        <f>IFERROR(Q1724,0)</f>
        <v/>
      </c>
    </row>
    <row r="1725">
      <c r="A1725" s="25" t="inlineStr">
        <is>
          <t>ORD2724</t>
        </is>
      </c>
      <c r="B1725" s="25" t="inlineStr">
        <is>
          <t>2025-01-10</t>
        </is>
      </c>
      <c r="C1725" s="25" t="inlineStr">
        <is>
          <t>16:35:51</t>
        </is>
      </c>
      <c r="D1725" s="25" t="n">
        <v>1201</v>
      </c>
      <c r="E1725" s="25" t="n">
        <v>101</v>
      </c>
      <c r="F1725" s="25" t="n">
        <v>218</v>
      </c>
      <c r="G1725" s="25" t="inlineStr">
        <is>
          <t>Bangalore</t>
        </is>
      </c>
      <c r="H1725" s="25" t="inlineStr">
        <is>
          <t>North Indian</t>
        </is>
      </c>
      <c r="I1725" s="26" t="n">
        <v>314</v>
      </c>
      <c r="J1725" s="26" t="n">
        <v>32.09</v>
      </c>
      <c r="K1725" s="26" t="n">
        <v>30.5</v>
      </c>
      <c r="L1725" s="27" t="n">
        <v>0.2</v>
      </c>
      <c r="M1725" s="26" t="n">
        <v>70.43000000000001</v>
      </c>
      <c r="N1725" s="28" t="n">
        <v>4.1</v>
      </c>
      <c r="O1725" s="28" t="n">
        <v>32.3</v>
      </c>
      <c r="P1725" s="25" t="inlineStr">
        <is>
          <t>Cash on Delivery</t>
        </is>
      </c>
      <c r="Q1725" s="25" t="inlineStr">
        <is>
          <t>Delivered</t>
        </is>
      </c>
      <c r="R1725" s="25" t="n">
        <v>4</v>
      </c>
      <c r="S1725" s="25">
        <f>TEXT(B1725,"yyyy-mm")</f>
        <v/>
      </c>
      <c r="T1725" s="25">
        <f>VLOOKUP(D1725,Customers!A:D,4,FALSE)</f>
        <v/>
      </c>
      <c r="U1725" s="25">
        <f>CONCATENATE(A1725,"-",G1725)</f>
        <v/>
      </c>
      <c r="V1725" s="25">
        <f>IF(N1725="","",IF(N1725&lt;=30,"Fast (&lt;30m)",IF(N1725&lt;=45,"Moderate (30-45m)","Delayed (&gt;45m)")))</f>
        <v/>
      </c>
      <c r="W1725" s="25">
        <f>IF(AND(I1725&gt;600,P1725="Delivered"),"High Value Delivered","Standard")</f>
        <v/>
      </c>
      <c r="X1725" s="25">
        <f>IF(OR(N1725&gt;50,Q1725&lt;=2),"High Risk / Delayed","Normal")</f>
        <v/>
      </c>
      <c r="Y1725" s="25">
        <f>IF(NOT(P1725="Cancelled"),"Fulfilled","Cancelled")</f>
        <v/>
      </c>
      <c r="Z1725" s="25">
        <f>IFERROR(Q1725,0)</f>
        <v/>
      </c>
    </row>
    <row r="1726">
      <c r="A1726" s="17" t="inlineStr">
        <is>
          <t>ORD2725</t>
        </is>
      </c>
      <c r="B1726" s="17" t="inlineStr">
        <is>
          <t>2025-10-17</t>
        </is>
      </c>
      <c r="C1726" s="17" t="inlineStr">
        <is>
          <t>20:44:59</t>
        </is>
      </c>
      <c r="D1726" s="17" t="n">
        <v>1139</v>
      </c>
      <c r="E1726" s="17" t="n">
        <v>112</v>
      </c>
      <c r="F1726" s="17" t="n">
        <v>221</v>
      </c>
      <c r="G1726" s="17" t="inlineStr">
        <is>
          <t>Delhi NCR</t>
        </is>
      </c>
      <c r="H1726" s="17" t="inlineStr">
        <is>
          <t>North Indian</t>
        </is>
      </c>
      <c r="I1726" s="22" t="n">
        <v>836</v>
      </c>
      <c r="J1726" s="22" t="n">
        <v>0</v>
      </c>
      <c r="K1726" s="22" t="n">
        <v>25</v>
      </c>
      <c r="L1726" s="23" t="n">
        <v>0.22</v>
      </c>
      <c r="M1726" s="22" t="n">
        <v>190.17</v>
      </c>
      <c r="N1726" s="24" t="n">
        <v>2.6</v>
      </c>
      <c r="O1726" s="24" t="n">
        <v>30.3</v>
      </c>
      <c r="P1726" s="17" t="inlineStr">
        <is>
          <t>UPI</t>
        </is>
      </c>
      <c r="Q1726" s="17" t="inlineStr">
        <is>
          <t>Delivered</t>
        </is>
      </c>
      <c r="R1726" s="17" t="n">
        <v>2</v>
      </c>
      <c r="S1726" s="17">
        <f>TEXT(B1726,"yyyy-mm")</f>
        <v/>
      </c>
      <c r="T1726" s="17">
        <f>VLOOKUP(D1726,Customers!A:D,4,FALSE)</f>
        <v/>
      </c>
      <c r="U1726" s="17">
        <f>CONCATENATE(A1726,"-",G1726)</f>
        <v/>
      </c>
      <c r="V1726" s="17">
        <f>IF(N1726="","",IF(N1726&lt;=30,"Fast (&lt;30m)",IF(N1726&lt;=45,"Moderate (30-45m)","Delayed (&gt;45m)")))</f>
        <v/>
      </c>
      <c r="W1726" s="17">
        <f>IF(AND(I1726&gt;600,P1726="Delivered"),"High Value Delivered","Standard")</f>
        <v/>
      </c>
      <c r="X1726" s="17">
        <f>IF(OR(N1726&gt;50,Q1726&lt;=2),"High Risk / Delayed","Normal")</f>
        <v/>
      </c>
      <c r="Y1726" s="17">
        <f>IF(NOT(P1726="Cancelled"),"Fulfilled","Cancelled")</f>
        <v/>
      </c>
      <c r="Z1726" s="17">
        <f>IFERROR(Q1726,0)</f>
        <v/>
      </c>
    </row>
    <row r="1727">
      <c r="A1727" s="25" t="inlineStr">
        <is>
          <t>ORD2726</t>
        </is>
      </c>
      <c r="B1727" s="25" t="inlineStr">
        <is>
          <t>2025-04-10</t>
        </is>
      </c>
      <c r="C1727" s="25" t="inlineStr">
        <is>
          <t>12:12:12</t>
        </is>
      </c>
      <c r="D1727" s="25" t="n">
        <v>1191</v>
      </c>
      <c r="E1727" s="25" t="n">
        <v>104</v>
      </c>
      <c r="F1727" s="25" t="n">
        <v>219</v>
      </c>
      <c r="G1727" s="25" t="inlineStr">
        <is>
          <t>Delhi NCR</t>
        </is>
      </c>
      <c r="H1727" s="25" t="inlineStr">
        <is>
          <t>Fast Food</t>
        </is>
      </c>
      <c r="I1727" s="26" t="n">
        <v>684</v>
      </c>
      <c r="J1727" s="26" t="n">
        <v>0</v>
      </c>
      <c r="K1727" s="26" t="n">
        <v>25</v>
      </c>
      <c r="L1727" s="27" t="n">
        <v>0.18</v>
      </c>
      <c r="M1727" s="26" t="n">
        <v>129.37</v>
      </c>
      <c r="N1727" s="28" t="n">
        <v>2.7</v>
      </c>
      <c r="O1727" s="28" t="n">
        <v>35.4</v>
      </c>
      <c r="P1727" s="25" t="inlineStr">
        <is>
          <t>Debit Card</t>
        </is>
      </c>
      <c r="Q1727" s="25" t="inlineStr">
        <is>
          <t>Delivered</t>
        </is>
      </c>
      <c r="R1727" s="25" t="n">
        <v>4</v>
      </c>
      <c r="S1727" s="25">
        <f>TEXT(B1727,"yyyy-mm")</f>
        <v/>
      </c>
      <c r="T1727" s="25">
        <f>VLOOKUP(D1727,Customers!A:D,4,FALSE)</f>
        <v/>
      </c>
      <c r="U1727" s="25">
        <f>CONCATENATE(A1727,"-",G1727)</f>
        <v/>
      </c>
      <c r="V1727" s="25">
        <f>IF(N1727="","",IF(N1727&lt;=30,"Fast (&lt;30m)",IF(N1727&lt;=45,"Moderate (30-45m)","Delayed (&gt;45m)")))</f>
        <v/>
      </c>
      <c r="W1727" s="25">
        <f>IF(AND(I1727&gt;600,P1727="Delivered"),"High Value Delivered","Standard")</f>
        <v/>
      </c>
      <c r="X1727" s="25">
        <f>IF(OR(N1727&gt;50,Q1727&lt;=2),"High Risk / Delayed","Normal")</f>
        <v/>
      </c>
      <c r="Y1727" s="25">
        <f>IF(NOT(P1727="Cancelled"),"Fulfilled","Cancelled")</f>
        <v/>
      </c>
      <c r="Z1727" s="25">
        <f>IFERROR(Q1727,0)</f>
        <v/>
      </c>
    </row>
    <row r="1728">
      <c r="A1728" s="17" t="inlineStr">
        <is>
          <t>ORD2727</t>
        </is>
      </c>
      <c r="B1728" s="17" t="inlineStr">
        <is>
          <t>2025-06-26</t>
        </is>
      </c>
      <c r="C1728" s="17" t="inlineStr">
        <is>
          <t>21:58:25</t>
        </is>
      </c>
      <c r="D1728" s="17" t="n">
        <v>1257</v>
      </c>
      <c r="E1728" s="17" t="n">
        <v>110</v>
      </c>
      <c r="F1728" s="17" t="n">
        <v>204</v>
      </c>
      <c r="G1728" s="17" t="inlineStr">
        <is>
          <t>Pune</t>
        </is>
      </c>
      <c r="H1728" s="17" t="inlineStr">
        <is>
          <t>North Indian</t>
        </is>
      </c>
      <c r="I1728" s="22" t="n">
        <v>550</v>
      </c>
      <c r="J1728" s="22" t="n">
        <v>84.95999999999999</v>
      </c>
      <c r="K1728" s="22" t="n">
        <v>0</v>
      </c>
      <c r="L1728" s="23" t="n">
        <v>0.18</v>
      </c>
      <c r="M1728" s="22" t="n">
        <v>99</v>
      </c>
      <c r="N1728" s="24" t="n">
        <v>3.6</v>
      </c>
      <c r="O1728" s="24" t="n">
        <v>31.5</v>
      </c>
      <c r="P1728" s="17" t="inlineStr">
        <is>
          <t>UPI</t>
        </is>
      </c>
      <c r="Q1728" s="17" t="inlineStr">
        <is>
          <t>Delivered</t>
        </is>
      </c>
      <c r="R1728" s="17" t="n">
        <v>4</v>
      </c>
      <c r="S1728" s="17">
        <f>TEXT(B1728,"yyyy-mm")</f>
        <v/>
      </c>
      <c r="T1728" s="17">
        <f>VLOOKUP(D1728,Customers!A:D,4,FALSE)</f>
        <v/>
      </c>
      <c r="U1728" s="17">
        <f>CONCATENATE(A1728,"-",G1728)</f>
        <v/>
      </c>
      <c r="V1728" s="17">
        <f>IF(N1728="","",IF(N1728&lt;=30,"Fast (&lt;30m)",IF(N1728&lt;=45,"Moderate (30-45m)","Delayed (&gt;45m)")))</f>
        <v/>
      </c>
      <c r="W1728" s="17">
        <f>IF(AND(I1728&gt;600,P1728="Delivered"),"High Value Delivered","Standard")</f>
        <v/>
      </c>
      <c r="X1728" s="17">
        <f>IF(OR(N1728&gt;50,Q1728&lt;=2),"High Risk / Delayed","Normal")</f>
        <v/>
      </c>
      <c r="Y1728" s="17">
        <f>IF(NOT(P1728="Cancelled"),"Fulfilled","Cancelled")</f>
        <v/>
      </c>
      <c r="Z1728" s="17">
        <f>IFERROR(Q1728,0)</f>
        <v/>
      </c>
    </row>
    <row r="1729">
      <c r="A1729" s="25" t="inlineStr">
        <is>
          <t>ORD2728</t>
        </is>
      </c>
      <c r="B1729" s="25" t="inlineStr">
        <is>
          <t>2025-12-14</t>
        </is>
      </c>
      <c r="C1729" s="25" t="inlineStr">
        <is>
          <t>13:06:05</t>
        </is>
      </c>
      <c r="D1729" s="25" t="n">
        <v>1296</v>
      </c>
      <c r="E1729" s="25" t="n">
        <v>112</v>
      </c>
      <c r="F1729" s="25" t="n">
        <v>211</v>
      </c>
      <c r="G1729" s="25" t="inlineStr">
        <is>
          <t>Delhi NCR</t>
        </is>
      </c>
      <c r="H1729" s="25" t="inlineStr">
        <is>
          <t>North Indian</t>
        </is>
      </c>
      <c r="I1729" s="26" t="n">
        <v>837</v>
      </c>
      <c r="J1729" s="26" t="n">
        <v>0</v>
      </c>
      <c r="K1729" s="26" t="n">
        <v>36</v>
      </c>
      <c r="L1729" s="27" t="n">
        <v>0.22</v>
      </c>
      <c r="M1729" s="26" t="n">
        <v>193.14</v>
      </c>
      <c r="N1729" s="28" t="n">
        <v>5.2</v>
      </c>
      <c r="O1729" s="28" t="n">
        <v>41.1</v>
      </c>
      <c r="P1729" s="25" t="inlineStr">
        <is>
          <t>Credit Card</t>
        </is>
      </c>
      <c r="Q1729" s="25" t="inlineStr">
        <is>
          <t>Delivered</t>
        </is>
      </c>
      <c r="R1729" s="25" t="n">
        <v>3</v>
      </c>
      <c r="S1729" s="25">
        <f>TEXT(B1729,"yyyy-mm")</f>
        <v/>
      </c>
      <c r="T1729" s="25">
        <f>VLOOKUP(D1729,Customers!A:D,4,FALSE)</f>
        <v/>
      </c>
      <c r="U1729" s="25">
        <f>CONCATENATE(A1729,"-",G1729)</f>
        <v/>
      </c>
      <c r="V1729" s="25">
        <f>IF(N1729="","",IF(N1729&lt;=30,"Fast (&lt;30m)",IF(N1729&lt;=45,"Moderate (30-45m)","Delayed (&gt;45m)")))</f>
        <v/>
      </c>
      <c r="W1729" s="25">
        <f>IF(AND(I1729&gt;600,P1729="Delivered"),"High Value Delivered","Standard")</f>
        <v/>
      </c>
      <c r="X1729" s="25">
        <f>IF(OR(N1729&gt;50,Q1729&lt;=2),"High Risk / Delayed","Normal")</f>
        <v/>
      </c>
      <c r="Y1729" s="25">
        <f>IF(NOT(P1729="Cancelled"),"Fulfilled","Cancelled")</f>
        <v/>
      </c>
      <c r="Z1729" s="25">
        <f>IFERROR(Q1729,0)</f>
        <v/>
      </c>
    </row>
    <row r="1730">
      <c r="A1730" s="17" t="inlineStr">
        <is>
          <t>ORD2729</t>
        </is>
      </c>
      <c r="B1730" s="17" t="inlineStr">
        <is>
          <t>2025-03-09</t>
        </is>
      </c>
      <c r="C1730" s="17" t="inlineStr">
        <is>
          <t>14:29:31</t>
        </is>
      </c>
      <c r="D1730" s="17" t="n">
        <v>1086</v>
      </c>
      <c r="E1730" s="17" t="n">
        <v>112</v>
      </c>
      <c r="F1730" s="17" t="n">
        <v>211</v>
      </c>
      <c r="G1730" s="17" t="inlineStr">
        <is>
          <t>Delhi NCR</t>
        </is>
      </c>
      <c r="H1730" s="17" t="inlineStr">
        <is>
          <t>North Indian</t>
        </is>
      </c>
      <c r="I1730" s="22" t="n">
        <v>779</v>
      </c>
      <c r="J1730" s="22" t="n">
        <v>21.5</v>
      </c>
      <c r="K1730" s="22" t="n">
        <v>25</v>
      </c>
      <c r="L1730" s="23" t="n">
        <v>0.22</v>
      </c>
      <c r="M1730" s="22" t="n">
        <v>177.63</v>
      </c>
      <c r="N1730" s="24" t="n">
        <v>2.3</v>
      </c>
      <c r="O1730" s="24" t="n">
        <v/>
      </c>
      <c r="P1730" s="17" t="inlineStr">
        <is>
          <t>Credit Card</t>
        </is>
      </c>
      <c r="Q1730" s="17" t="inlineStr">
        <is>
          <t>Cancelled</t>
        </is>
      </c>
      <c r="R1730" s="17" t="n">
        <v/>
      </c>
      <c r="S1730" s="17">
        <f>TEXT(B1730,"yyyy-mm")</f>
        <v/>
      </c>
      <c r="T1730" s="17">
        <f>VLOOKUP(D1730,Customers!A:D,4,FALSE)</f>
        <v/>
      </c>
      <c r="U1730" s="17">
        <f>CONCATENATE(A1730,"-",G1730)</f>
        <v/>
      </c>
      <c r="V1730" s="17">
        <f>IF(N1730="","",IF(N1730&lt;=30,"Fast (&lt;30m)",IF(N1730&lt;=45,"Moderate (30-45m)","Delayed (&gt;45m)")))</f>
        <v/>
      </c>
      <c r="W1730" s="17">
        <f>IF(AND(I1730&gt;600,P1730="Delivered"),"High Value Delivered","Standard")</f>
        <v/>
      </c>
      <c r="X1730" s="17">
        <f>IF(OR(N1730&gt;50,Q1730&lt;=2),"High Risk / Delayed","Normal")</f>
        <v/>
      </c>
      <c r="Y1730" s="17">
        <f>IF(NOT(P1730="Cancelled"),"Fulfilled","Cancelled")</f>
        <v/>
      </c>
      <c r="Z1730" s="17">
        <f>IFERROR(Q1730,0)</f>
        <v/>
      </c>
    </row>
    <row r="1731">
      <c r="A1731" s="25" t="inlineStr">
        <is>
          <t>ORD2730</t>
        </is>
      </c>
      <c r="B1731" s="25" t="inlineStr">
        <is>
          <t>2025-06-07</t>
        </is>
      </c>
      <c r="C1731" s="25" t="inlineStr">
        <is>
          <t>13:16:37</t>
        </is>
      </c>
      <c r="D1731" s="25" t="n">
        <v>1152</v>
      </c>
      <c r="E1731" s="25" t="n">
        <v>114</v>
      </c>
      <c r="F1731" s="25" t="n">
        <v>215</v>
      </c>
      <c r="G1731" s="25" t="inlineStr">
        <is>
          <t>Hyderabad</t>
        </is>
      </c>
      <c r="H1731" s="25" t="inlineStr">
        <is>
          <t>Biryani</t>
        </is>
      </c>
      <c r="I1731" s="26" t="n">
        <v>270</v>
      </c>
      <c r="J1731" s="26" t="n">
        <v>3.64</v>
      </c>
      <c r="K1731" s="26" t="n">
        <v>38</v>
      </c>
      <c r="L1731" s="27" t="n">
        <v>0.22</v>
      </c>
      <c r="M1731" s="26" t="n">
        <v>68.90000000000001</v>
      </c>
      <c r="N1731" s="28" t="n">
        <v>5.6</v>
      </c>
      <c r="O1731" s="28" t="n">
        <v>48.1</v>
      </c>
      <c r="P1731" s="25" t="inlineStr">
        <is>
          <t>UPI</t>
        </is>
      </c>
      <c r="Q1731" s="25" t="inlineStr">
        <is>
          <t>Delivered</t>
        </is>
      </c>
      <c r="R1731" s="25" t="n">
        <v>2</v>
      </c>
      <c r="S1731" s="25">
        <f>TEXT(B1731,"yyyy-mm")</f>
        <v/>
      </c>
      <c r="T1731" s="25">
        <f>VLOOKUP(D1731,Customers!A:D,4,FALSE)</f>
        <v/>
      </c>
      <c r="U1731" s="25">
        <f>CONCATENATE(A1731,"-",G1731)</f>
        <v/>
      </c>
      <c r="V1731" s="25">
        <f>IF(N1731="","",IF(N1731&lt;=30,"Fast (&lt;30m)",IF(N1731&lt;=45,"Moderate (30-45m)","Delayed (&gt;45m)")))</f>
        <v/>
      </c>
      <c r="W1731" s="25">
        <f>IF(AND(I1731&gt;600,P1731="Delivered"),"High Value Delivered","Standard")</f>
        <v/>
      </c>
      <c r="X1731" s="25">
        <f>IF(OR(N1731&gt;50,Q1731&lt;=2),"High Risk / Delayed","Normal")</f>
        <v/>
      </c>
      <c r="Y1731" s="25">
        <f>IF(NOT(P1731="Cancelled"),"Fulfilled","Cancelled")</f>
        <v/>
      </c>
      <c r="Z1731" s="25">
        <f>IFERROR(Q1731,0)</f>
        <v/>
      </c>
    </row>
    <row r="1732">
      <c r="A1732" s="17" t="inlineStr">
        <is>
          <t>ORD2731</t>
        </is>
      </c>
      <c r="B1732" s="17" t="inlineStr">
        <is>
          <t>2025-05-31</t>
        </is>
      </c>
      <c r="C1732" s="17" t="inlineStr">
        <is>
          <t>16:32:02</t>
        </is>
      </c>
      <c r="D1732" s="17" t="n">
        <v>1121</v>
      </c>
      <c r="E1732" s="17" t="n">
        <v>101</v>
      </c>
      <c r="F1732" s="17" t="n">
        <v>203</v>
      </c>
      <c r="G1732" s="17" t="inlineStr">
        <is>
          <t>Bangalore</t>
        </is>
      </c>
      <c r="H1732" s="17" t="inlineStr">
        <is>
          <t>North Indian</t>
        </is>
      </c>
      <c r="I1732" s="22" t="n">
        <v>316</v>
      </c>
      <c r="J1732" s="22" t="n">
        <v>25.34</v>
      </c>
      <c r="K1732" s="22" t="n">
        <v>25</v>
      </c>
      <c r="L1732" s="23" t="n">
        <v>0.2</v>
      </c>
      <c r="M1732" s="22" t="n">
        <v>69.45</v>
      </c>
      <c r="N1732" s="24" t="n">
        <v>2.5</v>
      </c>
      <c r="O1732" s="24" t="n">
        <v>22.6</v>
      </c>
      <c r="P1732" s="17" t="inlineStr">
        <is>
          <t>UPI</t>
        </is>
      </c>
      <c r="Q1732" s="17" t="inlineStr">
        <is>
          <t>Delivered</t>
        </is>
      </c>
      <c r="R1732" s="17" t="n">
        <v>5</v>
      </c>
      <c r="S1732" s="17">
        <f>TEXT(B1732,"yyyy-mm")</f>
        <v/>
      </c>
      <c r="T1732" s="17">
        <f>VLOOKUP(D1732,Customers!A:D,4,FALSE)</f>
        <v/>
      </c>
      <c r="U1732" s="17">
        <f>CONCATENATE(A1732,"-",G1732)</f>
        <v/>
      </c>
      <c r="V1732" s="17">
        <f>IF(N1732="","",IF(N1732&lt;=30,"Fast (&lt;30m)",IF(N1732&lt;=45,"Moderate (30-45m)","Delayed (&gt;45m)")))</f>
        <v/>
      </c>
      <c r="W1732" s="17">
        <f>IF(AND(I1732&gt;600,P1732="Delivered"),"High Value Delivered","Standard")</f>
        <v/>
      </c>
      <c r="X1732" s="17">
        <f>IF(OR(N1732&gt;50,Q1732&lt;=2),"High Risk / Delayed","Normal")</f>
        <v/>
      </c>
      <c r="Y1732" s="17">
        <f>IF(NOT(P1732="Cancelled"),"Fulfilled","Cancelled")</f>
        <v/>
      </c>
      <c r="Z1732" s="17">
        <f>IFERROR(Q1732,0)</f>
        <v/>
      </c>
    </row>
    <row r="1733">
      <c r="A1733" s="25" t="inlineStr">
        <is>
          <t>ORD2732</t>
        </is>
      </c>
      <c r="B1733" s="25" t="inlineStr">
        <is>
          <t>2025-04-15</t>
        </is>
      </c>
      <c r="C1733" s="25" t="inlineStr">
        <is>
          <t>18:43:16</t>
        </is>
      </c>
      <c r="D1733" s="25" t="n">
        <v>1108</v>
      </c>
      <c r="E1733" s="25" t="n">
        <v>120</v>
      </c>
      <c r="F1733" s="25" t="n">
        <v>209</v>
      </c>
      <c r="G1733" s="25" t="inlineStr">
        <is>
          <t>Pune</t>
        </is>
      </c>
      <c r="H1733" s="25" t="inlineStr">
        <is>
          <t>Fast Food</t>
        </is>
      </c>
      <c r="I1733" s="26" t="n">
        <v>324</v>
      </c>
      <c r="J1733" s="26" t="n">
        <v>25.23</v>
      </c>
      <c r="K1733" s="26" t="n">
        <v>26.5</v>
      </c>
      <c r="L1733" s="27" t="n">
        <v>0.18</v>
      </c>
      <c r="M1733" s="26" t="n">
        <v>64.94</v>
      </c>
      <c r="N1733" s="28" t="n">
        <v>3.3</v>
      </c>
      <c r="O1733" s="28" t="n">
        <v>27.1</v>
      </c>
      <c r="P1733" s="25" t="inlineStr">
        <is>
          <t>Credit Card</t>
        </is>
      </c>
      <c r="Q1733" s="25" t="inlineStr">
        <is>
          <t>Delivered</t>
        </is>
      </c>
      <c r="R1733" s="25" t="n">
        <v>2</v>
      </c>
      <c r="S1733" s="25">
        <f>TEXT(B1733,"yyyy-mm")</f>
        <v/>
      </c>
      <c r="T1733" s="25">
        <f>VLOOKUP(D1733,Customers!A:D,4,FALSE)</f>
        <v/>
      </c>
      <c r="U1733" s="25">
        <f>CONCATENATE(A1733,"-",G1733)</f>
        <v/>
      </c>
      <c r="V1733" s="25">
        <f>IF(N1733="","",IF(N1733&lt;=30,"Fast (&lt;30m)",IF(N1733&lt;=45,"Moderate (30-45m)","Delayed (&gt;45m)")))</f>
        <v/>
      </c>
      <c r="W1733" s="25">
        <f>IF(AND(I1733&gt;600,P1733="Delivered"),"High Value Delivered","Standard")</f>
        <v/>
      </c>
      <c r="X1733" s="25">
        <f>IF(OR(N1733&gt;50,Q1733&lt;=2),"High Risk / Delayed","Normal")</f>
        <v/>
      </c>
      <c r="Y1733" s="25">
        <f>IF(NOT(P1733="Cancelled"),"Fulfilled","Cancelled")</f>
        <v/>
      </c>
      <c r="Z1733" s="25">
        <f>IFERROR(Q1733,0)</f>
        <v/>
      </c>
    </row>
    <row r="1734">
      <c r="A1734" s="17" t="inlineStr">
        <is>
          <t>ORD2733</t>
        </is>
      </c>
      <c r="B1734" s="17" t="inlineStr">
        <is>
          <t>2025-04-06</t>
        </is>
      </c>
      <c r="C1734" s="17" t="inlineStr">
        <is>
          <t>06:04:00</t>
        </is>
      </c>
      <c r="D1734" s="17" t="n">
        <v>1057</v>
      </c>
      <c r="E1734" s="17" t="n">
        <v>107</v>
      </c>
      <c r="F1734" s="17" t="n">
        <v>229</v>
      </c>
      <c r="G1734" s="17" t="inlineStr">
        <is>
          <t>Mumbai</t>
        </is>
      </c>
      <c r="H1734" s="17" t="inlineStr">
        <is>
          <t>Desserts</t>
        </is>
      </c>
      <c r="I1734" s="22" t="n">
        <v>385</v>
      </c>
      <c r="J1734" s="22" t="n">
        <v>27.05</v>
      </c>
      <c r="K1734" s="22" t="n">
        <v>25</v>
      </c>
      <c r="L1734" s="23" t="n">
        <v>0.25</v>
      </c>
      <c r="M1734" s="22" t="n">
        <v>102.5</v>
      </c>
      <c r="N1734" s="24" t="n">
        <v>2.4</v>
      </c>
      <c r="O1734" s="24" t="n">
        <v>28.1</v>
      </c>
      <c r="P1734" s="17" t="inlineStr">
        <is>
          <t>Digital Wallet</t>
        </is>
      </c>
      <c r="Q1734" s="17" t="inlineStr">
        <is>
          <t>Delivered</t>
        </is>
      </c>
      <c r="R1734" s="17" t="n">
        <v>5</v>
      </c>
      <c r="S1734" s="17">
        <f>TEXT(B1734,"yyyy-mm")</f>
        <v/>
      </c>
      <c r="T1734" s="17">
        <f>VLOOKUP(D1734,Customers!A:D,4,FALSE)</f>
        <v/>
      </c>
      <c r="U1734" s="17">
        <f>CONCATENATE(A1734,"-",G1734)</f>
        <v/>
      </c>
      <c r="V1734" s="17">
        <f>IF(N1734="","",IF(N1734&lt;=30,"Fast (&lt;30m)",IF(N1734&lt;=45,"Moderate (30-45m)","Delayed (&gt;45m)")))</f>
        <v/>
      </c>
      <c r="W1734" s="17">
        <f>IF(AND(I1734&gt;600,P1734="Delivered"),"High Value Delivered","Standard")</f>
        <v/>
      </c>
      <c r="X1734" s="17">
        <f>IF(OR(N1734&gt;50,Q1734&lt;=2),"High Risk / Delayed","Normal")</f>
        <v/>
      </c>
      <c r="Y1734" s="17">
        <f>IF(NOT(P1734="Cancelled"),"Fulfilled","Cancelled")</f>
        <v/>
      </c>
      <c r="Z1734" s="17">
        <f>IFERROR(Q1734,0)</f>
        <v/>
      </c>
    </row>
    <row r="1735">
      <c r="A1735" s="25" t="inlineStr">
        <is>
          <t>ORD2734</t>
        </is>
      </c>
      <c r="B1735" s="25" t="inlineStr">
        <is>
          <t>2025-05-14</t>
        </is>
      </c>
      <c r="C1735" s="25" t="inlineStr">
        <is>
          <t>16:33:59</t>
        </is>
      </c>
      <c r="D1735" s="25" t="n">
        <v>1041</v>
      </c>
      <c r="E1735" s="25" t="n">
        <v>102</v>
      </c>
      <c r="F1735" s="25" t="n">
        <v>225</v>
      </c>
      <c r="G1735" s="25" t="inlineStr">
        <is>
          <t>Hyderabad</t>
        </is>
      </c>
      <c r="H1735" s="25" t="inlineStr">
        <is>
          <t>Biryani</t>
        </is>
      </c>
      <c r="I1735" s="26" t="n">
        <v>649</v>
      </c>
      <c r="J1735" s="26" t="n">
        <v>0</v>
      </c>
      <c r="K1735" s="26" t="n">
        <v>48.5</v>
      </c>
      <c r="L1735" s="27" t="n">
        <v>0.22</v>
      </c>
      <c r="M1735" s="26" t="n">
        <v>154.9</v>
      </c>
      <c r="N1735" s="28" t="n">
        <v>7.7</v>
      </c>
      <c r="O1735" s="28" t="n">
        <v>39.8</v>
      </c>
      <c r="P1735" s="25" t="inlineStr">
        <is>
          <t>Cash on Delivery</t>
        </is>
      </c>
      <c r="Q1735" s="25" t="inlineStr">
        <is>
          <t>Delivered</t>
        </is>
      </c>
      <c r="R1735" s="25" t="n">
        <v>5</v>
      </c>
      <c r="S1735" s="25">
        <f>TEXT(B1735,"yyyy-mm")</f>
        <v/>
      </c>
      <c r="T1735" s="25">
        <f>VLOOKUP(D1735,Customers!A:D,4,FALSE)</f>
        <v/>
      </c>
      <c r="U1735" s="25">
        <f>CONCATENATE(A1735,"-",G1735)</f>
        <v/>
      </c>
      <c r="V1735" s="25">
        <f>IF(N1735="","",IF(N1735&lt;=30,"Fast (&lt;30m)",IF(N1735&lt;=45,"Moderate (30-45m)","Delayed (&gt;45m)")))</f>
        <v/>
      </c>
      <c r="W1735" s="25">
        <f>IF(AND(I1735&gt;600,P1735="Delivered"),"High Value Delivered","Standard")</f>
        <v/>
      </c>
      <c r="X1735" s="25">
        <f>IF(OR(N1735&gt;50,Q1735&lt;=2),"High Risk / Delayed","Normal")</f>
        <v/>
      </c>
      <c r="Y1735" s="25">
        <f>IF(NOT(P1735="Cancelled"),"Fulfilled","Cancelled")</f>
        <v/>
      </c>
      <c r="Z1735" s="25">
        <f>IFERROR(Q1735,0)</f>
        <v/>
      </c>
    </row>
    <row r="1736">
      <c r="A1736" s="17" t="inlineStr">
        <is>
          <t>ORD2735</t>
        </is>
      </c>
      <c r="B1736" s="17" t="inlineStr">
        <is>
          <t>2025-04-29</t>
        </is>
      </c>
      <c r="C1736" s="17" t="inlineStr">
        <is>
          <t>15:55:52</t>
        </is>
      </c>
      <c r="D1736" s="17" t="n">
        <v>1283</v>
      </c>
      <c r="E1736" s="17" t="n">
        <v>110</v>
      </c>
      <c r="F1736" s="17" t="n">
        <v>209</v>
      </c>
      <c r="G1736" s="17" t="inlineStr">
        <is>
          <t>Pune</t>
        </is>
      </c>
      <c r="H1736" s="17" t="inlineStr">
        <is>
          <t>North Indian</t>
        </is>
      </c>
      <c r="I1736" s="22" t="n">
        <v>772</v>
      </c>
      <c r="J1736" s="22" t="n">
        <v>0</v>
      </c>
      <c r="K1736" s="22" t="n">
        <v>25</v>
      </c>
      <c r="L1736" s="23" t="n">
        <v>0.18</v>
      </c>
      <c r="M1736" s="22" t="n">
        <v>145.21</v>
      </c>
      <c r="N1736" s="24" t="n">
        <v>2.4</v>
      </c>
      <c r="O1736" s="24" t="n">
        <v>20.4</v>
      </c>
      <c r="P1736" s="17" t="inlineStr">
        <is>
          <t>Digital Wallet</t>
        </is>
      </c>
      <c r="Q1736" s="17" t="inlineStr">
        <is>
          <t>Delivered</t>
        </is>
      </c>
      <c r="R1736" s="17" t="n">
        <v>4</v>
      </c>
      <c r="S1736" s="17">
        <f>TEXT(B1736,"yyyy-mm")</f>
        <v/>
      </c>
      <c r="T1736" s="17">
        <f>VLOOKUP(D1736,Customers!A:D,4,FALSE)</f>
        <v/>
      </c>
      <c r="U1736" s="17">
        <f>CONCATENATE(A1736,"-",G1736)</f>
        <v/>
      </c>
      <c r="V1736" s="17">
        <f>IF(N1736="","",IF(N1736&lt;=30,"Fast (&lt;30m)",IF(N1736&lt;=45,"Moderate (30-45m)","Delayed (&gt;45m)")))</f>
        <v/>
      </c>
      <c r="W1736" s="17">
        <f>IF(AND(I1736&gt;600,P1736="Delivered"),"High Value Delivered","Standard")</f>
        <v/>
      </c>
      <c r="X1736" s="17">
        <f>IF(OR(N1736&gt;50,Q1736&lt;=2),"High Risk / Delayed","Normal")</f>
        <v/>
      </c>
      <c r="Y1736" s="17">
        <f>IF(NOT(P1736="Cancelled"),"Fulfilled","Cancelled")</f>
        <v/>
      </c>
      <c r="Z1736" s="17">
        <f>IFERROR(Q1736,0)</f>
        <v/>
      </c>
    </row>
    <row r="1737">
      <c r="A1737" s="25" t="inlineStr">
        <is>
          <t>ORD2736</t>
        </is>
      </c>
      <c r="B1737" s="25" t="inlineStr">
        <is>
          <t>2025-07-29</t>
        </is>
      </c>
      <c r="C1737" s="25" t="inlineStr">
        <is>
          <t>18:01:21</t>
        </is>
      </c>
      <c r="D1737" s="25" t="n">
        <v>1185</v>
      </c>
      <c r="E1737" s="25" t="n">
        <v>116</v>
      </c>
      <c r="F1737" s="25" t="n">
        <v>226</v>
      </c>
      <c r="G1737" s="25" t="inlineStr">
        <is>
          <t>Pune</t>
        </is>
      </c>
      <c r="H1737" s="25" t="inlineStr">
        <is>
          <t>Desserts</t>
        </is>
      </c>
      <c r="I1737" s="26" t="n">
        <v>454</v>
      </c>
      <c r="J1737" s="26" t="n">
        <v>16.33</v>
      </c>
      <c r="K1737" s="26" t="n">
        <v>28.5</v>
      </c>
      <c r="L1737" s="27" t="n">
        <v>0.25</v>
      </c>
      <c r="M1737" s="26" t="n">
        <v>120.62</v>
      </c>
      <c r="N1737" s="28" t="n">
        <v>3.7</v>
      </c>
      <c r="O1737" s="28" t="n">
        <v>32.3</v>
      </c>
      <c r="P1737" s="25" t="inlineStr">
        <is>
          <t>Cash on Delivery</t>
        </is>
      </c>
      <c r="Q1737" s="25" t="inlineStr">
        <is>
          <t>Delivered</t>
        </is>
      </c>
      <c r="R1737" s="25" t="n">
        <v>5</v>
      </c>
      <c r="S1737" s="25">
        <f>TEXT(B1737,"yyyy-mm")</f>
        <v/>
      </c>
      <c r="T1737" s="25">
        <f>VLOOKUP(D1737,Customers!A:D,4,FALSE)</f>
        <v/>
      </c>
      <c r="U1737" s="25">
        <f>CONCATENATE(A1737,"-",G1737)</f>
        <v/>
      </c>
      <c r="V1737" s="25">
        <f>IF(N1737="","",IF(N1737&lt;=30,"Fast (&lt;30m)",IF(N1737&lt;=45,"Moderate (30-45m)","Delayed (&gt;45m)")))</f>
        <v/>
      </c>
      <c r="W1737" s="25">
        <f>IF(AND(I1737&gt;600,P1737="Delivered"),"High Value Delivered","Standard")</f>
        <v/>
      </c>
      <c r="X1737" s="25">
        <f>IF(OR(N1737&gt;50,Q1737&lt;=2),"High Risk / Delayed","Normal")</f>
        <v/>
      </c>
      <c r="Y1737" s="25">
        <f>IF(NOT(P1737="Cancelled"),"Fulfilled","Cancelled")</f>
        <v/>
      </c>
      <c r="Z1737" s="25">
        <f>IFERROR(Q1737,0)</f>
        <v/>
      </c>
    </row>
    <row r="1738">
      <c r="A1738" s="17" t="inlineStr">
        <is>
          <t>ORD2737</t>
        </is>
      </c>
      <c r="B1738" s="17" t="inlineStr">
        <is>
          <t>2025-08-21</t>
        </is>
      </c>
      <c r="C1738" s="17" t="inlineStr">
        <is>
          <t>13:30:44</t>
        </is>
      </c>
      <c r="D1738" s="17" t="n">
        <v>1121</v>
      </c>
      <c r="E1738" s="17" t="n">
        <v>115</v>
      </c>
      <c r="F1738" s="17" t="n">
        <v>203</v>
      </c>
      <c r="G1738" s="17" t="inlineStr">
        <is>
          <t>Bangalore</t>
        </is>
      </c>
      <c r="H1738" s="17" t="inlineStr">
        <is>
          <t>Italian</t>
        </is>
      </c>
      <c r="I1738" s="22" t="n">
        <v>282</v>
      </c>
      <c r="J1738" s="22" t="n">
        <v>22.05</v>
      </c>
      <c r="K1738" s="22" t="n">
        <v>37</v>
      </c>
      <c r="L1738" s="23" t="n">
        <v>0.2</v>
      </c>
      <c r="M1738" s="22" t="n">
        <v>65.65000000000001</v>
      </c>
      <c r="N1738" s="24" t="n">
        <v>5.4</v>
      </c>
      <c r="O1738" s="24" t="n">
        <v>42</v>
      </c>
      <c r="P1738" s="17" t="inlineStr">
        <is>
          <t>Credit Card</t>
        </is>
      </c>
      <c r="Q1738" s="17" t="inlineStr">
        <is>
          <t>Delivered</t>
        </is>
      </c>
      <c r="R1738" s="17" t="n">
        <v>3</v>
      </c>
      <c r="S1738" s="17">
        <f>TEXT(B1738,"yyyy-mm")</f>
        <v/>
      </c>
      <c r="T1738" s="17">
        <f>VLOOKUP(D1738,Customers!A:D,4,FALSE)</f>
        <v/>
      </c>
      <c r="U1738" s="17">
        <f>CONCATENATE(A1738,"-",G1738)</f>
        <v/>
      </c>
      <c r="V1738" s="17">
        <f>IF(N1738="","",IF(N1738&lt;=30,"Fast (&lt;30m)",IF(N1738&lt;=45,"Moderate (30-45m)","Delayed (&gt;45m)")))</f>
        <v/>
      </c>
      <c r="W1738" s="17">
        <f>IF(AND(I1738&gt;600,P1738="Delivered"),"High Value Delivered","Standard")</f>
        <v/>
      </c>
      <c r="X1738" s="17">
        <f>IF(OR(N1738&gt;50,Q1738&lt;=2),"High Risk / Delayed","Normal")</f>
        <v/>
      </c>
      <c r="Y1738" s="17">
        <f>IF(NOT(P1738="Cancelled"),"Fulfilled","Cancelled")</f>
        <v/>
      </c>
      <c r="Z1738" s="17">
        <f>IFERROR(Q1738,0)</f>
        <v/>
      </c>
    </row>
    <row r="1739">
      <c r="A1739" s="25" t="inlineStr">
        <is>
          <t>ORD2738</t>
        </is>
      </c>
      <c r="B1739" s="25" t="inlineStr">
        <is>
          <t>2025-07-06</t>
        </is>
      </c>
      <c r="C1739" s="25" t="inlineStr">
        <is>
          <t>21:48:00</t>
        </is>
      </c>
      <c r="D1739" s="25" t="n">
        <v>1257</v>
      </c>
      <c r="E1739" s="25" t="n">
        <v>116</v>
      </c>
      <c r="F1739" s="25" t="n">
        <v>208</v>
      </c>
      <c r="G1739" s="25" t="inlineStr">
        <is>
          <t>Pune</t>
        </is>
      </c>
      <c r="H1739" s="25" t="inlineStr">
        <is>
          <t>Desserts</t>
        </is>
      </c>
      <c r="I1739" s="26" t="n">
        <v>843</v>
      </c>
      <c r="J1739" s="26" t="n">
        <v>96.41</v>
      </c>
      <c r="K1739" s="26" t="n">
        <v>0</v>
      </c>
      <c r="L1739" s="27" t="n">
        <v>0.25</v>
      </c>
      <c r="M1739" s="26" t="n">
        <v>210.75</v>
      </c>
      <c r="N1739" s="28" t="n">
        <v>2.3</v>
      </c>
      <c r="O1739" s="28" t="n">
        <v>34.4</v>
      </c>
      <c r="P1739" s="25" t="inlineStr">
        <is>
          <t>Credit Card</t>
        </is>
      </c>
      <c r="Q1739" s="25" t="inlineStr">
        <is>
          <t>Delivered</t>
        </is>
      </c>
      <c r="R1739" s="25" t="n">
        <v>4</v>
      </c>
      <c r="S1739" s="25">
        <f>TEXT(B1739,"yyyy-mm")</f>
        <v/>
      </c>
      <c r="T1739" s="25">
        <f>VLOOKUP(D1739,Customers!A:D,4,FALSE)</f>
        <v/>
      </c>
      <c r="U1739" s="25">
        <f>CONCATENATE(A1739,"-",G1739)</f>
        <v/>
      </c>
      <c r="V1739" s="25">
        <f>IF(N1739="","",IF(N1739&lt;=30,"Fast (&lt;30m)",IF(N1739&lt;=45,"Moderate (30-45m)","Delayed (&gt;45m)")))</f>
        <v/>
      </c>
      <c r="W1739" s="25">
        <f>IF(AND(I1739&gt;600,P1739="Delivered"),"High Value Delivered","Standard")</f>
        <v/>
      </c>
      <c r="X1739" s="25">
        <f>IF(OR(N1739&gt;50,Q1739&lt;=2),"High Risk / Delayed","Normal")</f>
        <v/>
      </c>
      <c r="Y1739" s="25">
        <f>IF(NOT(P1739="Cancelled"),"Fulfilled","Cancelled")</f>
        <v/>
      </c>
      <c r="Z1739" s="25">
        <f>IFERROR(Q1739,0)</f>
        <v/>
      </c>
    </row>
    <row r="1740">
      <c r="A1740" s="17" t="inlineStr">
        <is>
          <t>ORD2739</t>
        </is>
      </c>
      <c r="B1740" s="17" t="inlineStr">
        <is>
          <t>2025-11-19</t>
        </is>
      </c>
      <c r="C1740" s="17" t="inlineStr">
        <is>
          <t>21:22:20</t>
        </is>
      </c>
      <c r="D1740" s="17" t="n">
        <v>1053</v>
      </c>
      <c r="E1740" s="17" t="n">
        <v>114</v>
      </c>
      <c r="F1740" s="17" t="n">
        <v>215</v>
      </c>
      <c r="G1740" s="17" t="inlineStr">
        <is>
          <t>Hyderabad</t>
        </is>
      </c>
      <c r="H1740" s="17" t="inlineStr">
        <is>
          <t>Biryani</t>
        </is>
      </c>
      <c r="I1740" s="22" t="n">
        <v>1050</v>
      </c>
      <c r="J1740" s="22" t="n">
        <v>114.05</v>
      </c>
      <c r="K1740" s="22" t="n">
        <v>0</v>
      </c>
      <c r="L1740" s="23" t="n">
        <v>0.22</v>
      </c>
      <c r="M1740" s="22" t="n">
        <v>231</v>
      </c>
      <c r="N1740" s="24" t="n">
        <v>3</v>
      </c>
      <c r="O1740" s="24" t="n">
        <v>34.5</v>
      </c>
      <c r="P1740" s="17" t="inlineStr">
        <is>
          <t>Debit Card</t>
        </is>
      </c>
      <c r="Q1740" s="17" t="inlineStr">
        <is>
          <t>Delivered</t>
        </is>
      </c>
      <c r="R1740" s="17" t="n">
        <v>5</v>
      </c>
      <c r="S1740" s="17">
        <f>TEXT(B1740,"yyyy-mm")</f>
        <v/>
      </c>
      <c r="T1740" s="17">
        <f>VLOOKUP(D1740,Customers!A:D,4,FALSE)</f>
        <v/>
      </c>
      <c r="U1740" s="17">
        <f>CONCATENATE(A1740,"-",G1740)</f>
        <v/>
      </c>
      <c r="V1740" s="17">
        <f>IF(N1740="","",IF(N1740&lt;=30,"Fast (&lt;30m)",IF(N1740&lt;=45,"Moderate (30-45m)","Delayed (&gt;45m)")))</f>
        <v/>
      </c>
      <c r="W1740" s="17">
        <f>IF(AND(I1740&gt;600,P1740="Delivered"),"High Value Delivered","Standard")</f>
        <v/>
      </c>
      <c r="X1740" s="17">
        <f>IF(OR(N1740&gt;50,Q1740&lt;=2),"High Risk / Delayed","Normal")</f>
        <v/>
      </c>
      <c r="Y1740" s="17">
        <f>IF(NOT(P1740="Cancelled"),"Fulfilled","Cancelled")</f>
        <v/>
      </c>
      <c r="Z1740" s="17">
        <f>IFERROR(Q1740,0)</f>
        <v/>
      </c>
    </row>
    <row r="1741">
      <c r="A1741" s="25" t="inlineStr">
        <is>
          <t>ORD2740</t>
        </is>
      </c>
      <c r="B1741" s="25" t="inlineStr">
        <is>
          <t>2025-10-04</t>
        </is>
      </c>
      <c r="C1741" s="25" t="inlineStr">
        <is>
          <t>20:28:59</t>
        </is>
      </c>
      <c r="D1741" s="25" t="n">
        <v>1215</v>
      </c>
      <c r="E1741" s="25" t="n">
        <v>120</v>
      </c>
      <c r="F1741" s="25" t="n">
        <v>217</v>
      </c>
      <c r="G1741" s="25" t="inlineStr">
        <is>
          <t>Pune</t>
        </is>
      </c>
      <c r="H1741" s="25" t="inlineStr">
        <is>
          <t>Fast Food</t>
        </is>
      </c>
      <c r="I1741" s="26" t="n">
        <v>327</v>
      </c>
      <c r="J1741" s="26" t="n">
        <v>32.07</v>
      </c>
      <c r="K1741" s="26" t="n">
        <v>71</v>
      </c>
      <c r="L1741" s="27" t="n">
        <v>0.18</v>
      </c>
      <c r="M1741" s="26" t="n">
        <v>76.61</v>
      </c>
      <c r="N1741" s="28" t="n">
        <v>12.2</v>
      </c>
      <c r="O1741" s="28" t="n">
        <v>62.4</v>
      </c>
      <c r="P1741" s="25" t="inlineStr">
        <is>
          <t>Credit Card</t>
        </is>
      </c>
      <c r="Q1741" s="25" t="inlineStr">
        <is>
          <t>Delivered</t>
        </is>
      </c>
      <c r="R1741" s="25" t="n">
        <v>2</v>
      </c>
      <c r="S1741" s="25">
        <f>TEXT(B1741,"yyyy-mm")</f>
        <v/>
      </c>
      <c r="T1741" s="25">
        <f>VLOOKUP(D1741,Customers!A:D,4,FALSE)</f>
        <v/>
      </c>
      <c r="U1741" s="25">
        <f>CONCATENATE(A1741,"-",G1741)</f>
        <v/>
      </c>
      <c r="V1741" s="25">
        <f>IF(N1741="","",IF(N1741&lt;=30,"Fast (&lt;30m)",IF(N1741&lt;=45,"Moderate (30-45m)","Delayed (&gt;45m)")))</f>
        <v/>
      </c>
      <c r="W1741" s="25">
        <f>IF(AND(I1741&gt;600,P1741="Delivered"),"High Value Delivered","Standard")</f>
        <v/>
      </c>
      <c r="X1741" s="25">
        <f>IF(OR(N1741&gt;50,Q1741&lt;=2),"High Risk / Delayed","Normal")</f>
        <v/>
      </c>
      <c r="Y1741" s="25">
        <f>IF(NOT(P1741="Cancelled"),"Fulfilled","Cancelled")</f>
        <v/>
      </c>
      <c r="Z1741" s="25">
        <f>IFERROR(Q1741,0)</f>
        <v/>
      </c>
    </row>
    <row r="1742">
      <c r="A1742" s="17" t="inlineStr">
        <is>
          <t>ORD2741</t>
        </is>
      </c>
      <c r="B1742" s="17" t="inlineStr">
        <is>
          <t>2025-10-20</t>
        </is>
      </c>
      <c r="C1742" s="17" t="inlineStr">
        <is>
          <t>14:08:20</t>
        </is>
      </c>
      <c r="D1742" s="17" t="n">
        <v>1080</v>
      </c>
      <c r="E1742" s="17" t="n">
        <v>106</v>
      </c>
      <c r="F1742" s="17" t="n">
        <v>217</v>
      </c>
      <c r="G1742" s="17" t="inlineStr">
        <is>
          <t>Pune</t>
        </is>
      </c>
      <c r="H1742" s="17" t="inlineStr">
        <is>
          <t>South Indian</t>
        </is>
      </c>
      <c r="I1742" s="22" t="n">
        <v>801</v>
      </c>
      <c r="J1742" s="22" t="n">
        <v>0</v>
      </c>
      <c r="K1742" s="22" t="n">
        <v>28</v>
      </c>
      <c r="L1742" s="23" t="n">
        <v>0.15</v>
      </c>
      <c r="M1742" s="22" t="n">
        <v>127.15</v>
      </c>
      <c r="N1742" s="24" t="n">
        <v>3.6</v>
      </c>
      <c r="O1742" s="24" t="n">
        <v>30.8</v>
      </c>
      <c r="P1742" s="17" t="inlineStr">
        <is>
          <t>Digital Wallet</t>
        </is>
      </c>
      <c r="Q1742" s="17" t="inlineStr">
        <is>
          <t>Delivered</t>
        </is>
      </c>
      <c r="R1742" s="17" t="n">
        <v>4</v>
      </c>
      <c r="S1742" s="17">
        <f>TEXT(B1742,"yyyy-mm")</f>
        <v/>
      </c>
      <c r="T1742" s="17">
        <f>VLOOKUP(D1742,Customers!A:D,4,FALSE)</f>
        <v/>
      </c>
      <c r="U1742" s="17">
        <f>CONCATENATE(A1742,"-",G1742)</f>
        <v/>
      </c>
      <c r="V1742" s="17">
        <f>IF(N1742="","",IF(N1742&lt;=30,"Fast (&lt;30m)",IF(N1742&lt;=45,"Moderate (30-45m)","Delayed (&gt;45m)")))</f>
        <v/>
      </c>
      <c r="W1742" s="17">
        <f>IF(AND(I1742&gt;600,P1742="Delivered"),"High Value Delivered","Standard")</f>
        <v/>
      </c>
      <c r="X1742" s="17">
        <f>IF(OR(N1742&gt;50,Q1742&lt;=2),"High Risk / Delayed","Normal")</f>
        <v/>
      </c>
      <c r="Y1742" s="17">
        <f>IF(NOT(P1742="Cancelled"),"Fulfilled","Cancelled")</f>
        <v/>
      </c>
      <c r="Z1742" s="17">
        <f>IFERROR(Q1742,0)</f>
        <v/>
      </c>
    </row>
    <row r="1743">
      <c r="A1743" s="25" t="inlineStr">
        <is>
          <t>ORD2742</t>
        </is>
      </c>
      <c r="B1743" s="25" t="inlineStr">
        <is>
          <t>2025-05-01</t>
        </is>
      </c>
      <c r="C1743" s="25" t="inlineStr">
        <is>
          <t>21:27:39</t>
        </is>
      </c>
      <c r="D1743" s="25" t="n">
        <v>1129</v>
      </c>
      <c r="E1743" s="25" t="n">
        <v>110</v>
      </c>
      <c r="F1743" s="25" t="n">
        <v>204</v>
      </c>
      <c r="G1743" s="25" t="inlineStr">
        <is>
          <t>Pune</t>
        </is>
      </c>
      <c r="H1743" s="25" t="inlineStr">
        <is>
          <t>North Indian</t>
        </is>
      </c>
      <c r="I1743" s="26" t="n">
        <v>843</v>
      </c>
      <c r="J1743" s="26" t="n">
        <v>52.83</v>
      </c>
      <c r="K1743" s="26" t="n">
        <v>25</v>
      </c>
      <c r="L1743" s="27" t="n">
        <v>0.18</v>
      </c>
      <c r="M1743" s="26" t="n">
        <v>157.99</v>
      </c>
      <c r="N1743" s="28" t="n">
        <v>3</v>
      </c>
      <c r="O1743" s="28" t="n">
        <v>34.1</v>
      </c>
      <c r="P1743" s="25" t="inlineStr">
        <is>
          <t>Credit Card</t>
        </is>
      </c>
      <c r="Q1743" s="25" t="inlineStr">
        <is>
          <t>Delivered</t>
        </is>
      </c>
      <c r="R1743" s="25" t="n">
        <v>4</v>
      </c>
      <c r="S1743" s="25">
        <f>TEXT(B1743,"yyyy-mm")</f>
        <v/>
      </c>
      <c r="T1743" s="25">
        <f>VLOOKUP(D1743,Customers!A:D,4,FALSE)</f>
        <v/>
      </c>
      <c r="U1743" s="25">
        <f>CONCATENATE(A1743,"-",G1743)</f>
        <v/>
      </c>
      <c r="V1743" s="25">
        <f>IF(N1743="","",IF(N1743&lt;=30,"Fast (&lt;30m)",IF(N1743&lt;=45,"Moderate (30-45m)","Delayed (&gt;45m)")))</f>
        <v/>
      </c>
      <c r="W1743" s="25">
        <f>IF(AND(I1743&gt;600,P1743="Delivered"),"High Value Delivered","Standard")</f>
        <v/>
      </c>
      <c r="X1743" s="25">
        <f>IF(OR(N1743&gt;50,Q1743&lt;=2),"High Risk / Delayed","Normal")</f>
        <v/>
      </c>
      <c r="Y1743" s="25">
        <f>IF(NOT(P1743="Cancelled"),"Fulfilled","Cancelled")</f>
        <v/>
      </c>
      <c r="Z1743" s="25">
        <f>IFERROR(Q1743,0)</f>
        <v/>
      </c>
    </row>
    <row r="1744">
      <c r="A1744" s="17" t="inlineStr">
        <is>
          <t>ORD2743</t>
        </is>
      </c>
      <c r="B1744" s="17" t="inlineStr">
        <is>
          <t>2025-06-19</t>
        </is>
      </c>
      <c r="C1744" s="17" t="inlineStr">
        <is>
          <t>19:51:02</t>
        </is>
      </c>
      <c r="D1744" s="17" t="n">
        <v>1088</v>
      </c>
      <c r="E1744" s="17" t="n">
        <v>110</v>
      </c>
      <c r="F1744" s="17" t="n">
        <v>226</v>
      </c>
      <c r="G1744" s="17" t="inlineStr">
        <is>
          <t>Pune</t>
        </is>
      </c>
      <c r="H1744" s="17" t="inlineStr">
        <is>
          <t>North Indian</t>
        </is>
      </c>
      <c r="I1744" s="22" t="n">
        <v>839</v>
      </c>
      <c r="J1744" s="22" t="n">
        <v>82.58</v>
      </c>
      <c r="K1744" s="22" t="n">
        <v>56.5</v>
      </c>
      <c r="L1744" s="23" t="n">
        <v>0.18</v>
      </c>
      <c r="M1744" s="22" t="n">
        <v>165.14</v>
      </c>
      <c r="N1744" s="24" t="n">
        <v>9.300000000000001</v>
      </c>
      <c r="O1744" s="24" t="n">
        <v/>
      </c>
      <c r="P1744" s="17" t="inlineStr">
        <is>
          <t>Digital Wallet</t>
        </is>
      </c>
      <c r="Q1744" s="17" t="inlineStr">
        <is>
          <t>Cancelled</t>
        </is>
      </c>
      <c r="R1744" s="17" t="n">
        <v/>
      </c>
      <c r="S1744" s="17">
        <f>TEXT(B1744,"yyyy-mm")</f>
        <v/>
      </c>
      <c r="T1744" s="17">
        <f>VLOOKUP(D1744,Customers!A:D,4,FALSE)</f>
        <v/>
      </c>
      <c r="U1744" s="17">
        <f>CONCATENATE(A1744,"-",G1744)</f>
        <v/>
      </c>
      <c r="V1744" s="17">
        <f>IF(N1744="","",IF(N1744&lt;=30,"Fast (&lt;30m)",IF(N1744&lt;=45,"Moderate (30-45m)","Delayed (&gt;45m)")))</f>
        <v/>
      </c>
      <c r="W1744" s="17">
        <f>IF(AND(I1744&gt;600,P1744="Delivered"),"High Value Delivered","Standard")</f>
        <v/>
      </c>
      <c r="X1744" s="17">
        <f>IF(OR(N1744&gt;50,Q1744&lt;=2),"High Risk / Delayed","Normal")</f>
        <v/>
      </c>
      <c r="Y1744" s="17">
        <f>IF(NOT(P1744="Cancelled"),"Fulfilled","Cancelled")</f>
        <v/>
      </c>
      <c r="Z1744" s="17">
        <f>IFERROR(Q1744,0)</f>
        <v/>
      </c>
    </row>
    <row r="1745">
      <c r="A1745" s="25" t="inlineStr">
        <is>
          <t>ORD2744</t>
        </is>
      </c>
      <c r="B1745" s="25" t="inlineStr">
        <is>
          <t>2025-11-28</t>
        </is>
      </c>
      <c r="C1745" s="25" t="inlineStr">
        <is>
          <t>07:08:19</t>
        </is>
      </c>
      <c r="D1745" s="25" t="n">
        <v>1078</v>
      </c>
      <c r="E1745" s="25" t="n">
        <v>104</v>
      </c>
      <c r="F1745" s="25" t="n">
        <v>228</v>
      </c>
      <c r="G1745" s="25" t="inlineStr">
        <is>
          <t>Delhi NCR</t>
        </is>
      </c>
      <c r="H1745" s="25" t="inlineStr">
        <is>
          <t>Fast Food</t>
        </is>
      </c>
      <c r="I1745" s="26" t="n">
        <v>840</v>
      </c>
      <c r="J1745" s="26" t="n">
        <v>0</v>
      </c>
      <c r="K1745" s="26" t="n">
        <v>26.5</v>
      </c>
      <c r="L1745" s="27" t="n">
        <v>0.18</v>
      </c>
      <c r="M1745" s="26" t="n">
        <v>157.82</v>
      </c>
      <c r="N1745" s="28" t="n">
        <v>3.3</v>
      </c>
      <c r="O1745" s="28" t="n">
        <v>30.4</v>
      </c>
      <c r="P1745" s="25" t="inlineStr">
        <is>
          <t>Digital Wallet</t>
        </is>
      </c>
      <c r="Q1745" s="25" t="inlineStr">
        <is>
          <t>Returned</t>
        </is>
      </c>
      <c r="R1745" s="25" t="n">
        <v>5</v>
      </c>
      <c r="S1745" s="25">
        <f>TEXT(B1745,"yyyy-mm")</f>
        <v/>
      </c>
      <c r="T1745" s="25">
        <f>VLOOKUP(D1745,Customers!A:D,4,FALSE)</f>
        <v/>
      </c>
      <c r="U1745" s="25">
        <f>CONCATENATE(A1745,"-",G1745)</f>
        <v/>
      </c>
      <c r="V1745" s="25">
        <f>IF(N1745="","",IF(N1745&lt;=30,"Fast (&lt;30m)",IF(N1745&lt;=45,"Moderate (30-45m)","Delayed (&gt;45m)")))</f>
        <v/>
      </c>
      <c r="W1745" s="25">
        <f>IF(AND(I1745&gt;600,P1745="Delivered"),"High Value Delivered","Standard")</f>
        <v/>
      </c>
      <c r="X1745" s="25">
        <f>IF(OR(N1745&gt;50,Q1745&lt;=2),"High Risk / Delayed","Normal")</f>
        <v/>
      </c>
      <c r="Y1745" s="25">
        <f>IF(NOT(P1745="Cancelled"),"Fulfilled","Cancelled")</f>
        <v/>
      </c>
      <c r="Z1745" s="25">
        <f>IFERROR(Q1745,0)</f>
        <v/>
      </c>
    </row>
    <row r="1746">
      <c r="A1746" s="17" t="inlineStr">
        <is>
          <t>ORD2745</t>
        </is>
      </c>
      <c r="B1746" s="17" t="inlineStr">
        <is>
          <t>2025-06-27</t>
        </is>
      </c>
      <c r="C1746" s="17" t="inlineStr">
        <is>
          <t>13:28:40</t>
        </is>
      </c>
      <c r="D1746" s="17" t="n">
        <v>1116</v>
      </c>
      <c r="E1746" s="17" t="n">
        <v>107</v>
      </c>
      <c r="F1746" s="17" t="n">
        <v>206</v>
      </c>
      <c r="G1746" s="17" t="inlineStr">
        <is>
          <t>Mumbai</t>
        </is>
      </c>
      <c r="H1746" s="17" t="inlineStr">
        <is>
          <t>Desserts</t>
        </is>
      </c>
      <c r="I1746" s="22" t="n">
        <v>1007</v>
      </c>
      <c r="J1746" s="22" t="n">
        <v>146.81</v>
      </c>
      <c r="K1746" s="22" t="n">
        <v>0</v>
      </c>
      <c r="L1746" s="23" t="n">
        <v>0.25</v>
      </c>
      <c r="M1746" s="22" t="n">
        <v>251.75</v>
      </c>
      <c r="N1746" s="24" t="n">
        <v>4.9</v>
      </c>
      <c r="O1746" s="24" t="n">
        <v>39</v>
      </c>
      <c r="P1746" s="17" t="inlineStr">
        <is>
          <t>UPI</t>
        </is>
      </c>
      <c r="Q1746" s="17" t="inlineStr">
        <is>
          <t>Delivered</t>
        </is>
      </c>
      <c r="R1746" s="17" t="n">
        <v>4</v>
      </c>
      <c r="S1746" s="17">
        <f>TEXT(B1746,"yyyy-mm")</f>
        <v/>
      </c>
      <c r="T1746" s="17">
        <f>VLOOKUP(D1746,Customers!A:D,4,FALSE)</f>
        <v/>
      </c>
      <c r="U1746" s="17">
        <f>CONCATENATE(A1746,"-",G1746)</f>
        <v/>
      </c>
      <c r="V1746" s="17">
        <f>IF(N1746="","",IF(N1746&lt;=30,"Fast (&lt;30m)",IF(N1746&lt;=45,"Moderate (30-45m)","Delayed (&gt;45m)")))</f>
        <v/>
      </c>
      <c r="W1746" s="17">
        <f>IF(AND(I1746&gt;600,P1746="Delivered"),"High Value Delivered","Standard")</f>
        <v/>
      </c>
      <c r="X1746" s="17">
        <f>IF(OR(N1746&gt;50,Q1746&lt;=2),"High Risk / Delayed","Normal")</f>
        <v/>
      </c>
      <c r="Y1746" s="17">
        <f>IF(NOT(P1746="Cancelled"),"Fulfilled","Cancelled")</f>
        <v/>
      </c>
      <c r="Z1746" s="17">
        <f>IFERROR(Q1746,0)</f>
        <v/>
      </c>
    </row>
    <row r="1747">
      <c r="A1747" s="25" t="inlineStr">
        <is>
          <t>ORD2746</t>
        </is>
      </c>
      <c r="B1747" s="25" t="inlineStr">
        <is>
          <t>2025-04-02</t>
        </is>
      </c>
      <c r="C1747" s="25" t="inlineStr">
        <is>
          <t>20:15:57</t>
        </is>
      </c>
      <c r="D1747" s="25" t="n">
        <v>1214</v>
      </c>
      <c r="E1747" s="25" t="n">
        <v>117</v>
      </c>
      <c r="F1747" s="25" t="n">
        <v>229</v>
      </c>
      <c r="G1747" s="25" t="inlineStr">
        <is>
          <t>Mumbai</t>
        </is>
      </c>
      <c r="H1747" s="25" t="inlineStr">
        <is>
          <t>Chinese</t>
        </is>
      </c>
      <c r="I1747" s="26" t="n">
        <v>777</v>
      </c>
      <c r="J1747" s="26" t="n">
        <v>0</v>
      </c>
      <c r="K1747" s="26" t="n">
        <v>25</v>
      </c>
      <c r="L1747" s="27" t="n">
        <v>0.2</v>
      </c>
      <c r="M1747" s="26" t="n">
        <v>161.65</v>
      </c>
      <c r="N1747" s="28" t="n">
        <v>2.8</v>
      </c>
      <c r="O1747" s="28" t="n">
        <v>29.1</v>
      </c>
      <c r="P1747" s="25" t="inlineStr">
        <is>
          <t>Credit Card</t>
        </is>
      </c>
      <c r="Q1747" s="25" t="inlineStr">
        <is>
          <t>Delivered</t>
        </is>
      </c>
      <c r="R1747" s="25" t="n">
        <v>5</v>
      </c>
      <c r="S1747" s="25">
        <f>TEXT(B1747,"yyyy-mm")</f>
        <v/>
      </c>
      <c r="T1747" s="25">
        <f>VLOOKUP(D1747,Customers!A:D,4,FALSE)</f>
        <v/>
      </c>
      <c r="U1747" s="25">
        <f>CONCATENATE(A1747,"-",G1747)</f>
        <v/>
      </c>
      <c r="V1747" s="25">
        <f>IF(N1747="","",IF(N1747&lt;=30,"Fast (&lt;30m)",IF(N1747&lt;=45,"Moderate (30-45m)","Delayed (&gt;45m)")))</f>
        <v/>
      </c>
      <c r="W1747" s="25">
        <f>IF(AND(I1747&gt;600,P1747="Delivered"),"High Value Delivered","Standard")</f>
        <v/>
      </c>
      <c r="X1747" s="25">
        <f>IF(OR(N1747&gt;50,Q1747&lt;=2),"High Risk / Delayed","Normal")</f>
        <v/>
      </c>
      <c r="Y1747" s="25">
        <f>IF(NOT(P1747="Cancelled"),"Fulfilled","Cancelled")</f>
        <v/>
      </c>
      <c r="Z1747" s="25">
        <f>IFERROR(Q1747,0)</f>
        <v/>
      </c>
    </row>
    <row r="1748">
      <c r="A1748" s="17" t="inlineStr">
        <is>
          <t>ORD2747</t>
        </is>
      </c>
      <c r="B1748" s="17" t="inlineStr">
        <is>
          <t>2025-05-21</t>
        </is>
      </c>
      <c r="C1748" s="17" t="inlineStr">
        <is>
          <t>07:24:49</t>
        </is>
      </c>
      <c r="D1748" s="17" t="n">
        <v>1030</v>
      </c>
      <c r="E1748" s="17" t="n">
        <v>119</v>
      </c>
      <c r="F1748" s="17" t="n">
        <v>215</v>
      </c>
      <c r="G1748" s="17" t="inlineStr">
        <is>
          <t>Hyderabad</t>
        </is>
      </c>
      <c r="H1748" s="17" t="inlineStr">
        <is>
          <t>Biryani</t>
        </is>
      </c>
      <c r="I1748" s="22" t="n">
        <v>299</v>
      </c>
      <c r="J1748" s="22" t="n">
        <v>1.52</v>
      </c>
      <c r="K1748" s="22" t="n">
        <v>25</v>
      </c>
      <c r="L1748" s="23" t="n">
        <v>0.2</v>
      </c>
      <c r="M1748" s="22" t="n">
        <v>66.05</v>
      </c>
      <c r="N1748" s="24" t="n">
        <v>2.5</v>
      </c>
      <c r="O1748" s="24" t="n">
        <v>27.4</v>
      </c>
      <c r="P1748" s="17" t="inlineStr">
        <is>
          <t>Cash on Delivery</t>
        </is>
      </c>
      <c r="Q1748" s="17" t="inlineStr">
        <is>
          <t>Delivered</t>
        </is>
      </c>
      <c r="R1748" s="17" t="n">
        <v>4</v>
      </c>
      <c r="S1748" s="17">
        <f>TEXT(B1748,"yyyy-mm")</f>
        <v/>
      </c>
      <c r="T1748" s="17">
        <f>VLOOKUP(D1748,Customers!A:D,4,FALSE)</f>
        <v/>
      </c>
      <c r="U1748" s="17">
        <f>CONCATENATE(A1748,"-",G1748)</f>
        <v/>
      </c>
      <c r="V1748" s="17">
        <f>IF(N1748="","",IF(N1748&lt;=30,"Fast (&lt;30m)",IF(N1748&lt;=45,"Moderate (30-45m)","Delayed (&gt;45m)")))</f>
        <v/>
      </c>
      <c r="W1748" s="17">
        <f>IF(AND(I1748&gt;600,P1748="Delivered"),"High Value Delivered","Standard")</f>
        <v/>
      </c>
      <c r="X1748" s="17">
        <f>IF(OR(N1748&gt;50,Q1748&lt;=2),"High Risk / Delayed","Normal")</f>
        <v/>
      </c>
      <c r="Y1748" s="17">
        <f>IF(NOT(P1748="Cancelled"),"Fulfilled","Cancelled")</f>
        <v/>
      </c>
      <c r="Z1748" s="17">
        <f>IFERROR(Q1748,0)</f>
        <v/>
      </c>
    </row>
    <row r="1749">
      <c r="A1749" s="25" t="inlineStr">
        <is>
          <t>ORD2748</t>
        </is>
      </c>
      <c r="B1749" s="25" t="inlineStr">
        <is>
          <t>2025-10-05</t>
        </is>
      </c>
      <c r="C1749" s="25" t="inlineStr">
        <is>
          <t>18:09:54</t>
        </is>
      </c>
      <c r="D1749" s="25" t="n">
        <v>1125</v>
      </c>
      <c r="E1749" s="25" t="n">
        <v>116</v>
      </c>
      <c r="F1749" s="25" t="n">
        <v>217</v>
      </c>
      <c r="G1749" s="25" t="inlineStr">
        <is>
          <t>Pune</t>
        </is>
      </c>
      <c r="H1749" s="25" t="inlineStr">
        <is>
          <t>Desserts</t>
        </is>
      </c>
      <c r="I1749" s="26" t="n">
        <v>858</v>
      </c>
      <c r="J1749" s="26" t="n">
        <v>29.96</v>
      </c>
      <c r="K1749" s="26" t="n">
        <v>30</v>
      </c>
      <c r="L1749" s="27" t="n">
        <v>0.25</v>
      </c>
      <c r="M1749" s="26" t="n">
        <v>222</v>
      </c>
      <c r="N1749" s="28" t="n">
        <v>4</v>
      </c>
      <c r="O1749" s="28" t="n">
        <v>31.4</v>
      </c>
      <c r="P1749" s="25" t="inlineStr">
        <is>
          <t>Credit Card</t>
        </is>
      </c>
      <c r="Q1749" s="25" t="inlineStr">
        <is>
          <t>Delivered</t>
        </is>
      </c>
      <c r="R1749" s="25" t="n">
        <v>5</v>
      </c>
      <c r="S1749" s="25">
        <f>TEXT(B1749,"yyyy-mm")</f>
        <v/>
      </c>
      <c r="T1749" s="25">
        <f>VLOOKUP(D1749,Customers!A:D,4,FALSE)</f>
        <v/>
      </c>
      <c r="U1749" s="25">
        <f>CONCATENATE(A1749,"-",G1749)</f>
        <v/>
      </c>
      <c r="V1749" s="25">
        <f>IF(N1749="","",IF(N1749&lt;=30,"Fast (&lt;30m)",IF(N1749&lt;=45,"Moderate (30-45m)","Delayed (&gt;45m)")))</f>
        <v/>
      </c>
      <c r="W1749" s="25">
        <f>IF(AND(I1749&gt;600,P1749="Delivered"),"High Value Delivered","Standard")</f>
        <v/>
      </c>
      <c r="X1749" s="25">
        <f>IF(OR(N1749&gt;50,Q1749&lt;=2),"High Risk / Delayed","Normal")</f>
        <v/>
      </c>
      <c r="Y1749" s="25">
        <f>IF(NOT(P1749="Cancelled"),"Fulfilled","Cancelled")</f>
        <v/>
      </c>
      <c r="Z1749" s="25">
        <f>IFERROR(Q1749,0)</f>
        <v/>
      </c>
    </row>
    <row r="1750">
      <c r="A1750" s="17" t="inlineStr">
        <is>
          <t>ORD2749</t>
        </is>
      </c>
      <c r="B1750" s="17" t="inlineStr">
        <is>
          <t>2025-09-22</t>
        </is>
      </c>
      <c r="C1750" s="17" t="inlineStr">
        <is>
          <t>16:36:12</t>
        </is>
      </c>
      <c r="D1750" s="17" t="n">
        <v>1058</v>
      </c>
      <c r="E1750" s="17" t="n">
        <v>113</v>
      </c>
      <c r="F1750" s="17" t="n">
        <v>222</v>
      </c>
      <c r="G1750" s="17" t="inlineStr">
        <is>
          <t>Mumbai</t>
        </is>
      </c>
      <c r="H1750" s="17" t="inlineStr">
        <is>
          <t>Fast Food</t>
        </is>
      </c>
      <c r="I1750" s="22" t="n">
        <v>725</v>
      </c>
      <c r="J1750" s="22" t="n">
        <v>2.21</v>
      </c>
      <c r="K1750" s="22" t="n">
        <v>25</v>
      </c>
      <c r="L1750" s="23" t="n">
        <v>0.18</v>
      </c>
      <c r="M1750" s="22" t="n">
        <v>136.75</v>
      </c>
      <c r="N1750" s="24" t="n">
        <v>1.9</v>
      </c>
      <c r="O1750" s="24" t="n">
        <v>28</v>
      </c>
      <c r="P1750" s="17" t="inlineStr">
        <is>
          <t>Debit Card</t>
        </is>
      </c>
      <c r="Q1750" s="17" t="inlineStr">
        <is>
          <t>Delivered</t>
        </is>
      </c>
      <c r="R1750" s="17" t="n">
        <v>5</v>
      </c>
      <c r="S1750" s="17">
        <f>TEXT(B1750,"yyyy-mm")</f>
        <v/>
      </c>
      <c r="T1750" s="17">
        <f>VLOOKUP(D1750,Customers!A:D,4,FALSE)</f>
        <v/>
      </c>
      <c r="U1750" s="17">
        <f>CONCATENATE(A1750,"-",G1750)</f>
        <v/>
      </c>
      <c r="V1750" s="17">
        <f>IF(N1750="","",IF(N1750&lt;=30,"Fast (&lt;30m)",IF(N1750&lt;=45,"Moderate (30-45m)","Delayed (&gt;45m)")))</f>
        <v/>
      </c>
      <c r="W1750" s="17">
        <f>IF(AND(I1750&gt;600,P1750="Delivered"),"High Value Delivered","Standard")</f>
        <v/>
      </c>
      <c r="X1750" s="17">
        <f>IF(OR(N1750&gt;50,Q1750&lt;=2),"High Risk / Delayed","Normal")</f>
        <v/>
      </c>
      <c r="Y1750" s="17">
        <f>IF(NOT(P1750="Cancelled"),"Fulfilled","Cancelled")</f>
        <v/>
      </c>
      <c r="Z1750" s="17">
        <f>IFERROR(Q1750,0)</f>
        <v/>
      </c>
    </row>
    <row r="1751">
      <c r="A1751" s="25" t="inlineStr">
        <is>
          <t>ORD2750</t>
        </is>
      </c>
      <c r="B1751" s="25" t="inlineStr">
        <is>
          <t>2025-12-16</t>
        </is>
      </c>
      <c r="C1751" s="25" t="inlineStr">
        <is>
          <t>21:40:50</t>
        </is>
      </c>
      <c r="D1751" s="25" t="n">
        <v>1142</v>
      </c>
      <c r="E1751" s="25" t="n">
        <v>114</v>
      </c>
      <c r="F1751" s="25" t="n">
        <v>225</v>
      </c>
      <c r="G1751" s="25" t="inlineStr">
        <is>
          <t>Hyderabad</t>
        </is>
      </c>
      <c r="H1751" s="25" t="inlineStr">
        <is>
          <t>Biryani</t>
        </is>
      </c>
      <c r="I1751" s="26" t="n">
        <v>463</v>
      </c>
      <c r="J1751" s="26" t="n">
        <v>0</v>
      </c>
      <c r="K1751" s="26" t="n">
        <v>30.5</v>
      </c>
      <c r="L1751" s="27" t="n">
        <v>0.22</v>
      </c>
      <c r="M1751" s="26" t="n">
        <v>109.48</v>
      </c>
      <c r="N1751" s="28" t="n">
        <v>4.1</v>
      </c>
      <c r="O1751" s="28" t="n">
        <v>36.9</v>
      </c>
      <c r="P1751" s="25" t="inlineStr">
        <is>
          <t>UPI</t>
        </is>
      </c>
      <c r="Q1751" s="25" t="inlineStr">
        <is>
          <t>Delivered</t>
        </is>
      </c>
      <c r="R1751" s="25" t="n">
        <v>3</v>
      </c>
      <c r="S1751" s="25">
        <f>TEXT(B1751,"yyyy-mm")</f>
        <v/>
      </c>
      <c r="T1751" s="25">
        <f>VLOOKUP(D1751,Customers!A:D,4,FALSE)</f>
        <v/>
      </c>
      <c r="U1751" s="25">
        <f>CONCATENATE(A1751,"-",G1751)</f>
        <v/>
      </c>
      <c r="V1751" s="25">
        <f>IF(N1751="","",IF(N1751&lt;=30,"Fast (&lt;30m)",IF(N1751&lt;=45,"Moderate (30-45m)","Delayed (&gt;45m)")))</f>
        <v/>
      </c>
      <c r="W1751" s="25">
        <f>IF(AND(I1751&gt;600,P1751="Delivered"),"High Value Delivered","Standard")</f>
        <v/>
      </c>
      <c r="X1751" s="25">
        <f>IF(OR(N1751&gt;50,Q1751&lt;=2),"High Risk / Delayed","Normal")</f>
        <v/>
      </c>
      <c r="Y1751" s="25">
        <f>IF(NOT(P1751="Cancelled"),"Fulfilled","Cancelled")</f>
        <v/>
      </c>
      <c r="Z1751" s="25">
        <f>IFERROR(Q1751,0)</f>
        <v/>
      </c>
    </row>
    <row r="1752">
      <c r="A1752" s="17" t="inlineStr">
        <is>
          <t>ORD2751</t>
        </is>
      </c>
      <c r="B1752" s="17" t="inlineStr">
        <is>
          <t>2025-11-14</t>
        </is>
      </c>
      <c r="C1752" s="17" t="inlineStr">
        <is>
          <t>17:21:43</t>
        </is>
      </c>
      <c r="D1752" s="17" t="n">
        <v>1194</v>
      </c>
      <c r="E1752" s="17" t="n">
        <v>105</v>
      </c>
      <c r="F1752" s="17" t="n">
        <v>201</v>
      </c>
      <c r="G1752" s="17" t="inlineStr">
        <is>
          <t>Bangalore</t>
        </is>
      </c>
      <c r="H1752" s="17" t="inlineStr">
        <is>
          <t>Chinese</t>
        </is>
      </c>
      <c r="I1752" s="22" t="n">
        <v>687</v>
      </c>
      <c r="J1752" s="22" t="n">
        <v>61.72</v>
      </c>
      <c r="K1752" s="22" t="n">
        <v>29</v>
      </c>
      <c r="L1752" s="23" t="n">
        <v>0.2</v>
      </c>
      <c r="M1752" s="22" t="n">
        <v>144.65</v>
      </c>
      <c r="N1752" s="24" t="n">
        <v>3.8</v>
      </c>
      <c r="O1752" s="24" t="n">
        <v>34.6</v>
      </c>
      <c r="P1752" s="17" t="inlineStr">
        <is>
          <t>UPI</t>
        </is>
      </c>
      <c r="Q1752" s="17" t="inlineStr">
        <is>
          <t>Delivered</t>
        </is>
      </c>
      <c r="R1752" s="17" t="n">
        <v>5</v>
      </c>
      <c r="S1752" s="17">
        <f>TEXT(B1752,"yyyy-mm")</f>
        <v/>
      </c>
      <c r="T1752" s="17">
        <f>VLOOKUP(D1752,Customers!A:D,4,FALSE)</f>
        <v/>
      </c>
      <c r="U1752" s="17">
        <f>CONCATENATE(A1752,"-",G1752)</f>
        <v/>
      </c>
      <c r="V1752" s="17">
        <f>IF(N1752="","",IF(N1752&lt;=30,"Fast (&lt;30m)",IF(N1752&lt;=45,"Moderate (30-45m)","Delayed (&gt;45m)")))</f>
        <v/>
      </c>
      <c r="W1752" s="17">
        <f>IF(AND(I1752&gt;600,P1752="Delivered"),"High Value Delivered","Standard")</f>
        <v/>
      </c>
      <c r="X1752" s="17">
        <f>IF(OR(N1752&gt;50,Q1752&lt;=2),"High Risk / Delayed","Normal")</f>
        <v/>
      </c>
      <c r="Y1752" s="17">
        <f>IF(NOT(P1752="Cancelled"),"Fulfilled","Cancelled")</f>
        <v/>
      </c>
      <c r="Z1752" s="17">
        <f>IFERROR(Q1752,0)</f>
        <v/>
      </c>
    </row>
    <row r="1753">
      <c r="A1753" s="25" t="inlineStr">
        <is>
          <t>ORD2752</t>
        </is>
      </c>
      <c r="B1753" s="25" t="inlineStr">
        <is>
          <t>2025-10-05</t>
        </is>
      </c>
      <c r="C1753" s="25" t="inlineStr">
        <is>
          <t>19:11:49</t>
        </is>
      </c>
      <c r="D1753" s="25" t="n">
        <v>1102</v>
      </c>
      <c r="E1753" s="25" t="n">
        <v>107</v>
      </c>
      <c r="F1753" s="25" t="n">
        <v>222</v>
      </c>
      <c r="G1753" s="25" t="inlineStr">
        <is>
          <t>Mumbai</t>
        </is>
      </c>
      <c r="H1753" s="25" t="inlineStr">
        <is>
          <t>Desserts</t>
        </is>
      </c>
      <c r="I1753" s="26" t="n">
        <v>570</v>
      </c>
      <c r="J1753" s="26" t="n">
        <v>62.51</v>
      </c>
      <c r="K1753" s="26" t="n">
        <v>29</v>
      </c>
      <c r="L1753" s="27" t="n">
        <v>0.25</v>
      </c>
      <c r="M1753" s="26" t="n">
        <v>149.75</v>
      </c>
      <c r="N1753" s="28" t="n">
        <v>3.8</v>
      </c>
      <c r="O1753" s="28" t="n">
        <v>30.8</v>
      </c>
      <c r="P1753" s="25" t="inlineStr">
        <is>
          <t>Credit Card</t>
        </is>
      </c>
      <c r="Q1753" s="25" t="inlineStr">
        <is>
          <t>Delivered</t>
        </is>
      </c>
      <c r="R1753" s="25" t="n">
        <v>3</v>
      </c>
      <c r="S1753" s="25">
        <f>TEXT(B1753,"yyyy-mm")</f>
        <v/>
      </c>
      <c r="T1753" s="25">
        <f>VLOOKUP(D1753,Customers!A:D,4,FALSE)</f>
        <v/>
      </c>
      <c r="U1753" s="25">
        <f>CONCATENATE(A1753,"-",G1753)</f>
        <v/>
      </c>
      <c r="V1753" s="25">
        <f>IF(N1753="","",IF(N1753&lt;=30,"Fast (&lt;30m)",IF(N1753&lt;=45,"Moderate (30-45m)","Delayed (&gt;45m)")))</f>
        <v/>
      </c>
      <c r="W1753" s="25">
        <f>IF(AND(I1753&gt;600,P1753="Delivered"),"High Value Delivered","Standard")</f>
        <v/>
      </c>
      <c r="X1753" s="25">
        <f>IF(OR(N1753&gt;50,Q1753&lt;=2),"High Risk / Delayed","Normal")</f>
        <v/>
      </c>
      <c r="Y1753" s="25">
        <f>IF(NOT(P1753="Cancelled"),"Fulfilled","Cancelled")</f>
        <v/>
      </c>
      <c r="Z1753" s="25">
        <f>IFERROR(Q1753,0)</f>
        <v/>
      </c>
    </row>
    <row r="1754">
      <c r="A1754" s="17" t="inlineStr">
        <is>
          <t>ORD2753</t>
        </is>
      </c>
      <c r="B1754" s="17" t="inlineStr">
        <is>
          <t>2025-04-11</t>
        </is>
      </c>
      <c r="C1754" s="17" t="inlineStr">
        <is>
          <t>08:08:22</t>
        </is>
      </c>
      <c r="D1754" s="17" t="n">
        <v>1171</v>
      </c>
      <c r="E1754" s="17" t="n">
        <v>114</v>
      </c>
      <c r="F1754" s="17" t="n">
        <v>225</v>
      </c>
      <c r="G1754" s="17" t="inlineStr">
        <is>
          <t>Hyderabad</t>
        </is>
      </c>
      <c r="H1754" s="17" t="inlineStr">
        <is>
          <t>Biryani</t>
        </is>
      </c>
      <c r="I1754" s="22" t="n">
        <v>846</v>
      </c>
      <c r="J1754" s="22" t="n">
        <v>59.72</v>
      </c>
      <c r="K1754" s="22" t="n">
        <v>42.5</v>
      </c>
      <c r="L1754" s="23" t="n">
        <v>0.22</v>
      </c>
      <c r="M1754" s="22" t="n">
        <v>196.74</v>
      </c>
      <c r="N1754" s="24" t="n">
        <v>6.5</v>
      </c>
      <c r="O1754" s="24" t="n">
        <v>37.4</v>
      </c>
      <c r="P1754" s="17" t="inlineStr">
        <is>
          <t>Credit Card</t>
        </is>
      </c>
      <c r="Q1754" s="17" t="inlineStr">
        <is>
          <t>Delivered</t>
        </is>
      </c>
      <c r="R1754" s="17" t="n">
        <v>5</v>
      </c>
      <c r="S1754" s="17">
        <f>TEXT(B1754,"yyyy-mm")</f>
        <v/>
      </c>
      <c r="T1754" s="17">
        <f>VLOOKUP(D1754,Customers!A:D,4,FALSE)</f>
        <v/>
      </c>
      <c r="U1754" s="17">
        <f>CONCATENATE(A1754,"-",G1754)</f>
        <v/>
      </c>
      <c r="V1754" s="17">
        <f>IF(N1754="","",IF(N1754&lt;=30,"Fast (&lt;30m)",IF(N1754&lt;=45,"Moderate (30-45m)","Delayed (&gt;45m)")))</f>
        <v/>
      </c>
      <c r="W1754" s="17">
        <f>IF(AND(I1754&gt;600,P1754="Delivered"),"High Value Delivered","Standard")</f>
        <v/>
      </c>
      <c r="X1754" s="17">
        <f>IF(OR(N1754&gt;50,Q1754&lt;=2),"High Risk / Delayed","Normal")</f>
        <v/>
      </c>
      <c r="Y1754" s="17">
        <f>IF(NOT(P1754="Cancelled"),"Fulfilled","Cancelled")</f>
        <v/>
      </c>
      <c r="Z1754" s="17">
        <f>IFERROR(Q1754,0)</f>
        <v/>
      </c>
    </row>
    <row r="1755">
      <c r="A1755" s="25" t="inlineStr">
        <is>
          <t>ORD2754</t>
        </is>
      </c>
      <c r="B1755" s="25" t="inlineStr">
        <is>
          <t>2025-04-10</t>
        </is>
      </c>
      <c r="C1755" s="25" t="inlineStr">
        <is>
          <t>12:34:57</t>
        </is>
      </c>
      <c r="D1755" s="25" t="n">
        <v>1219</v>
      </c>
      <c r="E1755" s="25" t="n">
        <v>118</v>
      </c>
      <c r="F1755" s="25" t="n">
        <v>212</v>
      </c>
      <c r="G1755" s="25" t="inlineStr">
        <is>
          <t>Delhi NCR</t>
        </is>
      </c>
      <c r="H1755" s="25" t="inlineStr">
        <is>
          <t>North Indian</t>
        </is>
      </c>
      <c r="I1755" s="26" t="n">
        <v>806</v>
      </c>
      <c r="J1755" s="26" t="n">
        <v>93.03</v>
      </c>
      <c r="K1755" s="26" t="n">
        <v>34</v>
      </c>
      <c r="L1755" s="27" t="n">
        <v>0.2</v>
      </c>
      <c r="M1755" s="26" t="n">
        <v>169.7</v>
      </c>
      <c r="N1755" s="28" t="n">
        <v>4.8</v>
      </c>
      <c r="O1755" s="28" t="n">
        <v>37.8</v>
      </c>
      <c r="P1755" s="25" t="inlineStr">
        <is>
          <t>Credit Card</t>
        </is>
      </c>
      <c r="Q1755" s="25" t="inlineStr">
        <is>
          <t>Delivered</t>
        </is>
      </c>
      <c r="R1755" s="25" t="n">
        <v>5</v>
      </c>
      <c r="S1755" s="25">
        <f>TEXT(B1755,"yyyy-mm")</f>
        <v/>
      </c>
      <c r="T1755" s="25">
        <f>VLOOKUP(D1755,Customers!A:D,4,FALSE)</f>
        <v/>
      </c>
      <c r="U1755" s="25">
        <f>CONCATENATE(A1755,"-",G1755)</f>
        <v/>
      </c>
      <c r="V1755" s="25">
        <f>IF(N1755="","",IF(N1755&lt;=30,"Fast (&lt;30m)",IF(N1755&lt;=45,"Moderate (30-45m)","Delayed (&gt;45m)")))</f>
        <v/>
      </c>
      <c r="W1755" s="25">
        <f>IF(AND(I1755&gt;600,P1755="Delivered"),"High Value Delivered","Standard")</f>
        <v/>
      </c>
      <c r="X1755" s="25">
        <f>IF(OR(N1755&gt;50,Q1755&lt;=2),"High Risk / Delayed","Normal")</f>
        <v/>
      </c>
      <c r="Y1755" s="25">
        <f>IF(NOT(P1755="Cancelled"),"Fulfilled","Cancelled")</f>
        <v/>
      </c>
      <c r="Z1755" s="25">
        <f>IFERROR(Q1755,0)</f>
        <v/>
      </c>
    </row>
    <row r="1756">
      <c r="A1756" s="17" t="inlineStr">
        <is>
          <t>ORD2755</t>
        </is>
      </c>
      <c r="B1756" s="17" t="inlineStr">
        <is>
          <t>2025-04-06</t>
        </is>
      </c>
      <c r="C1756" s="17" t="inlineStr">
        <is>
          <t>20:34:48</t>
        </is>
      </c>
      <c r="D1756" s="17" t="n">
        <v>1250</v>
      </c>
      <c r="E1756" s="17" t="n">
        <v>120</v>
      </c>
      <c r="F1756" s="17" t="n">
        <v>209</v>
      </c>
      <c r="G1756" s="17" t="inlineStr">
        <is>
          <t>Pune</t>
        </is>
      </c>
      <c r="H1756" s="17" t="inlineStr">
        <is>
          <t>Fast Food</t>
        </is>
      </c>
      <c r="I1756" s="22" t="n">
        <v>849</v>
      </c>
      <c r="J1756" s="22" t="n">
        <v>168.9</v>
      </c>
      <c r="K1756" s="22" t="n">
        <v>0</v>
      </c>
      <c r="L1756" s="23" t="n">
        <v>0.18</v>
      </c>
      <c r="M1756" s="22" t="n">
        <v>152.82</v>
      </c>
      <c r="N1756" s="24" t="n">
        <v>2.7</v>
      </c>
      <c r="O1756" s="24" t="n">
        <v>30.3</v>
      </c>
      <c r="P1756" s="17" t="inlineStr">
        <is>
          <t>Debit Card</t>
        </is>
      </c>
      <c r="Q1756" s="17" t="inlineStr">
        <is>
          <t>Delivered</t>
        </is>
      </c>
      <c r="R1756" s="17" t="n">
        <v>4</v>
      </c>
      <c r="S1756" s="17">
        <f>TEXT(B1756,"yyyy-mm")</f>
        <v/>
      </c>
      <c r="T1756" s="17">
        <f>VLOOKUP(D1756,Customers!A:D,4,FALSE)</f>
        <v/>
      </c>
      <c r="U1756" s="17">
        <f>CONCATENATE(A1756,"-",G1756)</f>
        <v/>
      </c>
      <c r="V1756" s="17">
        <f>IF(N1756="","",IF(N1756&lt;=30,"Fast (&lt;30m)",IF(N1756&lt;=45,"Moderate (30-45m)","Delayed (&gt;45m)")))</f>
        <v/>
      </c>
      <c r="W1756" s="17">
        <f>IF(AND(I1756&gt;600,P1756="Delivered"),"High Value Delivered","Standard")</f>
        <v/>
      </c>
      <c r="X1756" s="17">
        <f>IF(OR(N1756&gt;50,Q1756&lt;=2),"High Risk / Delayed","Normal")</f>
        <v/>
      </c>
      <c r="Y1756" s="17">
        <f>IF(NOT(P1756="Cancelled"),"Fulfilled","Cancelled")</f>
        <v/>
      </c>
      <c r="Z1756" s="17">
        <f>IFERROR(Q1756,0)</f>
        <v/>
      </c>
    </row>
    <row r="1757">
      <c r="A1757" s="25" t="inlineStr">
        <is>
          <t>ORD2756</t>
        </is>
      </c>
      <c r="B1757" s="25" t="inlineStr">
        <is>
          <t>2025-07-26</t>
        </is>
      </c>
      <c r="C1757" s="25" t="inlineStr">
        <is>
          <t>19:37:14</t>
        </is>
      </c>
      <c r="D1757" s="25" t="n">
        <v>1004</v>
      </c>
      <c r="E1757" s="25" t="n">
        <v>120</v>
      </c>
      <c r="F1757" s="25" t="n">
        <v>209</v>
      </c>
      <c r="G1757" s="25" t="inlineStr">
        <is>
          <t>Pune</t>
        </is>
      </c>
      <c r="H1757" s="25" t="inlineStr">
        <is>
          <t>Fast Food</t>
        </is>
      </c>
      <c r="I1757" s="26" t="n">
        <v>931</v>
      </c>
      <c r="J1757" s="26" t="n">
        <v>0</v>
      </c>
      <c r="K1757" s="26" t="n">
        <v>27</v>
      </c>
      <c r="L1757" s="27" t="n">
        <v>0.18</v>
      </c>
      <c r="M1757" s="26" t="n">
        <v>174.33</v>
      </c>
      <c r="N1757" s="28" t="n">
        <v>3.4</v>
      </c>
      <c r="O1757" s="28" t="n">
        <v>31</v>
      </c>
      <c r="P1757" s="25" t="inlineStr">
        <is>
          <t>Debit Card</t>
        </is>
      </c>
      <c r="Q1757" s="25" t="inlineStr">
        <is>
          <t>Delivered</t>
        </is>
      </c>
      <c r="R1757" s="25" t="n">
        <v>4</v>
      </c>
      <c r="S1757" s="25">
        <f>TEXT(B1757,"yyyy-mm")</f>
        <v/>
      </c>
      <c r="T1757" s="25">
        <f>VLOOKUP(D1757,Customers!A:D,4,FALSE)</f>
        <v/>
      </c>
      <c r="U1757" s="25">
        <f>CONCATENATE(A1757,"-",G1757)</f>
        <v/>
      </c>
      <c r="V1757" s="25">
        <f>IF(N1757="","",IF(N1757&lt;=30,"Fast (&lt;30m)",IF(N1757&lt;=45,"Moderate (30-45m)","Delayed (&gt;45m)")))</f>
        <v/>
      </c>
      <c r="W1757" s="25">
        <f>IF(AND(I1757&gt;600,P1757="Delivered"),"High Value Delivered","Standard")</f>
        <v/>
      </c>
      <c r="X1757" s="25">
        <f>IF(OR(N1757&gt;50,Q1757&lt;=2),"High Risk / Delayed","Normal")</f>
        <v/>
      </c>
      <c r="Y1757" s="25">
        <f>IF(NOT(P1757="Cancelled"),"Fulfilled","Cancelled")</f>
        <v/>
      </c>
      <c r="Z1757" s="25">
        <f>IFERROR(Q1757,0)</f>
        <v/>
      </c>
    </row>
    <row r="1758">
      <c r="A1758" s="17" t="inlineStr">
        <is>
          <t>ORD2757</t>
        </is>
      </c>
      <c r="B1758" s="17" t="inlineStr">
        <is>
          <t>2025-09-16</t>
        </is>
      </c>
      <c r="C1758" s="17" t="inlineStr">
        <is>
          <t>10:06:35</t>
        </is>
      </c>
      <c r="D1758" s="17" t="n">
        <v>1155</v>
      </c>
      <c r="E1758" s="17" t="n">
        <v>106</v>
      </c>
      <c r="F1758" s="17" t="n">
        <v>226</v>
      </c>
      <c r="G1758" s="17" t="inlineStr">
        <is>
          <t>Pune</t>
        </is>
      </c>
      <c r="H1758" s="17" t="inlineStr">
        <is>
          <t>South Indian</t>
        </is>
      </c>
      <c r="I1758" s="22" t="n">
        <v>1147</v>
      </c>
      <c r="J1758" s="22" t="n">
        <v>157.05</v>
      </c>
      <c r="K1758" s="22" t="n">
        <v>0</v>
      </c>
      <c r="L1758" s="23" t="n">
        <v>0.15</v>
      </c>
      <c r="M1758" s="22" t="n">
        <v>172.05</v>
      </c>
      <c r="N1758" s="24" t="n">
        <v>3.8</v>
      </c>
      <c r="O1758" s="24" t="n">
        <v>26.1</v>
      </c>
      <c r="P1758" s="17" t="inlineStr">
        <is>
          <t>Cash on Delivery</t>
        </is>
      </c>
      <c r="Q1758" s="17" t="inlineStr">
        <is>
          <t>Delivered</t>
        </is>
      </c>
      <c r="R1758" s="17" t="n">
        <v>2</v>
      </c>
      <c r="S1758" s="17">
        <f>TEXT(B1758,"yyyy-mm")</f>
        <v/>
      </c>
      <c r="T1758" s="17">
        <f>VLOOKUP(D1758,Customers!A:D,4,FALSE)</f>
        <v/>
      </c>
      <c r="U1758" s="17">
        <f>CONCATENATE(A1758,"-",G1758)</f>
        <v/>
      </c>
      <c r="V1758" s="17">
        <f>IF(N1758="","",IF(N1758&lt;=30,"Fast (&lt;30m)",IF(N1758&lt;=45,"Moderate (30-45m)","Delayed (&gt;45m)")))</f>
        <v/>
      </c>
      <c r="W1758" s="17">
        <f>IF(AND(I1758&gt;600,P1758="Delivered"),"High Value Delivered","Standard")</f>
        <v/>
      </c>
      <c r="X1758" s="17">
        <f>IF(OR(N1758&gt;50,Q1758&lt;=2),"High Risk / Delayed","Normal")</f>
        <v/>
      </c>
      <c r="Y1758" s="17">
        <f>IF(NOT(P1758="Cancelled"),"Fulfilled","Cancelled")</f>
        <v/>
      </c>
      <c r="Z1758" s="17">
        <f>IFERROR(Q1758,0)</f>
        <v/>
      </c>
    </row>
    <row r="1759">
      <c r="A1759" s="25" t="inlineStr">
        <is>
          <t>ORD2758</t>
        </is>
      </c>
      <c r="B1759" s="25" t="inlineStr">
        <is>
          <t>2025-01-09</t>
        </is>
      </c>
      <c r="C1759" s="25" t="inlineStr">
        <is>
          <t>13:39:20</t>
        </is>
      </c>
      <c r="D1759" s="25" t="n">
        <v>1229</v>
      </c>
      <c r="E1759" s="25" t="n">
        <v>117</v>
      </c>
      <c r="F1759" s="25" t="n">
        <v>206</v>
      </c>
      <c r="G1759" s="25" t="inlineStr">
        <is>
          <t>Mumbai</t>
        </is>
      </c>
      <c r="H1759" s="25" t="inlineStr">
        <is>
          <t>Chinese</t>
        </is>
      </c>
      <c r="I1759" s="26" t="n">
        <v>1016</v>
      </c>
      <c r="J1759" s="26" t="n">
        <v>170.7</v>
      </c>
      <c r="K1759" s="26" t="n">
        <v>0</v>
      </c>
      <c r="L1759" s="27" t="n">
        <v>0.2</v>
      </c>
      <c r="M1759" s="26" t="n">
        <v>203.2</v>
      </c>
      <c r="N1759" s="28" t="n">
        <v>5</v>
      </c>
      <c r="O1759" s="28" t="n">
        <v>45.8</v>
      </c>
      <c r="P1759" s="25" t="inlineStr">
        <is>
          <t>Credit Card</t>
        </is>
      </c>
      <c r="Q1759" s="25" t="inlineStr">
        <is>
          <t>Delivered</t>
        </is>
      </c>
      <c r="R1759" s="25" t="n">
        <v>1</v>
      </c>
      <c r="S1759" s="25">
        <f>TEXT(B1759,"yyyy-mm")</f>
        <v/>
      </c>
      <c r="T1759" s="25">
        <f>VLOOKUP(D1759,Customers!A:D,4,FALSE)</f>
        <v/>
      </c>
      <c r="U1759" s="25">
        <f>CONCATENATE(A1759,"-",G1759)</f>
        <v/>
      </c>
      <c r="V1759" s="25">
        <f>IF(N1759="","",IF(N1759&lt;=30,"Fast (&lt;30m)",IF(N1759&lt;=45,"Moderate (30-45m)","Delayed (&gt;45m)")))</f>
        <v/>
      </c>
      <c r="W1759" s="25">
        <f>IF(AND(I1759&gt;600,P1759="Delivered"),"High Value Delivered","Standard")</f>
        <v/>
      </c>
      <c r="X1759" s="25">
        <f>IF(OR(N1759&gt;50,Q1759&lt;=2),"High Risk / Delayed","Normal")</f>
        <v/>
      </c>
      <c r="Y1759" s="25">
        <f>IF(NOT(P1759="Cancelled"),"Fulfilled","Cancelled")</f>
        <v/>
      </c>
      <c r="Z1759" s="25">
        <f>IFERROR(Q1759,0)</f>
        <v/>
      </c>
    </row>
    <row r="1760">
      <c r="A1760" s="17" t="inlineStr">
        <is>
          <t>ORD2759</t>
        </is>
      </c>
      <c r="B1760" s="17" t="inlineStr">
        <is>
          <t>2025-06-06</t>
        </is>
      </c>
      <c r="C1760" s="17" t="inlineStr">
        <is>
          <t>21:40:39</t>
        </is>
      </c>
      <c r="D1760" s="17" t="n">
        <v>1254</v>
      </c>
      <c r="E1760" s="17" t="n">
        <v>119</v>
      </c>
      <c r="F1760" s="17" t="n">
        <v>225</v>
      </c>
      <c r="G1760" s="17" t="inlineStr">
        <is>
          <t>Hyderabad</t>
        </is>
      </c>
      <c r="H1760" s="17" t="inlineStr">
        <is>
          <t>Biryani</t>
        </is>
      </c>
      <c r="I1760" s="22" t="n">
        <v>342</v>
      </c>
      <c r="J1760" s="22" t="n">
        <v>24.46</v>
      </c>
      <c r="K1760" s="22" t="n">
        <v>25</v>
      </c>
      <c r="L1760" s="23" t="n">
        <v>0.2</v>
      </c>
      <c r="M1760" s="22" t="n">
        <v>74.65000000000001</v>
      </c>
      <c r="N1760" s="24" t="n">
        <v>1.9</v>
      </c>
      <c r="O1760" s="24" t="n">
        <v>29.2</v>
      </c>
      <c r="P1760" s="17" t="inlineStr">
        <is>
          <t>UPI</t>
        </is>
      </c>
      <c r="Q1760" s="17" t="inlineStr">
        <is>
          <t>Delivered</t>
        </is>
      </c>
      <c r="R1760" s="17" t="n">
        <v>3</v>
      </c>
      <c r="S1760" s="17">
        <f>TEXT(B1760,"yyyy-mm")</f>
        <v/>
      </c>
      <c r="T1760" s="17">
        <f>VLOOKUP(D1760,Customers!A:D,4,FALSE)</f>
        <v/>
      </c>
      <c r="U1760" s="17">
        <f>CONCATENATE(A1760,"-",G1760)</f>
        <v/>
      </c>
      <c r="V1760" s="17">
        <f>IF(N1760="","",IF(N1760&lt;=30,"Fast (&lt;30m)",IF(N1760&lt;=45,"Moderate (30-45m)","Delayed (&gt;45m)")))</f>
        <v/>
      </c>
      <c r="W1760" s="17">
        <f>IF(AND(I1760&gt;600,P1760="Delivered"),"High Value Delivered","Standard")</f>
        <v/>
      </c>
      <c r="X1760" s="17">
        <f>IF(OR(N1760&gt;50,Q1760&lt;=2),"High Risk / Delayed","Normal")</f>
        <v/>
      </c>
      <c r="Y1760" s="17">
        <f>IF(NOT(P1760="Cancelled"),"Fulfilled","Cancelled")</f>
        <v/>
      </c>
      <c r="Z1760" s="17">
        <f>IFERROR(Q1760,0)</f>
        <v/>
      </c>
    </row>
    <row r="1761">
      <c r="A1761" s="25" t="inlineStr">
        <is>
          <t>ORD2760</t>
        </is>
      </c>
      <c r="B1761" s="25" t="inlineStr">
        <is>
          <t>2025-11-03</t>
        </is>
      </c>
      <c r="C1761" s="25" t="inlineStr">
        <is>
          <t>06:30:10</t>
        </is>
      </c>
      <c r="D1761" s="25" t="n">
        <v>1241</v>
      </c>
      <c r="E1761" s="25" t="n">
        <v>109</v>
      </c>
      <c r="F1761" s="25" t="n">
        <v>216</v>
      </c>
      <c r="G1761" s="25" t="inlineStr">
        <is>
          <t>Hyderabad</t>
        </is>
      </c>
      <c r="H1761" s="25" t="inlineStr">
        <is>
          <t>Biryani</t>
        </is>
      </c>
      <c r="I1761" s="26" t="n">
        <v>418</v>
      </c>
      <c r="J1761" s="26" t="n">
        <v>63.6</v>
      </c>
      <c r="K1761" s="26" t="n">
        <v>41</v>
      </c>
      <c r="L1761" s="27" t="n">
        <v>0.2</v>
      </c>
      <c r="M1761" s="26" t="n">
        <v>93.84999999999999</v>
      </c>
      <c r="N1761" s="28" t="n">
        <v>6.2</v>
      </c>
      <c r="O1761" s="28" t="n">
        <v>36.7</v>
      </c>
      <c r="P1761" s="25" t="inlineStr">
        <is>
          <t>Digital Wallet</t>
        </is>
      </c>
      <c r="Q1761" s="25" t="inlineStr">
        <is>
          <t>Delivered</t>
        </is>
      </c>
      <c r="R1761" s="25" t="n">
        <v>4</v>
      </c>
      <c r="S1761" s="25">
        <f>TEXT(B1761,"yyyy-mm")</f>
        <v/>
      </c>
      <c r="T1761" s="25">
        <f>VLOOKUP(D1761,Customers!A:D,4,FALSE)</f>
        <v/>
      </c>
      <c r="U1761" s="25">
        <f>CONCATENATE(A1761,"-",G1761)</f>
        <v/>
      </c>
      <c r="V1761" s="25">
        <f>IF(N1761="","",IF(N1761&lt;=30,"Fast (&lt;30m)",IF(N1761&lt;=45,"Moderate (30-45m)","Delayed (&gt;45m)")))</f>
        <v/>
      </c>
      <c r="W1761" s="25">
        <f>IF(AND(I1761&gt;600,P1761="Delivered"),"High Value Delivered","Standard")</f>
        <v/>
      </c>
      <c r="X1761" s="25">
        <f>IF(OR(N1761&gt;50,Q1761&lt;=2),"High Risk / Delayed","Normal")</f>
        <v/>
      </c>
      <c r="Y1761" s="25">
        <f>IF(NOT(P1761="Cancelled"),"Fulfilled","Cancelled")</f>
        <v/>
      </c>
      <c r="Z1761" s="25">
        <f>IFERROR(Q1761,0)</f>
        <v/>
      </c>
    </row>
    <row r="1762">
      <c r="A1762" s="17" t="inlineStr">
        <is>
          <t>ORD2761</t>
        </is>
      </c>
      <c r="B1762" s="17" t="inlineStr">
        <is>
          <t>2025-01-20</t>
        </is>
      </c>
      <c r="C1762" s="17" t="inlineStr">
        <is>
          <t>12:05:53</t>
        </is>
      </c>
      <c r="D1762" s="17" t="n">
        <v>1066</v>
      </c>
      <c r="E1762" s="17" t="n">
        <v>106</v>
      </c>
      <c r="F1762" s="17" t="n">
        <v>204</v>
      </c>
      <c r="G1762" s="17" t="inlineStr">
        <is>
          <t>Pune</t>
        </is>
      </c>
      <c r="H1762" s="17" t="inlineStr">
        <is>
          <t>South Indian</t>
        </is>
      </c>
      <c r="I1762" s="22" t="n">
        <v>592</v>
      </c>
      <c r="J1762" s="22" t="n">
        <v>0</v>
      </c>
      <c r="K1762" s="22" t="n">
        <v>30</v>
      </c>
      <c r="L1762" s="23" t="n">
        <v>0.15</v>
      </c>
      <c r="M1762" s="22" t="n">
        <v>96.3</v>
      </c>
      <c r="N1762" s="24" t="n">
        <v>4</v>
      </c>
      <c r="O1762" s="24" t="n">
        <v>36.8</v>
      </c>
      <c r="P1762" s="17" t="inlineStr">
        <is>
          <t>Debit Card</t>
        </is>
      </c>
      <c r="Q1762" s="17" t="inlineStr">
        <is>
          <t>Delivered</t>
        </is>
      </c>
      <c r="R1762" s="17" t="n">
        <v>3</v>
      </c>
      <c r="S1762" s="17">
        <f>TEXT(B1762,"yyyy-mm")</f>
        <v/>
      </c>
      <c r="T1762" s="17">
        <f>VLOOKUP(D1762,Customers!A:D,4,FALSE)</f>
        <v/>
      </c>
      <c r="U1762" s="17">
        <f>CONCATENATE(A1762,"-",G1762)</f>
        <v/>
      </c>
      <c r="V1762" s="17">
        <f>IF(N1762="","",IF(N1762&lt;=30,"Fast (&lt;30m)",IF(N1762&lt;=45,"Moderate (30-45m)","Delayed (&gt;45m)")))</f>
        <v/>
      </c>
      <c r="W1762" s="17">
        <f>IF(AND(I1762&gt;600,P1762="Delivered"),"High Value Delivered","Standard")</f>
        <v/>
      </c>
      <c r="X1762" s="17">
        <f>IF(OR(N1762&gt;50,Q1762&lt;=2),"High Risk / Delayed","Normal")</f>
        <v/>
      </c>
      <c r="Y1762" s="17">
        <f>IF(NOT(P1762="Cancelled"),"Fulfilled","Cancelled")</f>
        <v/>
      </c>
      <c r="Z1762" s="17">
        <f>IFERROR(Q1762,0)</f>
        <v/>
      </c>
    </row>
    <row r="1763">
      <c r="A1763" s="25" t="inlineStr">
        <is>
          <t>ORD2762</t>
        </is>
      </c>
      <c r="B1763" s="25" t="inlineStr">
        <is>
          <t>2025-06-17</t>
        </is>
      </c>
      <c r="C1763" s="25" t="inlineStr">
        <is>
          <t>11:52:20</t>
        </is>
      </c>
      <c r="D1763" s="25" t="n">
        <v>1255</v>
      </c>
      <c r="E1763" s="25" t="n">
        <v>116</v>
      </c>
      <c r="F1763" s="25" t="n">
        <v>214</v>
      </c>
      <c r="G1763" s="25" t="inlineStr">
        <is>
          <t>Pune</t>
        </is>
      </c>
      <c r="H1763" s="25" t="inlineStr">
        <is>
          <t>Desserts</t>
        </is>
      </c>
      <c r="I1763" s="26" t="n">
        <v>427</v>
      </c>
      <c r="J1763" s="26" t="n">
        <v>0</v>
      </c>
      <c r="K1763" s="26" t="n">
        <v>25</v>
      </c>
      <c r="L1763" s="27" t="n">
        <v>0.25</v>
      </c>
      <c r="M1763" s="26" t="n">
        <v>113</v>
      </c>
      <c r="N1763" s="28" t="n">
        <v>2</v>
      </c>
      <c r="O1763" s="28" t="n">
        <v>27.1</v>
      </c>
      <c r="P1763" s="25" t="inlineStr">
        <is>
          <t>Debit Card</t>
        </is>
      </c>
      <c r="Q1763" s="25" t="inlineStr">
        <is>
          <t>Delivered</t>
        </is>
      </c>
      <c r="R1763" s="25" t="n">
        <v>3</v>
      </c>
      <c r="S1763" s="25">
        <f>TEXT(B1763,"yyyy-mm")</f>
        <v/>
      </c>
      <c r="T1763" s="25">
        <f>VLOOKUP(D1763,Customers!A:D,4,FALSE)</f>
        <v/>
      </c>
      <c r="U1763" s="25">
        <f>CONCATENATE(A1763,"-",G1763)</f>
        <v/>
      </c>
      <c r="V1763" s="25">
        <f>IF(N1763="","",IF(N1763&lt;=30,"Fast (&lt;30m)",IF(N1763&lt;=45,"Moderate (30-45m)","Delayed (&gt;45m)")))</f>
        <v/>
      </c>
      <c r="W1763" s="25">
        <f>IF(AND(I1763&gt;600,P1763="Delivered"),"High Value Delivered","Standard")</f>
        <v/>
      </c>
      <c r="X1763" s="25">
        <f>IF(OR(N1763&gt;50,Q1763&lt;=2),"High Risk / Delayed","Normal")</f>
        <v/>
      </c>
      <c r="Y1763" s="25">
        <f>IF(NOT(P1763="Cancelled"),"Fulfilled","Cancelled")</f>
        <v/>
      </c>
      <c r="Z1763" s="25">
        <f>IFERROR(Q1763,0)</f>
        <v/>
      </c>
    </row>
    <row r="1764">
      <c r="A1764" s="17" t="inlineStr">
        <is>
          <t>ORD2763</t>
        </is>
      </c>
      <c r="B1764" s="17" t="inlineStr">
        <is>
          <t>2025-09-26</t>
        </is>
      </c>
      <c r="C1764" s="17" t="inlineStr">
        <is>
          <t>22:06:15</t>
        </is>
      </c>
      <c r="D1764" s="17" t="n">
        <v>1149</v>
      </c>
      <c r="E1764" s="17" t="n">
        <v>106</v>
      </c>
      <c r="F1764" s="17" t="n">
        <v>208</v>
      </c>
      <c r="G1764" s="17" t="inlineStr">
        <is>
          <t>Pune</t>
        </is>
      </c>
      <c r="H1764" s="17" t="inlineStr">
        <is>
          <t>South Indian</t>
        </is>
      </c>
      <c r="I1764" s="22" t="n">
        <v>656</v>
      </c>
      <c r="J1764" s="22" t="n">
        <v>0</v>
      </c>
      <c r="K1764" s="22" t="n">
        <v>26.5</v>
      </c>
      <c r="L1764" s="23" t="n">
        <v>0.15</v>
      </c>
      <c r="M1764" s="22" t="n">
        <v>105.02</v>
      </c>
      <c r="N1764" s="24" t="n">
        <v>3.3</v>
      </c>
      <c r="O1764" s="24" t="n">
        <v>28.3</v>
      </c>
      <c r="P1764" s="17" t="inlineStr">
        <is>
          <t>UPI</t>
        </is>
      </c>
      <c r="Q1764" s="17" t="inlineStr">
        <is>
          <t>Delivered</t>
        </is>
      </c>
      <c r="R1764" s="17" t="n">
        <v>5</v>
      </c>
      <c r="S1764" s="17">
        <f>TEXT(B1764,"yyyy-mm")</f>
        <v/>
      </c>
      <c r="T1764" s="17">
        <f>VLOOKUP(D1764,Customers!A:D,4,FALSE)</f>
        <v/>
      </c>
      <c r="U1764" s="17">
        <f>CONCATENATE(A1764,"-",G1764)</f>
        <v/>
      </c>
      <c r="V1764" s="17">
        <f>IF(N1764="","",IF(N1764&lt;=30,"Fast (&lt;30m)",IF(N1764&lt;=45,"Moderate (30-45m)","Delayed (&gt;45m)")))</f>
        <v/>
      </c>
      <c r="W1764" s="17">
        <f>IF(AND(I1764&gt;600,P1764="Delivered"),"High Value Delivered","Standard")</f>
        <v/>
      </c>
      <c r="X1764" s="17">
        <f>IF(OR(N1764&gt;50,Q1764&lt;=2),"High Risk / Delayed","Normal")</f>
        <v/>
      </c>
      <c r="Y1764" s="17">
        <f>IF(NOT(P1764="Cancelled"),"Fulfilled","Cancelled")</f>
        <v/>
      </c>
      <c r="Z1764" s="17">
        <f>IFERROR(Q1764,0)</f>
        <v/>
      </c>
    </row>
    <row r="1765">
      <c r="A1765" s="25" t="inlineStr">
        <is>
          <t>ORD2764</t>
        </is>
      </c>
      <c r="B1765" s="25" t="inlineStr">
        <is>
          <t>2025-05-26</t>
        </is>
      </c>
      <c r="C1765" s="25" t="inlineStr">
        <is>
          <t>18:49:50</t>
        </is>
      </c>
      <c r="D1765" s="25" t="n">
        <v>1222</v>
      </c>
      <c r="E1765" s="25" t="n">
        <v>109</v>
      </c>
      <c r="F1765" s="25" t="n">
        <v>225</v>
      </c>
      <c r="G1765" s="25" t="inlineStr">
        <is>
          <t>Hyderabad</t>
        </is>
      </c>
      <c r="H1765" s="25" t="inlineStr">
        <is>
          <t>Biryani</t>
        </is>
      </c>
      <c r="I1765" s="26" t="n">
        <v>309</v>
      </c>
      <c r="J1765" s="26" t="n">
        <v>0</v>
      </c>
      <c r="K1765" s="26" t="n">
        <v>25</v>
      </c>
      <c r="L1765" s="27" t="n">
        <v>0.2</v>
      </c>
      <c r="M1765" s="26" t="n">
        <v>68.05</v>
      </c>
      <c r="N1765" s="28" t="n">
        <v>2.3</v>
      </c>
      <c r="O1765" s="28" t="n">
        <v>26.6</v>
      </c>
      <c r="P1765" s="25" t="inlineStr">
        <is>
          <t>Cash on Delivery</t>
        </is>
      </c>
      <c r="Q1765" s="25" t="inlineStr">
        <is>
          <t>Delivered</t>
        </is>
      </c>
      <c r="R1765" s="25" t="n">
        <v>1</v>
      </c>
      <c r="S1765" s="25">
        <f>TEXT(B1765,"yyyy-mm")</f>
        <v/>
      </c>
      <c r="T1765" s="25">
        <f>VLOOKUP(D1765,Customers!A:D,4,FALSE)</f>
        <v/>
      </c>
      <c r="U1765" s="25">
        <f>CONCATENATE(A1765,"-",G1765)</f>
        <v/>
      </c>
      <c r="V1765" s="25">
        <f>IF(N1765="","",IF(N1765&lt;=30,"Fast (&lt;30m)",IF(N1765&lt;=45,"Moderate (30-45m)","Delayed (&gt;45m)")))</f>
        <v/>
      </c>
      <c r="W1765" s="25">
        <f>IF(AND(I1765&gt;600,P1765="Delivered"),"High Value Delivered","Standard")</f>
        <v/>
      </c>
      <c r="X1765" s="25">
        <f>IF(OR(N1765&gt;50,Q1765&lt;=2),"High Risk / Delayed","Normal")</f>
        <v/>
      </c>
      <c r="Y1765" s="25">
        <f>IF(NOT(P1765="Cancelled"),"Fulfilled","Cancelled")</f>
        <v/>
      </c>
      <c r="Z1765" s="25">
        <f>IFERROR(Q1765,0)</f>
        <v/>
      </c>
    </row>
    <row r="1766">
      <c r="A1766" s="17" t="inlineStr">
        <is>
          <t>ORD2765</t>
        </is>
      </c>
      <c r="B1766" s="17" t="inlineStr">
        <is>
          <t>2025-10-15</t>
        </is>
      </c>
      <c r="C1766" s="17" t="inlineStr">
        <is>
          <t>11:03:38</t>
        </is>
      </c>
      <c r="D1766" s="17" t="n">
        <v>1009</v>
      </c>
      <c r="E1766" s="17" t="n">
        <v>119</v>
      </c>
      <c r="F1766" s="17" t="n">
        <v>225</v>
      </c>
      <c r="G1766" s="17" t="inlineStr">
        <is>
          <t>Hyderabad</t>
        </is>
      </c>
      <c r="H1766" s="17" t="inlineStr">
        <is>
          <t>Biryani</t>
        </is>
      </c>
      <c r="I1766" s="22" t="n">
        <v>354</v>
      </c>
      <c r="J1766" s="22" t="n">
        <v>36.48</v>
      </c>
      <c r="K1766" s="22" t="n">
        <v>39</v>
      </c>
      <c r="L1766" s="23" t="n">
        <v>0.2</v>
      </c>
      <c r="M1766" s="22" t="n">
        <v>80.55</v>
      </c>
      <c r="N1766" s="24" t="n">
        <v>5.8</v>
      </c>
      <c r="O1766" s="24" t="n">
        <v>29.7</v>
      </c>
      <c r="P1766" s="17" t="inlineStr">
        <is>
          <t>Debit Card</t>
        </is>
      </c>
      <c r="Q1766" s="17" t="inlineStr">
        <is>
          <t>Delivered</t>
        </is>
      </c>
      <c r="R1766" s="17" t="n">
        <v>4</v>
      </c>
      <c r="S1766" s="17">
        <f>TEXT(B1766,"yyyy-mm")</f>
        <v/>
      </c>
      <c r="T1766" s="17">
        <f>VLOOKUP(D1766,Customers!A:D,4,FALSE)</f>
        <v/>
      </c>
      <c r="U1766" s="17">
        <f>CONCATENATE(A1766,"-",G1766)</f>
        <v/>
      </c>
      <c r="V1766" s="17">
        <f>IF(N1766="","",IF(N1766&lt;=30,"Fast (&lt;30m)",IF(N1766&lt;=45,"Moderate (30-45m)","Delayed (&gt;45m)")))</f>
        <v/>
      </c>
      <c r="W1766" s="17">
        <f>IF(AND(I1766&gt;600,P1766="Delivered"),"High Value Delivered","Standard")</f>
        <v/>
      </c>
      <c r="X1766" s="17">
        <f>IF(OR(N1766&gt;50,Q1766&lt;=2),"High Risk / Delayed","Normal")</f>
        <v/>
      </c>
      <c r="Y1766" s="17">
        <f>IF(NOT(P1766="Cancelled"),"Fulfilled","Cancelled")</f>
        <v/>
      </c>
      <c r="Z1766" s="17">
        <f>IFERROR(Q1766,0)</f>
        <v/>
      </c>
    </row>
    <row r="1767">
      <c r="A1767" s="25" t="inlineStr">
        <is>
          <t>ORD2766</t>
        </is>
      </c>
      <c r="B1767" s="25" t="inlineStr">
        <is>
          <t>2025-09-21</t>
        </is>
      </c>
      <c r="C1767" s="25" t="inlineStr">
        <is>
          <t>08:33:35</t>
        </is>
      </c>
      <c r="D1767" s="25" t="n">
        <v>1134</v>
      </c>
      <c r="E1767" s="25" t="n">
        <v>119</v>
      </c>
      <c r="F1767" s="25" t="n">
        <v>215</v>
      </c>
      <c r="G1767" s="25" t="inlineStr">
        <is>
          <t>Hyderabad</t>
        </is>
      </c>
      <c r="H1767" s="25" t="inlineStr">
        <is>
          <t>Biryani</t>
        </is>
      </c>
      <c r="I1767" s="26" t="n">
        <v>576</v>
      </c>
      <c r="J1767" s="26" t="n">
        <v>0</v>
      </c>
      <c r="K1767" s="26" t="n">
        <v>30.5</v>
      </c>
      <c r="L1767" s="27" t="n">
        <v>0.2</v>
      </c>
      <c r="M1767" s="26" t="n">
        <v>122.82</v>
      </c>
      <c r="N1767" s="28" t="n">
        <v>4.1</v>
      </c>
      <c r="O1767" s="28" t="n">
        <v>33.1</v>
      </c>
      <c r="P1767" s="25" t="inlineStr">
        <is>
          <t>Debit Card</t>
        </is>
      </c>
      <c r="Q1767" s="25" t="inlineStr">
        <is>
          <t>Delivered</t>
        </is>
      </c>
      <c r="R1767" s="25" t="n">
        <v>5</v>
      </c>
      <c r="S1767" s="25">
        <f>TEXT(B1767,"yyyy-mm")</f>
        <v/>
      </c>
      <c r="T1767" s="25">
        <f>VLOOKUP(D1767,Customers!A:D,4,FALSE)</f>
        <v/>
      </c>
      <c r="U1767" s="25">
        <f>CONCATENATE(A1767,"-",G1767)</f>
        <v/>
      </c>
      <c r="V1767" s="25">
        <f>IF(N1767="","",IF(N1767&lt;=30,"Fast (&lt;30m)",IF(N1767&lt;=45,"Moderate (30-45m)","Delayed (&gt;45m)")))</f>
        <v/>
      </c>
      <c r="W1767" s="25">
        <f>IF(AND(I1767&gt;600,P1767="Delivered"),"High Value Delivered","Standard")</f>
        <v/>
      </c>
      <c r="X1767" s="25">
        <f>IF(OR(N1767&gt;50,Q1767&lt;=2),"High Risk / Delayed","Normal")</f>
        <v/>
      </c>
      <c r="Y1767" s="25">
        <f>IF(NOT(P1767="Cancelled"),"Fulfilled","Cancelled")</f>
        <v/>
      </c>
      <c r="Z1767" s="25">
        <f>IFERROR(Q1767,0)</f>
        <v/>
      </c>
    </row>
    <row r="1768">
      <c r="A1768" s="17" t="inlineStr">
        <is>
          <t>ORD2767</t>
        </is>
      </c>
      <c r="B1768" s="17" t="inlineStr">
        <is>
          <t>2025-06-16</t>
        </is>
      </c>
      <c r="C1768" s="17" t="inlineStr">
        <is>
          <t>09:55:49</t>
        </is>
      </c>
      <c r="D1768" s="17" t="n">
        <v>1119</v>
      </c>
      <c r="E1768" s="17" t="n">
        <v>108</v>
      </c>
      <c r="F1768" s="17" t="n">
        <v>212</v>
      </c>
      <c r="G1768" s="17" t="inlineStr">
        <is>
          <t>Delhi NCR</t>
        </is>
      </c>
      <c r="H1768" s="17" t="inlineStr">
        <is>
          <t>Fast Food</t>
        </is>
      </c>
      <c r="I1768" s="22" t="n">
        <v>1046</v>
      </c>
      <c r="J1768" s="22" t="n">
        <v>148.06</v>
      </c>
      <c r="K1768" s="22" t="n">
        <v>0</v>
      </c>
      <c r="L1768" s="23" t="n">
        <v>0.18</v>
      </c>
      <c r="M1768" s="22" t="n">
        <v>188.28</v>
      </c>
      <c r="N1768" s="24" t="n">
        <v>3.6</v>
      </c>
      <c r="O1768" s="24" t="n">
        <v>29.8</v>
      </c>
      <c r="P1768" s="17" t="inlineStr">
        <is>
          <t>Digital Wallet</t>
        </is>
      </c>
      <c r="Q1768" s="17" t="inlineStr">
        <is>
          <t>Delivered</t>
        </is>
      </c>
      <c r="R1768" s="17" t="n">
        <v>2</v>
      </c>
      <c r="S1768" s="17">
        <f>TEXT(B1768,"yyyy-mm")</f>
        <v/>
      </c>
      <c r="T1768" s="17">
        <f>VLOOKUP(D1768,Customers!A:D,4,FALSE)</f>
        <v/>
      </c>
      <c r="U1768" s="17">
        <f>CONCATENATE(A1768,"-",G1768)</f>
        <v/>
      </c>
      <c r="V1768" s="17">
        <f>IF(N1768="","",IF(N1768&lt;=30,"Fast (&lt;30m)",IF(N1768&lt;=45,"Moderate (30-45m)","Delayed (&gt;45m)")))</f>
        <v/>
      </c>
      <c r="W1768" s="17">
        <f>IF(AND(I1768&gt;600,P1768="Delivered"),"High Value Delivered","Standard")</f>
        <v/>
      </c>
      <c r="X1768" s="17">
        <f>IF(OR(N1768&gt;50,Q1768&lt;=2),"High Risk / Delayed","Normal")</f>
        <v/>
      </c>
      <c r="Y1768" s="17">
        <f>IF(NOT(P1768="Cancelled"),"Fulfilled","Cancelled")</f>
        <v/>
      </c>
      <c r="Z1768" s="17">
        <f>IFERROR(Q1768,0)</f>
        <v/>
      </c>
    </row>
    <row r="1769">
      <c r="A1769" s="25" t="inlineStr">
        <is>
          <t>ORD2768</t>
        </is>
      </c>
      <c r="B1769" s="25" t="inlineStr">
        <is>
          <t>2025-03-27</t>
        </is>
      </c>
      <c r="C1769" s="25" t="inlineStr">
        <is>
          <t>11:08:31</t>
        </is>
      </c>
      <c r="D1769" s="25" t="n">
        <v>1028</v>
      </c>
      <c r="E1769" s="25" t="n">
        <v>119</v>
      </c>
      <c r="F1769" s="25" t="n">
        <v>216</v>
      </c>
      <c r="G1769" s="25" t="inlineStr">
        <is>
          <t>Hyderabad</t>
        </is>
      </c>
      <c r="H1769" s="25" t="inlineStr">
        <is>
          <t>Biryani</t>
        </is>
      </c>
      <c r="I1769" s="26" t="n">
        <v>943</v>
      </c>
      <c r="J1769" s="26" t="n">
        <v>0</v>
      </c>
      <c r="K1769" s="26" t="n">
        <v>27</v>
      </c>
      <c r="L1769" s="27" t="n">
        <v>0.2</v>
      </c>
      <c r="M1769" s="26" t="n">
        <v>195.35</v>
      </c>
      <c r="N1769" s="28" t="n">
        <v>3.4</v>
      </c>
      <c r="O1769" s="28" t="n">
        <v>39</v>
      </c>
      <c r="P1769" s="25" t="inlineStr">
        <is>
          <t>Debit Card</t>
        </is>
      </c>
      <c r="Q1769" s="25" t="inlineStr">
        <is>
          <t>Delivered</t>
        </is>
      </c>
      <c r="R1769" s="25" t="n">
        <v>5</v>
      </c>
      <c r="S1769" s="25">
        <f>TEXT(B1769,"yyyy-mm")</f>
        <v/>
      </c>
      <c r="T1769" s="25">
        <f>VLOOKUP(D1769,Customers!A:D,4,FALSE)</f>
        <v/>
      </c>
      <c r="U1769" s="25">
        <f>CONCATENATE(A1769,"-",G1769)</f>
        <v/>
      </c>
      <c r="V1769" s="25">
        <f>IF(N1769="","",IF(N1769&lt;=30,"Fast (&lt;30m)",IF(N1769&lt;=45,"Moderate (30-45m)","Delayed (&gt;45m)")))</f>
        <v/>
      </c>
      <c r="W1769" s="25">
        <f>IF(AND(I1769&gt;600,P1769="Delivered"),"High Value Delivered","Standard")</f>
        <v/>
      </c>
      <c r="X1769" s="25">
        <f>IF(OR(N1769&gt;50,Q1769&lt;=2),"High Risk / Delayed","Normal")</f>
        <v/>
      </c>
      <c r="Y1769" s="25">
        <f>IF(NOT(P1769="Cancelled"),"Fulfilled","Cancelled")</f>
        <v/>
      </c>
      <c r="Z1769" s="25">
        <f>IFERROR(Q1769,0)</f>
        <v/>
      </c>
    </row>
    <row r="1770">
      <c r="A1770" s="17" t="inlineStr">
        <is>
          <t>ORD2769</t>
        </is>
      </c>
      <c r="B1770" s="17" t="inlineStr">
        <is>
          <t>2025-06-12</t>
        </is>
      </c>
      <c r="C1770" s="17" t="inlineStr">
        <is>
          <t>15:50:45</t>
        </is>
      </c>
      <c r="D1770" s="17" t="n">
        <v>1117</v>
      </c>
      <c r="E1770" s="17" t="n">
        <v>103</v>
      </c>
      <c r="F1770" s="17" t="n">
        <v>206</v>
      </c>
      <c r="G1770" s="17" t="inlineStr">
        <is>
          <t>Mumbai</t>
        </is>
      </c>
      <c r="H1770" s="17" t="inlineStr">
        <is>
          <t>Italian</t>
        </is>
      </c>
      <c r="I1770" s="22" t="n">
        <v>848</v>
      </c>
      <c r="J1770" s="22" t="n">
        <v>59.5</v>
      </c>
      <c r="K1770" s="22" t="n">
        <v>25</v>
      </c>
      <c r="L1770" s="23" t="n">
        <v>0.18</v>
      </c>
      <c r="M1770" s="22" t="n">
        <v>158.89</v>
      </c>
      <c r="N1770" s="24" t="n">
        <v>2.7</v>
      </c>
      <c r="O1770" s="24" t="n">
        <v>26.1</v>
      </c>
      <c r="P1770" s="17" t="inlineStr">
        <is>
          <t>Debit Card</t>
        </is>
      </c>
      <c r="Q1770" s="17" t="inlineStr">
        <is>
          <t>Delivered</t>
        </is>
      </c>
      <c r="R1770" s="17" t="n">
        <v>5</v>
      </c>
      <c r="S1770" s="17">
        <f>TEXT(B1770,"yyyy-mm")</f>
        <v/>
      </c>
      <c r="T1770" s="17">
        <f>VLOOKUP(D1770,Customers!A:D,4,FALSE)</f>
        <v/>
      </c>
      <c r="U1770" s="17">
        <f>CONCATENATE(A1770,"-",G1770)</f>
        <v/>
      </c>
      <c r="V1770" s="17">
        <f>IF(N1770="","",IF(N1770&lt;=30,"Fast (&lt;30m)",IF(N1770&lt;=45,"Moderate (30-45m)","Delayed (&gt;45m)")))</f>
        <v/>
      </c>
      <c r="W1770" s="17">
        <f>IF(AND(I1770&gt;600,P1770="Delivered"),"High Value Delivered","Standard")</f>
        <v/>
      </c>
      <c r="X1770" s="17">
        <f>IF(OR(N1770&gt;50,Q1770&lt;=2),"High Risk / Delayed","Normal")</f>
        <v/>
      </c>
      <c r="Y1770" s="17">
        <f>IF(NOT(P1770="Cancelled"),"Fulfilled","Cancelled")</f>
        <v/>
      </c>
      <c r="Z1770" s="17">
        <f>IFERROR(Q1770,0)</f>
        <v/>
      </c>
    </row>
    <row r="1771">
      <c r="A1771" s="25" t="inlineStr">
        <is>
          <t>ORD2770</t>
        </is>
      </c>
      <c r="B1771" s="25" t="inlineStr">
        <is>
          <t>2025-06-20</t>
        </is>
      </c>
      <c r="C1771" s="25" t="inlineStr">
        <is>
          <t>15:01:08</t>
        </is>
      </c>
      <c r="D1771" s="25" t="n">
        <v>1244</v>
      </c>
      <c r="E1771" s="25" t="n">
        <v>118</v>
      </c>
      <c r="F1771" s="25" t="n">
        <v>228</v>
      </c>
      <c r="G1771" s="25" t="inlineStr">
        <is>
          <t>Delhi NCR</t>
        </is>
      </c>
      <c r="H1771" s="25" t="inlineStr">
        <is>
          <t>North Indian</t>
        </is>
      </c>
      <c r="I1771" s="26" t="n">
        <v>226</v>
      </c>
      <c r="J1771" s="26" t="n">
        <v>0.78</v>
      </c>
      <c r="K1771" s="26" t="n">
        <v>34.5</v>
      </c>
      <c r="L1771" s="27" t="n">
        <v>0.2</v>
      </c>
      <c r="M1771" s="26" t="n">
        <v>53.82</v>
      </c>
      <c r="N1771" s="28" t="n">
        <v>4.9</v>
      </c>
      <c r="O1771" s="28" t="n">
        <v>36.8</v>
      </c>
      <c r="P1771" s="25" t="inlineStr">
        <is>
          <t>Debit Card</t>
        </is>
      </c>
      <c r="Q1771" s="25" t="inlineStr">
        <is>
          <t>Delivered</t>
        </is>
      </c>
      <c r="R1771" s="25" t="n">
        <v>2</v>
      </c>
      <c r="S1771" s="25">
        <f>TEXT(B1771,"yyyy-mm")</f>
        <v/>
      </c>
      <c r="T1771" s="25">
        <f>VLOOKUP(D1771,Customers!A:D,4,FALSE)</f>
        <v/>
      </c>
      <c r="U1771" s="25">
        <f>CONCATENATE(A1771,"-",G1771)</f>
        <v/>
      </c>
      <c r="V1771" s="25">
        <f>IF(N1771="","",IF(N1771&lt;=30,"Fast (&lt;30m)",IF(N1771&lt;=45,"Moderate (30-45m)","Delayed (&gt;45m)")))</f>
        <v/>
      </c>
      <c r="W1771" s="25">
        <f>IF(AND(I1771&gt;600,P1771="Delivered"),"High Value Delivered","Standard")</f>
        <v/>
      </c>
      <c r="X1771" s="25">
        <f>IF(OR(N1771&gt;50,Q1771&lt;=2),"High Risk / Delayed","Normal")</f>
        <v/>
      </c>
      <c r="Y1771" s="25">
        <f>IF(NOT(P1771="Cancelled"),"Fulfilled","Cancelled")</f>
        <v/>
      </c>
      <c r="Z1771" s="25">
        <f>IFERROR(Q1771,0)</f>
        <v/>
      </c>
    </row>
    <row r="1772">
      <c r="A1772" s="17" t="inlineStr">
        <is>
          <t>ORD2771</t>
        </is>
      </c>
      <c r="B1772" s="17" t="inlineStr">
        <is>
          <t>2025-05-02</t>
        </is>
      </c>
      <c r="C1772" s="17" t="inlineStr">
        <is>
          <t>22:08:41</t>
        </is>
      </c>
      <c r="D1772" s="17" t="n">
        <v>1256</v>
      </c>
      <c r="E1772" s="17" t="n">
        <v>105</v>
      </c>
      <c r="F1772" s="17" t="n">
        <v>210</v>
      </c>
      <c r="G1772" s="17" t="inlineStr">
        <is>
          <t>Bangalore</t>
        </is>
      </c>
      <c r="H1772" s="17" t="inlineStr">
        <is>
          <t>Chinese</t>
        </is>
      </c>
      <c r="I1772" s="22" t="n">
        <v>338</v>
      </c>
      <c r="J1772" s="22" t="n">
        <v>23.48</v>
      </c>
      <c r="K1772" s="22" t="n">
        <v>53</v>
      </c>
      <c r="L1772" s="23" t="n">
        <v>0.2</v>
      </c>
      <c r="M1772" s="22" t="n">
        <v>80.84999999999999</v>
      </c>
      <c r="N1772" s="24" t="n">
        <v>8.6</v>
      </c>
      <c r="O1772" s="24" t="n">
        <v>40.4</v>
      </c>
      <c r="P1772" s="17" t="inlineStr">
        <is>
          <t>UPI</t>
        </is>
      </c>
      <c r="Q1772" s="17" t="inlineStr">
        <is>
          <t>Delivered</t>
        </is>
      </c>
      <c r="R1772" s="17" t="n">
        <v>1</v>
      </c>
      <c r="S1772" s="17">
        <f>TEXT(B1772,"yyyy-mm")</f>
        <v/>
      </c>
      <c r="T1772" s="17">
        <f>VLOOKUP(D1772,Customers!A:D,4,FALSE)</f>
        <v/>
      </c>
      <c r="U1772" s="17">
        <f>CONCATENATE(A1772,"-",G1772)</f>
        <v/>
      </c>
      <c r="V1772" s="17">
        <f>IF(N1772="","",IF(N1772&lt;=30,"Fast (&lt;30m)",IF(N1772&lt;=45,"Moderate (30-45m)","Delayed (&gt;45m)")))</f>
        <v/>
      </c>
      <c r="W1772" s="17">
        <f>IF(AND(I1772&gt;600,P1772="Delivered"),"High Value Delivered","Standard")</f>
        <v/>
      </c>
      <c r="X1772" s="17">
        <f>IF(OR(N1772&gt;50,Q1772&lt;=2),"High Risk / Delayed","Normal")</f>
        <v/>
      </c>
      <c r="Y1772" s="17">
        <f>IF(NOT(P1772="Cancelled"),"Fulfilled","Cancelled")</f>
        <v/>
      </c>
      <c r="Z1772" s="17">
        <f>IFERROR(Q1772,0)</f>
        <v/>
      </c>
    </row>
    <row r="1773">
      <c r="A1773" s="25" t="inlineStr">
        <is>
          <t>ORD2772</t>
        </is>
      </c>
      <c r="B1773" s="25" t="inlineStr">
        <is>
          <t>2025-01-18</t>
        </is>
      </c>
      <c r="C1773" s="25" t="inlineStr">
        <is>
          <t>21:33:13</t>
        </is>
      </c>
      <c r="D1773" s="25" t="n">
        <v>1235</v>
      </c>
      <c r="E1773" s="25" t="n">
        <v>109</v>
      </c>
      <c r="F1773" s="25" t="n">
        <v>215</v>
      </c>
      <c r="G1773" s="25" t="inlineStr">
        <is>
          <t>Hyderabad</t>
        </is>
      </c>
      <c r="H1773" s="25" t="inlineStr">
        <is>
          <t>Biryani</t>
        </is>
      </c>
      <c r="I1773" s="26" t="n">
        <v>868</v>
      </c>
      <c r="J1773" s="26" t="n">
        <v>38.58</v>
      </c>
      <c r="K1773" s="26" t="n">
        <v>25</v>
      </c>
      <c r="L1773" s="27" t="n">
        <v>0.2</v>
      </c>
      <c r="M1773" s="26" t="n">
        <v>179.85</v>
      </c>
      <c r="N1773" s="28" t="n">
        <v>1.4</v>
      </c>
      <c r="O1773" s="28" t="n">
        <v>19.1</v>
      </c>
      <c r="P1773" s="25" t="inlineStr">
        <is>
          <t>UPI</t>
        </is>
      </c>
      <c r="Q1773" s="25" t="inlineStr">
        <is>
          <t>Delivered</t>
        </is>
      </c>
      <c r="R1773" s="25" t="n">
        <v>4</v>
      </c>
      <c r="S1773" s="25">
        <f>TEXT(B1773,"yyyy-mm")</f>
        <v/>
      </c>
      <c r="T1773" s="25">
        <f>VLOOKUP(D1773,Customers!A:D,4,FALSE)</f>
        <v/>
      </c>
      <c r="U1773" s="25">
        <f>CONCATENATE(A1773,"-",G1773)</f>
        <v/>
      </c>
      <c r="V1773" s="25">
        <f>IF(N1773="","",IF(N1773&lt;=30,"Fast (&lt;30m)",IF(N1773&lt;=45,"Moderate (30-45m)","Delayed (&gt;45m)")))</f>
        <v/>
      </c>
      <c r="W1773" s="25">
        <f>IF(AND(I1773&gt;600,P1773="Delivered"),"High Value Delivered","Standard")</f>
        <v/>
      </c>
      <c r="X1773" s="25">
        <f>IF(OR(N1773&gt;50,Q1773&lt;=2),"High Risk / Delayed","Normal")</f>
        <v/>
      </c>
      <c r="Y1773" s="25">
        <f>IF(NOT(P1773="Cancelled"),"Fulfilled","Cancelled")</f>
        <v/>
      </c>
      <c r="Z1773" s="25">
        <f>IFERROR(Q1773,0)</f>
        <v/>
      </c>
    </row>
    <row r="1774">
      <c r="A1774" s="17" t="inlineStr">
        <is>
          <t>ORD2773</t>
        </is>
      </c>
      <c r="B1774" s="17" t="inlineStr">
        <is>
          <t>2025-09-24</t>
        </is>
      </c>
      <c r="C1774" s="17" t="inlineStr">
        <is>
          <t>13:33:39</t>
        </is>
      </c>
      <c r="D1774" s="17" t="n">
        <v>1239</v>
      </c>
      <c r="E1774" s="17" t="n">
        <v>115</v>
      </c>
      <c r="F1774" s="17" t="n">
        <v>205</v>
      </c>
      <c r="G1774" s="17" t="inlineStr">
        <is>
          <t>Bangalore</t>
        </is>
      </c>
      <c r="H1774" s="17" t="inlineStr">
        <is>
          <t>Italian</t>
        </is>
      </c>
      <c r="I1774" s="22" t="n">
        <v>612</v>
      </c>
      <c r="J1774" s="22" t="n">
        <v>47.13</v>
      </c>
      <c r="K1774" s="22" t="n">
        <v>29.5</v>
      </c>
      <c r="L1774" s="23" t="n">
        <v>0.2</v>
      </c>
      <c r="M1774" s="22" t="n">
        <v>129.78</v>
      </c>
      <c r="N1774" s="24" t="n">
        <v>3.9</v>
      </c>
      <c r="O1774" s="24" t="n">
        <v>33.2</v>
      </c>
      <c r="P1774" s="17" t="inlineStr">
        <is>
          <t>Cash on Delivery</t>
        </is>
      </c>
      <c r="Q1774" s="17" t="inlineStr">
        <is>
          <t>Delivered</t>
        </is>
      </c>
      <c r="R1774" s="17" t="n">
        <v>5</v>
      </c>
      <c r="S1774" s="17">
        <f>TEXT(B1774,"yyyy-mm")</f>
        <v/>
      </c>
      <c r="T1774" s="17">
        <f>VLOOKUP(D1774,Customers!A:D,4,FALSE)</f>
        <v/>
      </c>
      <c r="U1774" s="17">
        <f>CONCATENATE(A1774,"-",G1774)</f>
        <v/>
      </c>
      <c r="V1774" s="17">
        <f>IF(N1774="","",IF(N1774&lt;=30,"Fast (&lt;30m)",IF(N1774&lt;=45,"Moderate (30-45m)","Delayed (&gt;45m)")))</f>
        <v/>
      </c>
      <c r="W1774" s="17">
        <f>IF(AND(I1774&gt;600,P1774="Delivered"),"High Value Delivered","Standard")</f>
        <v/>
      </c>
      <c r="X1774" s="17">
        <f>IF(OR(N1774&gt;50,Q1774&lt;=2),"High Risk / Delayed","Normal")</f>
        <v/>
      </c>
      <c r="Y1774" s="17">
        <f>IF(NOT(P1774="Cancelled"),"Fulfilled","Cancelled")</f>
        <v/>
      </c>
      <c r="Z1774" s="17">
        <f>IFERROR(Q1774,0)</f>
        <v/>
      </c>
    </row>
    <row r="1775">
      <c r="A1775" s="25" t="inlineStr">
        <is>
          <t>ORD2774</t>
        </is>
      </c>
      <c r="B1775" s="25" t="inlineStr">
        <is>
          <t>2025-12-20</t>
        </is>
      </c>
      <c r="C1775" s="25" t="inlineStr">
        <is>
          <t>20:59:14</t>
        </is>
      </c>
      <c r="D1775" s="25" t="n">
        <v>1268</v>
      </c>
      <c r="E1775" s="25" t="n">
        <v>117</v>
      </c>
      <c r="F1775" s="25" t="n">
        <v>206</v>
      </c>
      <c r="G1775" s="25" t="inlineStr">
        <is>
          <t>Mumbai</t>
        </is>
      </c>
      <c r="H1775" s="25" t="inlineStr">
        <is>
          <t>Chinese</t>
        </is>
      </c>
      <c r="I1775" s="26" t="n">
        <v>653</v>
      </c>
      <c r="J1775" s="26" t="n">
        <v>53.17</v>
      </c>
      <c r="K1775" s="26" t="n">
        <v>30</v>
      </c>
      <c r="L1775" s="27" t="n">
        <v>0.2</v>
      </c>
      <c r="M1775" s="26" t="n">
        <v>138.1</v>
      </c>
      <c r="N1775" s="28" t="n">
        <v>4</v>
      </c>
      <c r="O1775" s="28" t="n">
        <v>33.6</v>
      </c>
      <c r="P1775" s="25" t="inlineStr">
        <is>
          <t>Cash on Delivery</t>
        </is>
      </c>
      <c r="Q1775" s="25" t="inlineStr">
        <is>
          <t>Delivered</t>
        </is>
      </c>
      <c r="R1775" s="25" t="n">
        <v>5</v>
      </c>
      <c r="S1775" s="25">
        <f>TEXT(B1775,"yyyy-mm")</f>
        <v/>
      </c>
      <c r="T1775" s="25">
        <f>VLOOKUP(D1775,Customers!A:D,4,FALSE)</f>
        <v/>
      </c>
      <c r="U1775" s="25">
        <f>CONCATENATE(A1775,"-",G1775)</f>
        <v/>
      </c>
      <c r="V1775" s="25">
        <f>IF(N1775="","",IF(N1775&lt;=30,"Fast (&lt;30m)",IF(N1775&lt;=45,"Moderate (30-45m)","Delayed (&gt;45m)")))</f>
        <v/>
      </c>
      <c r="W1775" s="25">
        <f>IF(AND(I1775&gt;600,P1775="Delivered"),"High Value Delivered","Standard")</f>
        <v/>
      </c>
      <c r="X1775" s="25">
        <f>IF(OR(N1775&gt;50,Q1775&lt;=2),"High Risk / Delayed","Normal")</f>
        <v/>
      </c>
      <c r="Y1775" s="25">
        <f>IF(NOT(P1775="Cancelled"),"Fulfilled","Cancelled")</f>
        <v/>
      </c>
      <c r="Z1775" s="25">
        <f>IFERROR(Q1775,0)</f>
        <v/>
      </c>
    </row>
    <row r="1776">
      <c r="A1776" s="17" t="inlineStr">
        <is>
          <t>ORD2775</t>
        </is>
      </c>
      <c r="B1776" s="17" t="inlineStr">
        <is>
          <t>2025-01-04</t>
        </is>
      </c>
      <c r="C1776" s="17" t="inlineStr">
        <is>
          <t>22:08:23</t>
        </is>
      </c>
      <c r="D1776" s="17" t="n">
        <v>1012</v>
      </c>
      <c r="E1776" s="17" t="n">
        <v>106</v>
      </c>
      <c r="F1776" s="17" t="n">
        <v>214</v>
      </c>
      <c r="G1776" s="17" t="inlineStr">
        <is>
          <t>Pune</t>
        </is>
      </c>
      <c r="H1776" s="17" t="inlineStr">
        <is>
          <t>South Indian</t>
        </is>
      </c>
      <c r="I1776" s="22" t="n">
        <v>1036</v>
      </c>
      <c r="J1776" s="22" t="n">
        <v>176.5</v>
      </c>
      <c r="K1776" s="22" t="n">
        <v>0</v>
      </c>
      <c r="L1776" s="23" t="n">
        <v>0.15</v>
      </c>
      <c r="M1776" s="22" t="n">
        <v>155.4</v>
      </c>
      <c r="N1776" s="24" t="n">
        <v>2.6</v>
      </c>
      <c r="O1776" s="24" t="n">
        <v>50</v>
      </c>
      <c r="P1776" s="17" t="inlineStr">
        <is>
          <t>Debit Card</t>
        </is>
      </c>
      <c r="Q1776" s="17" t="inlineStr">
        <is>
          <t>Delivered</t>
        </is>
      </c>
      <c r="R1776" s="17" t="n">
        <v>3</v>
      </c>
      <c r="S1776" s="17">
        <f>TEXT(B1776,"yyyy-mm")</f>
        <v/>
      </c>
      <c r="T1776" s="17">
        <f>VLOOKUP(D1776,Customers!A:D,4,FALSE)</f>
        <v/>
      </c>
      <c r="U1776" s="17">
        <f>CONCATENATE(A1776,"-",G1776)</f>
        <v/>
      </c>
      <c r="V1776" s="17">
        <f>IF(N1776="","",IF(N1776&lt;=30,"Fast (&lt;30m)",IF(N1776&lt;=45,"Moderate (30-45m)","Delayed (&gt;45m)")))</f>
        <v/>
      </c>
      <c r="W1776" s="17">
        <f>IF(AND(I1776&gt;600,P1776="Delivered"),"High Value Delivered","Standard")</f>
        <v/>
      </c>
      <c r="X1776" s="17">
        <f>IF(OR(N1776&gt;50,Q1776&lt;=2),"High Risk / Delayed","Normal")</f>
        <v/>
      </c>
      <c r="Y1776" s="17">
        <f>IF(NOT(P1776="Cancelled"),"Fulfilled","Cancelled")</f>
        <v/>
      </c>
      <c r="Z1776" s="17">
        <f>IFERROR(Q1776,0)</f>
        <v/>
      </c>
    </row>
    <row r="1777">
      <c r="A1777" s="25" t="inlineStr">
        <is>
          <t>ORD2776</t>
        </is>
      </c>
      <c r="B1777" s="25" t="inlineStr">
        <is>
          <t>2025-09-27</t>
        </is>
      </c>
      <c r="C1777" s="25" t="inlineStr">
        <is>
          <t>13:13:51</t>
        </is>
      </c>
      <c r="D1777" s="25" t="n">
        <v>1206</v>
      </c>
      <c r="E1777" s="25" t="n">
        <v>103</v>
      </c>
      <c r="F1777" s="25" t="n">
        <v>202</v>
      </c>
      <c r="G1777" s="25" t="inlineStr">
        <is>
          <t>Mumbai</t>
        </is>
      </c>
      <c r="H1777" s="25" t="inlineStr">
        <is>
          <t>Italian</t>
        </is>
      </c>
      <c r="I1777" s="26" t="n">
        <v>397</v>
      </c>
      <c r="J1777" s="26" t="n">
        <v>25.65</v>
      </c>
      <c r="K1777" s="26" t="n">
        <v>25</v>
      </c>
      <c r="L1777" s="27" t="n">
        <v>0.18</v>
      </c>
      <c r="M1777" s="26" t="n">
        <v>77.70999999999999</v>
      </c>
      <c r="N1777" s="28" t="n">
        <v>2.7</v>
      </c>
      <c r="O1777" s="28" t="n">
        <v>24.6</v>
      </c>
      <c r="P1777" s="25" t="inlineStr">
        <is>
          <t>Credit Card</t>
        </is>
      </c>
      <c r="Q1777" s="25" t="inlineStr">
        <is>
          <t>Delivered</t>
        </is>
      </c>
      <c r="R1777" s="25" t="n">
        <v>4</v>
      </c>
      <c r="S1777" s="25">
        <f>TEXT(B1777,"yyyy-mm")</f>
        <v/>
      </c>
      <c r="T1777" s="25">
        <f>VLOOKUP(D1777,Customers!A:D,4,FALSE)</f>
        <v/>
      </c>
      <c r="U1777" s="25">
        <f>CONCATENATE(A1777,"-",G1777)</f>
        <v/>
      </c>
      <c r="V1777" s="25">
        <f>IF(N1777="","",IF(N1777&lt;=30,"Fast (&lt;30m)",IF(N1777&lt;=45,"Moderate (30-45m)","Delayed (&gt;45m)")))</f>
        <v/>
      </c>
      <c r="W1777" s="25">
        <f>IF(AND(I1777&gt;600,P1777="Delivered"),"High Value Delivered","Standard")</f>
        <v/>
      </c>
      <c r="X1777" s="25">
        <f>IF(OR(N1777&gt;50,Q1777&lt;=2),"High Risk / Delayed","Normal")</f>
        <v/>
      </c>
      <c r="Y1777" s="25">
        <f>IF(NOT(P1777="Cancelled"),"Fulfilled","Cancelled")</f>
        <v/>
      </c>
      <c r="Z1777" s="25">
        <f>IFERROR(Q1777,0)</f>
        <v/>
      </c>
    </row>
    <row r="1778">
      <c r="A1778" s="17" t="inlineStr">
        <is>
          <t>ORD2777</t>
        </is>
      </c>
      <c r="B1778" s="17" t="inlineStr">
        <is>
          <t>2025-03-06</t>
        </is>
      </c>
      <c r="C1778" s="17" t="inlineStr">
        <is>
          <t>13:12:38</t>
        </is>
      </c>
      <c r="D1778" s="17" t="n">
        <v>1280</v>
      </c>
      <c r="E1778" s="17" t="n">
        <v>120</v>
      </c>
      <c r="F1778" s="17" t="n">
        <v>217</v>
      </c>
      <c r="G1778" s="17" t="inlineStr">
        <is>
          <t>Pune</t>
        </is>
      </c>
      <c r="H1778" s="17" t="inlineStr">
        <is>
          <t>Fast Food</t>
        </is>
      </c>
      <c r="I1778" s="22" t="n">
        <v>366</v>
      </c>
      <c r="J1778" s="22" t="n">
        <v>40.81</v>
      </c>
      <c r="K1778" s="22" t="n">
        <v>34</v>
      </c>
      <c r="L1778" s="23" t="n">
        <v>0.18</v>
      </c>
      <c r="M1778" s="22" t="n">
        <v>74.38</v>
      </c>
      <c r="N1778" s="24" t="n">
        <v>4.8</v>
      </c>
      <c r="O1778" s="24" t="n">
        <v>43.6</v>
      </c>
      <c r="P1778" s="17" t="inlineStr">
        <is>
          <t>Debit Card</t>
        </is>
      </c>
      <c r="Q1778" s="17" t="inlineStr">
        <is>
          <t>Delivered</t>
        </is>
      </c>
      <c r="R1778" s="17" t="n">
        <v>4</v>
      </c>
      <c r="S1778" s="17">
        <f>TEXT(B1778,"yyyy-mm")</f>
        <v/>
      </c>
      <c r="T1778" s="17">
        <f>VLOOKUP(D1778,Customers!A:D,4,FALSE)</f>
        <v/>
      </c>
      <c r="U1778" s="17">
        <f>CONCATENATE(A1778,"-",G1778)</f>
        <v/>
      </c>
      <c r="V1778" s="17">
        <f>IF(N1778="","",IF(N1778&lt;=30,"Fast (&lt;30m)",IF(N1778&lt;=45,"Moderate (30-45m)","Delayed (&gt;45m)")))</f>
        <v/>
      </c>
      <c r="W1778" s="17">
        <f>IF(AND(I1778&gt;600,P1778="Delivered"),"High Value Delivered","Standard")</f>
        <v/>
      </c>
      <c r="X1778" s="17">
        <f>IF(OR(N1778&gt;50,Q1778&lt;=2),"High Risk / Delayed","Normal")</f>
        <v/>
      </c>
      <c r="Y1778" s="17">
        <f>IF(NOT(P1778="Cancelled"),"Fulfilled","Cancelled")</f>
        <v/>
      </c>
      <c r="Z1778" s="17">
        <f>IFERROR(Q1778,0)</f>
        <v/>
      </c>
    </row>
    <row r="1779">
      <c r="A1779" s="25" t="inlineStr">
        <is>
          <t>ORD2778</t>
        </is>
      </c>
      <c r="B1779" s="25" t="inlineStr">
        <is>
          <t>2025-01-05</t>
        </is>
      </c>
      <c r="C1779" s="25" t="inlineStr">
        <is>
          <t>09:56:05</t>
        </is>
      </c>
      <c r="D1779" s="25" t="n">
        <v>1188</v>
      </c>
      <c r="E1779" s="25" t="n">
        <v>102</v>
      </c>
      <c r="F1779" s="25" t="n">
        <v>225</v>
      </c>
      <c r="G1779" s="25" t="inlineStr">
        <is>
          <t>Hyderabad</t>
        </is>
      </c>
      <c r="H1779" s="25" t="inlineStr">
        <is>
          <t>Biryani</t>
        </is>
      </c>
      <c r="I1779" s="26" t="n">
        <v>752</v>
      </c>
      <c r="J1779" s="26" t="n">
        <v>0</v>
      </c>
      <c r="K1779" s="26" t="n">
        <v>31.5</v>
      </c>
      <c r="L1779" s="27" t="n">
        <v>0.22</v>
      </c>
      <c r="M1779" s="26" t="n">
        <v>173.32</v>
      </c>
      <c r="N1779" s="28" t="n">
        <v>4.3</v>
      </c>
      <c r="O1779" s="28" t="n">
        <v>27.9</v>
      </c>
      <c r="P1779" s="25" t="inlineStr">
        <is>
          <t>Credit Card</t>
        </is>
      </c>
      <c r="Q1779" s="25" t="inlineStr">
        <is>
          <t>Delivered</t>
        </is>
      </c>
      <c r="R1779" s="25" t="n">
        <v>4</v>
      </c>
      <c r="S1779" s="25">
        <f>TEXT(B1779,"yyyy-mm")</f>
        <v/>
      </c>
      <c r="T1779" s="25">
        <f>VLOOKUP(D1779,Customers!A:D,4,FALSE)</f>
        <v/>
      </c>
      <c r="U1779" s="25">
        <f>CONCATENATE(A1779,"-",G1779)</f>
        <v/>
      </c>
      <c r="V1779" s="25">
        <f>IF(N1779="","",IF(N1779&lt;=30,"Fast (&lt;30m)",IF(N1779&lt;=45,"Moderate (30-45m)","Delayed (&gt;45m)")))</f>
        <v/>
      </c>
      <c r="W1779" s="25">
        <f>IF(AND(I1779&gt;600,P1779="Delivered"),"High Value Delivered","Standard")</f>
        <v/>
      </c>
      <c r="X1779" s="25">
        <f>IF(OR(N1779&gt;50,Q1779&lt;=2),"High Risk / Delayed","Normal")</f>
        <v/>
      </c>
      <c r="Y1779" s="25">
        <f>IF(NOT(P1779="Cancelled"),"Fulfilled","Cancelled")</f>
        <v/>
      </c>
      <c r="Z1779" s="25">
        <f>IFERROR(Q1779,0)</f>
        <v/>
      </c>
    </row>
    <row r="1780">
      <c r="A1780" s="17" t="inlineStr">
        <is>
          <t>ORD2779</t>
        </is>
      </c>
      <c r="B1780" s="17" t="inlineStr">
        <is>
          <t>2025-06-26</t>
        </is>
      </c>
      <c r="C1780" s="17" t="inlineStr">
        <is>
          <t>18:01:34</t>
        </is>
      </c>
      <c r="D1780" s="17" t="n">
        <v>1209</v>
      </c>
      <c r="E1780" s="17" t="n">
        <v>110</v>
      </c>
      <c r="F1780" s="17" t="n">
        <v>226</v>
      </c>
      <c r="G1780" s="17" t="inlineStr">
        <is>
          <t>Pune</t>
        </is>
      </c>
      <c r="H1780" s="17" t="inlineStr">
        <is>
          <t>North Indian</t>
        </is>
      </c>
      <c r="I1780" s="22" t="n">
        <v>389</v>
      </c>
      <c r="J1780" s="22" t="n">
        <v>12.57</v>
      </c>
      <c r="K1780" s="22" t="n">
        <v>27</v>
      </c>
      <c r="L1780" s="23" t="n">
        <v>0.18</v>
      </c>
      <c r="M1780" s="22" t="n">
        <v>76.77</v>
      </c>
      <c r="N1780" s="24" t="n">
        <v>3.4</v>
      </c>
      <c r="O1780" s="24" t="n">
        <v>29.4</v>
      </c>
      <c r="P1780" s="17" t="inlineStr">
        <is>
          <t>Cash on Delivery</t>
        </is>
      </c>
      <c r="Q1780" s="17" t="inlineStr">
        <is>
          <t>Delivered</t>
        </is>
      </c>
      <c r="R1780" s="17" t="n">
        <v>4</v>
      </c>
      <c r="S1780" s="17">
        <f>TEXT(B1780,"yyyy-mm")</f>
        <v/>
      </c>
      <c r="T1780" s="17">
        <f>VLOOKUP(D1780,Customers!A:D,4,FALSE)</f>
        <v/>
      </c>
      <c r="U1780" s="17">
        <f>CONCATENATE(A1780,"-",G1780)</f>
        <v/>
      </c>
      <c r="V1780" s="17">
        <f>IF(N1780="","",IF(N1780&lt;=30,"Fast (&lt;30m)",IF(N1780&lt;=45,"Moderate (30-45m)","Delayed (&gt;45m)")))</f>
        <v/>
      </c>
      <c r="W1780" s="17">
        <f>IF(AND(I1780&gt;600,P1780="Delivered"),"High Value Delivered","Standard")</f>
        <v/>
      </c>
      <c r="X1780" s="17">
        <f>IF(OR(N1780&gt;50,Q1780&lt;=2),"High Risk / Delayed","Normal")</f>
        <v/>
      </c>
      <c r="Y1780" s="17">
        <f>IF(NOT(P1780="Cancelled"),"Fulfilled","Cancelled")</f>
        <v/>
      </c>
      <c r="Z1780" s="17">
        <f>IFERROR(Q1780,0)</f>
        <v/>
      </c>
    </row>
    <row r="1781">
      <c r="A1781" s="25" t="inlineStr">
        <is>
          <t>ORD2780</t>
        </is>
      </c>
      <c r="B1781" s="25" t="inlineStr">
        <is>
          <t>2025-06-29</t>
        </is>
      </c>
      <c r="C1781" s="25" t="inlineStr">
        <is>
          <t>19:30:29</t>
        </is>
      </c>
      <c r="D1781" s="25" t="n">
        <v>1216</v>
      </c>
      <c r="E1781" s="25" t="n">
        <v>106</v>
      </c>
      <c r="F1781" s="25" t="n">
        <v>208</v>
      </c>
      <c r="G1781" s="25" t="inlineStr">
        <is>
          <t>Pune</t>
        </is>
      </c>
      <c r="H1781" s="25" t="inlineStr">
        <is>
          <t>South Indian</t>
        </is>
      </c>
      <c r="I1781" s="26" t="n">
        <v>548</v>
      </c>
      <c r="J1781" s="26" t="n">
        <v>0</v>
      </c>
      <c r="K1781" s="26" t="n">
        <v>27.5</v>
      </c>
      <c r="L1781" s="27" t="n">
        <v>0.15</v>
      </c>
      <c r="M1781" s="26" t="n">
        <v>89.08</v>
      </c>
      <c r="N1781" s="28" t="n">
        <v>3.5</v>
      </c>
      <c r="O1781" s="28" t="n">
        <v>37</v>
      </c>
      <c r="P1781" s="25" t="inlineStr">
        <is>
          <t>Digital Wallet</t>
        </is>
      </c>
      <c r="Q1781" s="25" t="inlineStr">
        <is>
          <t>Delivered</t>
        </is>
      </c>
      <c r="R1781" s="25" t="n">
        <v>5</v>
      </c>
      <c r="S1781" s="25">
        <f>TEXT(B1781,"yyyy-mm")</f>
        <v/>
      </c>
      <c r="T1781" s="25">
        <f>VLOOKUP(D1781,Customers!A:D,4,FALSE)</f>
        <v/>
      </c>
      <c r="U1781" s="25">
        <f>CONCATENATE(A1781,"-",G1781)</f>
        <v/>
      </c>
      <c r="V1781" s="25">
        <f>IF(N1781="","",IF(N1781&lt;=30,"Fast (&lt;30m)",IF(N1781&lt;=45,"Moderate (30-45m)","Delayed (&gt;45m)")))</f>
        <v/>
      </c>
      <c r="W1781" s="25">
        <f>IF(AND(I1781&gt;600,P1781="Delivered"),"High Value Delivered","Standard")</f>
        <v/>
      </c>
      <c r="X1781" s="25">
        <f>IF(OR(N1781&gt;50,Q1781&lt;=2),"High Risk / Delayed","Normal")</f>
        <v/>
      </c>
      <c r="Y1781" s="25">
        <f>IF(NOT(P1781="Cancelled"),"Fulfilled","Cancelled")</f>
        <v/>
      </c>
      <c r="Z1781" s="25">
        <f>IFERROR(Q1781,0)</f>
        <v/>
      </c>
    </row>
    <row r="1782">
      <c r="A1782" s="17" t="inlineStr">
        <is>
          <t>ORD2781</t>
        </is>
      </c>
      <c r="B1782" s="17" t="inlineStr">
        <is>
          <t>2025-07-14</t>
        </is>
      </c>
      <c r="C1782" s="17" t="inlineStr">
        <is>
          <t>12:09:55</t>
        </is>
      </c>
      <c r="D1782" s="17" t="n">
        <v>1144</v>
      </c>
      <c r="E1782" s="17" t="n">
        <v>115</v>
      </c>
      <c r="F1782" s="17" t="n">
        <v>210</v>
      </c>
      <c r="G1782" s="17" t="inlineStr">
        <is>
          <t>Bangalore</t>
        </is>
      </c>
      <c r="H1782" s="17" t="inlineStr">
        <is>
          <t>Italian</t>
        </is>
      </c>
      <c r="I1782" s="22" t="n">
        <v>804</v>
      </c>
      <c r="J1782" s="22" t="n">
        <v>20.93</v>
      </c>
      <c r="K1782" s="22" t="n">
        <v>34.5</v>
      </c>
      <c r="L1782" s="23" t="n">
        <v>0.2</v>
      </c>
      <c r="M1782" s="22" t="n">
        <v>169.42</v>
      </c>
      <c r="N1782" s="24" t="n">
        <v>4.9</v>
      </c>
      <c r="O1782" s="24" t="n">
        <v>39.6</v>
      </c>
      <c r="P1782" s="17" t="inlineStr">
        <is>
          <t>Digital Wallet</t>
        </is>
      </c>
      <c r="Q1782" s="17" t="inlineStr">
        <is>
          <t>Delivered</t>
        </is>
      </c>
      <c r="R1782" s="17" t="n">
        <v>3</v>
      </c>
      <c r="S1782" s="17">
        <f>TEXT(B1782,"yyyy-mm")</f>
        <v/>
      </c>
      <c r="T1782" s="17">
        <f>VLOOKUP(D1782,Customers!A:D,4,FALSE)</f>
        <v/>
      </c>
      <c r="U1782" s="17">
        <f>CONCATENATE(A1782,"-",G1782)</f>
        <v/>
      </c>
      <c r="V1782" s="17">
        <f>IF(N1782="","",IF(N1782&lt;=30,"Fast (&lt;30m)",IF(N1782&lt;=45,"Moderate (30-45m)","Delayed (&gt;45m)")))</f>
        <v/>
      </c>
      <c r="W1782" s="17">
        <f>IF(AND(I1782&gt;600,P1782="Delivered"),"High Value Delivered","Standard")</f>
        <v/>
      </c>
      <c r="X1782" s="17">
        <f>IF(OR(N1782&gt;50,Q1782&lt;=2),"High Risk / Delayed","Normal")</f>
        <v/>
      </c>
      <c r="Y1782" s="17">
        <f>IF(NOT(P1782="Cancelled"),"Fulfilled","Cancelled")</f>
        <v/>
      </c>
      <c r="Z1782" s="17">
        <f>IFERROR(Q1782,0)</f>
        <v/>
      </c>
    </row>
    <row r="1783">
      <c r="A1783" s="25" t="inlineStr">
        <is>
          <t>ORD2782</t>
        </is>
      </c>
      <c r="B1783" s="25" t="inlineStr">
        <is>
          <t>2025-02-22</t>
        </is>
      </c>
      <c r="C1783" s="25" t="inlineStr">
        <is>
          <t>12:25:03</t>
        </is>
      </c>
      <c r="D1783" s="25" t="n">
        <v>1241</v>
      </c>
      <c r="E1783" s="25" t="n">
        <v>119</v>
      </c>
      <c r="F1783" s="25" t="n">
        <v>215</v>
      </c>
      <c r="G1783" s="25" t="inlineStr">
        <is>
          <t>Hyderabad</t>
        </is>
      </c>
      <c r="H1783" s="25" t="inlineStr">
        <is>
          <t>Biryani</t>
        </is>
      </c>
      <c r="I1783" s="26" t="n">
        <v>1104</v>
      </c>
      <c r="J1783" s="26" t="n">
        <v>130.45</v>
      </c>
      <c r="K1783" s="26" t="n">
        <v>0</v>
      </c>
      <c r="L1783" s="27" t="n">
        <v>0.2</v>
      </c>
      <c r="M1783" s="26" t="n">
        <v>220.8</v>
      </c>
      <c r="N1783" s="28" t="n">
        <v>3.6</v>
      </c>
      <c r="O1783" s="28" t="n">
        <v/>
      </c>
      <c r="P1783" s="25" t="inlineStr">
        <is>
          <t>UPI</t>
        </is>
      </c>
      <c r="Q1783" s="25" t="inlineStr">
        <is>
          <t>Cancelled</t>
        </is>
      </c>
      <c r="R1783" s="25" t="n">
        <v/>
      </c>
      <c r="S1783" s="25">
        <f>TEXT(B1783,"yyyy-mm")</f>
        <v/>
      </c>
      <c r="T1783" s="25">
        <f>VLOOKUP(D1783,Customers!A:D,4,FALSE)</f>
        <v/>
      </c>
      <c r="U1783" s="25">
        <f>CONCATENATE(A1783,"-",G1783)</f>
        <v/>
      </c>
      <c r="V1783" s="25">
        <f>IF(N1783="","",IF(N1783&lt;=30,"Fast (&lt;30m)",IF(N1783&lt;=45,"Moderate (30-45m)","Delayed (&gt;45m)")))</f>
        <v/>
      </c>
      <c r="W1783" s="25">
        <f>IF(AND(I1783&gt;600,P1783="Delivered"),"High Value Delivered","Standard")</f>
        <v/>
      </c>
      <c r="X1783" s="25">
        <f>IF(OR(N1783&gt;50,Q1783&lt;=2),"High Risk / Delayed","Normal")</f>
        <v/>
      </c>
      <c r="Y1783" s="25">
        <f>IF(NOT(P1783="Cancelled"),"Fulfilled","Cancelled")</f>
        <v/>
      </c>
      <c r="Z1783" s="25">
        <f>IFERROR(Q1783,0)</f>
        <v/>
      </c>
    </row>
    <row r="1784">
      <c r="A1784" s="17" t="inlineStr">
        <is>
          <t>ORD2783</t>
        </is>
      </c>
      <c r="B1784" s="17" t="inlineStr">
        <is>
          <t>2025-08-23</t>
        </is>
      </c>
      <c r="C1784" s="17" t="inlineStr">
        <is>
          <t>12:43:13</t>
        </is>
      </c>
      <c r="D1784" s="17" t="n">
        <v>1118</v>
      </c>
      <c r="E1784" s="17" t="n">
        <v>118</v>
      </c>
      <c r="F1784" s="17" t="n">
        <v>212</v>
      </c>
      <c r="G1784" s="17" t="inlineStr">
        <is>
          <t>Delhi NCR</t>
        </is>
      </c>
      <c r="H1784" s="17" t="inlineStr">
        <is>
          <t>North Indian</t>
        </is>
      </c>
      <c r="I1784" s="22" t="n">
        <v>423</v>
      </c>
      <c r="J1784" s="22" t="n">
        <v>0</v>
      </c>
      <c r="K1784" s="22" t="n">
        <v>25</v>
      </c>
      <c r="L1784" s="23" t="n">
        <v>0.2</v>
      </c>
      <c r="M1784" s="22" t="n">
        <v>90.84999999999999</v>
      </c>
      <c r="N1784" s="24" t="n">
        <v>2.2</v>
      </c>
      <c r="O1784" s="24" t="n">
        <v>39.3</v>
      </c>
      <c r="P1784" s="17" t="inlineStr">
        <is>
          <t>Credit Card</t>
        </is>
      </c>
      <c r="Q1784" s="17" t="inlineStr">
        <is>
          <t>Delivered</t>
        </is>
      </c>
      <c r="R1784" s="17" t="n">
        <v>5</v>
      </c>
      <c r="S1784" s="17">
        <f>TEXT(B1784,"yyyy-mm")</f>
        <v/>
      </c>
      <c r="T1784" s="17">
        <f>VLOOKUP(D1784,Customers!A:D,4,FALSE)</f>
        <v/>
      </c>
      <c r="U1784" s="17">
        <f>CONCATENATE(A1784,"-",G1784)</f>
        <v/>
      </c>
      <c r="V1784" s="17">
        <f>IF(N1784="","",IF(N1784&lt;=30,"Fast (&lt;30m)",IF(N1784&lt;=45,"Moderate (30-45m)","Delayed (&gt;45m)")))</f>
        <v/>
      </c>
      <c r="W1784" s="17">
        <f>IF(AND(I1784&gt;600,P1784="Delivered"),"High Value Delivered","Standard")</f>
        <v/>
      </c>
      <c r="X1784" s="17">
        <f>IF(OR(N1784&gt;50,Q1784&lt;=2),"High Risk / Delayed","Normal")</f>
        <v/>
      </c>
      <c r="Y1784" s="17">
        <f>IF(NOT(P1784="Cancelled"),"Fulfilled","Cancelled")</f>
        <v/>
      </c>
      <c r="Z1784" s="17">
        <f>IFERROR(Q1784,0)</f>
        <v/>
      </c>
    </row>
    <row r="1785">
      <c r="A1785" s="25" t="inlineStr">
        <is>
          <t>ORD2784</t>
        </is>
      </c>
      <c r="B1785" s="25" t="inlineStr">
        <is>
          <t>2025-04-04</t>
        </is>
      </c>
      <c r="C1785" s="25" t="inlineStr">
        <is>
          <t>13:11:09</t>
        </is>
      </c>
      <c r="D1785" s="25" t="n">
        <v>1191</v>
      </c>
      <c r="E1785" s="25" t="n">
        <v>118</v>
      </c>
      <c r="F1785" s="25" t="n">
        <v>228</v>
      </c>
      <c r="G1785" s="25" t="inlineStr">
        <is>
          <t>Delhi NCR</t>
        </is>
      </c>
      <c r="H1785" s="25" t="inlineStr">
        <is>
          <t>North Indian</t>
        </is>
      </c>
      <c r="I1785" s="26" t="n">
        <v>810</v>
      </c>
      <c r="J1785" s="26" t="n">
        <v>58.94</v>
      </c>
      <c r="K1785" s="26" t="n">
        <v>25</v>
      </c>
      <c r="L1785" s="27" t="n">
        <v>0.2</v>
      </c>
      <c r="M1785" s="26" t="n">
        <v>168.25</v>
      </c>
      <c r="N1785" s="28" t="n">
        <v>2</v>
      </c>
      <c r="O1785" s="28" t="n">
        <v>22.8</v>
      </c>
      <c r="P1785" s="25" t="inlineStr">
        <is>
          <t>Cash on Delivery</t>
        </is>
      </c>
      <c r="Q1785" s="25" t="inlineStr">
        <is>
          <t>Delivered</t>
        </is>
      </c>
      <c r="R1785" s="25" t="n">
        <v>4</v>
      </c>
      <c r="S1785" s="25">
        <f>TEXT(B1785,"yyyy-mm")</f>
        <v/>
      </c>
      <c r="T1785" s="25">
        <f>VLOOKUP(D1785,Customers!A:D,4,FALSE)</f>
        <v/>
      </c>
      <c r="U1785" s="25">
        <f>CONCATENATE(A1785,"-",G1785)</f>
        <v/>
      </c>
      <c r="V1785" s="25">
        <f>IF(N1785="","",IF(N1785&lt;=30,"Fast (&lt;30m)",IF(N1785&lt;=45,"Moderate (30-45m)","Delayed (&gt;45m)")))</f>
        <v/>
      </c>
      <c r="W1785" s="25">
        <f>IF(AND(I1785&gt;600,P1785="Delivered"),"High Value Delivered","Standard")</f>
        <v/>
      </c>
      <c r="X1785" s="25">
        <f>IF(OR(N1785&gt;50,Q1785&lt;=2),"High Risk / Delayed","Normal")</f>
        <v/>
      </c>
      <c r="Y1785" s="25">
        <f>IF(NOT(P1785="Cancelled"),"Fulfilled","Cancelled")</f>
        <v/>
      </c>
      <c r="Z1785" s="25">
        <f>IFERROR(Q1785,0)</f>
        <v/>
      </c>
    </row>
    <row r="1786">
      <c r="A1786" s="17" t="inlineStr">
        <is>
          <t>ORD2785</t>
        </is>
      </c>
      <c r="B1786" s="17" t="inlineStr">
        <is>
          <t>2025-08-07</t>
        </is>
      </c>
      <c r="C1786" s="17" t="inlineStr">
        <is>
          <t>10:51:20</t>
        </is>
      </c>
      <c r="D1786" s="17" t="n">
        <v>1175</v>
      </c>
      <c r="E1786" s="17" t="n">
        <v>111</v>
      </c>
      <c r="F1786" s="17" t="n">
        <v>218</v>
      </c>
      <c r="G1786" s="17" t="inlineStr">
        <is>
          <t>Bangalore</t>
        </is>
      </c>
      <c r="H1786" s="17" t="inlineStr">
        <is>
          <t>South Indian</t>
        </is>
      </c>
      <c r="I1786" s="22" t="n">
        <v>893</v>
      </c>
      <c r="J1786" s="22" t="n">
        <v>98.03</v>
      </c>
      <c r="K1786" s="22" t="n">
        <v>55.5</v>
      </c>
      <c r="L1786" s="23" t="n">
        <v>0.15</v>
      </c>
      <c r="M1786" s="22" t="n">
        <v>147.82</v>
      </c>
      <c r="N1786" s="24" t="n">
        <v>9.1</v>
      </c>
      <c r="O1786" s="24" t="n">
        <v>39.9</v>
      </c>
      <c r="P1786" s="17" t="inlineStr">
        <is>
          <t>Debit Card</t>
        </is>
      </c>
      <c r="Q1786" s="17" t="inlineStr">
        <is>
          <t>Delivered</t>
        </is>
      </c>
      <c r="R1786" s="17" t="n">
        <v>2</v>
      </c>
      <c r="S1786" s="17">
        <f>TEXT(B1786,"yyyy-mm")</f>
        <v/>
      </c>
      <c r="T1786" s="17">
        <f>VLOOKUP(D1786,Customers!A:D,4,FALSE)</f>
        <v/>
      </c>
      <c r="U1786" s="17">
        <f>CONCATENATE(A1786,"-",G1786)</f>
        <v/>
      </c>
      <c r="V1786" s="17">
        <f>IF(N1786="","",IF(N1786&lt;=30,"Fast (&lt;30m)",IF(N1786&lt;=45,"Moderate (30-45m)","Delayed (&gt;45m)")))</f>
        <v/>
      </c>
      <c r="W1786" s="17">
        <f>IF(AND(I1786&gt;600,P1786="Delivered"),"High Value Delivered","Standard")</f>
        <v/>
      </c>
      <c r="X1786" s="17">
        <f>IF(OR(N1786&gt;50,Q1786&lt;=2),"High Risk / Delayed","Normal")</f>
        <v/>
      </c>
      <c r="Y1786" s="17">
        <f>IF(NOT(P1786="Cancelled"),"Fulfilled","Cancelled")</f>
        <v/>
      </c>
      <c r="Z1786" s="17">
        <f>IFERROR(Q1786,0)</f>
        <v/>
      </c>
    </row>
    <row r="1787">
      <c r="A1787" s="25" t="inlineStr">
        <is>
          <t>ORD2786</t>
        </is>
      </c>
      <c r="B1787" s="25" t="inlineStr">
        <is>
          <t>2025-05-02</t>
        </is>
      </c>
      <c r="C1787" s="25" t="inlineStr">
        <is>
          <t>19:57:10</t>
        </is>
      </c>
      <c r="D1787" s="25" t="n">
        <v>1129</v>
      </c>
      <c r="E1787" s="25" t="n">
        <v>110</v>
      </c>
      <c r="F1787" s="25" t="n">
        <v>209</v>
      </c>
      <c r="G1787" s="25" t="inlineStr">
        <is>
          <t>Pune</t>
        </is>
      </c>
      <c r="H1787" s="25" t="inlineStr">
        <is>
          <t>North Indian</t>
        </is>
      </c>
      <c r="I1787" s="26" t="n">
        <v>552</v>
      </c>
      <c r="J1787" s="26" t="n">
        <v>31.02</v>
      </c>
      <c r="K1787" s="26" t="n">
        <v>27</v>
      </c>
      <c r="L1787" s="27" t="n">
        <v>0.18</v>
      </c>
      <c r="M1787" s="26" t="n">
        <v>106.11</v>
      </c>
      <c r="N1787" s="28" t="n">
        <v>3.4</v>
      </c>
      <c r="O1787" s="28" t="n">
        <v>29.3</v>
      </c>
      <c r="P1787" s="25" t="inlineStr">
        <is>
          <t>Digital Wallet</t>
        </is>
      </c>
      <c r="Q1787" s="25" t="inlineStr">
        <is>
          <t>Delivered</t>
        </is>
      </c>
      <c r="R1787" s="25" t="n">
        <v>4</v>
      </c>
      <c r="S1787" s="25">
        <f>TEXT(B1787,"yyyy-mm")</f>
        <v/>
      </c>
      <c r="T1787" s="25">
        <f>VLOOKUP(D1787,Customers!A:D,4,FALSE)</f>
        <v/>
      </c>
      <c r="U1787" s="25">
        <f>CONCATENATE(A1787,"-",G1787)</f>
        <v/>
      </c>
      <c r="V1787" s="25">
        <f>IF(N1787="","",IF(N1787&lt;=30,"Fast (&lt;30m)",IF(N1787&lt;=45,"Moderate (30-45m)","Delayed (&gt;45m)")))</f>
        <v/>
      </c>
      <c r="W1787" s="25">
        <f>IF(AND(I1787&gt;600,P1787="Delivered"),"High Value Delivered","Standard")</f>
        <v/>
      </c>
      <c r="X1787" s="25">
        <f>IF(OR(N1787&gt;50,Q1787&lt;=2),"High Risk / Delayed","Normal")</f>
        <v/>
      </c>
      <c r="Y1787" s="25">
        <f>IF(NOT(P1787="Cancelled"),"Fulfilled","Cancelled")</f>
        <v/>
      </c>
      <c r="Z1787" s="25">
        <f>IFERROR(Q1787,0)</f>
        <v/>
      </c>
    </row>
    <row r="1788">
      <c r="A1788" s="17" t="inlineStr">
        <is>
          <t>ORD2787</t>
        </is>
      </c>
      <c r="B1788" s="17" t="inlineStr">
        <is>
          <t>2025-05-17</t>
        </is>
      </c>
      <c r="C1788" s="17" t="inlineStr">
        <is>
          <t>23:26:07</t>
        </is>
      </c>
      <c r="D1788" s="17" t="n">
        <v>1132</v>
      </c>
      <c r="E1788" s="17" t="n">
        <v>105</v>
      </c>
      <c r="F1788" s="17" t="n">
        <v>210</v>
      </c>
      <c r="G1788" s="17" t="inlineStr">
        <is>
          <t>Bangalore</t>
        </is>
      </c>
      <c r="H1788" s="17" t="inlineStr">
        <is>
          <t>Chinese</t>
        </is>
      </c>
      <c r="I1788" s="22" t="n">
        <v>720</v>
      </c>
      <c r="J1788" s="22" t="n">
        <v>26.67</v>
      </c>
      <c r="K1788" s="22" t="n">
        <v>29.5</v>
      </c>
      <c r="L1788" s="23" t="n">
        <v>0.2</v>
      </c>
      <c r="M1788" s="22" t="n">
        <v>151.38</v>
      </c>
      <c r="N1788" s="24" t="n">
        <v>3.9</v>
      </c>
      <c r="O1788" s="24" t="n">
        <v>36.6</v>
      </c>
      <c r="P1788" s="17" t="inlineStr">
        <is>
          <t>Cash on Delivery</t>
        </is>
      </c>
      <c r="Q1788" s="17" t="inlineStr">
        <is>
          <t>Delivered</t>
        </is>
      </c>
      <c r="R1788" s="17" t="n">
        <v>5</v>
      </c>
      <c r="S1788" s="17">
        <f>TEXT(B1788,"yyyy-mm")</f>
        <v/>
      </c>
      <c r="T1788" s="17">
        <f>VLOOKUP(D1788,Customers!A:D,4,FALSE)</f>
        <v/>
      </c>
      <c r="U1788" s="17">
        <f>CONCATENATE(A1788,"-",G1788)</f>
        <v/>
      </c>
      <c r="V1788" s="17">
        <f>IF(N1788="","",IF(N1788&lt;=30,"Fast (&lt;30m)",IF(N1788&lt;=45,"Moderate (30-45m)","Delayed (&gt;45m)")))</f>
        <v/>
      </c>
      <c r="W1788" s="17">
        <f>IF(AND(I1788&gt;600,P1788="Delivered"),"High Value Delivered","Standard")</f>
        <v/>
      </c>
      <c r="X1788" s="17">
        <f>IF(OR(N1788&gt;50,Q1788&lt;=2),"High Risk / Delayed","Normal")</f>
        <v/>
      </c>
      <c r="Y1788" s="17">
        <f>IF(NOT(P1788="Cancelled"),"Fulfilled","Cancelled")</f>
        <v/>
      </c>
      <c r="Z1788" s="17">
        <f>IFERROR(Q1788,0)</f>
        <v/>
      </c>
    </row>
    <row r="1789">
      <c r="A1789" s="25" t="inlineStr">
        <is>
          <t>ORD2788</t>
        </is>
      </c>
      <c r="B1789" s="25" t="inlineStr">
        <is>
          <t>2025-07-21</t>
        </is>
      </c>
      <c r="C1789" s="25" t="inlineStr">
        <is>
          <t>20:18:15</t>
        </is>
      </c>
      <c r="D1789" s="25" t="n">
        <v>1005</v>
      </c>
      <c r="E1789" s="25" t="n">
        <v>102</v>
      </c>
      <c r="F1789" s="25" t="n">
        <v>216</v>
      </c>
      <c r="G1789" s="25" t="inlineStr">
        <is>
          <t>Hyderabad</t>
        </is>
      </c>
      <c r="H1789" s="25" t="inlineStr">
        <is>
          <t>Biryani</t>
        </is>
      </c>
      <c r="I1789" s="26" t="n">
        <v>240</v>
      </c>
      <c r="J1789" s="26" t="n">
        <v>5.01</v>
      </c>
      <c r="K1789" s="26" t="n">
        <v>26.5</v>
      </c>
      <c r="L1789" s="27" t="n">
        <v>0.22</v>
      </c>
      <c r="M1789" s="26" t="n">
        <v>59.42</v>
      </c>
      <c r="N1789" s="28" t="n">
        <v>3.3</v>
      </c>
      <c r="O1789" s="28" t="n">
        <v>28.9</v>
      </c>
      <c r="P1789" s="25" t="inlineStr">
        <is>
          <t>Cash on Delivery</t>
        </is>
      </c>
      <c r="Q1789" s="25" t="inlineStr">
        <is>
          <t>Delivered</t>
        </is>
      </c>
      <c r="R1789" s="25" t="n">
        <v>2</v>
      </c>
      <c r="S1789" s="25">
        <f>TEXT(B1789,"yyyy-mm")</f>
        <v/>
      </c>
      <c r="T1789" s="25">
        <f>VLOOKUP(D1789,Customers!A:D,4,FALSE)</f>
        <v/>
      </c>
      <c r="U1789" s="25">
        <f>CONCATENATE(A1789,"-",G1789)</f>
        <v/>
      </c>
      <c r="V1789" s="25">
        <f>IF(N1789="","",IF(N1789&lt;=30,"Fast (&lt;30m)",IF(N1789&lt;=45,"Moderate (30-45m)","Delayed (&gt;45m)")))</f>
        <v/>
      </c>
      <c r="W1789" s="25">
        <f>IF(AND(I1789&gt;600,P1789="Delivered"),"High Value Delivered","Standard")</f>
        <v/>
      </c>
      <c r="X1789" s="25">
        <f>IF(OR(N1789&gt;50,Q1789&lt;=2),"High Risk / Delayed","Normal")</f>
        <v/>
      </c>
      <c r="Y1789" s="25">
        <f>IF(NOT(P1789="Cancelled"),"Fulfilled","Cancelled")</f>
        <v/>
      </c>
      <c r="Z1789" s="25">
        <f>IFERROR(Q1789,0)</f>
        <v/>
      </c>
    </row>
    <row r="1790">
      <c r="A1790" s="17" t="inlineStr">
        <is>
          <t>ORD2789</t>
        </is>
      </c>
      <c r="B1790" s="17" t="inlineStr">
        <is>
          <t>2025-11-06</t>
        </is>
      </c>
      <c r="C1790" s="17" t="inlineStr">
        <is>
          <t>00:52:54</t>
        </is>
      </c>
      <c r="D1790" s="17" t="n">
        <v>1234</v>
      </c>
      <c r="E1790" s="17" t="n">
        <v>106</v>
      </c>
      <c r="F1790" s="17" t="n">
        <v>226</v>
      </c>
      <c r="G1790" s="17" t="inlineStr">
        <is>
          <t>Pune</t>
        </is>
      </c>
      <c r="H1790" s="17" t="inlineStr">
        <is>
          <t>South Indian</t>
        </is>
      </c>
      <c r="I1790" s="22" t="n">
        <v>816</v>
      </c>
      <c r="J1790" s="22" t="n">
        <v>0</v>
      </c>
      <c r="K1790" s="22" t="n">
        <v>28.5</v>
      </c>
      <c r="L1790" s="23" t="n">
        <v>0.15</v>
      </c>
      <c r="M1790" s="22" t="n">
        <v>129.52</v>
      </c>
      <c r="N1790" s="24" t="n">
        <v>3.7</v>
      </c>
      <c r="O1790" s="24" t="n">
        <v>71.09999999999999</v>
      </c>
      <c r="P1790" s="17" t="inlineStr">
        <is>
          <t>UPI</t>
        </is>
      </c>
      <c r="Q1790" s="17" t="inlineStr">
        <is>
          <t>Delivered</t>
        </is>
      </c>
      <c r="R1790" s="17" t="n">
        <v>4</v>
      </c>
      <c r="S1790" s="17">
        <f>TEXT(B1790,"yyyy-mm")</f>
        <v/>
      </c>
      <c r="T1790" s="17">
        <f>VLOOKUP(D1790,Customers!A:D,4,FALSE)</f>
        <v/>
      </c>
      <c r="U1790" s="17">
        <f>CONCATENATE(A1790,"-",G1790)</f>
        <v/>
      </c>
      <c r="V1790" s="17">
        <f>IF(N1790="","",IF(N1790&lt;=30,"Fast (&lt;30m)",IF(N1790&lt;=45,"Moderate (30-45m)","Delayed (&gt;45m)")))</f>
        <v/>
      </c>
      <c r="W1790" s="17">
        <f>IF(AND(I1790&gt;600,P1790="Delivered"),"High Value Delivered","Standard")</f>
        <v/>
      </c>
      <c r="X1790" s="17">
        <f>IF(OR(N1790&gt;50,Q1790&lt;=2),"High Risk / Delayed","Normal")</f>
        <v/>
      </c>
      <c r="Y1790" s="17">
        <f>IF(NOT(P1790="Cancelled"),"Fulfilled","Cancelled")</f>
        <v/>
      </c>
      <c r="Z1790" s="17">
        <f>IFERROR(Q1790,0)</f>
        <v/>
      </c>
    </row>
    <row r="1791">
      <c r="A1791" s="25" t="inlineStr">
        <is>
          <t>ORD2790</t>
        </is>
      </c>
      <c r="B1791" s="25" t="inlineStr">
        <is>
          <t>2025-06-19</t>
        </is>
      </c>
      <c r="C1791" s="25" t="inlineStr">
        <is>
          <t>09:15:42</t>
        </is>
      </c>
      <c r="D1791" s="25" t="n">
        <v>1038</v>
      </c>
      <c r="E1791" s="25" t="n">
        <v>101</v>
      </c>
      <c r="F1791" s="25" t="n">
        <v>201</v>
      </c>
      <c r="G1791" s="25" t="inlineStr">
        <is>
          <t>Bangalore</t>
        </is>
      </c>
      <c r="H1791" s="25" t="inlineStr">
        <is>
          <t>North Indian</t>
        </is>
      </c>
      <c r="I1791" s="26" t="n">
        <v>830</v>
      </c>
      <c r="J1791" s="26" t="n">
        <v>0</v>
      </c>
      <c r="K1791" s="26" t="n">
        <v>49</v>
      </c>
      <c r="L1791" s="27" t="n">
        <v>0.2</v>
      </c>
      <c r="M1791" s="26" t="n">
        <v>178.25</v>
      </c>
      <c r="N1791" s="28" t="n">
        <v>7.8</v>
      </c>
      <c r="O1791" s="28" t="n">
        <v>45.6</v>
      </c>
      <c r="P1791" s="25" t="inlineStr">
        <is>
          <t>Cash on Delivery</t>
        </is>
      </c>
      <c r="Q1791" s="25" t="inlineStr">
        <is>
          <t>Delivered</t>
        </is>
      </c>
      <c r="R1791" s="25" t="n">
        <v>2</v>
      </c>
      <c r="S1791" s="25">
        <f>TEXT(B1791,"yyyy-mm")</f>
        <v/>
      </c>
      <c r="T1791" s="25">
        <f>VLOOKUP(D1791,Customers!A:D,4,FALSE)</f>
        <v/>
      </c>
      <c r="U1791" s="25">
        <f>CONCATENATE(A1791,"-",G1791)</f>
        <v/>
      </c>
      <c r="V1791" s="25">
        <f>IF(N1791="","",IF(N1791&lt;=30,"Fast (&lt;30m)",IF(N1791&lt;=45,"Moderate (30-45m)","Delayed (&gt;45m)")))</f>
        <v/>
      </c>
      <c r="W1791" s="25">
        <f>IF(AND(I1791&gt;600,P1791="Delivered"),"High Value Delivered","Standard")</f>
        <v/>
      </c>
      <c r="X1791" s="25">
        <f>IF(OR(N1791&gt;50,Q1791&lt;=2),"High Risk / Delayed","Normal")</f>
        <v/>
      </c>
      <c r="Y1791" s="25">
        <f>IF(NOT(P1791="Cancelled"),"Fulfilled","Cancelled")</f>
        <v/>
      </c>
      <c r="Z1791" s="25">
        <f>IFERROR(Q1791,0)</f>
        <v/>
      </c>
    </row>
    <row r="1792">
      <c r="A1792" s="17" t="inlineStr">
        <is>
          <t>ORD2791</t>
        </is>
      </c>
      <c r="B1792" s="17" t="inlineStr">
        <is>
          <t>2025-12-29</t>
        </is>
      </c>
      <c r="C1792" s="17" t="inlineStr">
        <is>
          <t>15:57:52</t>
        </is>
      </c>
      <c r="D1792" s="17" t="n">
        <v>1255</v>
      </c>
      <c r="E1792" s="17" t="n">
        <v>106</v>
      </c>
      <c r="F1792" s="17" t="n">
        <v>207</v>
      </c>
      <c r="G1792" s="17" t="inlineStr">
        <is>
          <t>Pune</t>
        </is>
      </c>
      <c r="H1792" s="17" t="inlineStr">
        <is>
          <t>South Indian</t>
        </is>
      </c>
      <c r="I1792" s="22" t="n">
        <v>554</v>
      </c>
      <c r="J1792" s="22" t="n">
        <v>0</v>
      </c>
      <c r="K1792" s="22" t="n">
        <v>42.5</v>
      </c>
      <c r="L1792" s="23" t="n">
        <v>0.15</v>
      </c>
      <c r="M1792" s="22" t="n">
        <v>93.72</v>
      </c>
      <c r="N1792" s="24" t="n">
        <v>6.5</v>
      </c>
      <c r="O1792" s="24" t="n">
        <v/>
      </c>
      <c r="P1792" s="17" t="inlineStr">
        <is>
          <t>Digital Wallet</t>
        </is>
      </c>
      <c r="Q1792" s="17" t="inlineStr">
        <is>
          <t>Cancelled</t>
        </is>
      </c>
      <c r="R1792" s="17" t="n">
        <v/>
      </c>
      <c r="S1792" s="17">
        <f>TEXT(B1792,"yyyy-mm")</f>
        <v/>
      </c>
      <c r="T1792" s="17">
        <f>VLOOKUP(D1792,Customers!A:D,4,FALSE)</f>
        <v/>
      </c>
      <c r="U1792" s="17">
        <f>CONCATENATE(A1792,"-",G1792)</f>
        <v/>
      </c>
      <c r="V1792" s="17">
        <f>IF(N1792="","",IF(N1792&lt;=30,"Fast (&lt;30m)",IF(N1792&lt;=45,"Moderate (30-45m)","Delayed (&gt;45m)")))</f>
        <v/>
      </c>
      <c r="W1792" s="17">
        <f>IF(AND(I1792&gt;600,P1792="Delivered"),"High Value Delivered","Standard")</f>
        <v/>
      </c>
      <c r="X1792" s="17">
        <f>IF(OR(N1792&gt;50,Q1792&lt;=2),"High Risk / Delayed","Normal")</f>
        <v/>
      </c>
      <c r="Y1792" s="17">
        <f>IF(NOT(P1792="Cancelled"),"Fulfilled","Cancelled")</f>
        <v/>
      </c>
      <c r="Z1792" s="17">
        <f>IFERROR(Q1792,0)</f>
        <v/>
      </c>
    </row>
    <row r="1793">
      <c r="A1793" s="25" t="inlineStr">
        <is>
          <t>ORD2792</t>
        </is>
      </c>
      <c r="B1793" s="25" t="inlineStr">
        <is>
          <t>2025-03-18</t>
        </is>
      </c>
      <c r="C1793" s="25" t="inlineStr">
        <is>
          <t>12:01:51</t>
        </is>
      </c>
      <c r="D1793" s="25" t="n">
        <v>1154</v>
      </c>
      <c r="E1793" s="25" t="n">
        <v>113</v>
      </c>
      <c r="F1793" s="25" t="n">
        <v>202</v>
      </c>
      <c r="G1793" s="25" t="inlineStr">
        <is>
          <t>Mumbai</t>
        </is>
      </c>
      <c r="H1793" s="25" t="inlineStr">
        <is>
          <t>Fast Food</t>
        </is>
      </c>
      <c r="I1793" s="26" t="n">
        <v>911</v>
      </c>
      <c r="J1793" s="26" t="n">
        <v>7.18</v>
      </c>
      <c r="K1793" s="26" t="n">
        <v>25</v>
      </c>
      <c r="L1793" s="27" t="n">
        <v>0.18</v>
      </c>
      <c r="M1793" s="26" t="n">
        <v>170.23</v>
      </c>
      <c r="N1793" s="28" t="n">
        <v>2.4</v>
      </c>
      <c r="O1793" s="28" t="n">
        <v>35.5</v>
      </c>
      <c r="P1793" s="25" t="inlineStr">
        <is>
          <t>Cash on Delivery</t>
        </is>
      </c>
      <c r="Q1793" s="25" t="inlineStr">
        <is>
          <t>Delivered</t>
        </is>
      </c>
      <c r="R1793" s="25" t="n">
        <v>5</v>
      </c>
      <c r="S1793" s="25">
        <f>TEXT(B1793,"yyyy-mm")</f>
        <v/>
      </c>
      <c r="T1793" s="25">
        <f>VLOOKUP(D1793,Customers!A:D,4,FALSE)</f>
        <v/>
      </c>
      <c r="U1793" s="25">
        <f>CONCATENATE(A1793,"-",G1793)</f>
        <v/>
      </c>
      <c r="V1793" s="25">
        <f>IF(N1793="","",IF(N1793&lt;=30,"Fast (&lt;30m)",IF(N1793&lt;=45,"Moderate (30-45m)","Delayed (&gt;45m)")))</f>
        <v/>
      </c>
      <c r="W1793" s="25">
        <f>IF(AND(I1793&gt;600,P1793="Delivered"),"High Value Delivered","Standard")</f>
        <v/>
      </c>
      <c r="X1793" s="25">
        <f>IF(OR(N1793&gt;50,Q1793&lt;=2),"High Risk / Delayed","Normal")</f>
        <v/>
      </c>
      <c r="Y1793" s="25">
        <f>IF(NOT(P1793="Cancelled"),"Fulfilled","Cancelled")</f>
        <v/>
      </c>
      <c r="Z1793" s="25">
        <f>IFERROR(Q1793,0)</f>
        <v/>
      </c>
    </row>
    <row r="1794">
      <c r="A1794" s="17" t="inlineStr">
        <is>
          <t>ORD2793</t>
        </is>
      </c>
      <c r="B1794" s="17" t="inlineStr">
        <is>
          <t>2025-01-20</t>
        </is>
      </c>
      <c r="C1794" s="17" t="inlineStr">
        <is>
          <t>22:56:02</t>
        </is>
      </c>
      <c r="D1794" s="17" t="n">
        <v>1036</v>
      </c>
      <c r="E1794" s="17" t="n">
        <v>107</v>
      </c>
      <c r="F1794" s="17" t="n">
        <v>206</v>
      </c>
      <c r="G1794" s="17" t="inlineStr">
        <is>
          <t>Mumbai</t>
        </is>
      </c>
      <c r="H1794" s="17" t="inlineStr">
        <is>
          <t>Desserts</t>
        </is>
      </c>
      <c r="I1794" s="22" t="n">
        <v>491</v>
      </c>
      <c r="J1794" s="22" t="n">
        <v>50.71</v>
      </c>
      <c r="K1794" s="22" t="n">
        <v>36</v>
      </c>
      <c r="L1794" s="23" t="n">
        <v>0.25</v>
      </c>
      <c r="M1794" s="22" t="n">
        <v>131.75</v>
      </c>
      <c r="N1794" s="24" t="n">
        <v>5.2</v>
      </c>
      <c r="O1794" s="24" t="n">
        <v>33.9</v>
      </c>
      <c r="P1794" s="17" t="inlineStr">
        <is>
          <t>Cash on Delivery</t>
        </is>
      </c>
      <c r="Q1794" s="17" t="inlineStr">
        <is>
          <t>Delivered</t>
        </is>
      </c>
      <c r="R1794" s="17" t="n">
        <v>5</v>
      </c>
      <c r="S1794" s="17">
        <f>TEXT(B1794,"yyyy-mm")</f>
        <v/>
      </c>
      <c r="T1794" s="17">
        <f>VLOOKUP(D1794,Customers!A:D,4,FALSE)</f>
        <v/>
      </c>
      <c r="U1794" s="17">
        <f>CONCATENATE(A1794,"-",G1794)</f>
        <v/>
      </c>
      <c r="V1794" s="17">
        <f>IF(N1794="","",IF(N1794&lt;=30,"Fast (&lt;30m)",IF(N1794&lt;=45,"Moderate (30-45m)","Delayed (&gt;45m)")))</f>
        <v/>
      </c>
      <c r="W1794" s="17">
        <f>IF(AND(I1794&gt;600,P1794="Delivered"),"High Value Delivered","Standard")</f>
        <v/>
      </c>
      <c r="X1794" s="17">
        <f>IF(OR(N1794&gt;50,Q1794&lt;=2),"High Risk / Delayed","Normal")</f>
        <v/>
      </c>
      <c r="Y1794" s="17">
        <f>IF(NOT(P1794="Cancelled"),"Fulfilled","Cancelled")</f>
        <v/>
      </c>
      <c r="Z1794" s="17">
        <f>IFERROR(Q1794,0)</f>
        <v/>
      </c>
    </row>
    <row r="1795">
      <c r="A1795" s="25" t="inlineStr">
        <is>
          <t>ORD2794</t>
        </is>
      </c>
      <c r="B1795" s="25" t="inlineStr">
        <is>
          <t>2025-12-21</t>
        </is>
      </c>
      <c r="C1795" s="25" t="inlineStr">
        <is>
          <t>17:47:46</t>
        </is>
      </c>
      <c r="D1795" s="25" t="n">
        <v>1191</v>
      </c>
      <c r="E1795" s="25" t="n">
        <v>112</v>
      </c>
      <c r="F1795" s="25" t="n">
        <v>230</v>
      </c>
      <c r="G1795" s="25" t="inlineStr">
        <is>
          <t>Delhi NCR</t>
        </is>
      </c>
      <c r="H1795" s="25" t="inlineStr">
        <is>
          <t>North Indian</t>
        </is>
      </c>
      <c r="I1795" s="26" t="n">
        <v>941</v>
      </c>
      <c r="J1795" s="26" t="n">
        <v>50.24</v>
      </c>
      <c r="K1795" s="26" t="n">
        <v>31</v>
      </c>
      <c r="L1795" s="27" t="n">
        <v>0.22</v>
      </c>
      <c r="M1795" s="26" t="n">
        <v>214.77</v>
      </c>
      <c r="N1795" s="28" t="n">
        <v>4.2</v>
      </c>
      <c r="O1795" s="28" t="n">
        <v>33.4</v>
      </c>
      <c r="P1795" s="25" t="inlineStr">
        <is>
          <t>Credit Card</t>
        </is>
      </c>
      <c r="Q1795" s="25" t="inlineStr">
        <is>
          <t>Delivered</t>
        </is>
      </c>
      <c r="R1795" s="25" t="n">
        <v>5</v>
      </c>
      <c r="S1795" s="25">
        <f>TEXT(B1795,"yyyy-mm")</f>
        <v/>
      </c>
      <c r="T1795" s="25">
        <f>VLOOKUP(D1795,Customers!A:D,4,FALSE)</f>
        <v/>
      </c>
      <c r="U1795" s="25">
        <f>CONCATENATE(A1795,"-",G1795)</f>
        <v/>
      </c>
      <c r="V1795" s="25">
        <f>IF(N1795="","",IF(N1795&lt;=30,"Fast (&lt;30m)",IF(N1795&lt;=45,"Moderate (30-45m)","Delayed (&gt;45m)")))</f>
        <v/>
      </c>
      <c r="W1795" s="25">
        <f>IF(AND(I1795&gt;600,P1795="Delivered"),"High Value Delivered","Standard")</f>
        <v/>
      </c>
      <c r="X1795" s="25">
        <f>IF(OR(N1795&gt;50,Q1795&lt;=2),"High Risk / Delayed","Normal")</f>
        <v/>
      </c>
      <c r="Y1795" s="25">
        <f>IF(NOT(P1795="Cancelled"),"Fulfilled","Cancelled")</f>
        <v/>
      </c>
      <c r="Z1795" s="25">
        <f>IFERROR(Q1795,0)</f>
        <v/>
      </c>
    </row>
    <row r="1796">
      <c r="A1796" s="17" t="inlineStr">
        <is>
          <t>ORD2795</t>
        </is>
      </c>
      <c r="B1796" s="17" t="inlineStr">
        <is>
          <t>2025-04-14</t>
        </is>
      </c>
      <c r="C1796" s="17" t="inlineStr">
        <is>
          <t>20:01:17</t>
        </is>
      </c>
      <c r="D1796" s="17" t="n">
        <v>1147</v>
      </c>
      <c r="E1796" s="17" t="n">
        <v>113</v>
      </c>
      <c r="F1796" s="17" t="n">
        <v>222</v>
      </c>
      <c r="G1796" s="17" t="inlineStr">
        <is>
          <t>Mumbai</t>
        </is>
      </c>
      <c r="H1796" s="17" t="inlineStr">
        <is>
          <t>Fast Food</t>
        </is>
      </c>
      <c r="I1796" s="22" t="n">
        <v>529</v>
      </c>
      <c r="J1796" s="22" t="n">
        <v>35.2</v>
      </c>
      <c r="K1796" s="22" t="n">
        <v>25</v>
      </c>
      <c r="L1796" s="23" t="n">
        <v>0.18</v>
      </c>
      <c r="M1796" s="22" t="n">
        <v>101.47</v>
      </c>
      <c r="N1796" s="24" t="n">
        <v>1.8</v>
      </c>
      <c r="O1796" s="24" t="n">
        <v>26.5</v>
      </c>
      <c r="P1796" s="17" t="inlineStr">
        <is>
          <t>UPI</t>
        </is>
      </c>
      <c r="Q1796" s="17" t="inlineStr">
        <is>
          <t>Delivered</t>
        </is>
      </c>
      <c r="R1796" s="17" t="n">
        <v>4</v>
      </c>
      <c r="S1796" s="17">
        <f>TEXT(B1796,"yyyy-mm")</f>
        <v/>
      </c>
      <c r="T1796" s="17">
        <f>VLOOKUP(D1796,Customers!A:D,4,FALSE)</f>
        <v/>
      </c>
      <c r="U1796" s="17">
        <f>CONCATENATE(A1796,"-",G1796)</f>
        <v/>
      </c>
      <c r="V1796" s="17">
        <f>IF(N1796="","",IF(N1796&lt;=30,"Fast (&lt;30m)",IF(N1796&lt;=45,"Moderate (30-45m)","Delayed (&gt;45m)")))</f>
        <v/>
      </c>
      <c r="W1796" s="17">
        <f>IF(AND(I1796&gt;600,P1796="Delivered"),"High Value Delivered","Standard")</f>
        <v/>
      </c>
      <c r="X1796" s="17">
        <f>IF(OR(N1796&gt;50,Q1796&lt;=2),"High Risk / Delayed","Normal")</f>
        <v/>
      </c>
      <c r="Y1796" s="17">
        <f>IF(NOT(P1796="Cancelled"),"Fulfilled","Cancelled")</f>
        <v/>
      </c>
      <c r="Z1796" s="17">
        <f>IFERROR(Q1796,0)</f>
        <v/>
      </c>
    </row>
    <row r="1797">
      <c r="A1797" s="25" t="inlineStr">
        <is>
          <t>ORD2796</t>
        </is>
      </c>
      <c r="B1797" s="25" t="inlineStr">
        <is>
          <t>2025-02-04</t>
        </is>
      </c>
      <c r="C1797" s="25" t="inlineStr">
        <is>
          <t>20:22:53</t>
        </is>
      </c>
      <c r="D1797" s="25" t="n">
        <v>1122</v>
      </c>
      <c r="E1797" s="25" t="n">
        <v>106</v>
      </c>
      <c r="F1797" s="25" t="n">
        <v>217</v>
      </c>
      <c r="G1797" s="25" t="inlineStr">
        <is>
          <t>Pune</t>
        </is>
      </c>
      <c r="H1797" s="25" t="inlineStr">
        <is>
          <t>South Indian</t>
        </is>
      </c>
      <c r="I1797" s="26" t="n">
        <v>730</v>
      </c>
      <c r="J1797" s="26" t="n">
        <v>88.33</v>
      </c>
      <c r="K1797" s="26" t="n">
        <v>0</v>
      </c>
      <c r="L1797" s="27" t="n">
        <v>0.15</v>
      </c>
      <c r="M1797" s="26" t="n">
        <v>109.5</v>
      </c>
      <c r="N1797" s="28" t="n">
        <v>3.5</v>
      </c>
      <c r="O1797" s="28" t="n">
        <v>33.3</v>
      </c>
      <c r="P1797" s="25" t="inlineStr">
        <is>
          <t>UPI</t>
        </is>
      </c>
      <c r="Q1797" s="25" t="inlineStr">
        <is>
          <t>Returned</t>
        </is>
      </c>
      <c r="R1797" s="25" t="n">
        <v>3</v>
      </c>
      <c r="S1797" s="25">
        <f>TEXT(B1797,"yyyy-mm")</f>
        <v/>
      </c>
      <c r="T1797" s="25">
        <f>VLOOKUP(D1797,Customers!A:D,4,FALSE)</f>
        <v/>
      </c>
      <c r="U1797" s="25">
        <f>CONCATENATE(A1797,"-",G1797)</f>
        <v/>
      </c>
      <c r="V1797" s="25">
        <f>IF(N1797="","",IF(N1797&lt;=30,"Fast (&lt;30m)",IF(N1797&lt;=45,"Moderate (30-45m)","Delayed (&gt;45m)")))</f>
        <v/>
      </c>
      <c r="W1797" s="25">
        <f>IF(AND(I1797&gt;600,P1797="Delivered"),"High Value Delivered","Standard")</f>
        <v/>
      </c>
      <c r="X1797" s="25">
        <f>IF(OR(N1797&gt;50,Q1797&lt;=2),"High Risk / Delayed","Normal")</f>
        <v/>
      </c>
      <c r="Y1797" s="25">
        <f>IF(NOT(P1797="Cancelled"),"Fulfilled","Cancelled")</f>
        <v/>
      </c>
      <c r="Z1797" s="25">
        <f>IFERROR(Q1797,0)</f>
        <v/>
      </c>
    </row>
    <row r="1798">
      <c r="A1798" s="17" t="inlineStr">
        <is>
          <t>ORD2797</t>
        </is>
      </c>
      <c r="B1798" s="17" t="inlineStr">
        <is>
          <t>2025-11-26</t>
        </is>
      </c>
      <c r="C1798" s="17" t="inlineStr">
        <is>
          <t>20:36:10</t>
        </is>
      </c>
      <c r="D1798" s="17" t="n">
        <v>1107</v>
      </c>
      <c r="E1798" s="17" t="n">
        <v>117</v>
      </c>
      <c r="F1798" s="17" t="n">
        <v>229</v>
      </c>
      <c r="G1798" s="17" t="inlineStr">
        <is>
          <t>Mumbai</t>
        </is>
      </c>
      <c r="H1798" s="17" t="inlineStr">
        <is>
          <t>Chinese</t>
        </is>
      </c>
      <c r="I1798" s="22" t="n">
        <v>820</v>
      </c>
      <c r="J1798" s="22" t="n">
        <v>43.56</v>
      </c>
      <c r="K1798" s="22" t="n">
        <v>25</v>
      </c>
      <c r="L1798" s="23" t="n">
        <v>0.2</v>
      </c>
      <c r="M1798" s="22" t="n">
        <v>170.25</v>
      </c>
      <c r="N1798" s="24" t="n">
        <v>1.6</v>
      </c>
      <c r="O1798" s="24" t="n">
        <v>21</v>
      </c>
      <c r="P1798" s="17" t="inlineStr">
        <is>
          <t>Credit Card</t>
        </is>
      </c>
      <c r="Q1798" s="17" t="inlineStr">
        <is>
          <t>Delivered</t>
        </is>
      </c>
      <c r="R1798" s="17" t="n">
        <v>5</v>
      </c>
      <c r="S1798" s="17">
        <f>TEXT(B1798,"yyyy-mm")</f>
        <v/>
      </c>
      <c r="T1798" s="17">
        <f>VLOOKUP(D1798,Customers!A:D,4,FALSE)</f>
        <v/>
      </c>
      <c r="U1798" s="17">
        <f>CONCATENATE(A1798,"-",G1798)</f>
        <v/>
      </c>
      <c r="V1798" s="17">
        <f>IF(N1798="","",IF(N1798&lt;=30,"Fast (&lt;30m)",IF(N1798&lt;=45,"Moderate (30-45m)","Delayed (&gt;45m)")))</f>
        <v/>
      </c>
      <c r="W1798" s="17">
        <f>IF(AND(I1798&gt;600,P1798="Delivered"),"High Value Delivered","Standard")</f>
        <v/>
      </c>
      <c r="X1798" s="17">
        <f>IF(OR(N1798&gt;50,Q1798&lt;=2),"High Risk / Delayed","Normal")</f>
        <v/>
      </c>
      <c r="Y1798" s="17">
        <f>IF(NOT(P1798="Cancelled"),"Fulfilled","Cancelled")</f>
        <v/>
      </c>
      <c r="Z1798" s="17">
        <f>IFERROR(Q1798,0)</f>
        <v/>
      </c>
    </row>
    <row r="1799">
      <c r="A1799" s="25" t="inlineStr">
        <is>
          <t>ORD2798</t>
        </is>
      </c>
      <c r="B1799" s="25" t="inlineStr">
        <is>
          <t>2025-01-30</t>
        </is>
      </c>
      <c r="C1799" s="25" t="inlineStr">
        <is>
          <t>20:39:52</t>
        </is>
      </c>
      <c r="D1799" s="25" t="n">
        <v>1082</v>
      </c>
      <c r="E1799" s="25" t="n">
        <v>116</v>
      </c>
      <c r="F1799" s="25" t="n">
        <v>226</v>
      </c>
      <c r="G1799" s="25" t="inlineStr">
        <is>
          <t>Pune</t>
        </is>
      </c>
      <c r="H1799" s="25" t="inlineStr">
        <is>
          <t>Desserts</t>
        </is>
      </c>
      <c r="I1799" s="26" t="n">
        <v>421</v>
      </c>
      <c r="J1799" s="26" t="n">
        <v>47.92</v>
      </c>
      <c r="K1799" s="26" t="n">
        <v>25.5</v>
      </c>
      <c r="L1799" s="27" t="n">
        <v>0.25</v>
      </c>
      <c r="M1799" s="26" t="n">
        <v>111.62</v>
      </c>
      <c r="N1799" s="28" t="n">
        <v>3.1</v>
      </c>
      <c r="O1799" s="28" t="n">
        <v>29.6</v>
      </c>
      <c r="P1799" s="25" t="inlineStr">
        <is>
          <t>Cash on Delivery</t>
        </is>
      </c>
      <c r="Q1799" s="25" t="inlineStr">
        <is>
          <t>Delivered</t>
        </is>
      </c>
      <c r="R1799" s="25" t="n">
        <v>2</v>
      </c>
      <c r="S1799" s="25">
        <f>TEXT(B1799,"yyyy-mm")</f>
        <v/>
      </c>
      <c r="T1799" s="25">
        <f>VLOOKUP(D1799,Customers!A:D,4,FALSE)</f>
        <v/>
      </c>
      <c r="U1799" s="25">
        <f>CONCATENATE(A1799,"-",G1799)</f>
        <v/>
      </c>
      <c r="V1799" s="25">
        <f>IF(N1799="","",IF(N1799&lt;=30,"Fast (&lt;30m)",IF(N1799&lt;=45,"Moderate (30-45m)","Delayed (&gt;45m)")))</f>
        <v/>
      </c>
      <c r="W1799" s="25">
        <f>IF(AND(I1799&gt;600,P1799="Delivered"),"High Value Delivered","Standard")</f>
        <v/>
      </c>
      <c r="X1799" s="25">
        <f>IF(OR(N1799&gt;50,Q1799&lt;=2),"High Risk / Delayed","Normal")</f>
        <v/>
      </c>
      <c r="Y1799" s="25">
        <f>IF(NOT(P1799="Cancelled"),"Fulfilled","Cancelled")</f>
        <v/>
      </c>
      <c r="Z1799" s="25">
        <f>IFERROR(Q1799,0)</f>
        <v/>
      </c>
    </row>
    <row r="1800">
      <c r="A1800" s="17" t="inlineStr">
        <is>
          <t>ORD2799</t>
        </is>
      </c>
      <c r="B1800" s="17" t="inlineStr">
        <is>
          <t>2025-12-18</t>
        </is>
      </c>
      <c r="C1800" s="17" t="inlineStr">
        <is>
          <t>20:37:31</t>
        </is>
      </c>
      <c r="D1800" s="17" t="n">
        <v>1037</v>
      </c>
      <c r="E1800" s="17" t="n">
        <v>111</v>
      </c>
      <c r="F1800" s="17" t="n">
        <v>218</v>
      </c>
      <c r="G1800" s="17" t="inlineStr">
        <is>
          <t>Bangalore</t>
        </is>
      </c>
      <c r="H1800" s="17" t="inlineStr">
        <is>
          <t>South Indian</t>
        </is>
      </c>
      <c r="I1800" s="22" t="n">
        <v>315</v>
      </c>
      <c r="J1800" s="22" t="n">
        <v>2.9</v>
      </c>
      <c r="K1800" s="22" t="n">
        <v>29.5</v>
      </c>
      <c r="L1800" s="23" t="n">
        <v>0.15</v>
      </c>
      <c r="M1800" s="22" t="n">
        <v>54.62</v>
      </c>
      <c r="N1800" s="24" t="n">
        <v>3.9</v>
      </c>
      <c r="O1800" s="24" t="n">
        <v>36.1</v>
      </c>
      <c r="P1800" s="17" t="inlineStr">
        <is>
          <t>Credit Card</t>
        </is>
      </c>
      <c r="Q1800" s="17" t="inlineStr">
        <is>
          <t>Delivered</t>
        </is>
      </c>
      <c r="R1800" s="17" t="n">
        <v>5</v>
      </c>
      <c r="S1800" s="17">
        <f>TEXT(B1800,"yyyy-mm")</f>
        <v/>
      </c>
      <c r="T1800" s="17">
        <f>VLOOKUP(D1800,Customers!A:D,4,FALSE)</f>
        <v/>
      </c>
      <c r="U1800" s="17">
        <f>CONCATENATE(A1800,"-",G1800)</f>
        <v/>
      </c>
      <c r="V1800" s="17">
        <f>IF(N1800="","",IF(N1800&lt;=30,"Fast (&lt;30m)",IF(N1800&lt;=45,"Moderate (30-45m)","Delayed (&gt;45m)")))</f>
        <v/>
      </c>
      <c r="W1800" s="17">
        <f>IF(AND(I1800&gt;600,P1800="Delivered"),"High Value Delivered","Standard")</f>
        <v/>
      </c>
      <c r="X1800" s="17">
        <f>IF(OR(N1800&gt;50,Q1800&lt;=2),"High Risk / Delayed","Normal")</f>
        <v/>
      </c>
      <c r="Y1800" s="17">
        <f>IF(NOT(P1800="Cancelled"),"Fulfilled","Cancelled")</f>
        <v/>
      </c>
      <c r="Z1800" s="17">
        <f>IFERROR(Q1800,0)</f>
        <v/>
      </c>
    </row>
    <row r="1801">
      <c r="A1801" s="25" t="inlineStr">
        <is>
          <t>ORD2800</t>
        </is>
      </c>
      <c r="B1801" s="25" t="inlineStr">
        <is>
          <t>2025-03-22</t>
        </is>
      </c>
      <c r="C1801" s="25" t="inlineStr">
        <is>
          <t>13:07:55</t>
        </is>
      </c>
      <c r="D1801" s="25" t="n">
        <v>1041</v>
      </c>
      <c r="E1801" s="25" t="n">
        <v>114</v>
      </c>
      <c r="F1801" s="25" t="n">
        <v>225</v>
      </c>
      <c r="G1801" s="25" t="inlineStr">
        <is>
          <t>Hyderabad</t>
        </is>
      </c>
      <c r="H1801" s="25" t="inlineStr">
        <is>
          <t>Biryani</t>
        </is>
      </c>
      <c r="I1801" s="26" t="n">
        <v>923</v>
      </c>
      <c r="J1801" s="26" t="n">
        <v>70.89</v>
      </c>
      <c r="K1801" s="26" t="n">
        <v>25</v>
      </c>
      <c r="L1801" s="27" t="n">
        <v>0.22</v>
      </c>
      <c r="M1801" s="26" t="n">
        <v>209.31</v>
      </c>
      <c r="N1801" s="28" t="n">
        <v>2.4</v>
      </c>
      <c r="O1801" s="28" t="n">
        <v>27.4</v>
      </c>
      <c r="P1801" s="25" t="inlineStr">
        <is>
          <t>Credit Card</t>
        </is>
      </c>
      <c r="Q1801" s="25" t="inlineStr">
        <is>
          <t>Delivered</t>
        </is>
      </c>
      <c r="R1801" s="25" t="n">
        <v>5</v>
      </c>
      <c r="S1801" s="25">
        <f>TEXT(B1801,"yyyy-mm")</f>
        <v/>
      </c>
      <c r="T1801" s="25">
        <f>VLOOKUP(D1801,Customers!A:D,4,FALSE)</f>
        <v/>
      </c>
      <c r="U1801" s="25">
        <f>CONCATENATE(A1801,"-",G1801)</f>
        <v/>
      </c>
      <c r="V1801" s="25">
        <f>IF(N1801="","",IF(N1801&lt;=30,"Fast (&lt;30m)",IF(N1801&lt;=45,"Moderate (30-45m)","Delayed (&gt;45m)")))</f>
        <v/>
      </c>
      <c r="W1801" s="25">
        <f>IF(AND(I1801&gt;600,P1801="Delivered"),"High Value Delivered","Standard")</f>
        <v/>
      </c>
      <c r="X1801" s="25">
        <f>IF(OR(N1801&gt;50,Q1801&lt;=2),"High Risk / Delayed","Normal")</f>
        <v/>
      </c>
      <c r="Y1801" s="25">
        <f>IF(NOT(P1801="Cancelled"),"Fulfilled","Cancelled")</f>
        <v/>
      </c>
      <c r="Z1801" s="25">
        <f>IFERROR(Q1801,0)</f>
        <v/>
      </c>
    </row>
    <row r="1802">
      <c r="A1802" s="17" t="inlineStr">
        <is>
          <t>ORD2801</t>
        </is>
      </c>
      <c r="B1802" s="17" t="inlineStr">
        <is>
          <t>2025-11-07</t>
        </is>
      </c>
      <c r="C1802" s="17" t="inlineStr">
        <is>
          <t>21:49:47</t>
        </is>
      </c>
      <c r="D1802" s="17" t="n">
        <v>1250</v>
      </c>
      <c r="E1802" s="17" t="n">
        <v>116</v>
      </c>
      <c r="F1802" s="17" t="n">
        <v>224</v>
      </c>
      <c r="G1802" s="17" t="inlineStr">
        <is>
          <t>Pune</t>
        </is>
      </c>
      <c r="H1802" s="17" t="inlineStr">
        <is>
          <t>Desserts</t>
        </is>
      </c>
      <c r="I1802" s="22" t="n">
        <v>1031</v>
      </c>
      <c r="J1802" s="22" t="n">
        <v>115.05</v>
      </c>
      <c r="K1802" s="22" t="n">
        <v>0</v>
      </c>
      <c r="L1802" s="23" t="n">
        <v>0.25</v>
      </c>
      <c r="M1802" s="22" t="n">
        <v>257.75</v>
      </c>
      <c r="N1802" s="24" t="n">
        <v>3.6</v>
      </c>
      <c r="O1802" s="24" t="n">
        <v>33.8</v>
      </c>
      <c r="P1802" s="17" t="inlineStr">
        <is>
          <t>UPI</t>
        </is>
      </c>
      <c r="Q1802" s="17" t="inlineStr">
        <is>
          <t>Delivered</t>
        </is>
      </c>
      <c r="R1802" s="17" t="n">
        <v>2</v>
      </c>
      <c r="S1802" s="17">
        <f>TEXT(B1802,"yyyy-mm")</f>
        <v/>
      </c>
      <c r="T1802" s="17">
        <f>VLOOKUP(D1802,Customers!A:D,4,FALSE)</f>
        <v/>
      </c>
      <c r="U1802" s="17">
        <f>CONCATENATE(A1802,"-",G1802)</f>
        <v/>
      </c>
      <c r="V1802" s="17">
        <f>IF(N1802="","",IF(N1802&lt;=30,"Fast (&lt;30m)",IF(N1802&lt;=45,"Moderate (30-45m)","Delayed (&gt;45m)")))</f>
        <v/>
      </c>
      <c r="W1802" s="17">
        <f>IF(AND(I1802&gt;600,P1802="Delivered"),"High Value Delivered","Standard")</f>
        <v/>
      </c>
      <c r="X1802" s="17">
        <f>IF(OR(N1802&gt;50,Q1802&lt;=2),"High Risk / Delayed","Normal")</f>
        <v/>
      </c>
      <c r="Y1802" s="17">
        <f>IF(NOT(P1802="Cancelled"),"Fulfilled","Cancelled")</f>
        <v/>
      </c>
      <c r="Z1802" s="17">
        <f>IFERROR(Q1802,0)</f>
        <v/>
      </c>
    </row>
    <row r="1803">
      <c r="A1803" s="25" t="inlineStr">
        <is>
          <t>ORD2802</t>
        </is>
      </c>
      <c r="B1803" s="25" t="inlineStr">
        <is>
          <t>2025-01-22</t>
        </is>
      </c>
      <c r="C1803" s="25" t="inlineStr">
        <is>
          <t>21:07:39</t>
        </is>
      </c>
      <c r="D1803" s="25" t="n">
        <v>1270</v>
      </c>
      <c r="E1803" s="25" t="n">
        <v>114</v>
      </c>
      <c r="F1803" s="25" t="n">
        <v>225</v>
      </c>
      <c r="G1803" s="25" t="inlineStr">
        <is>
          <t>Hyderabad</t>
        </is>
      </c>
      <c r="H1803" s="25" t="inlineStr">
        <is>
          <t>Biryani</t>
        </is>
      </c>
      <c r="I1803" s="26" t="n">
        <v>252</v>
      </c>
      <c r="J1803" s="26" t="n">
        <v>0</v>
      </c>
      <c r="K1803" s="26" t="n">
        <v>25</v>
      </c>
      <c r="L1803" s="27" t="n">
        <v>0.22</v>
      </c>
      <c r="M1803" s="26" t="n">
        <v>61.69</v>
      </c>
      <c r="N1803" s="28" t="n">
        <v>1.8</v>
      </c>
      <c r="O1803" s="28" t="n">
        <v/>
      </c>
      <c r="P1803" s="25" t="inlineStr">
        <is>
          <t>Digital Wallet</t>
        </is>
      </c>
      <c r="Q1803" s="25" t="inlineStr">
        <is>
          <t>Cancelled</t>
        </is>
      </c>
      <c r="R1803" s="25" t="n">
        <v/>
      </c>
      <c r="S1803" s="25">
        <f>TEXT(B1803,"yyyy-mm")</f>
        <v/>
      </c>
      <c r="T1803" s="25">
        <f>VLOOKUP(D1803,Customers!A:D,4,FALSE)</f>
        <v/>
      </c>
      <c r="U1803" s="25">
        <f>CONCATENATE(A1803,"-",G1803)</f>
        <v/>
      </c>
      <c r="V1803" s="25">
        <f>IF(N1803="","",IF(N1803&lt;=30,"Fast (&lt;30m)",IF(N1803&lt;=45,"Moderate (30-45m)","Delayed (&gt;45m)")))</f>
        <v/>
      </c>
      <c r="W1803" s="25">
        <f>IF(AND(I1803&gt;600,P1803="Delivered"),"High Value Delivered","Standard")</f>
        <v/>
      </c>
      <c r="X1803" s="25">
        <f>IF(OR(N1803&gt;50,Q1803&lt;=2),"High Risk / Delayed","Normal")</f>
        <v/>
      </c>
      <c r="Y1803" s="25">
        <f>IF(NOT(P1803="Cancelled"),"Fulfilled","Cancelled")</f>
        <v/>
      </c>
      <c r="Z1803" s="25">
        <f>IFERROR(Q1803,0)</f>
        <v/>
      </c>
    </row>
    <row r="1804">
      <c r="A1804" s="17" t="inlineStr">
        <is>
          <t>ORD2803</t>
        </is>
      </c>
      <c r="B1804" s="17" t="inlineStr">
        <is>
          <t>2025-11-15</t>
        </is>
      </c>
      <c r="C1804" s="17" t="inlineStr">
        <is>
          <t>18:47:46</t>
        </is>
      </c>
      <c r="D1804" s="17" t="n">
        <v>1207</v>
      </c>
      <c r="E1804" s="17" t="n">
        <v>112</v>
      </c>
      <c r="F1804" s="17" t="n">
        <v>221</v>
      </c>
      <c r="G1804" s="17" t="inlineStr">
        <is>
          <t>Delhi NCR</t>
        </is>
      </c>
      <c r="H1804" s="17" t="inlineStr">
        <is>
          <t>North Indian</t>
        </is>
      </c>
      <c r="I1804" s="22" t="n">
        <v>439</v>
      </c>
      <c r="J1804" s="22" t="n">
        <v>0</v>
      </c>
      <c r="K1804" s="22" t="n">
        <v>30</v>
      </c>
      <c r="L1804" s="23" t="n">
        <v>0.22</v>
      </c>
      <c r="M1804" s="22" t="n">
        <v>104.08</v>
      </c>
      <c r="N1804" s="24" t="n">
        <v>4</v>
      </c>
      <c r="O1804" s="24" t="n">
        <v>29.9</v>
      </c>
      <c r="P1804" s="17" t="inlineStr">
        <is>
          <t>Cash on Delivery</t>
        </is>
      </c>
      <c r="Q1804" s="17" t="inlineStr">
        <is>
          <t>Delivered</t>
        </is>
      </c>
      <c r="R1804" s="17" t="n">
        <v>4</v>
      </c>
      <c r="S1804" s="17">
        <f>TEXT(B1804,"yyyy-mm")</f>
        <v/>
      </c>
      <c r="T1804" s="17">
        <f>VLOOKUP(D1804,Customers!A:D,4,FALSE)</f>
        <v/>
      </c>
      <c r="U1804" s="17">
        <f>CONCATENATE(A1804,"-",G1804)</f>
        <v/>
      </c>
      <c r="V1804" s="17">
        <f>IF(N1804="","",IF(N1804&lt;=30,"Fast (&lt;30m)",IF(N1804&lt;=45,"Moderate (30-45m)","Delayed (&gt;45m)")))</f>
        <v/>
      </c>
      <c r="W1804" s="17">
        <f>IF(AND(I1804&gt;600,P1804="Delivered"),"High Value Delivered","Standard")</f>
        <v/>
      </c>
      <c r="X1804" s="17">
        <f>IF(OR(N1804&gt;50,Q1804&lt;=2),"High Risk / Delayed","Normal")</f>
        <v/>
      </c>
      <c r="Y1804" s="17">
        <f>IF(NOT(P1804="Cancelled"),"Fulfilled","Cancelled")</f>
        <v/>
      </c>
      <c r="Z1804" s="17">
        <f>IFERROR(Q1804,0)</f>
        <v/>
      </c>
    </row>
    <row r="1805">
      <c r="A1805" s="25" t="inlineStr">
        <is>
          <t>ORD2804</t>
        </is>
      </c>
      <c r="B1805" s="25" t="inlineStr">
        <is>
          <t>2025-10-02</t>
        </is>
      </c>
      <c r="C1805" s="25" t="inlineStr">
        <is>
          <t>20:00:42</t>
        </is>
      </c>
      <c r="D1805" s="25" t="n">
        <v>1008</v>
      </c>
      <c r="E1805" s="25" t="n">
        <v>113</v>
      </c>
      <c r="F1805" s="25" t="n">
        <v>229</v>
      </c>
      <c r="G1805" s="25" t="inlineStr">
        <is>
          <t>Mumbai</t>
        </is>
      </c>
      <c r="H1805" s="25" t="inlineStr">
        <is>
          <t>Fast Food</t>
        </is>
      </c>
      <c r="I1805" s="26" t="n">
        <v>619</v>
      </c>
      <c r="J1805" s="26" t="n">
        <v>102.17</v>
      </c>
      <c r="K1805" s="26" t="n">
        <v>0</v>
      </c>
      <c r="L1805" s="27" t="n">
        <v>0.18</v>
      </c>
      <c r="M1805" s="26" t="n">
        <v>111.42</v>
      </c>
      <c r="N1805" s="28" t="n">
        <v>6.2</v>
      </c>
      <c r="O1805" s="28" t="n">
        <v>44.6</v>
      </c>
      <c r="P1805" s="25" t="inlineStr">
        <is>
          <t>Debit Card</t>
        </is>
      </c>
      <c r="Q1805" s="25" t="inlineStr">
        <is>
          <t>Delivered</t>
        </is>
      </c>
      <c r="R1805" s="25" t="n">
        <v>3</v>
      </c>
      <c r="S1805" s="25">
        <f>TEXT(B1805,"yyyy-mm")</f>
        <v/>
      </c>
      <c r="T1805" s="25">
        <f>VLOOKUP(D1805,Customers!A:D,4,FALSE)</f>
        <v/>
      </c>
      <c r="U1805" s="25">
        <f>CONCATENATE(A1805,"-",G1805)</f>
        <v/>
      </c>
      <c r="V1805" s="25">
        <f>IF(N1805="","",IF(N1805&lt;=30,"Fast (&lt;30m)",IF(N1805&lt;=45,"Moderate (30-45m)","Delayed (&gt;45m)")))</f>
        <v/>
      </c>
      <c r="W1805" s="25">
        <f>IF(AND(I1805&gt;600,P1805="Delivered"),"High Value Delivered","Standard")</f>
        <v/>
      </c>
      <c r="X1805" s="25">
        <f>IF(OR(N1805&gt;50,Q1805&lt;=2),"High Risk / Delayed","Normal")</f>
        <v/>
      </c>
      <c r="Y1805" s="25">
        <f>IF(NOT(P1805="Cancelled"),"Fulfilled","Cancelled")</f>
        <v/>
      </c>
      <c r="Z1805" s="25">
        <f>IFERROR(Q1805,0)</f>
        <v/>
      </c>
    </row>
    <row r="1806">
      <c r="A1806" s="17" t="inlineStr">
        <is>
          <t>ORD2805</t>
        </is>
      </c>
      <c r="B1806" s="17" t="inlineStr">
        <is>
          <t>2025-04-01</t>
        </is>
      </c>
      <c r="C1806" s="17" t="inlineStr">
        <is>
          <t>23:06:05</t>
        </is>
      </c>
      <c r="D1806" s="17" t="n">
        <v>1195</v>
      </c>
      <c r="E1806" s="17" t="n">
        <v>113</v>
      </c>
      <c r="F1806" s="17" t="n">
        <v>222</v>
      </c>
      <c r="G1806" s="17" t="inlineStr">
        <is>
          <t>Mumbai</t>
        </is>
      </c>
      <c r="H1806" s="17" t="inlineStr">
        <is>
          <t>Fast Food</t>
        </is>
      </c>
      <c r="I1806" s="22" t="n">
        <v>511</v>
      </c>
      <c r="J1806" s="22" t="n">
        <v>0</v>
      </c>
      <c r="K1806" s="22" t="n">
        <v>38.5</v>
      </c>
      <c r="L1806" s="23" t="n">
        <v>0.18</v>
      </c>
      <c r="M1806" s="22" t="n">
        <v>101.6</v>
      </c>
      <c r="N1806" s="24" t="n">
        <v>5.7</v>
      </c>
      <c r="O1806" s="24" t="n">
        <v>36.2</v>
      </c>
      <c r="P1806" s="17" t="inlineStr">
        <is>
          <t>Cash on Delivery</t>
        </is>
      </c>
      <c r="Q1806" s="17" t="inlineStr">
        <is>
          <t>Delivered</t>
        </is>
      </c>
      <c r="R1806" s="17" t="n">
        <v>4</v>
      </c>
      <c r="S1806" s="17">
        <f>TEXT(B1806,"yyyy-mm")</f>
        <v/>
      </c>
      <c r="T1806" s="17">
        <f>VLOOKUP(D1806,Customers!A:D,4,FALSE)</f>
        <v/>
      </c>
      <c r="U1806" s="17">
        <f>CONCATENATE(A1806,"-",G1806)</f>
        <v/>
      </c>
      <c r="V1806" s="17">
        <f>IF(N1806="","",IF(N1806&lt;=30,"Fast (&lt;30m)",IF(N1806&lt;=45,"Moderate (30-45m)","Delayed (&gt;45m)")))</f>
        <v/>
      </c>
      <c r="W1806" s="17">
        <f>IF(AND(I1806&gt;600,P1806="Delivered"),"High Value Delivered","Standard")</f>
        <v/>
      </c>
      <c r="X1806" s="17">
        <f>IF(OR(N1806&gt;50,Q1806&lt;=2),"High Risk / Delayed","Normal")</f>
        <v/>
      </c>
      <c r="Y1806" s="17">
        <f>IF(NOT(P1806="Cancelled"),"Fulfilled","Cancelled")</f>
        <v/>
      </c>
      <c r="Z1806" s="17">
        <f>IFERROR(Q1806,0)</f>
        <v/>
      </c>
    </row>
    <row r="1807">
      <c r="A1807" s="25" t="inlineStr">
        <is>
          <t>ORD2806</t>
        </is>
      </c>
      <c r="B1807" s="25" t="inlineStr">
        <is>
          <t>2025-10-23</t>
        </is>
      </c>
      <c r="C1807" s="25" t="inlineStr">
        <is>
          <t>08:42:20</t>
        </is>
      </c>
      <c r="D1807" s="25" t="n">
        <v>1203</v>
      </c>
      <c r="E1807" s="25" t="n">
        <v>108</v>
      </c>
      <c r="F1807" s="25" t="n">
        <v>228</v>
      </c>
      <c r="G1807" s="25" t="inlineStr">
        <is>
          <t>Delhi NCR</t>
        </is>
      </c>
      <c r="H1807" s="25" t="inlineStr">
        <is>
          <t>Fast Food</t>
        </is>
      </c>
      <c r="I1807" s="26" t="n">
        <v>357</v>
      </c>
      <c r="J1807" s="26" t="n">
        <v>0</v>
      </c>
      <c r="K1807" s="26" t="n">
        <v>26</v>
      </c>
      <c r="L1807" s="27" t="n">
        <v>0.18</v>
      </c>
      <c r="M1807" s="26" t="n">
        <v>70.76000000000001</v>
      </c>
      <c r="N1807" s="28" t="n">
        <v>3.2</v>
      </c>
      <c r="O1807" s="28" t="n">
        <v>33.1</v>
      </c>
      <c r="P1807" s="25" t="inlineStr">
        <is>
          <t>Credit Card</t>
        </is>
      </c>
      <c r="Q1807" s="25" t="inlineStr">
        <is>
          <t>Delivered</t>
        </is>
      </c>
      <c r="R1807" s="25" t="n">
        <v>5</v>
      </c>
      <c r="S1807" s="25">
        <f>TEXT(B1807,"yyyy-mm")</f>
        <v/>
      </c>
      <c r="T1807" s="25">
        <f>VLOOKUP(D1807,Customers!A:D,4,FALSE)</f>
        <v/>
      </c>
      <c r="U1807" s="25">
        <f>CONCATENATE(A1807,"-",G1807)</f>
        <v/>
      </c>
      <c r="V1807" s="25">
        <f>IF(N1807="","",IF(N1807&lt;=30,"Fast (&lt;30m)",IF(N1807&lt;=45,"Moderate (30-45m)","Delayed (&gt;45m)")))</f>
        <v/>
      </c>
      <c r="W1807" s="25">
        <f>IF(AND(I1807&gt;600,P1807="Delivered"),"High Value Delivered","Standard")</f>
        <v/>
      </c>
      <c r="X1807" s="25">
        <f>IF(OR(N1807&gt;50,Q1807&lt;=2),"High Risk / Delayed","Normal")</f>
        <v/>
      </c>
      <c r="Y1807" s="25">
        <f>IF(NOT(P1807="Cancelled"),"Fulfilled","Cancelled")</f>
        <v/>
      </c>
      <c r="Z1807" s="25">
        <f>IFERROR(Q1807,0)</f>
        <v/>
      </c>
    </row>
    <row r="1808">
      <c r="A1808" s="17" t="inlineStr">
        <is>
          <t>ORD2807</t>
        </is>
      </c>
      <c r="B1808" s="17" t="inlineStr">
        <is>
          <t>2025-12-25</t>
        </is>
      </c>
      <c r="C1808" s="17" t="inlineStr">
        <is>
          <t>18:54:23</t>
        </is>
      </c>
      <c r="D1808" s="17" t="n">
        <v>1060</v>
      </c>
      <c r="E1808" s="17" t="n">
        <v>104</v>
      </c>
      <c r="F1808" s="17" t="n">
        <v>212</v>
      </c>
      <c r="G1808" s="17" t="inlineStr">
        <is>
          <t>Delhi NCR</t>
        </is>
      </c>
      <c r="H1808" s="17" t="inlineStr">
        <is>
          <t>Fast Food</t>
        </is>
      </c>
      <c r="I1808" s="22" t="n">
        <v>578</v>
      </c>
      <c r="J1808" s="22" t="n">
        <v>38.83</v>
      </c>
      <c r="K1808" s="22" t="n">
        <v>25</v>
      </c>
      <c r="L1808" s="23" t="n">
        <v>0.18</v>
      </c>
      <c r="M1808" s="22" t="n">
        <v>110.29</v>
      </c>
      <c r="N1808" s="24" t="n">
        <v>2.7</v>
      </c>
      <c r="O1808" s="24" t="n">
        <v>22.3</v>
      </c>
      <c r="P1808" s="17" t="inlineStr">
        <is>
          <t>UPI</t>
        </is>
      </c>
      <c r="Q1808" s="17" t="inlineStr">
        <is>
          <t>Delivered</t>
        </is>
      </c>
      <c r="R1808" s="17" t="n">
        <v>4</v>
      </c>
      <c r="S1808" s="17">
        <f>TEXT(B1808,"yyyy-mm")</f>
        <v/>
      </c>
      <c r="T1808" s="17">
        <f>VLOOKUP(D1808,Customers!A:D,4,FALSE)</f>
        <v/>
      </c>
      <c r="U1808" s="17">
        <f>CONCATENATE(A1808,"-",G1808)</f>
        <v/>
      </c>
      <c r="V1808" s="17">
        <f>IF(N1808="","",IF(N1808&lt;=30,"Fast (&lt;30m)",IF(N1808&lt;=45,"Moderate (30-45m)","Delayed (&gt;45m)")))</f>
        <v/>
      </c>
      <c r="W1808" s="17">
        <f>IF(AND(I1808&gt;600,P1808="Delivered"),"High Value Delivered","Standard")</f>
        <v/>
      </c>
      <c r="X1808" s="17">
        <f>IF(OR(N1808&gt;50,Q1808&lt;=2),"High Risk / Delayed","Normal")</f>
        <v/>
      </c>
      <c r="Y1808" s="17">
        <f>IF(NOT(P1808="Cancelled"),"Fulfilled","Cancelled")</f>
        <v/>
      </c>
      <c r="Z1808" s="17">
        <f>IFERROR(Q1808,0)</f>
        <v/>
      </c>
    </row>
    <row r="1809">
      <c r="A1809" s="25" t="inlineStr">
        <is>
          <t>ORD2808</t>
        </is>
      </c>
      <c r="B1809" s="25" t="inlineStr">
        <is>
          <t>2025-03-07</t>
        </is>
      </c>
      <c r="C1809" s="25" t="inlineStr">
        <is>
          <t>22:49:44</t>
        </is>
      </c>
      <c r="D1809" s="25" t="n">
        <v>1129</v>
      </c>
      <c r="E1809" s="25" t="n">
        <v>110</v>
      </c>
      <c r="F1809" s="25" t="n">
        <v>209</v>
      </c>
      <c r="G1809" s="25" t="inlineStr">
        <is>
          <t>Pune</t>
        </is>
      </c>
      <c r="H1809" s="25" t="inlineStr">
        <is>
          <t>North Indian</t>
        </is>
      </c>
      <c r="I1809" s="26" t="n">
        <v>817</v>
      </c>
      <c r="J1809" s="26" t="n">
        <v>0</v>
      </c>
      <c r="K1809" s="26" t="n">
        <v>38.5</v>
      </c>
      <c r="L1809" s="27" t="n">
        <v>0.18</v>
      </c>
      <c r="M1809" s="26" t="n">
        <v>156.68</v>
      </c>
      <c r="N1809" s="28" t="n">
        <v>5.7</v>
      </c>
      <c r="O1809" s="28" t="n">
        <v>28.4</v>
      </c>
      <c r="P1809" s="25" t="inlineStr">
        <is>
          <t>UPI</t>
        </is>
      </c>
      <c r="Q1809" s="25" t="inlineStr">
        <is>
          <t>Delivered</t>
        </is>
      </c>
      <c r="R1809" s="25" t="n">
        <v>4</v>
      </c>
      <c r="S1809" s="25">
        <f>TEXT(B1809,"yyyy-mm")</f>
        <v/>
      </c>
      <c r="T1809" s="25">
        <f>VLOOKUP(D1809,Customers!A:D,4,FALSE)</f>
        <v/>
      </c>
      <c r="U1809" s="25">
        <f>CONCATENATE(A1809,"-",G1809)</f>
        <v/>
      </c>
      <c r="V1809" s="25">
        <f>IF(N1809="","",IF(N1809&lt;=30,"Fast (&lt;30m)",IF(N1809&lt;=45,"Moderate (30-45m)","Delayed (&gt;45m)")))</f>
        <v/>
      </c>
      <c r="W1809" s="25">
        <f>IF(AND(I1809&gt;600,P1809="Delivered"),"High Value Delivered","Standard")</f>
        <v/>
      </c>
      <c r="X1809" s="25">
        <f>IF(OR(N1809&gt;50,Q1809&lt;=2),"High Risk / Delayed","Normal")</f>
        <v/>
      </c>
      <c r="Y1809" s="25">
        <f>IF(NOT(P1809="Cancelled"),"Fulfilled","Cancelled")</f>
        <v/>
      </c>
      <c r="Z1809" s="25">
        <f>IFERROR(Q1809,0)</f>
        <v/>
      </c>
    </row>
    <row r="1810">
      <c r="A1810" s="17" t="inlineStr">
        <is>
          <t>ORD2809</t>
        </is>
      </c>
      <c r="B1810" s="17" t="inlineStr">
        <is>
          <t>2025-03-02</t>
        </is>
      </c>
      <c r="C1810" s="17" t="inlineStr">
        <is>
          <t>11:09:17</t>
        </is>
      </c>
      <c r="D1810" s="17" t="n">
        <v>1057</v>
      </c>
      <c r="E1810" s="17" t="n">
        <v>113</v>
      </c>
      <c r="F1810" s="17" t="n">
        <v>222</v>
      </c>
      <c r="G1810" s="17" t="inlineStr">
        <is>
          <t>Mumbai</t>
        </is>
      </c>
      <c r="H1810" s="17" t="inlineStr">
        <is>
          <t>Fast Food</t>
        </is>
      </c>
      <c r="I1810" s="22" t="n">
        <v>415</v>
      </c>
      <c r="J1810" s="22" t="n">
        <v>0</v>
      </c>
      <c r="K1810" s="22" t="n">
        <v>25</v>
      </c>
      <c r="L1810" s="23" t="n">
        <v>0.18</v>
      </c>
      <c r="M1810" s="22" t="n">
        <v>80.95</v>
      </c>
      <c r="N1810" s="24" t="n">
        <v>2.3</v>
      </c>
      <c r="O1810" s="24" t="n">
        <v>22.9</v>
      </c>
      <c r="P1810" s="17" t="inlineStr">
        <is>
          <t>Debit Card</t>
        </is>
      </c>
      <c r="Q1810" s="17" t="inlineStr">
        <is>
          <t>Delivered</t>
        </is>
      </c>
      <c r="R1810" s="17" t="n">
        <v>5</v>
      </c>
      <c r="S1810" s="17">
        <f>TEXT(B1810,"yyyy-mm")</f>
        <v/>
      </c>
      <c r="T1810" s="17">
        <f>VLOOKUP(D1810,Customers!A:D,4,FALSE)</f>
        <v/>
      </c>
      <c r="U1810" s="17">
        <f>CONCATENATE(A1810,"-",G1810)</f>
        <v/>
      </c>
      <c r="V1810" s="17">
        <f>IF(N1810="","",IF(N1810&lt;=30,"Fast (&lt;30m)",IF(N1810&lt;=45,"Moderate (30-45m)","Delayed (&gt;45m)")))</f>
        <v/>
      </c>
      <c r="W1810" s="17">
        <f>IF(AND(I1810&gt;600,P1810="Delivered"),"High Value Delivered","Standard")</f>
        <v/>
      </c>
      <c r="X1810" s="17">
        <f>IF(OR(N1810&gt;50,Q1810&lt;=2),"High Risk / Delayed","Normal")</f>
        <v/>
      </c>
      <c r="Y1810" s="17">
        <f>IF(NOT(P1810="Cancelled"),"Fulfilled","Cancelled")</f>
        <v/>
      </c>
      <c r="Z1810" s="17">
        <f>IFERROR(Q1810,0)</f>
        <v/>
      </c>
    </row>
    <row r="1811">
      <c r="A1811" s="25" t="inlineStr">
        <is>
          <t>ORD2810</t>
        </is>
      </c>
      <c r="B1811" s="25" t="inlineStr">
        <is>
          <t>2025-03-08</t>
        </is>
      </c>
      <c r="C1811" s="25" t="inlineStr">
        <is>
          <t>12:13:54</t>
        </is>
      </c>
      <c r="D1811" s="25" t="n">
        <v>1124</v>
      </c>
      <c r="E1811" s="25" t="n">
        <v>108</v>
      </c>
      <c r="F1811" s="25" t="n">
        <v>219</v>
      </c>
      <c r="G1811" s="25" t="inlineStr">
        <is>
          <t>Delhi NCR</t>
        </is>
      </c>
      <c r="H1811" s="25" t="inlineStr">
        <is>
          <t>Fast Food</t>
        </is>
      </c>
      <c r="I1811" s="26" t="n">
        <v>247</v>
      </c>
      <c r="J1811" s="26" t="n">
        <v>0</v>
      </c>
      <c r="K1811" s="26" t="n">
        <v>25</v>
      </c>
      <c r="L1811" s="27" t="n">
        <v>0.18</v>
      </c>
      <c r="M1811" s="26" t="n">
        <v>50.71</v>
      </c>
      <c r="N1811" s="28" t="n">
        <v>3</v>
      </c>
      <c r="O1811" s="28" t="n">
        <v>24.9</v>
      </c>
      <c r="P1811" s="25" t="inlineStr">
        <is>
          <t>Credit Card</t>
        </is>
      </c>
      <c r="Q1811" s="25" t="inlineStr">
        <is>
          <t>Delivered</t>
        </is>
      </c>
      <c r="R1811" s="25" t="n">
        <v>4</v>
      </c>
      <c r="S1811" s="25">
        <f>TEXT(B1811,"yyyy-mm")</f>
        <v/>
      </c>
      <c r="T1811" s="25">
        <f>VLOOKUP(D1811,Customers!A:D,4,FALSE)</f>
        <v/>
      </c>
      <c r="U1811" s="25">
        <f>CONCATENATE(A1811,"-",G1811)</f>
        <v/>
      </c>
      <c r="V1811" s="25">
        <f>IF(N1811="","",IF(N1811&lt;=30,"Fast (&lt;30m)",IF(N1811&lt;=45,"Moderate (30-45m)","Delayed (&gt;45m)")))</f>
        <v/>
      </c>
      <c r="W1811" s="25">
        <f>IF(AND(I1811&gt;600,P1811="Delivered"),"High Value Delivered","Standard")</f>
        <v/>
      </c>
      <c r="X1811" s="25">
        <f>IF(OR(N1811&gt;50,Q1811&lt;=2),"High Risk / Delayed","Normal")</f>
        <v/>
      </c>
      <c r="Y1811" s="25">
        <f>IF(NOT(P1811="Cancelled"),"Fulfilled","Cancelled")</f>
        <v/>
      </c>
      <c r="Z1811" s="25">
        <f>IFERROR(Q1811,0)</f>
        <v/>
      </c>
    </row>
    <row r="1812">
      <c r="A1812" s="17" t="inlineStr">
        <is>
          <t>ORD2811</t>
        </is>
      </c>
      <c r="B1812" s="17" t="inlineStr">
        <is>
          <t>2025-09-04</t>
        </is>
      </c>
      <c r="C1812" s="17" t="inlineStr">
        <is>
          <t>10:59:03</t>
        </is>
      </c>
      <c r="D1812" s="17" t="n">
        <v>1205</v>
      </c>
      <c r="E1812" s="17" t="n">
        <v>107</v>
      </c>
      <c r="F1812" s="17" t="n">
        <v>229</v>
      </c>
      <c r="G1812" s="17" t="inlineStr">
        <is>
          <t>Mumbai</t>
        </is>
      </c>
      <c r="H1812" s="17" t="inlineStr">
        <is>
          <t>Desserts</t>
        </is>
      </c>
      <c r="I1812" s="22" t="n">
        <v>652</v>
      </c>
      <c r="J1812" s="22" t="n">
        <v>38.22</v>
      </c>
      <c r="K1812" s="22" t="n">
        <v>27</v>
      </c>
      <c r="L1812" s="23" t="n">
        <v>0.25</v>
      </c>
      <c r="M1812" s="22" t="n">
        <v>169.75</v>
      </c>
      <c r="N1812" s="24" t="n">
        <v>3.4</v>
      </c>
      <c r="O1812" s="24" t="n">
        <v>36.3</v>
      </c>
      <c r="P1812" s="17" t="inlineStr">
        <is>
          <t>Cash on Delivery</t>
        </is>
      </c>
      <c r="Q1812" s="17" t="inlineStr">
        <is>
          <t>Delivered</t>
        </is>
      </c>
      <c r="R1812" s="17" t="n">
        <v>1</v>
      </c>
      <c r="S1812" s="17">
        <f>TEXT(B1812,"yyyy-mm")</f>
        <v/>
      </c>
      <c r="T1812" s="17">
        <f>VLOOKUP(D1812,Customers!A:D,4,FALSE)</f>
        <v/>
      </c>
      <c r="U1812" s="17">
        <f>CONCATENATE(A1812,"-",G1812)</f>
        <v/>
      </c>
      <c r="V1812" s="17">
        <f>IF(N1812="","",IF(N1812&lt;=30,"Fast (&lt;30m)",IF(N1812&lt;=45,"Moderate (30-45m)","Delayed (&gt;45m)")))</f>
        <v/>
      </c>
      <c r="W1812" s="17">
        <f>IF(AND(I1812&gt;600,P1812="Delivered"),"High Value Delivered","Standard")</f>
        <v/>
      </c>
      <c r="X1812" s="17">
        <f>IF(OR(N1812&gt;50,Q1812&lt;=2),"High Risk / Delayed","Normal")</f>
        <v/>
      </c>
      <c r="Y1812" s="17">
        <f>IF(NOT(P1812="Cancelled"),"Fulfilled","Cancelled")</f>
        <v/>
      </c>
      <c r="Z1812" s="17">
        <f>IFERROR(Q1812,0)</f>
        <v/>
      </c>
    </row>
    <row r="1813">
      <c r="A1813" s="25" t="inlineStr">
        <is>
          <t>ORD2812</t>
        </is>
      </c>
      <c r="B1813" s="25" t="inlineStr">
        <is>
          <t>2025-05-23</t>
        </is>
      </c>
      <c r="C1813" s="25" t="inlineStr">
        <is>
          <t>11:03:10</t>
        </is>
      </c>
      <c r="D1813" s="25" t="n">
        <v>1023</v>
      </c>
      <c r="E1813" s="25" t="n">
        <v>101</v>
      </c>
      <c r="F1813" s="25" t="n">
        <v>203</v>
      </c>
      <c r="G1813" s="25" t="inlineStr">
        <is>
          <t>Bangalore</t>
        </is>
      </c>
      <c r="H1813" s="25" t="inlineStr">
        <is>
          <t>North Indian</t>
        </is>
      </c>
      <c r="I1813" s="26" t="n">
        <v>833</v>
      </c>
      <c r="J1813" s="26" t="n">
        <v>29.53</v>
      </c>
      <c r="K1813" s="26" t="n">
        <v>28</v>
      </c>
      <c r="L1813" s="27" t="n">
        <v>0.2</v>
      </c>
      <c r="M1813" s="26" t="n">
        <v>173.6</v>
      </c>
      <c r="N1813" s="28" t="n">
        <v>3.6</v>
      </c>
      <c r="O1813" s="28" t="n">
        <v>29.8</v>
      </c>
      <c r="P1813" s="25" t="inlineStr">
        <is>
          <t>UPI</t>
        </is>
      </c>
      <c r="Q1813" s="25" t="inlineStr">
        <is>
          <t>Delivered</t>
        </is>
      </c>
      <c r="R1813" s="25" t="n">
        <v>4</v>
      </c>
      <c r="S1813" s="25">
        <f>TEXT(B1813,"yyyy-mm")</f>
        <v/>
      </c>
      <c r="T1813" s="25">
        <f>VLOOKUP(D1813,Customers!A:D,4,FALSE)</f>
        <v/>
      </c>
      <c r="U1813" s="25">
        <f>CONCATENATE(A1813,"-",G1813)</f>
        <v/>
      </c>
      <c r="V1813" s="25">
        <f>IF(N1813="","",IF(N1813&lt;=30,"Fast (&lt;30m)",IF(N1813&lt;=45,"Moderate (30-45m)","Delayed (&gt;45m)")))</f>
        <v/>
      </c>
      <c r="W1813" s="25">
        <f>IF(AND(I1813&gt;600,P1813="Delivered"),"High Value Delivered","Standard")</f>
        <v/>
      </c>
      <c r="X1813" s="25">
        <f>IF(OR(N1813&gt;50,Q1813&lt;=2),"High Risk / Delayed","Normal")</f>
        <v/>
      </c>
      <c r="Y1813" s="25">
        <f>IF(NOT(P1813="Cancelled"),"Fulfilled","Cancelled")</f>
        <v/>
      </c>
      <c r="Z1813" s="25">
        <f>IFERROR(Q1813,0)</f>
        <v/>
      </c>
    </row>
    <row r="1814">
      <c r="A1814" s="17" t="inlineStr">
        <is>
          <t>ORD2813</t>
        </is>
      </c>
      <c r="B1814" s="17" t="inlineStr">
        <is>
          <t>2025-07-31</t>
        </is>
      </c>
      <c r="C1814" s="17" t="inlineStr">
        <is>
          <t>19:14:08</t>
        </is>
      </c>
      <c r="D1814" s="17" t="n">
        <v>1226</v>
      </c>
      <c r="E1814" s="17" t="n">
        <v>115</v>
      </c>
      <c r="F1814" s="17" t="n">
        <v>218</v>
      </c>
      <c r="G1814" s="17" t="inlineStr">
        <is>
          <t>Bangalore</t>
        </is>
      </c>
      <c r="H1814" s="17" t="inlineStr">
        <is>
          <t>Italian</t>
        </is>
      </c>
      <c r="I1814" s="22" t="n">
        <v>349</v>
      </c>
      <c r="J1814" s="22" t="n">
        <v>14.83</v>
      </c>
      <c r="K1814" s="22" t="n">
        <v>35</v>
      </c>
      <c r="L1814" s="23" t="n">
        <v>0.2</v>
      </c>
      <c r="M1814" s="22" t="n">
        <v>78.55</v>
      </c>
      <c r="N1814" s="24" t="n">
        <v>5</v>
      </c>
      <c r="O1814" s="24" t="n">
        <v>41.4</v>
      </c>
      <c r="P1814" s="17" t="inlineStr">
        <is>
          <t>UPI</t>
        </is>
      </c>
      <c r="Q1814" s="17" t="inlineStr">
        <is>
          <t>Delivered</t>
        </is>
      </c>
      <c r="R1814" s="17" t="n">
        <v>3</v>
      </c>
      <c r="S1814" s="17">
        <f>TEXT(B1814,"yyyy-mm")</f>
        <v/>
      </c>
      <c r="T1814" s="17">
        <f>VLOOKUP(D1814,Customers!A:D,4,FALSE)</f>
        <v/>
      </c>
      <c r="U1814" s="17">
        <f>CONCATENATE(A1814,"-",G1814)</f>
        <v/>
      </c>
      <c r="V1814" s="17">
        <f>IF(N1814="","",IF(N1814&lt;=30,"Fast (&lt;30m)",IF(N1814&lt;=45,"Moderate (30-45m)","Delayed (&gt;45m)")))</f>
        <v/>
      </c>
      <c r="W1814" s="17">
        <f>IF(AND(I1814&gt;600,P1814="Delivered"),"High Value Delivered","Standard")</f>
        <v/>
      </c>
      <c r="X1814" s="17">
        <f>IF(OR(N1814&gt;50,Q1814&lt;=2),"High Risk / Delayed","Normal")</f>
        <v/>
      </c>
      <c r="Y1814" s="17">
        <f>IF(NOT(P1814="Cancelled"),"Fulfilled","Cancelled")</f>
        <v/>
      </c>
      <c r="Z1814" s="17">
        <f>IFERROR(Q1814,0)</f>
        <v/>
      </c>
    </row>
    <row r="1815">
      <c r="A1815" s="25" t="inlineStr">
        <is>
          <t>ORD2814</t>
        </is>
      </c>
      <c r="B1815" s="25" t="inlineStr">
        <is>
          <t>2025-03-23</t>
        </is>
      </c>
      <c r="C1815" s="25" t="inlineStr">
        <is>
          <t>12:52:56</t>
        </is>
      </c>
      <c r="D1815" s="25" t="n">
        <v>1186</v>
      </c>
      <c r="E1815" s="25" t="n">
        <v>109</v>
      </c>
      <c r="F1815" s="25" t="n">
        <v>225</v>
      </c>
      <c r="G1815" s="25" t="inlineStr">
        <is>
          <t>Hyderabad</t>
        </is>
      </c>
      <c r="H1815" s="25" t="inlineStr">
        <is>
          <t>Biryani</t>
        </is>
      </c>
      <c r="I1815" s="26" t="n">
        <v>920</v>
      </c>
      <c r="J1815" s="26" t="n">
        <v>86.68000000000001</v>
      </c>
      <c r="K1815" s="26" t="n">
        <v>51.5</v>
      </c>
      <c r="L1815" s="27" t="n">
        <v>0.2</v>
      </c>
      <c r="M1815" s="26" t="n">
        <v>196.88</v>
      </c>
      <c r="N1815" s="28" t="n">
        <v>8.300000000000001</v>
      </c>
      <c r="O1815" s="28" t="n">
        <v>52.3</v>
      </c>
      <c r="P1815" s="25" t="inlineStr">
        <is>
          <t>Debit Card</t>
        </is>
      </c>
      <c r="Q1815" s="25" t="inlineStr">
        <is>
          <t>Delivered</t>
        </is>
      </c>
      <c r="R1815" s="25" t="n">
        <v>4</v>
      </c>
      <c r="S1815" s="25">
        <f>TEXT(B1815,"yyyy-mm")</f>
        <v/>
      </c>
      <c r="T1815" s="25">
        <f>VLOOKUP(D1815,Customers!A:D,4,FALSE)</f>
        <v/>
      </c>
      <c r="U1815" s="25">
        <f>CONCATENATE(A1815,"-",G1815)</f>
        <v/>
      </c>
      <c r="V1815" s="25">
        <f>IF(N1815="","",IF(N1815&lt;=30,"Fast (&lt;30m)",IF(N1815&lt;=45,"Moderate (30-45m)","Delayed (&gt;45m)")))</f>
        <v/>
      </c>
      <c r="W1815" s="25">
        <f>IF(AND(I1815&gt;600,P1815="Delivered"),"High Value Delivered","Standard")</f>
        <v/>
      </c>
      <c r="X1815" s="25">
        <f>IF(OR(N1815&gt;50,Q1815&lt;=2),"High Risk / Delayed","Normal")</f>
        <v/>
      </c>
      <c r="Y1815" s="25">
        <f>IF(NOT(P1815="Cancelled"),"Fulfilled","Cancelled")</f>
        <v/>
      </c>
      <c r="Z1815" s="25">
        <f>IFERROR(Q1815,0)</f>
        <v/>
      </c>
    </row>
    <row r="1816">
      <c r="A1816" s="17" t="inlineStr">
        <is>
          <t>ORD2815</t>
        </is>
      </c>
      <c r="B1816" s="17" t="inlineStr">
        <is>
          <t>2025-01-31</t>
        </is>
      </c>
      <c r="C1816" s="17" t="inlineStr">
        <is>
          <t>12:07:01</t>
        </is>
      </c>
      <c r="D1816" s="17" t="n">
        <v>1063</v>
      </c>
      <c r="E1816" s="17" t="n">
        <v>101</v>
      </c>
      <c r="F1816" s="17" t="n">
        <v>220</v>
      </c>
      <c r="G1816" s="17" t="inlineStr">
        <is>
          <t>Bangalore</t>
        </is>
      </c>
      <c r="H1816" s="17" t="inlineStr">
        <is>
          <t>North Indian</t>
        </is>
      </c>
      <c r="I1816" s="22" t="n">
        <v>850</v>
      </c>
      <c r="J1816" s="22" t="n">
        <v>64.11</v>
      </c>
      <c r="K1816" s="22" t="n">
        <v>52.5</v>
      </c>
      <c r="L1816" s="23" t="n">
        <v>0.2</v>
      </c>
      <c r="M1816" s="22" t="n">
        <v>183.12</v>
      </c>
      <c r="N1816" s="24" t="n">
        <v>8.5</v>
      </c>
      <c r="O1816" s="24" t="n">
        <v>54.8</v>
      </c>
      <c r="P1816" s="17" t="inlineStr">
        <is>
          <t>Cash on Delivery</t>
        </is>
      </c>
      <c r="Q1816" s="17" t="inlineStr">
        <is>
          <t>Delivered</t>
        </is>
      </c>
      <c r="R1816" s="17" t="n">
        <v>4</v>
      </c>
      <c r="S1816" s="17">
        <f>TEXT(B1816,"yyyy-mm")</f>
        <v/>
      </c>
      <c r="T1816" s="17">
        <f>VLOOKUP(D1816,Customers!A:D,4,FALSE)</f>
        <v/>
      </c>
      <c r="U1816" s="17">
        <f>CONCATENATE(A1816,"-",G1816)</f>
        <v/>
      </c>
      <c r="V1816" s="17">
        <f>IF(N1816="","",IF(N1816&lt;=30,"Fast (&lt;30m)",IF(N1816&lt;=45,"Moderate (30-45m)","Delayed (&gt;45m)")))</f>
        <v/>
      </c>
      <c r="W1816" s="17">
        <f>IF(AND(I1816&gt;600,P1816="Delivered"),"High Value Delivered","Standard")</f>
        <v/>
      </c>
      <c r="X1816" s="17">
        <f>IF(OR(N1816&gt;50,Q1816&lt;=2),"High Risk / Delayed","Normal")</f>
        <v/>
      </c>
      <c r="Y1816" s="17">
        <f>IF(NOT(P1816="Cancelled"),"Fulfilled","Cancelled")</f>
        <v/>
      </c>
      <c r="Z1816" s="17">
        <f>IFERROR(Q1816,0)</f>
        <v/>
      </c>
    </row>
    <row r="1817">
      <c r="A1817" s="25" t="inlineStr">
        <is>
          <t>ORD2816</t>
        </is>
      </c>
      <c r="B1817" s="25" t="inlineStr">
        <is>
          <t>2025-06-07</t>
        </is>
      </c>
      <c r="C1817" s="25" t="inlineStr">
        <is>
          <t>12:39:04</t>
        </is>
      </c>
      <c r="D1817" s="25" t="n">
        <v>1197</v>
      </c>
      <c r="E1817" s="25" t="n">
        <v>107</v>
      </c>
      <c r="F1817" s="25" t="n">
        <v>202</v>
      </c>
      <c r="G1817" s="25" t="inlineStr">
        <is>
          <t>Mumbai</t>
        </is>
      </c>
      <c r="H1817" s="25" t="inlineStr">
        <is>
          <t>Desserts</t>
        </is>
      </c>
      <c r="I1817" s="26" t="n">
        <v>599</v>
      </c>
      <c r="J1817" s="26" t="n">
        <v>48.52</v>
      </c>
      <c r="K1817" s="26" t="n">
        <v>42.5</v>
      </c>
      <c r="L1817" s="27" t="n">
        <v>0.25</v>
      </c>
      <c r="M1817" s="26" t="n">
        <v>160.38</v>
      </c>
      <c r="N1817" s="28" t="n">
        <v>6.5</v>
      </c>
      <c r="O1817" s="28" t="n">
        <v>43.8</v>
      </c>
      <c r="P1817" s="25" t="inlineStr">
        <is>
          <t>Debit Card</t>
        </is>
      </c>
      <c r="Q1817" s="25" t="inlineStr">
        <is>
          <t>Delivered</t>
        </is>
      </c>
      <c r="R1817" s="25" t="n">
        <v>4</v>
      </c>
      <c r="S1817" s="25">
        <f>TEXT(B1817,"yyyy-mm")</f>
        <v/>
      </c>
      <c r="T1817" s="25">
        <f>VLOOKUP(D1817,Customers!A:D,4,FALSE)</f>
        <v/>
      </c>
      <c r="U1817" s="25">
        <f>CONCATENATE(A1817,"-",G1817)</f>
        <v/>
      </c>
      <c r="V1817" s="25">
        <f>IF(N1817="","",IF(N1817&lt;=30,"Fast (&lt;30m)",IF(N1817&lt;=45,"Moderate (30-45m)","Delayed (&gt;45m)")))</f>
        <v/>
      </c>
      <c r="W1817" s="25">
        <f>IF(AND(I1817&gt;600,P1817="Delivered"),"High Value Delivered","Standard")</f>
        <v/>
      </c>
      <c r="X1817" s="25">
        <f>IF(OR(N1817&gt;50,Q1817&lt;=2),"High Risk / Delayed","Normal")</f>
        <v/>
      </c>
      <c r="Y1817" s="25">
        <f>IF(NOT(P1817="Cancelled"),"Fulfilled","Cancelled")</f>
        <v/>
      </c>
      <c r="Z1817" s="25">
        <f>IFERROR(Q1817,0)</f>
        <v/>
      </c>
    </row>
    <row r="1818">
      <c r="A1818" s="17" t="inlineStr">
        <is>
          <t>ORD2817</t>
        </is>
      </c>
      <c r="B1818" s="17" t="inlineStr">
        <is>
          <t>2025-03-30</t>
        </is>
      </c>
      <c r="C1818" s="17" t="inlineStr">
        <is>
          <t>17:15:16</t>
        </is>
      </c>
      <c r="D1818" s="17" t="n">
        <v>1014</v>
      </c>
      <c r="E1818" s="17" t="n">
        <v>108</v>
      </c>
      <c r="F1818" s="17" t="n">
        <v>230</v>
      </c>
      <c r="G1818" s="17" t="inlineStr">
        <is>
          <t>Delhi NCR</t>
        </is>
      </c>
      <c r="H1818" s="17" t="inlineStr">
        <is>
          <t>Fast Food</t>
        </is>
      </c>
      <c r="I1818" s="22" t="n">
        <v>711</v>
      </c>
      <c r="J1818" s="22" t="n">
        <v>7.78</v>
      </c>
      <c r="K1818" s="22" t="n">
        <v>30</v>
      </c>
      <c r="L1818" s="23" t="n">
        <v>0.18</v>
      </c>
      <c r="M1818" s="22" t="n">
        <v>135.48</v>
      </c>
      <c r="N1818" s="24" t="n">
        <v>4</v>
      </c>
      <c r="O1818" s="24" t="n">
        <v>31.8</v>
      </c>
      <c r="P1818" s="17" t="inlineStr">
        <is>
          <t>Cash on Delivery</t>
        </is>
      </c>
      <c r="Q1818" s="17" t="inlineStr">
        <is>
          <t>Delivered</t>
        </is>
      </c>
      <c r="R1818" s="17" t="n">
        <v>4</v>
      </c>
      <c r="S1818" s="17">
        <f>TEXT(B1818,"yyyy-mm")</f>
        <v/>
      </c>
      <c r="T1818" s="17">
        <f>VLOOKUP(D1818,Customers!A:D,4,FALSE)</f>
        <v/>
      </c>
      <c r="U1818" s="17">
        <f>CONCATENATE(A1818,"-",G1818)</f>
        <v/>
      </c>
      <c r="V1818" s="17">
        <f>IF(N1818="","",IF(N1818&lt;=30,"Fast (&lt;30m)",IF(N1818&lt;=45,"Moderate (30-45m)","Delayed (&gt;45m)")))</f>
        <v/>
      </c>
      <c r="W1818" s="17">
        <f>IF(AND(I1818&gt;600,P1818="Delivered"),"High Value Delivered","Standard")</f>
        <v/>
      </c>
      <c r="X1818" s="17">
        <f>IF(OR(N1818&gt;50,Q1818&lt;=2),"High Risk / Delayed","Normal")</f>
        <v/>
      </c>
      <c r="Y1818" s="17">
        <f>IF(NOT(P1818="Cancelled"),"Fulfilled","Cancelled")</f>
        <v/>
      </c>
      <c r="Z1818" s="17">
        <f>IFERROR(Q1818,0)</f>
        <v/>
      </c>
    </row>
    <row r="1819">
      <c r="A1819" s="25" t="inlineStr">
        <is>
          <t>ORD2818</t>
        </is>
      </c>
      <c r="B1819" s="25" t="inlineStr">
        <is>
          <t>2025-01-23</t>
        </is>
      </c>
      <c r="C1819" s="25" t="inlineStr">
        <is>
          <t>13:35:03</t>
        </is>
      </c>
      <c r="D1819" s="25" t="n">
        <v>1010</v>
      </c>
      <c r="E1819" s="25" t="n">
        <v>102</v>
      </c>
      <c r="F1819" s="25" t="n">
        <v>215</v>
      </c>
      <c r="G1819" s="25" t="inlineStr">
        <is>
          <t>Hyderabad</t>
        </is>
      </c>
      <c r="H1819" s="25" t="inlineStr">
        <is>
          <t>Biryani</t>
        </is>
      </c>
      <c r="I1819" s="26" t="n">
        <v>341</v>
      </c>
      <c r="J1819" s="26" t="n">
        <v>36.08</v>
      </c>
      <c r="K1819" s="26" t="n">
        <v>25</v>
      </c>
      <c r="L1819" s="27" t="n">
        <v>0.22</v>
      </c>
      <c r="M1819" s="26" t="n">
        <v>81.27</v>
      </c>
      <c r="N1819" s="28" t="n">
        <v>2.1</v>
      </c>
      <c r="O1819" s="28" t="n">
        <v>25.2</v>
      </c>
      <c r="P1819" s="25" t="inlineStr">
        <is>
          <t>UPI</t>
        </is>
      </c>
      <c r="Q1819" s="25" t="inlineStr">
        <is>
          <t>Delivered</t>
        </is>
      </c>
      <c r="R1819" s="25" t="n">
        <v>5</v>
      </c>
      <c r="S1819" s="25">
        <f>TEXT(B1819,"yyyy-mm")</f>
        <v/>
      </c>
      <c r="T1819" s="25">
        <f>VLOOKUP(D1819,Customers!A:D,4,FALSE)</f>
        <v/>
      </c>
      <c r="U1819" s="25">
        <f>CONCATENATE(A1819,"-",G1819)</f>
        <v/>
      </c>
      <c r="V1819" s="25">
        <f>IF(N1819="","",IF(N1819&lt;=30,"Fast (&lt;30m)",IF(N1819&lt;=45,"Moderate (30-45m)","Delayed (&gt;45m)")))</f>
        <v/>
      </c>
      <c r="W1819" s="25">
        <f>IF(AND(I1819&gt;600,P1819="Delivered"),"High Value Delivered","Standard")</f>
        <v/>
      </c>
      <c r="X1819" s="25">
        <f>IF(OR(N1819&gt;50,Q1819&lt;=2),"High Risk / Delayed","Normal")</f>
        <v/>
      </c>
      <c r="Y1819" s="25">
        <f>IF(NOT(P1819="Cancelled"),"Fulfilled","Cancelled")</f>
        <v/>
      </c>
      <c r="Z1819" s="25">
        <f>IFERROR(Q1819,0)</f>
        <v/>
      </c>
    </row>
    <row r="1820">
      <c r="A1820" s="17" t="inlineStr">
        <is>
          <t>ORD2819</t>
        </is>
      </c>
      <c r="B1820" s="17" t="inlineStr">
        <is>
          <t>2025-07-31</t>
        </is>
      </c>
      <c r="C1820" s="17" t="inlineStr">
        <is>
          <t>16:35:14</t>
        </is>
      </c>
      <c r="D1820" s="17" t="n">
        <v>1199</v>
      </c>
      <c r="E1820" s="17" t="n">
        <v>109</v>
      </c>
      <c r="F1820" s="17" t="n">
        <v>225</v>
      </c>
      <c r="G1820" s="17" t="inlineStr">
        <is>
          <t>Hyderabad</t>
        </is>
      </c>
      <c r="H1820" s="17" t="inlineStr">
        <is>
          <t>Biryani</t>
        </is>
      </c>
      <c r="I1820" s="22" t="n">
        <v>537</v>
      </c>
      <c r="J1820" s="22" t="n">
        <v>75.11</v>
      </c>
      <c r="K1820" s="22" t="n">
        <v>0</v>
      </c>
      <c r="L1820" s="23" t="n">
        <v>0.2</v>
      </c>
      <c r="M1820" s="22" t="n">
        <v>107.4</v>
      </c>
      <c r="N1820" s="24" t="n">
        <v>1.3</v>
      </c>
      <c r="O1820" s="24" t="n">
        <v>24.3</v>
      </c>
      <c r="P1820" s="17" t="inlineStr">
        <is>
          <t>UPI</t>
        </is>
      </c>
      <c r="Q1820" s="17" t="inlineStr">
        <is>
          <t>Delivered</t>
        </is>
      </c>
      <c r="R1820" s="17" t="n">
        <v>5</v>
      </c>
      <c r="S1820" s="17">
        <f>TEXT(B1820,"yyyy-mm")</f>
        <v/>
      </c>
      <c r="T1820" s="17">
        <f>VLOOKUP(D1820,Customers!A:D,4,FALSE)</f>
        <v/>
      </c>
      <c r="U1820" s="17">
        <f>CONCATENATE(A1820,"-",G1820)</f>
        <v/>
      </c>
      <c r="V1820" s="17">
        <f>IF(N1820="","",IF(N1820&lt;=30,"Fast (&lt;30m)",IF(N1820&lt;=45,"Moderate (30-45m)","Delayed (&gt;45m)")))</f>
        <v/>
      </c>
      <c r="W1820" s="17">
        <f>IF(AND(I1820&gt;600,P1820="Delivered"),"High Value Delivered","Standard")</f>
        <v/>
      </c>
      <c r="X1820" s="17">
        <f>IF(OR(N1820&gt;50,Q1820&lt;=2),"High Risk / Delayed","Normal")</f>
        <v/>
      </c>
      <c r="Y1820" s="17">
        <f>IF(NOT(P1820="Cancelled"),"Fulfilled","Cancelled")</f>
        <v/>
      </c>
      <c r="Z1820" s="17">
        <f>IFERROR(Q1820,0)</f>
        <v/>
      </c>
    </row>
    <row r="1821">
      <c r="A1821" s="25" t="inlineStr">
        <is>
          <t>ORD2820</t>
        </is>
      </c>
      <c r="B1821" s="25" t="inlineStr">
        <is>
          <t>2025-09-22</t>
        </is>
      </c>
      <c r="C1821" s="25" t="inlineStr">
        <is>
          <t>19:02:34</t>
        </is>
      </c>
      <c r="D1821" s="25" t="n">
        <v>1265</v>
      </c>
      <c r="E1821" s="25" t="n">
        <v>101</v>
      </c>
      <c r="F1821" s="25" t="n">
        <v>227</v>
      </c>
      <c r="G1821" s="25" t="inlineStr">
        <is>
          <t>Bangalore</t>
        </is>
      </c>
      <c r="H1821" s="25" t="inlineStr">
        <is>
          <t>North Indian</t>
        </is>
      </c>
      <c r="I1821" s="26" t="n">
        <v>465</v>
      </c>
      <c r="J1821" s="26" t="n">
        <v>51.03</v>
      </c>
      <c r="K1821" s="26" t="n">
        <v>30.5</v>
      </c>
      <c r="L1821" s="27" t="n">
        <v>0.2</v>
      </c>
      <c r="M1821" s="26" t="n">
        <v>100.62</v>
      </c>
      <c r="N1821" s="28" t="n">
        <v>4.1</v>
      </c>
      <c r="O1821" s="28" t="n">
        <v>36.7</v>
      </c>
      <c r="P1821" s="25" t="inlineStr">
        <is>
          <t>Debit Card</t>
        </is>
      </c>
      <c r="Q1821" s="25" t="inlineStr">
        <is>
          <t>Delivered</t>
        </is>
      </c>
      <c r="R1821" s="25" t="n">
        <v>1</v>
      </c>
      <c r="S1821" s="25">
        <f>TEXT(B1821,"yyyy-mm")</f>
        <v/>
      </c>
      <c r="T1821" s="25">
        <f>VLOOKUP(D1821,Customers!A:D,4,FALSE)</f>
        <v/>
      </c>
      <c r="U1821" s="25">
        <f>CONCATENATE(A1821,"-",G1821)</f>
        <v/>
      </c>
      <c r="V1821" s="25">
        <f>IF(N1821="","",IF(N1821&lt;=30,"Fast (&lt;30m)",IF(N1821&lt;=45,"Moderate (30-45m)","Delayed (&gt;45m)")))</f>
        <v/>
      </c>
      <c r="W1821" s="25">
        <f>IF(AND(I1821&gt;600,P1821="Delivered"),"High Value Delivered","Standard")</f>
        <v/>
      </c>
      <c r="X1821" s="25">
        <f>IF(OR(N1821&gt;50,Q1821&lt;=2),"High Risk / Delayed","Normal")</f>
        <v/>
      </c>
      <c r="Y1821" s="25">
        <f>IF(NOT(P1821="Cancelled"),"Fulfilled","Cancelled")</f>
        <v/>
      </c>
      <c r="Z1821" s="25">
        <f>IFERROR(Q1821,0)</f>
        <v/>
      </c>
    </row>
    <row r="1822">
      <c r="A1822" s="17" t="inlineStr">
        <is>
          <t>ORD2821</t>
        </is>
      </c>
      <c r="B1822" s="17" t="inlineStr">
        <is>
          <t>2025-10-31</t>
        </is>
      </c>
      <c r="C1822" s="17" t="inlineStr">
        <is>
          <t>11:01:55</t>
        </is>
      </c>
      <c r="D1822" s="17" t="n">
        <v>1139</v>
      </c>
      <c r="E1822" s="17" t="n">
        <v>104</v>
      </c>
      <c r="F1822" s="17" t="n">
        <v>212</v>
      </c>
      <c r="G1822" s="17" t="inlineStr">
        <is>
          <t>Delhi NCR</t>
        </is>
      </c>
      <c r="H1822" s="17" t="inlineStr">
        <is>
          <t>Fast Food</t>
        </is>
      </c>
      <c r="I1822" s="22" t="n">
        <v>330</v>
      </c>
      <c r="J1822" s="22" t="n">
        <v>18.59</v>
      </c>
      <c r="K1822" s="22" t="n">
        <v>39</v>
      </c>
      <c r="L1822" s="23" t="n">
        <v>0.18</v>
      </c>
      <c r="M1822" s="22" t="n">
        <v>69.15000000000001</v>
      </c>
      <c r="N1822" s="24" t="n">
        <v>5.8</v>
      </c>
      <c r="O1822" s="24" t="n">
        <v>33.2</v>
      </c>
      <c r="P1822" s="17" t="inlineStr">
        <is>
          <t>Credit Card</t>
        </is>
      </c>
      <c r="Q1822" s="17" t="inlineStr">
        <is>
          <t>Delivered</t>
        </is>
      </c>
      <c r="R1822" s="17" t="n">
        <v>3</v>
      </c>
      <c r="S1822" s="17">
        <f>TEXT(B1822,"yyyy-mm")</f>
        <v/>
      </c>
      <c r="T1822" s="17">
        <f>VLOOKUP(D1822,Customers!A:D,4,FALSE)</f>
        <v/>
      </c>
      <c r="U1822" s="17">
        <f>CONCATENATE(A1822,"-",G1822)</f>
        <v/>
      </c>
      <c r="V1822" s="17">
        <f>IF(N1822="","",IF(N1822&lt;=30,"Fast (&lt;30m)",IF(N1822&lt;=45,"Moderate (30-45m)","Delayed (&gt;45m)")))</f>
        <v/>
      </c>
      <c r="W1822" s="17">
        <f>IF(AND(I1822&gt;600,P1822="Delivered"),"High Value Delivered","Standard")</f>
        <v/>
      </c>
      <c r="X1822" s="17">
        <f>IF(OR(N1822&gt;50,Q1822&lt;=2),"High Risk / Delayed","Normal")</f>
        <v/>
      </c>
      <c r="Y1822" s="17">
        <f>IF(NOT(P1822="Cancelled"),"Fulfilled","Cancelled")</f>
        <v/>
      </c>
      <c r="Z1822" s="17">
        <f>IFERROR(Q1822,0)</f>
        <v/>
      </c>
    </row>
    <row r="1823">
      <c r="A1823" s="25" t="inlineStr">
        <is>
          <t>ORD2822</t>
        </is>
      </c>
      <c r="B1823" s="25" t="inlineStr">
        <is>
          <t>2025-02-22</t>
        </is>
      </c>
      <c r="C1823" s="25" t="inlineStr">
        <is>
          <t>11:15:03</t>
        </is>
      </c>
      <c r="D1823" s="25" t="n">
        <v>1253</v>
      </c>
      <c r="E1823" s="25" t="n">
        <v>109</v>
      </c>
      <c r="F1823" s="25" t="n">
        <v>225</v>
      </c>
      <c r="G1823" s="25" t="inlineStr">
        <is>
          <t>Hyderabad</t>
        </is>
      </c>
      <c r="H1823" s="25" t="inlineStr">
        <is>
          <t>Biryani</t>
        </is>
      </c>
      <c r="I1823" s="26" t="n">
        <v>975</v>
      </c>
      <c r="J1823" s="26" t="n">
        <v>119.85</v>
      </c>
      <c r="K1823" s="26" t="n">
        <v>0</v>
      </c>
      <c r="L1823" s="27" t="n">
        <v>0.2</v>
      </c>
      <c r="M1823" s="26" t="n">
        <v>195</v>
      </c>
      <c r="N1823" s="28" t="n">
        <v>4.7</v>
      </c>
      <c r="O1823" s="28" t="n">
        <v>35.3</v>
      </c>
      <c r="P1823" s="25" t="inlineStr">
        <is>
          <t>UPI</t>
        </is>
      </c>
      <c r="Q1823" s="25" t="inlineStr">
        <is>
          <t>Delivered</t>
        </is>
      </c>
      <c r="R1823" s="25" t="n">
        <v>3</v>
      </c>
      <c r="S1823" s="25">
        <f>TEXT(B1823,"yyyy-mm")</f>
        <v/>
      </c>
      <c r="T1823" s="25">
        <f>VLOOKUP(D1823,Customers!A:D,4,FALSE)</f>
        <v/>
      </c>
      <c r="U1823" s="25">
        <f>CONCATENATE(A1823,"-",G1823)</f>
        <v/>
      </c>
      <c r="V1823" s="25">
        <f>IF(N1823="","",IF(N1823&lt;=30,"Fast (&lt;30m)",IF(N1823&lt;=45,"Moderate (30-45m)","Delayed (&gt;45m)")))</f>
        <v/>
      </c>
      <c r="W1823" s="25">
        <f>IF(AND(I1823&gt;600,P1823="Delivered"),"High Value Delivered","Standard")</f>
        <v/>
      </c>
      <c r="X1823" s="25">
        <f>IF(OR(N1823&gt;50,Q1823&lt;=2),"High Risk / Delayed","Normal")</f>
        <v/>
      </c>
      <c r="Y1823" s="25">
        <f>IF(NOT(P1823="Cancelled"),"Fulfilled","Cancelled")</f>
        <v/>
      </c>
      <c r="Z1823" s="25">
        <f>IFERROR(Q1823,0)</f>
        <v/>
      </c>
    </row>
    <row r="1824">
      <c r="A1824" s="17" t="inlineStr">
        <is>
          <t>ORD2823</t>
        </is>
      </c>
      <c r="B1824" s="17" t="inlineStr">
        <is>
          <t>2025-09-09</t>
        </is>
      </c>
      <c r="C1824" s="17" t="inlineStr">
        <is>
          <t>18:19:12</t>
        </is>
      </c>
      <c r="D1824" s="17" t="n">
        <v>1021</v>
      </c>
      <c r="E1824" s="17" t="n">
        <v>106</v>
      </c>
      <c r="F1824" s="17" t="n">
        <v>204</v>
      </c>
      <c r="G1824" s="17" t="inlineStr">
        <is>
          <t>Pune</t>
        </is>
      </c>
      <c r="H1824" s="17" t="inlineStr">
        <is>
          <t>South Indian</t>
        </is>
      </c>
      <c r="I1824" s="22" t="n">
        <v>630</v>
      </c>
      <c r="J1824" s="22" t="n">
        <v>39.22</v>
      </c>
      <c r="K1824" s="22" t="n">
        <v>25</v>
      </c>
      <c r="L1824" s="23" t="n">
        <v>0.15</v>
      </c>
      <c r="M1824" s="22" t="n">
        <v>100.75</v>
      </c>
      <c r="N1824" s="24" t="n">
        <v>2.9</v>
      </c>
      <c r="O1824" s="24" t="n">
        <v>27.4</v>
      </c>
      <c r="P1824" s="17" t="inlineStr">
        <is>
          <t>UPI</t>
        </is>
      </c>
      <c r="Q1824" s="17" t="inlineStr">
        <is>
          <t>Delivered</t>
        </is>
      </c>
      <c r="R1824" s="17" t="n">
        <v>5</v>
      </c>
      <c r="S1824" s="17">
        <f>TEXT(B1824,"yyyy-mm")</f>
        <v/>
      </c>
      <c r="T1824" s="17">
        <f>VLOOKUP(D1824,Customers!A:D,4,FALSE)</f>
        <v/>
      </c>
      <c r="U1824" s="17">
        <f>CONCATENATE(A1824,"-",G1824)</f>
        <v/>
      </c>
      <c r="V1824" s="17">
        <f>IF(N1824="","",IF(N1824&lt;=30,"Fast (&lt;30m)",IF(N1824&lt;=45,"Moderate (30-45m)","Delayed (&gt;45m)")))</f>
        <v/>
      </c>
      <c r="W1824" s="17">
        <f>IF(AND(I1824&gt;600,P1824="Delivered"),"High Value Delivered","Standard")</f>
        <v/>
      </c>
      <c r="X1824" s="17">
        <f>IF(OR(N1824&gt;50,Q1824&lt;=2),"High Risk / Delayed","Normal")</f>
        <v/>
      </c>
      <c r="Y1824" s="17">
        <f>IF(NOT(P1824="Cancelled"),"Fulfilled","Cancelled")</f>
        <v/>
      </c>
      <c r="Z1824" s="17">
        <f>IFERROR(Q1824,0)</f>
        <v/>
      </c>
    </row>
    <row r="1825">
      <c r="A1825" s="25" t="inlineStr">
        <is>
          <t>ORD2824</t>
        </is>
      </c>
      <c r="B1825" s="25" t="inlineStr">
        <is>
          <t>2025-04-04</t>
        </is>
      </c>
      <c r="C1825" s="25" t="inlineStr">
        <is>
          <t>18:22:34</t>
        </is>
      </c>
      <c r="D1825" s="25" t="n">
        <v>1119</v>
      </c>
      <c r="E1825" s="25" t="n">
        <v>118</v>
      </c>
      <c r="F1825" s="25" t="n">
        <v>221</v>
      </c>
      <c r="G1825" s="25" t="inlineStr">
        <is>
          <t>Delhi NCR</t>
        </is>
      </c>
      <c r="H1825" s="25" t="inlineStr">
        <is>
          <t>North Indian</t>
        </is>
      </c>
      <c r="I1825" s="26" t="n">
        <v>1033</v>
      </c>
      <c r="J1825" s="26" t="n">
        <v>140.01</v>
      </c>
      <c r="K1825" s="26" t="n">
        <v>0</v>
      </c>
      <c r="L1825" s="27" t="n">
        <v>0.2</v>
      </c>
      <c r="M1825" s="26" t="n">
        <v>206.6</v>
      </c>
      <c r="N1825" s="28" t="n">
        <v>6.6</v>
      </c>
      <c r="O1825" s="28" t="n">
        <v>35.2</v>
      </c>
      <c r="P1825" s="25" t="inlineStr">
        <is>
          <t>Cash on Delivery</t>
        </is>
      </c>
      <c r="Q1825" s="25" t="inlineStr">
        <is>
          <t>Delivered</t>
        </is>
      </c>
      <c r="R1825" s="25" t="n">
        <v>2</v>
      </c>
      <c r="S1825" s="25">
        <f>TEXT(B1825,"yyyy-mm")</f>
        <v/>
      </c>
      <c r="T1825" s="25">
        <f>VLOOKUP(D1825,Customers!A:D,4,FALSE)</f>
        <v/>
      </c>
      <c r="U1825" s="25">
        <f>CONCATENATE(A1825,"-",G1825)</f>
        <v/>
      </c>
      <c r="V1825" s="25">
        <f>IF(N1825="","",IF(N1825&lt;=30,"Fast (&lt;30m)",IF(N1825&lt;=45,"Moderate (30-45m)","Delayed (&gt;45m)")))</f>
        <v/>
      </c>
      <c r="W1825" s="25">
        <f>IF(AND(I1825&gt;600,P1825="Delivered"),"High Value Delivered","Standard")</f>
        <v/>
      </c>
      <c r="X1825" s="25">
        <f>IF(OR(N1825&gt;50,Q1825&lt;=2),"High Risk / Delayed","Normal")</f>
        <v/>
      </c>
      <c r="Y1825" s="25">
        <f>IF(NOT(P1825="Cancelled"),"Fulfilled","Cancelled")</f>
        <v/>
      </c>
      <c r="Z1825" s="25">
        <f>IFERROR(Q1825,0)</f>
        <v/>
      </c>
    </row>
    <row r="1826">
      <c r="A1826" s="17" t="inlineStr">
        <is>
          <t>ORD2825</t>
        </is>
      </c>
      <c r="B1826" s="17" t="inlineStr">
        <is>
          <t>2025-04-15</t>
        </is>
      </c>
      <c r="C1826" s="17" t="inlineStr">
        <is>
          <t>10:07:35</t>
        </is>
      </c>
      <c r="D1826" s="17" t="n">
        <v>1235</v>
      </c>
      <c r="E1826" s="17" t="n">
        <v>114</v>
      </c>
      <c r="F1826" s="17" t="n">
        <v>216</v>
      </c>
      <c r="G1826" s="17" t="inlineStr">
        <is>
          <t>Hyderabad</t>
        </is>
      </c>
      <c r="H1826" s="17" t="inlineStr">
        <is>
          <t>Biryani</t>
        </is>
      </c>
      <c r="I1826" s="22" t="n">
        <v>225</v>
      </c>
      <c r="J1826" s="22" t="n">
        <v>0</v>
      </c>
      <c r="K1826" s="22" t="n">
        <v>25</v>
      </c>
      <c r="L1826" s="23" t="n">
        <v>0.22</v>
      </c>
      <c r="M1826" s="22" t="n">
        <v>55.75</v>
      </c>
      <c r="N1826" s="24" t="n">
        <v>1.8</v>
      </c>
      <c r="O1826" s="24" t="n">
        <v>28.9</v>
      </c>
      <c r="P1826" s="17" t="inlineStr">
        <is>
          <t>Credit Card</t>
        </is>
      </c>
      <c r="Q1826" s="17" t="inlineStr">
        <is>
          <t>Delivered</t>
        </is>
      </c>
      <c r="R1826" s="17" t="n">
        <v>3</v>
      </c>
      <c r="S1826" s="17">
        <f>TEXT(B1826,"yyyy-mm")</f>
        <v/>
      </c>
      <c r="T1826" s="17">
        <f>VLOOKUP(D1826,Customers!A:D,4,FALSE)</f>
        <v/>
      </c>
      <c r="U1826" s="17">
        <f>CONCATENATE(A1826,"-",G1826)</f>
        <v/>
      </c>
      <c r="V1826" s="17">
        <f>IF(N1826="","",IF(N1826&lt;=30,"Fast (&lt;30m)",IF(N1826&lt;=45,"Moderate (30-45m)","Delayed (&gt;45m)")))</f>
        <v/>
      </c>
      <c r="W1826" s="17">
        <f>IF(AND(I1826&gt;600,P1826="Delivered"),"High Value Delivered","Standard")</f>
        <v/>
      </c>
      <c r="X1826" s="17">
        <f>IF(OR(N1826&gt;50,Q1826&lt;=2),"High Risk / Delayed","Normal")</f>
        <v/>
      </c>
      <c r="Y1826" s="17">
        <f>IF(NOT(P1826="Cancelled"),"Fulfilled","Cancelled")</f>
        <v/>
      </c>
      <c r="Z1826" s="17">
        <f>IFERROR(Q1826,0)</f>
        <v/>
      </c>
    </row>
    <row r="1827">
      <c r="A1827" s="25" t="inlineStr">
        <is>
          <t>ORD2826</t>
        </is>
      </c>
      <c r="B1827" s="25" t="inlineStr">
        <is>
          <t>2025-05-11</t>
        </is>
      </c>
      <c r="C1827" s="25" t="inlineStr">
        <is>
          <t>08:53:27</t>
        </is>
      </c>
      <c r="D1827" s="25" t="n">
        <v>1287</v>
      </c>
      <c r="E1827" s="25" t="n">
        <v>111</v>
      </c>
      <c r="F1827" s="25" t="n">
        <v>227</v>
      </c>
      <c r="G1827" s="25" t="inlineStr">
        <is>
          <t>Bangalore</t>
        </is>
      </c>
      <c r="H1827" s="25" t="inlineStr">
        <is>
          <t>South Indian</t>
        </is>
      </c>
      <c r="I1827" s="26" t="n">
        <v>623</v>
      </c>
      <c r="J1827" s="26" t="n">
        <v>0</v>
      </c>
      <c r="K1827" s="26" t="n">
        <v>35.5</v>
      </c>
      <c r="L1827" s="27" t="n">
        <v>0.15</v>
      </c>
      <c r="M1827" s="26" t="n">
        <v>102.32</v>
      </c>
      <c r="N1827" s="28" t="n">
        <v>5.1</v>
      </c>
      <c r="O1827" s="28" t="n">
        <v>31.2</v>
      </c>
      <c r="P1827" s="25" t="inlineStr">
        <is>
          <t>Debit Card</t>
        </is>
      </c>
      <c r="Q1827" s="25" t="inlineStr">
        <is>
          <t>Delivered</t>
        </is>
      </c>
      <c r="R1827" s="25" t="n">
        <v>3</v>
      </c>
      <c r="S1827" s="25">
        <f>TEXT(B1827,"yyyy-mm")</f>
        <v/>
      </c>
      <c r="T1827" s="25">
        <f>VLOOKUP(D1827,Customers!A:D,4,FALSE)</f>
        <v/>
      </c>
      <c r="U1827" s="25">
        <f>CONCATENATE(A1827,"-",G1827)</f>
        <v/>
      </c>
      <c r="V1827" s="25">
        <f>IF(N1827="","",IF(N1827&lt;=30,"Fast (&lt;30m)",IF(N1827&lt;=45,"Moderate (30-45m)","Delayed (&gt;45m)")))</f>
        <v/>
      </c>
      <c r="W1827" s="25">
        <f>IF(AND(I1827&gt;600,P1827="Delivered"),"High Value Delivered","Standard")</f>
        <v/>
      </c>
      <c r="X1827" s="25">
        <f>IF(OR(N1827&gt;50,Q1827&lt;=2),"High Risk / Delayed","Normal")</f>
        <v/>
      </c>
      <c r="Y1827" s="25">
        <f>IF(NOT(P1827="Cancelled"),"Fulfilled","Cancelled")</f>
        <v/>
      </c>
      <c r="Z1827" s="25">
        <f>IFERROR(Q1827,0)</f>
        <v/>
      </c>
    </row>
    <row r="1828">
      <c r="A1828" s="17" t="inlineStr">
        <is>
          <t>ORD2827</t>
        </is>
      </c>
      <c r="B1828" s="17" t="inlineStr">
        <is>
          <t>2025-12-25</t>
        </is>
      </c>
      <c r="C1828" s="17" t="inlineStr">
        <is>
          <t>21:54:30</t>
        </is>
      </c>
      <c r="D1828" s="17" t="n">
        <v>1137</v>
      </c>
      <c r="E1828" s="17" t="n">
        <v>116</v>
      </c>
      <c r="F1828" s="17" t="n">
        <v>224</v>
      </c>
      <c r="G1828" s="17" t="inlineStr">
        <is>
          <t>Pune</t>
        </is>
      </c>
      <c r="H1828" s="17" t="inlineStr">
        <is>
          <t>Desserts</t>
        </is>
      </c>
      <c r="I1828" s="22" t="n">
        <v>239</v>
      </c>
      <c r="J1828" s="22" t="n">
        <v>0</v>
      </c>
      <c r="K1828" s="22" t="n">
        <v>29</v>
      </c>
      <c r="L1828" s="23" t="n">
        <v>0.25</v>
      </c>
      <c r="M1828" s="22" t="n">
        <v>67</v>
      </c>
      <c r="N1828" s="24" t="n">
        <v>3.8</v>
      </c>
      <c r="O1828" s="24" t="n">
        <v>36.9</v>
      </c>
      <c r="P1828" s="17" t="inlineStr">
        <is>
          <t>Cash on Delivery</t>
        </is>
      </c>
      <c r="Q1828" s="17" t="inlineStr">
        <is>
          <t>Delivered</t>
        </is>
      </c>
      <c r="R1828" s="17" t="n">
        <v>5</v>
      </c>
      <c r="S1828" s="17">
        <f>TEXT(B1828,"yyyy-mm")</f>
        <v/>
      </c>
      <c r="T1828" s="17">
        <f>VLOOKUP(D1828,Customers!A:D,4,FALSE)</f>
        <v/>
      </c>
      <c r="U1828" s="17">
        <f>CONCATENATE(A1828,"-",G1828)</f>
        <v/>
      </c>
      <c r="V1828" s="17">
        <f>IF(N1828="","",IF(N1828&lt;=30,"Fast (&lt;30m)",IF(N1828&lt;=45,"Moderate (30-45m)","Delayed (&gt;45m)")))</f>
        <v/>
      </c>
      <c r="W1828" s="17">
        <f>IF(AND(I1828&gt;600,P1828="Delivered"),"High Value Delivered","Standard")</f>
        <v/>
      </c>
      <c r="X1828" s="17">
        <f>IF(OR(N1828&gt;50,Q1828&lt;=2),"High Risk / Delayed","Normal")</f>
        <v/>
      </c>
      <c r="Y1828" s="17">
        <f>IF(NOT(P1828="Cancelled"),"Fulfilled","Cancelled")</f>
        <v/>
      </c>
      <c r="Z1828" s="17">
        <f>IFERROR(Q1828,0)</f>
        <v/>
      </c>
    </row>
    <row r="1829">
      <c r="A1829" s="25" t="inlineStr">
        <is>
          <t>ORD2828</t>
        </is>
      </c>
      <c r="B1829" s="25" t="inlineStr">
        <is>
          <t>2025-06-09</t>
        </is>
      </c>
      <c r="C1829" s="25" t="inlineStr">
        <is>
          <t>14:21:40</t>
        </is>
      </c>
      <c r="D1829" s="25" t="n">
        <v>1202</v>
      </c>
      <c r="E1829" s="25" t="n">
        <v>101</v>
      </c>
      <c r="F1829" s="25" t="n">
        <v>203</v>
      </c>
      <c r="G1829" s="25" t="inlineStr">
        <is>
          <t>Bangalore</t>
        </is>
      </c>
      <c r="H1829" s="25" t="inlineStr">
        <is>
          <t>North Indian</t>
        </is>
      </c>
      <c r="I1829" s="26" t="n">
        <v>823</v>
      </c>
      <c r="J1829" s="26" t="n">
        <v>0</v>
      </c>
      <c r="K1829" s="26" t="n">
        <v>57</v>
      </c>
      <c r="L1829" s="27" t="n">
        <v>0.2</v>
      </c>
      <c r="M1829" s="26" t="n">
        <v>178.85</v>
      </c>
      <c r="N1829" s="28" t="n">
        <v>9.4</v>
      </c>
      <c r="O1829" s="28" t="n">
        <v>50</v>
      </c>
      <c r="P1829" s="25" t="inlineStr">
        <is>
          <t>UPI</t>
        </is>
      </c>
      <c r="Q1829" s="25" t="inlineStr">
        <is>
          <t>Delivered</t>
        </is>
      </c>
      <c r="R1829" s="25" t="n">
        <v>2</v>
      </c>
      <c r="S1829" s="25">
        <f>TEXT(B1829,"yyyy-mm")</f>
        <v/>
      </c>
      <c r="T1829" s="25">
        <f>VLOOKUP(D1829,Customers!A:D,4,FALSE)</f>
        <v/>
      </c>
      <c r="U1829" s="25">
        <f>CONCATENATE(A1829,"-",G1829)</f>
        <v/>
      </c>
      <c r="V1829" s="25">
        <f>IF(N1829="","",IF(N1829&lt;=30,"Fast (&lt;30m)",IF(N1829&lt;=45,"Moderate (30-45m)","Delayed (&gt;45m)")))</f>
        <v/>
      </c>
      <c r="W1829" s="25">
        <f>IF(AND(I1829&gt;600,P1829="Delivered"),"High Value Delivered","Standard")</f>
        <v/>
      </c>
      <c r="X1829" s="25">
        <f>IF(OR(N1829&gt;50,Q1829&lt;=2),"High Risk / Delayed","Normal")</f>
        <v/>
      </c>
      <c r="Y1829" s="25">
        <f>IF(NOT(P1829="Cancelled"),"Fulfilled","Cancelled")</f>
        <v/>
      </c>
      <c r="Z1829" s="25">
        <f>IFERROR(Q1829,0)</f>
        <v/>
      </c>
    </row>
    <row r="1830">
      <c r="A1830" s="17" t="inlineStr">
        <is>
          <t>ORD2829</t>
        </is>
      </c>
      <c r="B1830" s="17" t="inlineStr">
        <is>
          <t>2025-10-29</t>
        </is>
      </c>
      <c r="C1830" s="17" t="inlineStr">
        <is>
          <t>13:31:42</t>
        </is>
      </c>
      <c r="D1830" s="17" t="n">
        <v>1036</v>
      </c>
      <c r="E1830" s="17" t="n">
        <v>103</v>
      </c>
      <c r="F1830" s="17" t="n">
        <v>202</v>
      </c>
      <c r="G1830" s="17" t="inlineStr">
        <is>
          <t>Mumbai</t>
        </is>
      </c>
      <c r="H1830" s="17" t="inlineStr">
        <is>
          <t>Italian</t>
        </is>
      </c>
      <c r="I1830" s="22" t="n">
        <v>698</v>
      </c>
      <c r="J1830" s="22" t="n">
        <v>40.97</v>
      </c>
      <c r="K1830" s="22" t="n">
        <v>27</v>
      </c>
      <c r="L1830" s="23" t="n">
        <v>0.18</v>
      </c>
      <c r="M1830" s="22" t="n">
        <v>132.39</v>
      </c>
      <c r="N1830" s="24" t="n">
        <v>3.4</v>
      </c>
      <c r="O1830" s="24" t="n">
        <v>28.1</v>
      </c>
      <c r="P1830" s="17" t="inlineStr">
        <is>
          <t>UPI</t>
        </is>
      </c>
      <c r="Q1830" s="17" t="inlineStr">
        <is>
          <t>Delivered</t>
        </is>
      </c>
      <c r="R1830" s="17" t="n">
        <v>4</v>
      </c>
      <c r="S1830" s="17">
        <f>TEXT(B1830,"yyyy-mm")</f>
        <v/>
      </c>
      <c r="T1830" s="17">
        <f>VLOOKUP(D1830,Customers!A:D,4,FALSE)</f>
        <v/>
      </c>
      <c r="U1830" s="17">
        <f>CONCATENATE(A1830,"-",G1830)</f>
        <v/>
      </c>
      <c r="V1830" s="17">
        <f>IF(N1830="","",IF(N1830&lt;=30,"Fast (&lt;30m)",IF(N1830&lt;=45,"Moderate (30-45m)","Delayed (&gt;45m)")))</f>
        <v/>
      </c>
      <c r="W1830" s="17">
        <f>IF(AND(I1830&gt;600,P1830="Delivered"),"High Value Delivered","Standard")</f>
        <v/>
      </c>
      <c r="X1830" s="17">
        <f>IF(OR(N1830&gt;50,Q1830&lt;=2),"High Risk / Delayed","Normal")</f>
        <v/>
      </c>
      <c r="Y1830" s="17">
        <f>IF(NOT(P1830="Cancelled"),"Fulfilled","Cancelled")</f>
        <v/>
      </c>
      <c r="Z1830" s="17">
        <f>IFERROR(Q1830,0)</f>
        <v/>
      </c>
    </row>
    <row r="1831">
      <c r="A1831" s="25" t="inlineStr">
        <is>
          <t>ORD2830</t>
        </is>
      </c>
      <c r="B1831" s="25" t="inlineStr">
        <is>
          <t>2025-10-16</t>
        </is>
      </c>
      <c r="C1831" s="25" t="inlineStr">
        <is>
          <t>20:48:44</t>
        </is>
      </c>
      <c r="D1831" s="25" t="n">
        <v>1232</v>
      </c>
      <c r="E1831" s="25" t="n">
        <v>114</v>
      </c>
      <c r="F1831" s="25" t="n">
        <v>225</v>
      </c>
      <c r="G1831" s="25" t="inlineStr">
        <is>
          <t>Hyderabad</t>
        </is>
      </c>
      <c r="H1831" s="25" t="inlineStr">
        <is>
          <t>Biryani</t>
        </is>
      </c>
      <c r="I1831" s="26" t="n">
        <v>944</v>
      </c>
      <c r="J1831" s="26" t="n">
        <v>20.36</v>
      </c>
      <c r="K1831" s="26" t="n">
        <v>25</v>
      </c>
      <c r="L1831" s="27" t="n">
        <v>0.22</v>
      </c>
      <c r="M1831" s="26" t="n">
        <v>213.93</v>
      </c>
      <c r="N1831" s="28" t="n">
        <v>2.7</v>
      </c>
      <c r="O1831" s="28" t="n">
        <v>24.7</v>
      </c>
      <c r="P1831" s="25" t="inlineStr">
        <is>
          <t>Credit Card</t>
        </is>
      </c>
      <c r="Q1831" s="25" t="inlineStr">
        <is>
          <t>Delivered</t>
        </is>
      </c>
      <c r="R1831" s="25" t="n">
        <v>4</v>
      </c>
      <c r="S1831" s="25">
        <f>TEXT(B1831,"yyyy-mm")</f>
        <v/>
      </c>
      <c r="T1831" s="25">
        <f>VLOOKUP(D1831,Customers!A:D,4,FALSE)</f>
        <v/>
      </c>
      <c r="U1831" s="25">
        <f>CONCATENATE(A1831,"-",G1831)</f>
        <v/>
      </c>
      <c r="V1831" s="25">
        <f>IF(N1831="","",IF(N1831&lt;=30,"Fast (&lt;30m)",IF(N1831&lt;=45,"Moderate (30-45m)","Delayed (&gt;45m)")))</f>
        <v/>
      </c>
      <c r="W1831" s="25">
        <f>IF(AND(I1831&gt;600,P1831="Delivered"),"High Value Delivered","Standard")</f>
        <v/>
      </c>
      <c r="X1831" s="25">
        <f>IF(OR(N1831&gt;50,Q1831&lt;=2),"High Risk / Delayed","Normal")</f>
        <v/>
      </c>
      <c r="Y1831" s="25">
        <f>IF(NOT(P1831="Cancelled"),"Fulfilled","Cancelled")</f>
        <v/>
      </c>
      <c r="Z1831" s="25">
        <f>IFERROR(Q1831,0)</f>
        <v/>
      </c>
    </row>
    <row r="1832">
      <c r="A1832" s="17" t="inlineStr">
        <is>
          <t>ORD2831</t>
        </is>
      </c>
      <c r="B1832" s="17" t="inlineStr">
        <is>
          <t>2025-01-22</t>
        </is>
      </c>
      <c r="C1832" s="17" t="inlineStr">
        <is>
          <t>11:16:39</t>
        </is>
      </c>
      <c r="D1832" s="17" t="n">
        <v>1076</v>
      </c>
      <c r="E1832" s="17" t="n">
        <v>112</v>
      </c>
      <c r="F1832" s="17" t="n">
        <v>211</v>
      </c>
      <c r="G1832" s="17" t="inlineStr">
        <is>
          <t>Delhi NCR</t>
        </is>
      </c>
      <c r="H1832" s="17" t="inlineStr">
        <is>
          <t>North Indian</t>
        </is>
      </c>
      <c r="I1832" s="22" t="n">
        <v>843</v>
      </c>
      <c r="J1832" s="22" t="n">
        <v>71.76000000000001</v>
      </c>
      <c r="K1832" s="22" t="n">
        <v>25</v>
      </c>
      <c r="L1832" s="23" t="n">
        <v>0.22</v>
      </c>
      <c r="M1832" s="22" t="n">
        <v>191.71</v>
      </c>
      <c r="N1832" s="24" t="n">
        <v>2.5</v>
      </c>
      <c r="O1832" s="24" t="n">
        <v>28.2</v>
      </c>
      <c r="P1832" s="17" t="inlineStr">
        <is>
          <t>Debit Card</t>
        </is>
      </c>
      <c r="Q1832" s="17" t="inlineStr">
        <is>
          <t>Delivered</t>
        </is>
      </c>
      <c r="R1832" s="17" t="n">
        <v>5</v>
      </c>
      <c r="S1832" s="17">
        <f>TEXT(B1832,"yyyy-mm")</f>
        <v/>
      </c>
      <c r="T1832" s="17">
        <f>VLOOKUP(D1832,Customers!A:D,4,FALSE)</f>
        <v/>
      </c>
      <c r="U1832" s="17">
        <f>CONCATENATE(A1832,"-",G1832)</f>
        <v/>
      </c>
      <c r="V1832" s="17">
        <f>IF(N1832="","",IF(N1832&lt;=30,"Fast (&lt;30m)",IF(N1832&lt;=45,"Moderate (30-45m)","Delayed (&gt;45m)")))</f>
        <v/>
      </c>
      <c r="W1832" s="17">
        <f>IF(AND(I1832&gt;600,P1832="Delivered"),"High Value Delivered","Standard")</f>
        <v/>
      </c>
      <c r="X1832" s="17">
        <f>IF(OR(N1832&gt;50,Q1832&lt;=2),"High Risk / Delayed","Normal")</f>
        <v/>
      </c>
      <c r="Y1832" s="17">
        <f>IF(NOT(P1832="Cancelled"),"Fulfilled","Cancelled")</f>
        <v/>
      </c>
      <c r="Z1832" s="17">
        <f>IFERROR(Q1832,0)</f>
        <v/>
      </c>
    </row>
    <row r="1833">
      <c r="A1833" s="25" t="inlineStr">
        <is>
          <t>ORD2832</t>
        </is>
      </c>
      <c r="B1833" s="25" t="inlineStr">
        <is>
          <t>2025-11-24</t>
        </is>
      </c>
      <c r="C1833" s="25" t="inlineStr">
        <is>
          <t>19:14:41</t>
        </is>
      </c>
      <c r="D1833" s="25" t="n">
        <v>1219</v>
      </c>
      <c r="E1833" s="25" t="n">
        <v>112</v>
      </c>
      <c r="F1833" s="25" t="n">
        <v>221</v>
      </c>
      <c r="G1833" s="25" t="inlineStr">
        <is>
          <t>Delhi NCR</t>
        </is>
      </c>
      <c r="H1833" s="25" t="inlineStr">
        <is>
          <t>North Indian</t>
        </is>
      </c>
      <c r="I1833" s="26" t="n">
        <v>286</v>
      </c>
      <c r="J1833" s="26" t="n">
        <v>18.28</v>
      </c>
      <c r="K1833" s="26" t="n">
        <v>25</v>
      </c>
      <c r="L1833" s="27" t="n">
        <v>0.22</v>
      </c>
      <c r="M1833" s="26" t="n">
        <v>69.17</v>
      </c>
      <c r="N1833" s="28" t="n">
        <v>1.7</v>
      </c>
      <c r="O1833" s="28" t="n">
        <v>24.4</v>
      </c>
      <c r="P1833" s="25" t="inlineStr">
        <is>
          <t>UPI</t>
        </is>
      </c>
      <c r="Q1833" s="25" t="inlineStr">
        <is>
          <t>Delivered</t>
        </is>
      </c>
      <c r="R1833" s="25" t="n">
        <v>5</v>
      </c>
      <c r="S1833" s="25">
        <f>TEXT(B1833,"yyyy-mm")</f>
        <v/>
      </c>
      <c r="T1833" s="25">
        <f>VLOOKUP(D1833,Customers!A:D,4,FALSE)</f>
        <v/>
      </c>
      <c r="U1833" s="25">
        <f>CONCATENATE(A1833,"-",G1833)</f>
        <v/>
      </c>
      <c r="V1833" s="25">
        <f>IF(N1833="","",IF(N1833&lt;=30,"Fast (&lt;30m)",IF(N1833&lt;=45,"Moderate (30-45m)","Delayed (&gt;45m)")))</f>
        <v/>
      </c>
      <c r="W1833" s="25">
        <f>IF(AND(I1833&gt;600,P1833="Delivered"),"High Value Delivered","Standard")</f>
        <v/>
      </c>
      <c r="X1833" s="25">
        <f>IF(OR(N1833&gt;50,Q1833&lt;=2),"High Risk / Delayed","Normal")</f>
        <v/>
      </c>
      <c r="Y1833" s="25">
        <f>IF(NOT(P1833="Cancelled"),"Fulfilled","Cancelled")</f>
        <v/>
      </c>
      <c r="Z1833" s="25">
        <f>IFERROR(Q1833,0)</f>
        <v/>
      </c>
    </row>
    <row r="1834">
      <c r="A1834" s="17" t="inlineStr">
        <is>
          <t>ORD2833</t>
        </is>
      </c>
      <c r="B1834" s="17" t="inlineStr">
        <is>
          <t>2025-02-22</t>
        </is>
      </c>
      <c r="C1834" s="17" t="inlineStr">
        <is>
          <t>12:26:58</t>
        </is>
      </c>
      <c r="D1834" s="17" t="n">
        <v>1157</v>
      </c>
      <c r="E1834" s="17" t="n">
        <v>119</v>
      </c>
      <c r="F1834" s="17" t="n">
        <v>216</v>
      </c>
      <c r="G1834" s="17" t="inlineStr">
        <is>
          <t>Hyderabad</t>
        </is>
      </c>
      <c r="H1834" s="17" t="inlineStr">
        <is>
          <t>Biryani</t>
        </is>
      </c>
      <c r="I1834" s="22" t="n">
        <v>611</v>
      </c>
      <c r="J1834" s="22" t="n">
        <v>71.41</v>
      </c>
      <c r="K1834" s="22" t="n">
        <v>27.5</v>
      </c>
      <c r="L1834" s="23" t="n">
        <v>0.2</v>
      </c>
      <c r="M1834" s="22" t="n">
        <v>129.07</v>
      </c>
      <c r="N1834" s="24" t="n">
        <v>3.5</v>
      </c>
      <c r="O1834" s="24" t="n">
        <v>33</v>
      </c>
      <c r="P1834" s="17" t="inlineStr">
        <is>
          <t>Cash on Delivery</t>
        </is>
      </c>
      <c r="Q1834" s="17" t="inlineStr">
        <is>
          <t>Delivered</t>
        </is>
      </c>
      <c r="R1834" s="17" t="n">
        <v>2</v>
      </c>
      <c r="S1834" s="17">
        <f>TEXT(B1834,"yyyy-mm")</f>
        <v/>
      </c>
      <c r="T1834" s="17">
        <f>VLOOKUP(D1834,Customers!A:D,4,FALSE)</f>
        <v/>
      </c>
      <c r="U1834" s="17">
        <f>CONCATENATE(A1834,"-",G1834)</f>
        <v/>
      </c>
      <c r="V1834" s="17">
        <f>IF(N1834="","",IF(N1834&lt;=30,"Fast (&lt;30m)",IF(N1834&lt;=45,"Moderate (30-45m)","Delayed (&gt;45m)")))</f>
        <v/>
      </c>
      <c r="W1834" s="17">
        <f>IF(AND(I1834&gt;600,P1834="Delivered"),"High Value Delivered","Standard")</f>
        <v/>
      </c>
      <c r="X1834" s="17">
        <f>IF(OR(N1834&gt;50,Q1834&lt;=2),"High Risk / Delayed","Normal")</f>
        <v/>
      </c>
      <c r="Y1834" s="17">
        <f>IF(NOT(P1834="Cancelled"),"Fulfilled","Cancelled")</f>
        <v/>
      </c>
      <c r="Z1834" s="17">
        <f>IFERROR(Q1834,0)</f>
        <v/>
      </c>
    </row>
    <row r="1835">
      <c r="A1835" s="25" t="inlineStr">
        <is>
          <t>ORD2834</t>
        </is>
      </c>
      <c r="B1835" s="25" t="inlineStr">
        <is>
          <t>2025-09-03</t>
        </is>
      </c>
      <c r="C1835" s="25" t="inlineStr">
        <is>
          <t>21:36:17</t>
        </is>
      </c>
      <c r="D1835" s="25" t="n">
        <v>1181</v>
      </c>
      <c r="E1835" s="25" t="n">
        <v>111</v>
      </c>
      <c r="F1835" s="25" t="n">
        <v>223</v>
      </c>
      <c r="G1835" s="25" t="inlineStr">
        <is>
          <t>Bangalore</t>
        </is>
      </c>
      <c r="H1835" s="25" t="inlineStr">
        <is>
          <t>South Indian</t>
        </is>
      </c>
      <c r="I1835" s="26" t="n">
        <v>474</v>
      </c>
      <c r="J1835" s="26" t="n">
        <v>0</v>
      </c>
      <c r="K1835" s="26" t="n">
        <v>36.5</v>
      </c>
      <c r="L1835" s="27" t="n">
        <v>0.15</v>
      </c>
      <c r="M1835" s="26" t="n">
        <v>80.22</v>
      </c>
      <c r="N1835" s="28" t="n">
        <v>5.3</v>
      </c>
      <c r="O1835" s="28" t="n">
        <v>36.4</v>
      </c>
      <c r="P1835" s="25" t="inlineStr">
        <is>
          <t>Debit Card</t>
        </is>
      </c>
      <c r="Q1835" s="25" t="inlineStr">
        <is>
          <t>Delivered</t>
        </is>
      </c>
      <c r="R1835" s="25" t="n">
        <v>4</v>
      </c>
      <c r="S1835" s="25">
        <f>TEXT(B1835,"yyyy-mm")</f>
        <v/>
      </c>
      <c r="T1835" s="25">
        <f>VLOOKUP(D1835,Customers!A:D,4,FALSE)</f>
        <v/>
      </c>
      <c r="U1835" s="25">
        <f>CONCATENATE(A1835,"-",G1835)</f>
        <v/>
      </c>
      <c r="V1835" s="25">
        <f>IF(N1835="","",IF(N1835&lt;=30,"Fast (&lt;30m)",IF(N1835&lt;=45,"Moderate (30-45m)","Delayed (&gt;45m)")))</f>
        <v/>
      </c>
      <c r="W1835" s="25">
        <f>IF(AND(I1835&gt;600,P1835="Delivered"),"High Value Delivered","Standard")</f>
        <v/>
      </c>
      <c r="X1835" s="25">
        <f>IF(OR(N1835&gt;50,Q1835&lt;=2),"High Risk / Delayed","Normal")</f>
        <v/>
      </c>
      <c r="Y1835" s="25">
        <f>IF(NOT(P1835="Cancelled"),"Fulfilled","Cancelled")</f>
        <v/>
      </c>
      <c r="Z1835" s="25">
        <f>IFERROR(Q1835,0)</f>
        <v/>
      </c>
    </row>
    <row r="1836">
      <c r="A1836" s="17" t="inlineStr">
        <is>
          <t>ORD2835</t>
        </is>
      </c>
      <c r="B1836" s="17" t="inlineStr">
        <is>
          <t>2025-12-19</t>
        </is>
      </c>
      <c r="C1836" s="17" t="inlineStr">
        <is>
          <t>19:32:42</t>
        </is>
      </c>
      <c r="D1836" s="17" t="n">
        <v>1056</v>
      </c>
      <c r="E1836" s="17" t="n">
        <v>114</v>
      </c>
      <c r="F1836" s="17" t="n">
        <v>225</v>
      </c>
      <c r="G1836" s="17" t="inlineStr">
        <is>
          <t>Hyderabad</t>
        </is>
      </c>
      <c r="H1836" s="17" t="inlineStr">
        <is>
          <t>Biryani</t>
        </is>
      </c>
      <c r="I1836" s="22" t="n">
        <v>1077</v>
      </c>
      <c r="J1836" s="22" t="n">
        <v>138.84</v>
      </c>
      <c r="K1836" s="22" t="n">
        <v>0</v>
      </c>
      <c r="L1836" s="23" t="n">
        <v>0.22</v>
      </c>
      <c r="M1836" s="22" t="n">
        <v>236.94</v>
      </c>
      <c r="N1836" s="24" t="n">
        <v>3.5</v>
      </c>
      <c r="O1836" s="24" t="n">
        <v>34.5</v>
      </c>
      <c r="P1836" s="17" t="inlineStr">
        <is>
          <t>UPI</t>
        </is>
      </c>
      <c r="Q1836" s="17" t="inlineStr">
        <is>
          <t>Delivered</t>
        </is>
      </c>
      <c r="R1836" s="17" t="n">
        <v>4</v>
      </c>
      <c r="S1836" s="17">
        <f>TEXT(B1836,"yyyy-mm")</f>
        <v/>
      </c>
      <c r="T1836" s="17">
        <f>VLOOKUP(D1836,Customers!A:D,4,FALSE)</f>
        <v/>
      </c>
      <c r="U1836" s="17">
        <f>CONCATENATE(A1836,"-",G1836)</f>
        <v/>
      </c>
      <c r="V1836" s="17">
        <f>IF(N1836="","",IF(N1836&lt;=30,"Fast (&lt;30m)",IF(N1836&lt;=45,"Moderate (30-45m)","Delayed (&gt;45m)")))</f>
        <v/>
      </c>
      <c r="W1836" s="17">
        <f>IF(AND(I1836&gt;600,P1836="Delivered"),"High Value Delivered","Standard")</f>
        <v/>
      </c>
      <c r="X1836" s="17">
        <f>IF(OR(N1836&gt;50,Q1836&lt;=2),"High Risk / Delayed","Normal")</f>
        <v/>
      </c>
      <c r="Y1836" s="17">
        <f>IF(NOT(P1836="Cancelled"),"Fulfilled","Cancelled")</f>
        <v/>
      </c>
      <c r="Z1836" s="17">
        <f>IFERROR(Q1836,0)</f>
        <v/>
      </c>
    </row>
    <row r="1837">
      <c r="A1837" s="25" t="inlineStr">
        <is>
          <t>ORD2836</t>
        </is>
      </c>
      <c r="B1837" s="25" t="inlineStr">
        <is>
          <t>2025-12-31</t>
        </is>
      </c>
      <c r="C1837" s="25" t="inlineStr">
        <is>
          <t>13:52:58</t>
        </is>
      </c>
      <c r="D1837" s="25" t="n">
        <v>1295</v>
      </c>
      <c r="E1837" s="25" t="n">
        <v>108</v>
      </c>
      <c r="F1837" s="25" t="n">
        <v>228</v>
      </c>
      <c r="G1837" s="25" t="inlineStr">
        <is>
          <t>Delhi NCR</t>
        </is>
      </c>
      <c r="H1837" s="25" t="inlineStr">
        <is>
          <t>Fast Food</t>
        </is>
      </c>
      <c r="I1837" s="26" t="n">
        <v>490</v>
      </c>
      <c r="J1837" s="26" t="n">
        <v>0</v>
      </c>
      <c r="K1837" s="26" t="n">
        <v>25</v>
      </c>
      <c r="L1837" s="27" t="n">
        <v>0.18</v>
      </c>
      <c r="M1837" s="26" t="n">
        <v>94.45</v>
      </c>
      <c r="N1837" s="28" t="n">
        <v>2.1</v>
      </c>
      <c r="O1837" s="28" t="n">
        <v>29.6</v>
      </c>
      <c r="P1837" s="25" t="inlineStr">
        <is>
          <t>Credit Card</t>
        </is>
      </c>
      <c r="Q1837" s="25" t="inlineStr">
        <is>
          <t>Delivered</t>
        </is>
      </c>
      <c r="R1837" s="25" t="n">
        <v>1</v>
      </c>
      <c r="S1837" s="25">
        <f>TEXT(B1837,"yyyy-mm")</f>
        <v/>
      </c>
      <c r="T1837" s="25">
        <f>VLOOKUP(D1837,Customers!A:D,4,FALSE)</f>
        <v/>
      </c>
      <c r="U1837" s="25">
        <f>CONCATENATE(A1837,"-",G1837)</f>
        <v/>
      </c>
      <c r="V1837" s="25">
        <f>IF(N1837="","",IF(N1837&lt;=30,"Fast (&lt;30m)",IF(N1837&lt;=45,"Moderate (30-45m)","Delayed (&gt;45m)")))</f>
        <v/>
      </c>
      <c r="W1837" s="25">
        <f>IF(AND(I1837&gt;600,P1837="Delivered"),"High Value Delivered","Standard")</f>
        <v/>
      </c>
      <c r="X1837" s="25">
        <f>IF(OR(N1837&gt;50,Q1837&lt;=2),"High Risk / Delayed","Normal")</f>
        <v/>
      </c>
      <c r="Y1837" s="25">
        <f>IF(NOT(P1837="Cancelled"),"Fulfilled","Cancelled")</f>
        <v/>
      </c>
      <c r="Z1837" s="25">
        <f>IFERROR(Q1837,0)</f>
        <v/>
      </c>
    </row>
    <row r="1838">
      <c r="A1838" s="17" t="inlineStr">
        <is>
          <t>ORD2837</t>
        </is>
      </c>
      <c r="B1838" s="17" t="inlineStr">
        <is>
          <t>2025-08-28</t>
        </is>
      </c>
      <c r="C1838" s="17" t="inlineStr">
        <is>
          <t>20:03:32</t>
        </is>
      </c>
      <c r="D1838" s="17" t="n">
        <v>1265</v>
      </c>
      <c r="E1838" s="17" t="n">
        <v>101</v>
      </c>
      <c r="F1838" s="17" t="n">
        <v>223</v>
      </c>
      <c r="G1838" s="17" t="inlineStr">
        <is>
          <t>Bangalore</t>
        </is>
      </c>
      <c r="H1838" s="17" t="inlineStr">
        <is>
          <t>North Indian</t>
        </is>
      </c>
      <c r="I1838" s="22" t="n">
        <v>1000</v>
      </c>
      <c r="J1838" s="22" t="n">
        <v>190.41</v>
      </c>
      <c r="K1838" s="22" t="n">
        <v>0</v>
      </c>
      <c r="L1838" s="23" t="n">
        <v>0.2</v>
      </c>
      <c r="M1838" s="22" t="n">
        <v>200</v>
      </c>
      <c r="N1838" s="24" t="n">
        <v>7.7</v>
      </c>
      <c r="O1838" s="24" t="n">
        <v>54.4</v>
      </c>
      <c r="P1838" s="17" t="inlineStr">
        <is>
          <t>UPI</t>
        </is>
      </c>
      <c r="Q1838" s="17" t="inlineStr">
        <is>
          <t>Delivered</t>
        </is>
      </c>
      <c r="R1838" s="17" t="n">
        <v>1</v>
      </c>
      <c r="S1838" s="17">
        <f>TEXT(B1838,"yyyy-mm")</f>
        <v/>
      </c>
      <c r="T1838" s="17">
        <f>VLOOKUP(D1838,Customers!A:D,4,FALSE)</f>
        <v/>
      </c>
      <c r="U1838" s="17">
        <f>CONCATENATE(A1838,"-",G1838)</f>
        <v/>
      </c>
      <c r="V1838" s="17">
        <f>IF(N1838="","",IF(N1838&lt;=30,"Fast (&lt;30m)",IF(N1838&lt;=45,"Moderate (30-45m)","Delayed (&gt;45m)")))</f>
        <v/>
      </c>
      <c r="W1838" s="17">
        <f>IF(AND(I1838&gt;600,P1838="Delivered"),"High Value Delivered","Standard")</f>
        <v/>
      </c>
      <c r="X1838" s="17">
        <f>IF(OR(N1838&gt;50,Q1838&lt;=2),"High Risk / Delayed","Normal")</f>
        <v/>
      </c>
      <c r="Y1838" s="17">
        <f>IF(NOT(P1838="Cancelled"),"Fulfilled","Cancelled")</f>
        <v/>
      </c>
      <c r="Z1838" s="17">
        <f>IFERROR(Q1838,0)</f>
        <v/>
      </c>
    </row>
    <row r="1839">
      <c r="A1839" s="25" t="inlineStr">
        <is>
          <t>ORD2838</t>
        </is>
      </c>
      <c r="B1839" s="25" t="inlineStr">
        <is>
          <t>2025-01-29</t>
        </is>
      </c>
      <c r="C1839" s="25" t="inlineStr">
        <is>
          <t>13:53:10</t>
        </is>
      </c>
      <c r="D1839" s="25" t="n">
        <v>1175</v>
      </c>
      <c r="E1839" s="25" t="n">
        <v>111</v>
      </c>
      <c r="F1839" s="25" t="n">
        <v>203</v>
      </c>
      <c r="G1839" s="25" t="inlineStr">
        <is>
          <t>Bangalore</t>
        </is>
      </c>
      <c r="H1839" s="25" t="inlineStr">
        <is>
          <t>South Indian</t>
        </is>
      </c>
      <c r="I1839" s="26" t="n">
        <v>896</v>
      </c>
      <c r="J1839" s="26" t="n">
        <v>86.53</v>
      </c>
      <c r="K1839" s="26" t="n">
        <v>38</v>
      </c>
      <c r="L1839" s="27" t="n">
        <v>0.15</v>
      </c>
      <c r="M1839" s="26" t="n">
        <v>143.9</v>
      </c>
      <c r="N1839" s="28" t="n">
        <v>5.6</v>
      </c>
      <c r="O1839" s="28" t="n">
        <v>35.2</v>
      </c>
      <c r="P1839" s="25" t="inlineStr">
        <is>
          <t>Debit Card</t>
        </is>
      </c>
      <c r="Q1839" s="25" t="inlineStr">
        <is>
          <t>Delivered</t>
        </is>
      </c>
      <c r="R1839" s="25" t="n">
        <v>2</v>
      </c>
      <c r="S1839" s="25">
        <f>TEXT(B1839,"yyyy-mm")</f>
        <v/>
      </c>
      <c r="T1839" s="25">
        <f>VLOOKUP(D1839,Customers!A:D,4,FALSE)</f>
        <v/>
      </c>
      <c r="U1839" s="25">
        <f>CONCATENATE(A1839,"-",G1839)</f>
        <v/>
      </c>
      <c r="V1839" s="25">
        <f>IF(N1839="","",IF(N1839&lt;=30,"Fast (&lt;30m)",IF(N1839&lt;=45,"Moderate (30-45m)","Delayed (&gt;45m)")))</f>
        <v/>
      </c>
      <c r="W1839" s="25">
        <f>IF(AND(I1839&gt;600,P1839="Delivered"),"High Value Delivered","Standard")</f>
        <v/>
      </c>
      <c r="X1839" s="25">
        <f>IF(OR(N1839&gt;50,Q1839&lt;=2),"High Risk / Delayed","Normal")</f>
        <v/>
      </c>
      <c r="Y1839" s="25">
        <f>IF(NOT(P1839="Cancelled"),"Fulfilled","Cancelled")</f>
        <v/>
      </c>
      <c r="Z1839" s="25">
        <f>IFERROR(Q1839,0)</f>
        <v/>
      </c>
    </row>
    <row r="1840">
      <c r="A1840" s="17" t="inlineStr">
        <is>
          <t>ORD2839</t>
        </is>
      </c>
      <c r="B1840" s="17" t="inlineStr">
        <is>
          <t>2025-05-01</t>
        </is>
      </c>
      <c r="C1840" s="17" t="inlineStr">
        <is>
          <t>21:23:43</t>
        </is>
      </c>
      <c r="D1840" s="17" t="n">
        <v>1113</v>
      </c>
      <c r="E1840" s="17" t="n">
        <v>111</v>
      </c>
      <c r="F1840" s="17" t="n">
        <v>210</v>
      </c>
      <c r="G1840" s="17" t="inlineStr">
        <is>
          <t>Bangalore</t>
        </is>
      </c>
      <c r="H1840" s="17" t="inlineStr">
        <is>
          <t>South Indian</t>
        </is>
      </c>
      <c r="I1840" s="22" t="n">
        <v>1230</v>
      </c>
      <c r="J1840" s="22" t="n">
        <v>198.67</v>
      </c>
      <c r="K1840" s="22" t="n">
        <v>0</v>
      </c>
      <c r="L1840" s="23" t="n">
        <v>0.15</v>
      </c>
      <c r="M1840" s="22" t="n">
        <v>184.5</v>
      </c>
      <c r="N1840" s="24" t="n">
        <v>4.4</v>
      </c>
      <c r="O1840" s="24" t="n">
        <v>39.9</v>
      </c>
      <c r="P1840" s="17" t="inlineStr">
        <is>
          <t>Digital Wallet</t>
        </is>
      </c>
      <c r="Q1840" s="17" t="inlineStr">
        <is>
          <t>Delivered</t>
        </is>
      </c>
      <c r="R1840" s="17" t="n">
        <v>4</v>
      </c>
      <c r="S1840" s="17">
        <f>TEXT(B1840,"yyyy-mm")</f>
        <v/>
      </c>
      <c r="T1840" s="17">
        <f>VLOOKUP(D1840,Customers!A:D,4,FALSE)</f>
        <v/>
      </c>
      <c r="U1840" s="17">
        <f>CONCATENATE(A1840,"-",G1840)</f>
        <v/>
      </c>
      <c r="V1840" s="17">
        <f>IF(N1840="","",IF(N1840&lt;=30,"Fast (&lt;30m)",IF(N1840&lt;=45,"Moderate (30-45m)","Delayed (&gt;45m)")))</f>
        <v/>
      </c>
      <c r="W1840" s="17">
        <f>IF(AND(I1840&gt;600,P1840="Delivered"),"High Value Delivered","Standard")</f>
        <v/>
      </c>
      <c r="X1840" s="17">
        <f>IF(OR(N1840&gt;50,Q1840&lt;=2),"High Risk / Delayed","Normal")</f>
        <v/>
      </c>
      <c r="Y1840" s="17">
        <f>IF(NOT(P1840="Cancelled"),"Fulfilled","Cancelled")</f>
        <v/>
      </c>
      <c r="Z1840" s="17">
        <f>IFERROR(Q1840,0)</f>
        <v/>
      </c>
    </row>
    <row r="1841">
      <c r="A1841" s="25" t="inlineStr">
        <is>
          <t>ORD2840</t>
        </is>
      </c>
      <c r="B1841" s="25" t="inlineStr">
        <is>
          <t>2025-02-12</t>
        </is>
      </c>
      <c r="C1841" s="25" t="inlineStr">
        <is>
          <t>01:28:01</t>
        </is>
      </c>
      <c r="D1841" s="25" t="n">
        <v>1239</v>
      </c>
      <c r="E1841" s="25" t="n">
        <v>115</v>
      </c>
      <c r="F1841" s="25" t="n">
        <v>205</v>
      </c>
      <c r="G1841" s="25" t="inlineStr">
        <is>
          <t>Bangalore</t>
        </is>
      </c>
      <c r="H1841" s="25" t="inlineStr">
        <is>
          <t>Italian</t>
        </is>
      </c>
      <c r="I1841" s="26" t="n">
        <v>770</v>
      </c>
      <c r="J1841" s="26" t="n">
        <v>65.65000000000001</v>
      </c>
      <c r="K1841" s="26" t="n">
        <v>33</v>
      </c>
      <c r="L1841" s="27" t="n">
        <v>0.2</v>
      </c>
      <c r="M1841" s="26" t="n">
        <v>162.25</v>
      </c>
      <c r="N1841" s="28" t="n">
        <v>4.6</v>
      </c>
      <c r="O1841" s="28" t="n">
        <v>33.3</v>
      </c>
      <c r="P1841" s="25" t="inlineStr">
        <is>
          <t>Debit Card</t>
        </is>
      </c>
      <c r="Q1841" s="25" t="inlineStr">
        <is>
          <t>Delivered</t>
        </is>
      </c>
      <c r="R1841" s="25" t="n">
        <v>4</v>
      </c>
      <c r="S1841" s="25">
        <f>TEXT(B1841,"yyyy-mm")</f>
        <v/>
      </c>
      <c r="T1841" s="25">
        <f>VLOOKUP(D1841,Customers!A:D,4,FALSE)</f>
        <v/>
      </c>
      <c r="U1841" s="25">
        <f>CONCATENATE(A1841,"-",G1841)</f>
        <v/>
      </c>
      <c r="V1841" s="25">
        <f>IF(N1841="","",IF(N1841&lt;=30,"Fast (&lt;30m)",IF(N1841&lt;=45,"Moderate (30-45m)","Delayed (&gt;45m)")))</f>
        <v/>
      </c>
      <c r="W1841" s="25">
        <f>IF(AND(I1841&gt;600,P1841="Delivered"),"High Value Delivered","Standard")</f>
        <v/>
      </c>
      <c r="X1841" s="25">
        <f>IF(OR(N1841&gt;50,Q1841&lt;=2),"High Risk / Delayed","Normal")</f>
        <v/>
      </c>
      <c r="Y1841" s="25">
        <f>IF(NOT(P1841="Cancelled"),"Fulfilled","Cancelled")</f>
        <v/>
      </c>
      <c r="Z1841" s="25">
        <f>IFERROR(Q1841,0)</f>
        <v/>
      </c>
    </row>
    <row r="1842">
      <c r="A1842" s="17" t="inlineStr">
        <is>
          <t>ORD2841</t>
        </is>
      </c>
      <c r="B1842" s="17" t="inlineStr">
        <is>
          <t>2025-05-14</t>
        </is>
      </c>
      <c r="C1842" s="17" t="inlineStr">
        <is>
          <t>17:19:34</t>
        </is>
      </c>
      <c r="D1842" s="17" t="n">
        <v>1225</v>
      </c>
      <c r="E1842" s="17" t="n">
        <v>116</v>
      </c>
      <c r="F1842" s="17" t="n">
        <v>208</v>
      </c>
      <c r="G1842" s="17" t="inlineStr">
        <is>
          <t>Pune</t>
        </is>
      </c>
      <c r="H1842" s="17" t="inlineStr">
        <is>
          <t>Desserts</t>
        </is>
      </c>
      <c r="I1842" s="22" t="n">
        <v>361</v>
      </c>
      <c r="J1842" s="22" t="n">
        <v>0</v>
      </c>
      <c r="K1842" s="22" t="n">
        <v>32.5</v>
      </c>
      <c r="L1842" s="23" t="n">
        <v>0.25</v>
      </c>
      <c r="M1842" s="22" t="n">
        <v>98.38</v>
      </c>
      <c r="N1842" s="24" t="n">
        <v>4.5</v>
      </c>
      <c r="O1842" s="24" t="n">
        <v/>
      </c>
      <c r="P1842" s="17" t="inlineStr">
        <is>
          <t>Debit Card</t>
        </is>
      </c>
      <c r="Q1842" s="17" t="inlineStr">
        <is>
          <t>Cancelled</t>
        </is>
      </c>
      <c r="R1842" s="17" t="n">
        <v/>
      </c>
      <c r="S1842" s="17">
        <f>TEXT(B1842,"yyyy-mm")</f>
        <v/>
      </c>
      <c r="T1842" s="17">
        <f>VLOOKUP(D1842,Customers!A:D,4,FALSE)</f>
        <v/>
      </c>
      <c r="U1842" s="17">
        <f>CONCATENATE(A1842,"-",G1842)</f>
        <v/>
      </c>
      <c r="V1842" s="17">
        <f>IF(N1842="","",IF(N1842&lt;=30,"Fast (&lt;30m)",IF(N1842&lt;=45,"Moderate (30-45m)","Delayed (&gt;45m)")))</f>
        <v/>
      </c>
      <c r="W1842" s="17">
        <f>IF(AND(I1842&gt;600,P1842="Delivered"),"High Value Delivered","Standard")</f>
        <v/>
      </c>
      <c r="X1842" s="17">
        <f>IF(OR(N1842&gt;50,Q1842&lt;=2),"High Risk / Delayed","Normal")</f>
        <v/>
      </c>
      <c r="Y1842" s="17">
        <f>IF(NOT(P1842="Cancelled"),"Fulfilled","Cancelled")</f>
        <v/>
      </c>
      <c r="Z1842" s="17">
        <f>IFERROR(Q1842,0)</f>
        <v/>
      </c>
    </row>
    <row r="1843">
      <c r="A1843" s="25" t="inlineStr">
        <is>
          <t>ORD2842</t>
        </is>
      </c>
      <c r="B1843" s="25" t="inlineStr">
        <is>
          <t>2025-08-13</t>
        </is>
      </c>
      <c r="C1843" s="25" t="inlineStr">
        <is>
          <t>17:59:00</t>
        </is>
      </c>
      <c r="D1843" s="25" t="n">
        <v>1202</v>
      </c>
      <c r="E1843" s="25" t="n">
        <v>111</v>
      </c>
      <c r="F1843" s="25" t="n">
        <v>205</v>
      </c>
      <c r="G1843" s="25" t="inlineStr">
        <is>
          <t>Bangalore</t>
        </is>
      </c>
      <c r="H1843" s="25" t="inlineStr">
        <is>
          <t>South Indian</t>
        </is>
      </c>
      <c r="I1843" s="26" t="n">
        <v>772</v>
      </c>
      <c r="J1843" s="26" t="n">
        <v>0</v>
      </c>
      <c r="K1843" s="26" t="n">
        <v>48</v>
      </c>
      <c r="L1843" s="27" t="n">
        <v>0.15</v>
      </c>
      <c r="M1843" s="26" t="n">
        <v>127.8</v>
      </c>
      <c r="N1843" s="28" t="n">
        <v>7.6</v>
      </c>
      <c r="O1843" s="28" t="n">
        <v>44.8</v>
      </c>
      <c r="P1843" s="25" t="inlineStr">
        <is>
          <t>Debit Card</t>
        </is>
      </c>
      <c r="Q1843" s="25" t="inlineStr">
        <is>
          <t>Delivered</t>
        </is>
      </c>
      <c r="R1843" s="25" t="n">
        <v>3</v>
      </c>
      <c r="S1843" s="25">
        <f>TEXT(B1843,"yyyy-mm")</f>
        <v/>
      </c>
      <c r="T1843" s="25">
        <f>VLOOKUP(D1843,Customers!A:D,4,FALSE)</f>
        <v/>
      </c>
      <c r="U1843" s="25">
        <f>CONCATENATE(A1843,"-",G1843)</f>
        <v/>
      </c>
      <c r="V1843" s="25">
        <f>IF(N1843="","",IF(N1843&lt;=30,"Fast (&lt;30m)",IF(N1843&lt;=45,"Moderate (30-45m)","Delayed (&gt;45m)")))</f>
        <v/>
      </c>
      <c r="W1843" s="25">
        <f>IF(AND(I1843&gt;600,P1843="Delivered"),"High Value Delivered","Standard")</f>
        <v/>
      </c>
      <c r="X1843" s="25">
        <f>IF(OR(N1843&gt;50,Q1843&lt;=2),"High Risk / Delayed","Normal")</f>
        <v/>
      </c>
      <c r="Y1843" s="25">
        <f>IF(NOT(P1843="Cancelled"),"Fulfilled","Cancelled")</f>
        <v/>
      </c>
      <c r="Z1843" s="25">
        <f>IFERROR(Q1843,0)</f>
        <v/>
      </c>
    </row>
    <row r="1844">
      <c r="A1844" s="17" t="inlineStr">
        <is>
          <t>ORD2843</t>
        </is>
      </c>
      <c r="B1844" s="17" t="inlineStr">
        <is>
          <t>2025-06-13</t>
        </is>
      </c>
      <c r="C1844" s="17" t="inlineStr">
        <is>
          <t>19:30:42</t>
        </is>
      </c>
      <c r="D1844" s="17" t="n">
        <v>1016</v>
      </c>
      <c r="E1844" s="17" t="n">
        <v>115</v>
      </c>
      <c r="F1844" s="17" t="n">
        <v>210</v>
      </c>
      <c r="G1844" s="17" t="inlineStr">
        <is>
          <t>Bangalore</t>
        </is>
      </c>
      <c r="H1844" s="17" t="inlineStr">
        <is>
          <t>Italian</t>
        </is>
      </c>
      <c r="I1844" s="22" t="n">
        <v>315</v>
      </c>
      <c r="J1844" s="22" t="n">
        <v>4.53</v>
      </c>
      <c r="K1844" s="22" t="n">
        <v>48.5</v>
      </c>
      <c r="L1844" s="23" t="n">
        <v>0.2</v>
      </c>
      <c r="M1844" s="22" t="n">
        <v>75.12</v>
      </c>
      <c r="N1844" s="24" t="n">
        <v>7.7</v>
      </c>
      <c r="O1844" s="24" t="n">
        <v>43</v>
      </c>
      <c r="P1844" s="17" t="inlineStr">
        <is>
          <t>Digital Wallet</t>
        </is>
      </c>
      <c r="Q1844" s="17" t="inlineStr">
        <is>
          <t>Delivered</t>
        </is>
      </c>
      <c r="R1844" s="17" t="n">
        <v>3</v>
      </c>
      <c r="S1844" s="17">
        <f>TEXT(B1844,"yyyy-mm")</f>
        <v/>
      </c>
      <c r="T1844" s="17">
        <f>VLOOKUP(D1844,Customers!A:D,4,FALSE)</f>
        <v/>
      </c>
      <c r="U1844" s="17">
        <f>CONCATENATE(A1844,"-",G1844)</f>
        <v/>
      </c>
      <c r="V1844" s="17">
        <f>IF(N1844="","",IF(N1844&lt;=30,"Fast (&lt;30m)",IF(N1844&lt;=45,"Moderate (30-45m)","Delayed (&gt;45m)")))</f>
        <v/>
      </c>
      <c r="W1844" s="17">
        <f>IF(AND(I1844&gt;600,P1844="Delivered"),"High Value Delivered","Standard")</f>
        <v/>
      </c>
      <c r="X1844" s="17">
        <f>IF(OR(N1844&gt;50,Q1844&lt;=2),"High Risk / Delayed","Normal")</f>
        <v/>
      </c>
      <c r="Y1844" s="17">
        <f>IF(NOT(P1844="Cancelled"),"Fulfilled","Cancelled")</f>
        <v/>
      </c>
      <c r="Z1844" s="17">
        <f>IFERROR(Q1844,0)</f>
        <v/>
      </c>
    </row>
    <row r="1845">
      <c r="A1845" s="25" t="inlineStr">
        <is>
          <t>ORD2844</t>
        </is>
      </c>
      <c r="B1845" s="25" t="inlineStr">
        <is>
          <t>2025-11-01</t>
        </is>
      </c>
      <c r="C1845" s="25" t="inlineStr">
        <is>
          <t>14:25:05</t>
        </is>
      </c>
      <c r="D1845" s="25" t="n">
        <v>1259</v>
      </c>
      <c r="E1845" s="25" t="n">
        <v>102</v>
      </c>
      <c r="F1845" s="25" t="n">
        <v>216</v>
      </c>
      <c r="G1845" s="25" t="inlineStr">
        <is>
          <t>Hyderabad</t>
        </is>
      </c>
      <c r="H1845" s="25" t="inlineStr">
        <is>
          <t>Biryani</t>
        </is>
      </c>
      <c r="I1845" s="26" t="n">
        <v>883</v>
      </c>
      <c r="J1845" s="26" t="n">
        <v>65.98999999999999</v>
      </c>
      <c r="K1845" s="26" t="n">
        <v>28</v>
      </c>
      <c r="L1845" s="27" t="n">
        <v>0.22</v>
      </c>
      <c r="M1845" s="26" t="n">
        <v>201.26</v>
      </c>
      <c r="N1845" s="28" t="n">
        <v>3.6</v>
      </c>
      <c r="O1845" s="28" t="n">
        <v>36.9</v>
      </c>
      <c r="P1845" s="25" t="inlineStr">
        <is>
          <t>Cash on Delivery</t>
        </is>
      </c>
      <c r="Q1845" s="25" t="inlineStr">
        <is>
          <t>Delivered</t>
        </is>
      </c>
      <c r="R1845" s="25" t="n">
        <v>3</v>
      </c>
      <c r="S1845" s="25">
        <f>TEXT(B1845,"yyyy-mm")</f>
        <v/>
      </c>
      <c r="T1845" s="25">
        <f>VLOOKUP(D1845,Customers!A:D,4,FALSE)</f>
        <v/>
      </c>
      <c r="U1845" s="25">
        <f>CONCATENATE(A1845,"-",G1845)</f>
        <v/>
      </c>
      <c r="V1845" s="25">
        <f>IF(N1845="","",IF(N1845&lt;=30,"Fast (&lt;30m)",IF(N1845&lt;=45,"Moderate (30-45m)","Delayed (&gt;45m)")))</f>
        <v/>
      </c>
      <c r="W1845" s="25">
        <f>IF(AND(I1845&gt;600,P1845="Delivered"),"High Value Delivered","Standard")</f>
        <v/>
      </c>
      <c r="X1845" s="25">
        <f>IF(OR(N1845&gt;50,Q1845&lt;=2),"High Risk / Delayed","Normal")</f>
        <v/>
      </c>
      <c r="Y1845" s="25">
        <f>IF(NOT(P1845="Cancelled"),"Fulfilled","Cancelled")</f>
        <v/>
      </c>
      <c r="Z1845" s="25">
        <f>IFERROR(Q1845,0)</f>
        <v/>
      </c>
    </row>
    <row r="1846">
      <c r="A1846" s="17" t="inlineStr">
        <is>
          <t>ORD2845</t>
        </is>
      </c>
      <c r="B1846" s="17" t="inlineStr">
        <is>
          <t>2025-10-14</t>
        </is>
      </c>
      <c r="C1846" s="17" t="inlineStr">
        <is>
          <t>17:57:32</t>
        </is>
      </c>
      <c r="D1846" s="17" t="n">
        <v>1039</v>
      </c>
      <c r="E1846" s="17" t="n">
        <v>101</v>
      </c>
      <c r="F1846" s="17" t="n">
        <v>210</v>
      </c>
      <c r="G1846" s="17" t="inlineStr">
        <is>
          <t>Bangalore</t>
        </is>
      </c>
      <c r="H1846" s="17" t="inlineStr">
        <is>
          <t>North Indian</t>
        </is>
      </c>
      <c r="I1846" s="22" t="n">
        <v>374</v>
      </c>
      <c r="J1846" s="22" t="n">
        <v>30.83</v>
      </c>
      <c r="K1846" s="22" t="n">
        <v>25</v>
      </c>
      <c r="L1846" s="23" t="n">
        <v>0.2</v>
      </c>
      <c r="M1846" s="22" t="n">
        <v>81.05</v>
      </c>
      <c r="N1846" s="24" t="n">
        <v>3</v>
      </c>
      <c r="O1846" s="24" t="n">
        <v>42.6</v>
      </c>
      <c r="P1846" s="17" t="inlineStr">
        <is>
          <t>Digital Wallet</t>
        </is>
      </c>
      <c r="Q1846" s="17" t="inlineStr">
        <is>
          <t>Delivered</t>
        </is>
      </c>
      <c r="R1846" s="17" t="n">
        <v>4</v>
      </c>
      <c r="S1846" s="17">
        <f>TEXT(B1846,"yyyy-mm")</f>
        <v/>
      </c>
      <c r="T1846" s="17">
        <f>VLOOKUP(D1846,Customers!A:D,4,FALSE)</f>
        <v/>
      </c>
      <c r="U1846" s="17">
        <f>CONCATENATE(A1846,"-",G1846)</f>
        <v/>
      </c>
      <c r="V1846" s="17">
        <f>IF(N1846="","",IF(N1846&lt;=30,"Fast (&lt;30m)",IF(N1846&lt;=45,"Moderate (30-45m)","Delayed (&gt;45m)")))</f>
        <v/>
      </c>
      <c r="W1846" s="17">
        <f>IF(AND(I1846&gt;600,P1846="Delivered"),"High Value Delivered","Standard")</f>
        <v/>
      </c>
      <c r="X1846" s="17">
        <f>IF(OR(N1846&gt;50,Q1846&lt;=2),"High Risk / Delayed","Normal")</f>
        <v/>
      </c>
      <c r="Y1846" s="17">
        <f>IF(NOT(P1846="Cancelled"),"Fulfilled","Cancelled")</f>
        <v/>
      </c>
      <c r="Z1846" s="17">
        <f>IFERROR(Q1846,0)</f>
        <v/>
      </c>
    </row>
    <row r="1847">
      <c r="A1847" s="25" t="inlineStr">
        <is>
          <t>ORD2846</t>
        </is>
      </c>
      <c r="B1847" s="25" t="inlineStr">
        <is>
          <t>2025-01-23</t>
        </is>
      </c>
      <c r="C1847" s="25" t="inlineStr">
        <is>
          <t>21:37:22</t>
        </is>
      </c>
      <c r="D1847" s="25" t="n">
        <v>1172</v>
      </c>
      <c r="E1847" s="25" t="n">
        <v>116</v>
      </c>
      <c r="F1847" s="25" t="n">
        <v>226</v>
      </c>
      <c r="G1847" s="25" t="inlineStr">
        <is>
          <t>Pune</t>
        </is>
      </c>
      <c r="H1847" s="25" t="inlineStr">
        <is>
          <t>Desserts</t>
        </is>
      </c>
      <c r="I1847" s="26" t="n">
        <v>454</v>
      </c>
      <c r="J1847" s="26" t="n">
        <v>9.390000000000001</v>
      </c>
      <c r="K1847" s="26" t="n">
        <v>39</v>
      </c>
      <c r="L1847" s="27" t="n">
        <v>0.25</v>
      </c>
      <c r="M1847" s="26" t="n">
        <v>123.25</v>
      </c>
      <c r="N1847" s="28" t="n">
        <v>5.8</v>
      </c>
      <c r="O1847" s="28" t="n">
        <v>45.5</v>
      </c>
      <c r="P1847" s="25" t="inlineStr">
        <is>
          <t>Digital Wallet</t>
        </is>
      </c>
      <c r="Q1847" s="25" t="inlineStr">
        <is>
          <t>Delivered</t>
        </is>
      </c>
      <c r="R1847" s="25" t="n">
        <v>3</v>
      </c>
      <c r="S1847" s="25">
        <f>TEXT(B1847,"yyyy-mm")</f>
        <v/>
      </c>
      <c r="T1847" s="25">
        <f>VLOOKUP(D1847,Customers!A:D,4,FALSE)</f>
        <v/>
      </c>
      <c r="U1847" s="25">
        <f>CONCATENATE(A1847,"-",G1847)</f>
        <v/>
      </c>
      <c r="V1847" s="25">
        <f>IF(N1847="","",IF(N1847&lt;=30,"Fast (&lt;30m)",IF(N1847&lt;=45,"Moderate (30-45m)","Delayed (&gt;45m)")))</f>
        <v/>
      </c>
      <c r="W1847" s="25">
        <f>IF(AND(I1847&gt;600,P1847="Delivered"),"High Value Delivered","Standard")</f>
        <v/>
      </c>
      <c r="X1847" s="25">
        <f>IF(OR(N1847&gt;50,Q1847&lt;=2),"High Risk / Delayed","Normal")</f>
        <v/>
      </c>
      <c r="Y1847" s="25">
        <f>IF(NOT(P1847="Cancelled"),"Fulfilled","Cancelled")</f>
        <v/>
      </c>
      <c r="Z1847" s="25">
        <f>IFERROR(Q1847,0)</f>
        <v/>
      </c>
    </row>
    <row r="1848">
      <c r="A1848" s="17" t="inlineStr">
        <is>
          <t>ORD2847</t>
        </is>
      </c>
      <c r="B1848" s="17" t="inlineStr">
        <is>
          <t>2025-08-07</t>
        </is>
      </c>
      <c r="C1848" s="17" t="inlineStr">
        <is>
          <t>09:02:31</t>
        </is>
      </c>
      <c r="D1848" s="17" t="n">
        <v>1045</v>
      </c>
      <c r="E1848" s="17" t="n">
        <v>115</v>
      </c>
      <c r="F1848" s="17" t="n">
        <v>218</v>
      </c>
      <c r="G1848" s="17" t="inlineStr">
        <is>
          <t>Bangalore</t>
        </is>
      </c>
      <c r="H1848" s="17" t="inlineStr">
        <is>
          <t>Italian</t>
        </is>
      </c>
      <c r="I1848" s="22" t="n">
        <v>785</v>
      </c>
      <c r="J1848" s="22" t="n">
        <v>11.12</v>
      </c>
      <c r="K1848" s="22" t="n">
        <v>25</v>
      </c>
      <c r="L1848" s="23" t="n">
        <v>0.2</v>
      </c>
      <c r="M1848" s="22" t="n">
        <v>163.25</v>
      </c>
      <c r="N1848" s="24" t="n">
        <v>2.7</v>
      </c>
      <c r="O1848" s="24" t="n">
        <v>23.7</v>
      </c>
      <c r="P1848" s="17" t="inlineStr">
        <is>
          <t>Digital Wallet</t>
        </is>
      </c>
      <c r="Q1848" s="17" t="inlineStr">
        <is>
          <t>Delivered</t>
        </is>
      </c>
      <c r="R1848" s="17" t="n">
        <v>2</v>
      </c>
      <c r="S1848" s="17">
        <f>TEXT(B1848,"yyyy-mm")</f>
        <v/>
      </c>
      <c r="T1848" s="17">
        <f>VLOOKUP(D1848,Customers!A:D,4,FALSE)</f>
        <v/>
      </c>
      <c r="U1848" s="17">
        <f>CONCATENATE(A1848,"-",G1848)</f>
        <v/>
      </c>
      <c r="V1848" s="17">
        <f>IF(N1848="","",IF(N1848&lt;=30,"Fast (&lt;30m)",IF(N1848&lt;=45,"Moderate (30-45m)","Delayed (&gt;45m)")))</f>
        <v/>
      </c>
      <c r="W1848" s="17">
        <f>IF(AND(I1848&gt;600,P1848="Delivered"),"High Value Delivered","Standard")</f>
        <v/>
      </c>
      <c r="X1848" s="17">
        <f>IF(OR(N1848&gt;50,Q1848&lt;=2),"High Risk / Delayed","Normal")</f>
        <v/>
      </c>
      <c r="Y1848" s="17">
        <f>IF(NOT(P1848="Cancelled"),"Fulfilled","Cancelled")</f>
        <v/>
      </c>
      <c r="Z1848" s="17">
        <f>IFERROR(Q1848,0)</f>
        <v/>
      </c>
    </row>
    <row r="1849">
      <c r="A1849" s="25" t="inlineStr">
        <is>
          <t>ORD2848</t>
        </is>
      </c>
      <c r="B1849" s="25" t="inlineStr">
        <is>
          <t>2025-07-01</t>
        </is>
      </c>
      <c r="C1849" s="25" t="inlineStr">
        <is>
          <t>11:06:49</t>
        </is>
      </c>
      <c r="D1849" s="25" t="n">
        <v>1038</v>
      </c>
      <c r="E1849" s="25" t="n">
        <v>111</v>
      </c>
      <c r="F1849" s="25" t="n">
        <v>210</v>
      </c>
      <c r="G1849" s="25" t="inlineStr">
        <is>
          <t>Bangalore</t>
        </is>
      </c>
      <c r="H1849" s="25" t="inlineStr">
        <is>
          <t>South Indian</t>
        </is>
      </c>
      <c r="I1849" s="26" t="n">
        <v>691</v>
      </c>
      <c r="J1849" s="26" t="n">
        <v>47.49</v>
      </c>
      <c r="K1849" s="26" t="n">
        <v>56</v>
      </c>
      <c r="L1849" s="27" t="n">
        <v>0.15</v>
      </c>
      <c r="M1849" s="26" t="n">
        <v>117.65</v>
      </c>
      <c r="N1849" s="28" t="n">
        <v>9.199999999999999</v>
      </c>
      <c r="O1849" s="28" t="n">
        <v>44.9</v>
      </c>
      <c r="P1849" s="25" t="inlineStr">
        <is>
          <t>Cash on Delivery</t>
        </is>
      </c>
      <c r="Q1849" s="25" t="inlineStr">
        <is>
          <t>Delivered</t>
        </is>
      </c>
      <c r="R1849" s="25" t="n">
        <v>3</v>
      </c>
      <c r="S1849" s="25">
        <f>TEXT(B1849,"yyyy-mm")</f>
        <v/>
      </c>
      <c r="T1849" s="25">
        <f>VLOOKUP(D1849,Customers!A:D,4,FALSE)</f>
        <v/>
      </c>
      <c r="U1849" s="25">
        <f>CONCATENATE(A1849,"-",G1849)</f>
        <v/>
      </c>
      <c r="V1849" s="25">
        <f>IF(N1849="","",IF(N1849&lt;=30,"Fast (&lt;30m)",IF(N1849&lt;=45,"Moderate (30-45m)","Delayed (&gt;45m)")))</f>
        <v/>
      </c>
      <c r="W1849" s="25">
        <f>IF(AND(I1849&gt;600,P1849="Delivered"),"High Value Delivered","Standard")</f>
        <v/>
      </c>
      <c r="X1849" s="25">
        <f>IF(OR(N1849&gt;50,Q1849&lt;=2),"High Risk / Delayed","Normal")</f>
        <v/>
      </c>
      <c r="Y1849" s="25">
        <f>IF(NOT(P1849="Cancelled"),"Fulfilled","Cancelled")</f>
        <v/>
      </c>
      <c r="Z1849" s="25">
        <f>IFERROR(Q1849,0)</f>
        <v/>
      </c>
    </row>
    <row r="1850">
      <c r="A1850" s="17" t="inlineStr">
        <is>
          <t>ORD2849</t>
        </is>
      </c>
      <c r="B1850" s="17" t="inlineStr">
        <is>
          <t>2025-11-24</t>
        </is>
      </c>
      <c r="C1850" s="17" t="inlineStr">
        <is>
          <t>10:02:56</t>
        </is>
      </c>
      <c r="D1850" s="17" t="n">
        <v>1269</v>
      </c>
      <c r="E1850" s="17" t="n">
        <v>103</v>
      </c>
      <c r="F1850" s="17" t="n">
        <v>202</v>
      </c>
      <c r="G1850" s="17" t="inlineStr">
        <is>
          <t>Mumbai</t>
        </is>
      </c>
      <c r="H1850" s="17" t="inlineStr">
        <is>
          <t>Italian</t>
        </is>
      </c>
      <c r="I1850" s="22" t="n">
        <v>839</v>
      </c>
      <c r="J1850" s="22" t="n">
        <v>47.12</v>
      </c>
      <c r="K1850" s="22" t="n">
        <v>25</v>
      </c>
      <c r="L1850" s="23" t="n">
        <v>0.18</v>
      </c>
      <c r="M1850" s="22" t="n">
        <v>157.27</v>
      </c>
      <c r="N1850" s="24" t="n">
        <v>2.1</v>
      </c>
      <c r="O1850" s="24" t="n">
        <v>21.6</v>
      </c>
      <c r="P1850" s="17" t="inlineStr">
        <is>
          <t>Digital Wallet</t>
        </is>
      </c>
      <c r="Q1850" s="17" t="inlineStr">
        <is>
          <t>Delivered</t>
        </is>
      </c>
      <c r="R1850" s="17" t="n">
        <v>2</v>
      </c>
      <c r="S1850" s="17">
        <f>TEXT(B1850,"yyyy-mm")</f>
        <v/>
      </c>
      <c r="T1850" s="17">
        <f>VLOOKUP(D1850,Customers!A:D,4,FALSE)</f>
        <v/>
      </c>
      <c r="U1850" s="17">
        <f>CONCATENATE(A1850,"-",G1850)</f>
        <v/>
      </c>
      <c r="V1850" s="17">
        <f>IF(N1850="","",IF(N1850&lt;=30,"Fast (&lt;30m)",IF(N1850&lt;=45,"Moderate (30-45m)","Delayed (&gt;45m)")))</f>
        <v/>
      </c>
      <c r="W1850" s="17">
        <f>IF(AND(I1850&gt;600,P1850="Delivered"),"High Value Delivered","Standard")</f>
        <v/>
      </c>
      <c r="X1850" s="17">
        <f>IF(OR(N1850&gt;50,Q1850&lt;=2),"High Risk / Delayed","Normal")</f>
        <v/>
      </c>
      <c r="Y1850" s="17">
        <f>IF(NOT(P1850="Cancelled"),"Fulfilled","Cancelled")</f>
        <v/>
      </c>
      <c r="Z1850" s="17">
        <f>IFERROR(Q1850,0)</f>
        <v/>
      </c>
    </row>
    <row r="1851">
      <c r="A1851" s="25" t="inlineStr">
        <is>
          <t>ORD2850</t>
        </is>
      </c>
      <c r="B1851" s="25" t="inlineStr">
        <is>
          <t>2025-05-16</t>
        </is>
      </c>
      <c r="C1851" s="25" t="inlineStr">
        <is>
          <t>11:59:39</t>
        </is>
      </c>
      <c r="D1851" s="25" t="n">
        <v>1253</v>
      </c>
      <c r="E1851" s="25" t="n">
        <v>114</v>
      </c>
      <c r="F1851" s="25" t="n">
        <v>215</v>
      </c>
      <c r="G1851" s="25" t="inlineStr">
        <is>
          <t>Hyderabad</t>
        </is>
      </c>
      <c r="H1851" s="25" t="inlineStr">
        <is>
          <t>Biryani</t>
        </is>
      </c>
      <c r="I1851" s="26" t="n">
        <v>765</v>
      </c>
      <c r="J1851" s="26" t="n">
        <v>96.81999999999999</v>
      </c>
      <c r="K1851" s="26" t="n">
        <v>0</v>
      </c>
      <c r="L1851" s="27" t="n">
        <v>0.22</v>
      </c>
      <c r="M1851" s="26" t="n">
        <v>168.3</v>
      </c>
      <c r="N1851" s="28" t="n">
        <v>2.2</v>
      </c>
      <c r="O1851" s="28" t="n">
        <v>23.9</v>
      </c>
      <c r="P1851" s="25" t="inlineStr">
        <is>
          <t>Credit Card</t>
        </is>
      </c>
      <c r="Q1851" s="25" t="inlineStr">
        <is>
          <t>Delivered</t>
        </is>
      </c>
      <c r="R1851" s="25" t="n">
        <v>4</v>
      </c>
      <c r="S1851" s="25">
        <f>TEXT(B1851,"yyyy-mm")</f>
        <v/>
      </c>
      <c r="T1851" s="25">
        <f>VLOOKUP(D1851,Customers!A:D,4,FALSE)</f>
        <v/>
      </c>
      <c r="U1851" s="25">
        <f>CONCATENATE(A1851,"-",G1851)</f>
        <v/>
      </c>
      <c r="V1851" s="25">
        <f>IF(N1851="","",IF(N1851&lt;=30,"Fast (&lt;30m)",IF(N1851&lt;=45,"Moderate (30-45m)","Delayed (&gt;45m)")))</f>
        <v/>
      </c>
      <c r="W1851" s="25">
        <f>IF(AND(I1851&gt;600,P1851="Delivered"),"High Value Delivered","Standard")</f>
        <v/>
      </c>
      <c r="X1851" s="25">
        <f>IF(OR(N1851&gt;50,Q1851&lt;=2),"High Risk / Delayed","Normal")</f>
        <v/>
      </c>
      <c r="Y1851" s="25">
        <f>IF(NOT(P1851="Cancelled"),"Fulfilled","Cancelled")</f>
        <v/>
      </c>
      <c r="Z1851" s="25">
        <f>IFERROR(Q1851,0)</f>
        <v/>
      </c>
    </row>
    <row r="1852">
      <c r="A1852" s="17" t="inlineStr">
        <is>
          <t>ORD2851</t>
        </is>
      </c>
      <c r="B1852" s="17" t="inlineStr">
        <is>
          <t>2025-01-06</t>
        </is>
      </c>
      <c r="C1852" s="17" t="inlineStr">
        <is>
          <t>15:09:35</t>
        </is>
      </c>
      <c r="D1852" s="17" t="n">
        <v>1172</v>
      </c>
      <c r="E1852" s="17" t="n">
        <v>106</v>
      </c>
      <c r="F1852" s="17" t="n">
        <v>214</v>
      </c>
      <c r="G1852" s="17" t="inlineStr">
        <is>
          <t>Pune</t>
        </is>
      </c>
      <c r="H1852" s="17" t="inlineStr">
        <is>
          <t>South Indian</t>
        </is>
      </c>
      <c r="I1852" s="22" t="n">
        <v>566</v>
      </c>
      <c r="J1852" s="22" t="n">
        <v>0</v>
      </c>
      <c r="K1852" s="22" t="n">
        <v>50.5</v>
      </c>
      <c r="L1852" s="23" t="n">
        <v>0.15</v>
      </c>
      <c r="M1852" s="22" t="n">
        <v>97.52</v>
      </c>
      <c r="N1852" s="24" t="n">
        <v>8.1</v>
      </c>
      <c r="O1852" s="24" t="n">
        <v>36.2</v>
      </c>
      <c r="P1852" s="17" t="inlineStr">
        <is>
          <t>Debit Card</t>
        </is>
      </c>
      <c r="Q1852" s="17" t="inlineStr">
        <is>
          <t>Delivered</t>
        </is>
      </c>
      <c r="R1852" s="17" t="n">
        <v>5</v>
      </c>
      <c r="S1852" s="17">
        <f>TEXT(B1852,"yyyy-mm")</f>
        <v/>
      </c>
      <c r="T1852" s="17">
        <f>VLOOKUP(D1852,Customers!A:D,4,FALSE)</f>
        <v/>
      </c>
      <c r="U1852" s="17">
        <f>CONCATENATE(A1852,"-",G1852)</f>
        <v/>
      </c>
      <c r="V1852" s="17">
        <f>IF(N1852="","",IF(N1852&lt;=30,"Fast (&lt;30m)",IF(N1852&lt;=45,"Moderate (30-45m)","Delayed (&gt;45m)")))</f>
        <v/>
      </c>
      <c r="W1852" s="17">
        <f>IF(AND(I1852&gt;600,P1852="Delivered"),"High Value Delivered","Standard")</f>
        <v/>
      </c>
      <c r="X1852" s="17">
        <f>IF(OR(N1852&gt;50,Q1852&lt;=2),"High Risk / Delayed","Normal")</f>
        <v/>
      </c>
      <c r="Y1852" s="17">
        <f>IF(NOT(P1852="Cancelled"),"Fulfilled","Cancelled")</f>
        <v/>
      </c>
      <c r="Z1852" s="17">
        <f>IFERROR(Q1852,0)</f>
        <v/>
      </c>
    </row>
    <row r="1853">
      <c r="A1853" s="25" t="inlineStr">
        <is>
          <t>ORD2852</t>
        </is>
      </c>
      <c r="B1853" s="25" t="inlineStr">
        <is>
          <t>2025-10-05</t>
        </is>
      </c>
      <c r="C1853" s="25" t="inlineStr">
        <is>
          <t>11:34:08</t>
        </is>
      </c>
      <c r="D1853" s="25" t="n">
        <v>1060</v>
      </c>
      <c r="E1853" s="25" t="n">
        <v>108</v>
      </c>
      <c r="F1853" s="25" t="n">
        <v>221</v>
      </c>
      <c r="G1853" s="25" t="inlineStr">
        <is>
          <t>Delhi NCR</t>
        </is>
      </c>
      <c r="H1853" s="25" t="inlineStr">
        <is>
          <t>Fast Food</t>
        </is>
      </c>
      <c r="I1853" s="26" t="n">
        <v>220</v>
      </c>
      <c r="J1853" s="26" t="n">
        <v>10.1</v>
      </c>
      <c r="K1853" s="26" t="n">
        <v>31</v>
      </c>
      <c r="L1853" s="27" t="n">
        <v>0.18</v>
      </c>
      <c r="M1853" s="26" t="n">
        <v>47.35</v>
      </c>
      <c r="N1853" s="28" t="n">
        <v>4.2</v>
      </c>
      <c r="O1853" s="28" t="n">
        <v>33.5</v>
      </c>
      <c r="P1853" s="25" t="inlineStr">
        <is>
          <t>Credit Card</t>
        </is>
      </c>
      <c r="Q1853" s="25" t="inlineStr">
        <is>
          <t>Delivered</t>
        </is>
      </c>
      <c r="R1853" s="25" t="n">
        <v>5</v>
      </c>
      <c r="S1853" s="25">
        <f>TEXT(B1853,"yyyy-mm")</f>
        <v/>
      </c>
      <c r="T1853" s="25">
        <f>VLOOKUP(D1853,Customers!A:D,4,FALSE)</f>
        <v/>
      </c>
      <c r="U1853" s="25">
        <f>CONCATENATE(A1853,"-",G1853)</f>
        <v/>
      </c>
      <c r="V1853" s="25">
        <f>IF(N1853="","",IF(N1853&lt;=30,"Fast (&lt;30m)",IF(N1853&lt;=45,"Moderate (30-45m)","Delayed (&gt;45m)")))</f>
        <v/>
      </c>
      <c r="W1853" s="25">
        <f>IF(AND(I1853&gt;600,P1853="Delivered"),"High Value Delivered","Standard")</f>
        <v/>
      </c>
      <c r="X1853" s="25">
        <f>IF(OR(N1853&gt;50,Q1853&lt;=2),"High Risk / Delayed","Normal")</f>
        <v/>
      </c>
      <c r="Y1853" s="25">
        <f>IF(NOT(P1853="Cancelled"),"Fulfilled","Cancelled")</f>
        <v/>
      </c>
      <c r="Z1853" s="25">
        <f>IFERROR(Q1853,0)</f>
        <v/>
      </c>
    </row>
    <row r="1854">
      <c r="A1854" s="17" t="inlineStr">
        <is>
          <t>ORD2853</t>
        </is>
      </c>
      <c r="B1854" s="17" t="inlineStr">
        <is>
          <t>2025-11-11</t>
        </is>
      </c>
      <c r="C1854" s="17" t="inlineStr">
        <is>
          <t>21:02:56</t>
        </is>
      </c>
      <c r="D1854" s="17" t="n">
        <v>1298</v>
      </c>
      <c r="E1854" s="17" t="n">
        <v>102</v>
      </c>
      <c r="F1854" s="17" t="n">
        <v>216</v>
      </c>
      <c r="G1854" s="17" t="inlineStr">
        <is>
          <t>Hyderabad</t>
        </is>
      </c>
      <c r="H1854" s="17" t="inlineStr">
        <is>
          <t>Biryani</t>
        </is>
      </c>
      <c r="I1854" s="22" t="n">
        <v>666</v>
      </c>
      <c r="J1854" s="22" t="n">
        <v>0</v>
      </c>
      <c r="K1854" s="22" t="n">
        <v>41.5</v>
      </c>
      <c r="L1854" s="23" t="n">
        <v>0.22</v>
      </c>
      <c r="M1854" s="22" t="n">
        <v>156.9</v>
      </c>
      <c r="N1854" s="24" t="n">
        <v>6.3</v>
      </c>
      <c r="O1854" s="24" t="n">
        <v>42.2</v>
      </c>
      <c r="P1854" s="17" t="inlineStr">
        <is>
          <t>Cash on Delivery</t>
        </is>
      </c>
      <c r="Q1854" s="17" t="inlineStr">
        <is>
          <t>Delivered</t>
        </is>
      </c>
      <c r="R1854" s="17" t="n">
        <v>3</v>
      </c>
      <c r="S1854" s="17">
        <f>TEXT(B1854,"yyyy-mm")</f>
        <v/>
      </c>
      <c r="T1854" s="17">
        <f>VLOOKUP(D1854,Customers!A:D,4,FALSE)</f>
        <v/>
      </c>
      <c r="U1854" s="17">
        <f>CONCATENATE(A1854,"-",G1854)</f>
        <v/>
      </c>
      <c r="V1854" s="17">
        <f>IF(N1854="","",IF(N1854&lt;=30,"Fast (&lt;30m)",IF(N1854&lt;=45,"Moderate (30-45m)","Delayed (&gt;45m)")))</f>
        <v/>
      </c>
      <c r="W1854" s="17">
        <f>IF(AND(I1854&gt;600,P1854="Delivered"),"High Value Delivered","Standard")</f>
        <v/>
      </c>
      <c r="X1854" s="17">
        <f>IF(OR(N1854&gt;50,Q1854&lt;=2),"High Risk / Delayed","Normal")</f>
        <v/>
      </c>
      <c r="Y1854" s="17">
        <f>IF(NOT(P1854="Cancelled"),"Fulfilled","Cancelled")</f>
        <v/>
      </c>
      <c r="Z1854" s="17">
        <f>IFERROR(Q1854,0)</f>
        <v/>
      </c>
    </row>
    <row r="1855">
      <c r="A1855" s="25" t="inlineStr">
        <is>
          <t>ORD2854</t>
        </is>
      </c>
      <c r="B1855" s="25" t="inlineStr">
        <is>
          <t>2025-11-05</t>
        </is>
      </c>
      <c r="C1855" s="25" t="inlineStr">
        <is>
          <t>16:36:04</t>
        </is>
      </c>
      <c r="D1855" s="25" t="n">
        <v>1217</v>
      </c>
      <c r="E1855" s="25" t="n">
        <v>114</v>
      </c>
      <c r="F1855" s="25" t="n">
        <v>215</v>
      </c>
      <c r="G1855" s="25" t="inlineStr">
        <is>
          <t>Hyderabad</t>
        </is>
      </c>
      <c r="H1855" s="25" t="inlineStr">
        <is>
          <t>Biryani</t>
        </is>
      </c>
      <c r="I1855" s="26" t="n">
        <v>655</v>
      </c>
      <c r="J1855" s="26" t="n">
        <v>0</v>
      </c>
      <c r="K1855" s="26" t="n">
        <v>40</v>
      </c>
      <c r="L1855" s="27" t="n">
        <v>0.22</v>
      </c>
      <c r="M1855" s="26" t="n">
        <v>154.1</v>
      </c>
      <c r="N1855" s="28" t="n">
        <v>6</v>
      </c>
      <c r="O1855" s="28" t="n">
        <v>46.6</v>
      </c>
      <c r="P1855" s="25" t="inlineStr">
        <is>
          <t>UPI</t>
        </is>
      </c>
      <c r="Q1855" s="25" t="inlineStr">
        <is>
          <t>Delivered</t>
        </is>
      </c>
      <c r="R1855" s="25" t="n">
        <v>4</v>
      </c>
      <c r="S1855" s="25">
        <f>TEXT(B1855,"yyyy-mm")</f>
        <v/>
      </c>
      <c r="T1855" s="25">
        <f>VLOOKUP(D1855,Customers!A:D,4,FALSE)</f>
        <v/>
      </c>
      <c r="U1855" s="25">
        <f>CONCATENATE(A1855,"-",G1855)</f>
        <v/>
      </c>
      <c r="V1855" s="25">
        <f>IF(N1855="","",IF(N1855&lt;=30,"Fast (&lt;30m)",IF(N1855&lt;=45,"Moderate (30-45m)","Delayed (&gt;45m)")))</f>
        <v/>
      </c>
      <c r="W1855" s="25">
        <f>IF(AND(I1855&gt;600,P1855="Delivered"),"High Value Delivered","Standard")</f>
        <v/>
      </c>
      <c r="X1855" s="25">
        <f>IF(OR(N1855&gt;50,Q1855&lt;=2),"High Risk / Delayed","Normal")</f>
        <v/>
      </c>
      <c r="Y1855" s="25">
        <f>IF(NOT(P1855="Cancelled"),"Fulfilled","Cancelled")</f>
        <v/>
      </c>
      <c r="Z1855" s="25">
        <f>IFERROR(Q1855,0)</f>
        <v/>
      </c>
    </row>
    <row r="1856">
      <c r="A1856" s="17" t="inlineStr">
        <is>
          <t>ORD2855</t>
        </is>
      </c>
      <c r="B1856" s="17" t="inlineStr">
        <is>
          <t>2025-02-27</t>
        </is>
      </c>
      <c r="C1856" s="17" t="inlineStr">
        <is>
          <t>19:37:57</t>
        </is>
      </c>
      <c r="D1856" s="17" t="n">
        <v>1001</v>
      </c>
      <c r="E1856" s="17" t="n">
        <v>109</v>
      </c>
      <c r="F1856" s="17" t="n">
        <v>216</v>
      </c>
      <c r="G1856" s="17" t="inlineStr">
        <is>
          <t>Hyderabad</t>
        </is>
      </c>
      <c r="H1856" s="17" t="inlineStr">
        <is>
          <t>Biryani</t>
        </is>
      </c>
      <c r="I1856" s="22" t="n">
        <v>474</v>
      </c>
      <c r="J1856" s="22" t="n">
        <v>0</v>
      </c>
      <c r="K1856" s="22" t="n">
        <v>25</v>
      </c>
      <c r="L1856" s="23" t="n">
        <v>0.2</v>
      </c>
      <c r="M1856" s="22" t="n">
        <v>101.05</v>
      </c>
      <c r="N1856" s="24" t="n">
        <v>2.6</v>
      </c>
      <c r="O1856" s="24" t="n">
        <v>29.7</v>
      </c>
      <c r="P1856" s="17" t="inlineStr">
        <is>
          <t>Digital Wallet</t>
        </is>
      </c>
      <c r="Q1856" s="17" t="inlineStr">
        <is>
          <t>Delivered</t>
        </is>
      </c>
      <c r="R1856" s="17" t="n">
        <v>5</v>
      </c>
      <c r="S1856" s="17">
        <f>TEXT(B1856,"yyyy-mm")</f>
        <v/>
      </c>
      <c r="T1856" s="17">
        <f>VLOOKUP(D1856,Customers!A:D,4,FALSE)</f>
        <v/>
      </c>
      <c r="U1856" s="17">
        <f>CONCATENATE(A1856,"-",G1856)</f>
        <v/>
      </c>
      <c r="V1856" s="17">
        <f>IF(N1856="","",IF(N1856&lt;=30,"Fast (&lt;30m)",IF(N1856&lt;=45,"Moderate (30-45m)","Delayed (&gt;45m)")))</f>
        <v/>
      </c>
      <c r="W1856" s="17">
        <f>IF(AND(I1856&gt;600,P1856="Delivered"),"High Value Delivered","Standard")</f>
        <v/>
      </c>
      <c r="X1856" s="17">
        <f>IF(OR(N1856&gt;50,Q1856&lt;=2),"High Risk / Delayed","Normal")</f>
        <v/>
      </c>
      <c r="Y1856" s="17">
        <f>IF(NOT(P1856="Cancelled"),"Fulfilled","Cancelled")</f>
        <v/>
      </c>
      <c r="Z1856" s="17">
        <f>IFERROR(Q1856,0)</f>
        <v/>
      </c>
    </row>
    <row r="1857">
      <c r="A1857" s="25" t="inlineStr">
        <is>
          <t>ORD2856</t>
        </is>
      </c>
      <c r="B1857" s="25" t="inlineStr">
        <is>
          <t>2025-02-25</t>
        </is>
      </c>
      <c r="C1857" s="25" t="inlineStr">
        <is>
          <t>17:14:13</t>
        </is>
      </c>
      <c r="D1857" s="25" t="n">
        <v>1002</v>
      </c>
      <c r="E1857" s="25" t="n">
        <v>108</v>
      </c>
      <c r="F1857" s="25" t="n">
        <v>211</v>
      </c>
      <c r="G1857" s="25" t="inlineStr">
        <is>
          <t>Delhi NCR</t>
        </is>
      </c>
      <c r="H1857" s="25" t="inlineStr">
        <is>
          <t>Fast Food</t>
        </is>
      </c>
      <c r="I1857" s="26" t="n">
        <v>990</v>
      </c>
      <c r="J1857" s="26" t="n">
        <v>139.36</v>
      </c>
      <c r="K1857" s="26" t="n">
        <v>0</v>
      </c>
      <c r="L1857" s="27" t="n">
        <v>0.18</v>
      </c>
      <c r="M1857" s="26" t="n">
        <v>178.2</v>
      </c>
      <c r="N1857" s="28" t="n">
        <v>3.5</v>
      </c>
      <c r="O1857" s="28" t="n">
        <v>28.9</v>
      </c>
      <c r="P1857" s="25" t="inlineStr">
        <is>
          <t>Credit Card</t>
        </is>
      </c>
      <c r="Q1857" s="25" t="inlineStr">
        <is>
          <t>Delivered</t>
        </is>
      </c>
      <c r="R1857" s="25" t="n">
        <v>5</v>
      </c>
      <c r="S1857" s="25">
        <f>TEXT(B1857,"yyyy-mm")</f>
        <v/>
      </c>
      <c r="T1857" s="25">
        <f>VLOOKUP(D1857,Customers!A:D,4,FALSE)</f>
        <v/>
      </c>
      <c r="U1857" s="25">
        <f>CONCATENATE(A1857,"-",G1857)</f>
        <v/>
      </c>
      <c r="V1857" s="25">
        <f>IF(N1857="","",IF(N1857&lt;=30,"Fast (&lt;30m)",IF(N1857&lt;=45,"Moderate (30-45m)","Delayed (&gt;45m)")))</f>
        <v/>
      </c>
      <c r="W1857" s="25">
        <f>IF(AND(I1857&gt;600,P1857="Delivered"),"High Value Delivered","Standard")</f>
        <v/>
      </c>
      <c r="X1857" s="25">
        <f>IF(OR(N1857&gt;50,Q1857&lt;=2),"High Risk / Delayed","Normal")</f>
        <v/>
      </c>
      <c r="Y1857" s="25">
        <f>IF(NOT(P1857="Cancelled"),"Fulfilled","Cancelled")</f>
        <v/>
      </c>
      <c r="Z1857" s="25">
        <f>IFERROR(Q1857,0)</f>
        <v/>
      </c>
    </row>
    <row r="1858">
      <c r="A1858" s="17" t="inlineStr">
        <is>
          <t>ORD2857</t>
        </is>
      </c>
      <c r="B1858" s="17" t="inlineStr">
        <is>
          <t>2025-05-11</t>
        </is>
      </c>
      <c r="C1858" s="17" t="inlineStr">
        <is>
          <t>22:20:35</t>
        </is>
      </c>
      <c r="D1858" s="17" t="n">
        <v>1122</v>
      </c>
      <c r="E1858" s="17" t="n">
        <v>110</v>
      </c>
      <c r="F1858" s="17" t="n">
        <v>226</v>
      </c>
      <c r="G1858" s="17" t="inlineStr">
        <is>
          <t>Pune</t>
        </is>
      </c>
      <c r="H1858" s="17" t="inlineStr">
        <is>
          <t>North Indian</t>
        </is>
      </c>
      <c r="I1858" s="22" t="n">
        <v>867</v>
      </c>
      <c r="J1858" s="22" t="n">
        <v>121.43</v>
      </c>
      <c r="K1858" s="22" t="n">
        <v>0</v>
      </c>
      <c r="L1858" s="23" t="n">
        <v>0.18</v>
      </c>
      <c r="M1858" s="22" t="n">
        <v>156.06</v>
      </c>
      <c r="N1858" s="24" t="n">
        <v>16</v>
      </c>
      <c r="O1858" s="24" t="n">
        <v>71.09999999999999</v>
      </c>
      <c r="P1858" s="17" t="inlineStr">
        <is>
          <t>UPI</t>
        </is>
      </c>
      <c r="Q1858" s="17" t="inlineStr">
        <is>
          <t>Delivered</t>
        </is>
      </c>
      <c r="R1858" s="17" t="n">
        <v>2</v>
      </c>
      <c r="S1858" s="17">
        <f>TEXT(B1858,"yyyy-mm")</f>
        <v/>
      </c>
      <c r="T1858" s="17">
        <f>VLOOKUP(D1858,Customers!A:D,4,FALSE)</f>
        <v/>
      </c>
      <c r="U1858" s="17">
        <f>CONCATENATE(A1858,"-",G1858)</f>
        <v/>
      </c>
      <c r="V1858" s="17">
        <f>IF(N1858="","",IF(N1858&lt;=30,"Fast (&lt;30m)",IF(N1858&lt;=45,"Moderate (30-45m)","Delayed (&gt;45m)")))</f>
        <v/>
      </c>
      <c r="W1858" s="17">
        <f>IF(AND(I1858&gt;600,P1858="Delivered"),"High Value Delivered","Standard")</f>
        <v/>
      </c>
      <c r="X1858" s="17">
        <f>IF(OR(N1858&gt;50,Q1858&lt;=2),"High Risk / Delayed","Normal")</f>
        <v/>
      </c>
      <c r="Y1858" s="17">
        <f>IF(NOT(P1858="Cancelled"),"Fulfilled","Cancelled")</f>
        <v/>
      </c>
      <c r="Z1858" s="17">
        <f>IFERROR(Q1858,0)</f>
        <v/>
      </c>
    </row>
    <row r="1859">
      <c r="A1859" s="25" t="inlineStr">
        <is>
          <t>ORD2858</t>
        </is>
      </c>
      <c r="B1859" s="25" t="inlineStr">
        <is>
          <t>2025-05-23</t>
        </is>
      </c>
      <c r="C1859" s="25" t="inlineStr">
        <is>
          <t>13:48:19</t>
        </is>
      </c>
      <c r="D1859" s="25" t="n">
        <v>1128</v>
      </c>
      <c r="E1859" s="25" t="n">
        <v>119</v>
      </c>
      <c r="F1859" s="25" t="n">
        <v>215</v>
      </c>
      <c r="G1859" s="25" t="inlineStr">
        <is>
          <t>Hyderabad</t>
        </is>
      </c>
      <c r="H1859" s="25" t="inlineStr">
        <is>
          <t>Biryani</t>
        </is>
      </c>
      <c r="I1859" s="26" t="n">
        <v>864</v>
      </c>
      <c r="J1859" s="26" t="n">
        <v>109.05</v>
      </c>
      <c r="K1859" s="26" t="n">
        <v>0</v>
      </c>
      <c r="L1859" s="27" t="n">
        <v>0.2</v>
      </c>
      <c r="M1859" s="26" t="n">
        <v>172.8</v>
      </c>
      <c r="N1859" s="28" t="n">
        <v>4.5</v>
      </c>
      <c r="O1859" s="28" t="n">
        <v>40.3</v>
      </c>
      <c r="P1859" s="25" t="inlineStr">
        <is>
          <t>Cash on Delivery</t>
        </is>
      </c>
      <c r="Q1859" s="25" t="inlineStr">
        <is>
          <t>Delivered</t>
        </is>
      </c>
      <c r="R1859" s="25" t="n">
        <v>3</v>
      </c>
      <c r="S1859" s="25">
        <f>TEXT(B1859,"yyyy-mm")</f>
        <v/>
      </c>
      <c r="T1859" s="25">
        <f>VLOOKUP(D1859,Customers!A:D,4,FALSE)</f>
        <v/>
      </c>
      <c r="U1859" s="25">
        <f>CONCATENATE(A1859,"-",G1859)</f>
        <v/>
      </c>
      <c r="V1859" s="25">
        <f>IF(N1859="","",IF(N1859&lt;=30,"Fast (&lt;30m)",IF(N1859&lt;=45,"Moderate (30-45m)","Delayed (&gt;45m)")))</f>
        <v/>
      </c>
      <c r="W1859" s="25">
        <f>IF(AND(I1859&gt;600,P1859="Delivered"),"High Value Delivered","Standard")</f>
        <v/>
      </c>
      <c r="X1859" s="25">
        <f>IF(OR(N1859&gt;50,Q1859&lt;=2),"High Risk / Delayed","Normal")</f>
        <v/>
      </c>
      <c r="Y1859" s="25">
        <f>IF(NOT(P1859="Cancelled"),"Fulfilled","Cancelled")</f>
        <v/>
      </c>
      <c r="Z1859" s="25">
        <f>IFERROR(Q1859,0)</f>
        <v/>
      </c>
    </row>
    <row r="1860">
      <c r="A1860" s="17" t="inlineStr">
        <is>
          <t>ORD2859</t>
        </is>
      </c>
      <c r="B1860" s="17" t="inlineStr">
        <is>
          <t>2025-12-23</t>
        </is>
      </c>
      <c r="C1860" s="17" t="inlineStr">
        <is>
          <t>21:18:17</t>
        </is>
      </c>
      <c r="D1860" s="17" t="n">
        <v>1143</v>
      </c>
      <c r="E1860" s="17" t="n">
        <v>109</v>
      </c>
      <c r="F1860" s="17" t="n">
        <v>215</v>
      </c>
      <c r="G1860" s="17" t="inlineStr">
        <is>
          <t>Hyderabad</t>
        </is>
      </c>
      <c r="H1860" s="17" t="inlineStr">
        <is>
          <t>Biryani</t>
        </is>
      </c>
      <c r="I1860" s="22" t="n">
        <v>248</v>
      </c>
      <c r="J1860" s="22" t="n">
        <v>8.26</v>
      </c>
      <c r="K1860" s="22" t="n">
        <v>26</v>
      </c>
      <c r="L1860" s="23" t="n">
        <v>0.2</v>
      </c>
      <c r="M1860" s="22" t="n">
        <v>56.1</v>
      </c>
      <c r="N1860" s="24" t="n">
        <v>3.2</v>
      </c>
      <c r="O1860" s="24" t="n">
        <v>37.7</v>
      </c>
      <c r="P1860" s="17" t="inlineStr">
        <is>
          <t>Cash on Delivery</t>
        </is>
      </c>
      <c r="Q1860" s="17" t="inlineStr">
        <is>
          <t>Delivered</t>
        </is>
      </c>
      <c r="R1860" s="17" t="n">
        <v>4</v>
      </c>
      <c r="S1860" s="17">
        <f>TEXT(B1860,"yyyy-mm")</f>
        <v/>
      </c>
      <c r="T1860" s="17">
        <f>VLOOKUP(D1860,Customers!A:D,4,FALSE)</f>
        <v/>
      </c>
      <c r="U1860" s="17">
        <f>CONCATENATE(A1860,"-",G1860)</f>
        <v/>
      </c>
      <c r="V1860" s="17">
        <f>IF(N1860="","",IF(N1860&lt;=30,"Fast (&lt;30m)",IF(N1860&lt;=45,"Moderate (30-45m)","Delayed (&gt;45m)")))</f>
        <v/>
      </c>
      <c r="W1860" s="17">
        <f>IF(AND(I1860&gt;600,P1860="Delivered"),"High Value Delivered","Standard")</f>
        <v/>
      </c>
      <c r="X1860" s="17">
        <f>IF(OR(N1860&gt;50,Q1860&lt;=2),"High Risk / Delayed","Normal")</f>
        <v/>
      </c>
      <c r="Y1860" s="17">
        <f>IF(NOT(P1860="Cancelled"),"Fulfilled","Cancelled")</f>
        <v/>
      </c>
      <c r="Z1860" s="17">
        <f>IFERROR(Q1860,0)</f>
        <v/>
      </c>
    </row>
    <row r="1861">
      <c r="A1861" s="25" t="inlineStr">
        <is>
          <t>ORD2860</t>
        </is>
      </c>
      <c r="B1861" s="25" t="inlineStr">
        <is>
          <t>2025-12-25</t>
        </is>
      </c>
      <c r="C1861" s="25" t="inlineStr">
        <is>
          <t>00:16:38</t>
        </is>
      </c>
      <c r="D1861" s="25" t="n">
        <v>1093</v>
      </c>
      <c r="E1861" s="25" t="n">
        <v>104</v>
      </c>
      <c r="F1861" s="25" t="n">
        <v>211</v>
      </c>
      <c r="G1861" s="25" t="inlineStr">
        <is>
          <t>Delhi NCR</t>
        </is>
      </c>
      <c r="H1861" s="25" t="inlineStr">
        <is>
          <t>Fast Food</t>
        </is>
      </c>
      <c r="I1861" s="26" t="n">
        <v>771</v>
      </c>
      <c r="J1861" s="26" t="n">
        <v>69.48999999999999</v>
      </c>
      <c r="K1861" s="26" t="n">
        <v>25</v>
      </c>
      <c r="L1861" s="27" t="n">
        <v>0.18</v>
      </c>
      <c r="M1861" s="26" t="n">
        <v>145.03</v>
      </c>
      <c r="N1861" s="28" t="n">
        <v>2</v>
      </c>
      <c r="O1861" s="28" t="n">
        <v>24.5</v>
      </c>
      <c r="P1861" s="25" t="inlineStr">
        <is>
          <t>UPI</t>
        </is>
      </c>
      <c r="Q1861" s="25" t="inlineStr">
        <is>
          <t>Delivered</t>
        </is>
      </c>
      <c r="R1861" s="25" t="n">
        <v>4</v>
      </c>
      <c r="S1861" s="25">
        <f>TEXT(B1861,"yyyy-mm")</f>
        <v/>
      </c>
      <c r="T1861" s="25">
        <f>VLOOKUP(D1861,Customers!A:D,4,FALSE)</f>
        <v/>
      </c>
      <c r="U1861" s="25">
        <f>CONCATENATE(A1861,"-",G1861)</f>
        <v/>
      </c>
      <c r="V1861" s="25">
        <f>IF(N1861="","",IF(N1861&lt;=30,"Fast (&lt;30m)",IF(N1861&lt;=45,"Moderate (30-45m)","Delayed (&gt;45m)")))</f>
        <v/>
      </c>
      <c r="W1861" s="25">
        <f>IF(AND(I1861&gt;600,P1861="Delivered"),"High Value Delivered","Standard")</f>
        <v/>
      </c>
      <c r="X1861" s="25">
        <f>IF(OR(N1861&gt;50,Q1861&lt;=2),"High Risk / Delayed","Normal")</f>
        <v/>
      </c>
      <c r="Y1861" s="25">
        <f>IF(NOT(P1861="Cancelled"),"Fulfilled","Cancelled")</f>
        <v/>
      </c>
      <c r="Z1861" s="25">
        <f>IFERROR(Q1861,0)</f>
        <v/>
      </c>
    </row>
    <row r="1862">
      <c r="A1862" s="17" t="inlineStr">
        <is>
          <t>ORD2861</t>
        </is>
      </c>
      <c r="B1862" s="17" t="inlineStr">
        <is>
          <t>2025-10-10</t>
        </is>
      </c>
      <c r="C1862" s="17" t="inlineStr">
        <is>
          <t>20:09:06</t>
        </is>
      </c>
      <c r="D1862" s="17" t="n">
        <v>1058</v>
      </c>
      <c r="E1862" s="17" t="n">
        <v>113</v>
      </c>
      <c r="F1862" s="17" t="n">
        <v>229</v>
      </c>
      <c r="G1862" s="17" t="inlineStr">
        <is>
          <t>Mumbai</t>
        </is>
      </c>
      <c r="H1862" s="17" t="inlineStr">
        <is>
          <t>Fast Food</t>
        </is>
      </c>
      <c r="I1862" s="22" t="n">
        <v>498</v>
      </c>
      <c r="J1862" s="22" t="n">
        <v>0</v>
      </c>
      <c r="K1862" s="22" t="n">
        <v>25</v>
      </c>
      <c r="L1862" s="23" t="n">
        <v>0.18</v>
      </c>
      <c r="M1862" s="22" t="n">
        <v>95.89</v>
      </c>
      <c r="N1862" s="24" t="n">
        <v>2.8</v>
      </c>
      <c r="O1862" s="24" t="n">
        <v>44.5</v>
      </c>
      <c r="P1862" s="17" t="inlineStr">
        <is>
          <t>Digital Wallet</t>
        </is>
      </c>
      <c r="Q1862" s="17" t="inlineStr">
        <is>
          <t>Delivered</t>
        </is>
      </c>
      <c r="R1862" s="17" t="n">
        <v>3</v>
      </c>
      <c r="S1862" s="17">
        <f>TEXT(B1862,"yyyy-mm")</f>
        <v/>
      </c>
      <c r="T1862" s="17">
        <f>VLOOKUP(D1862,Customers!A:D,4,FALSE)</f>
        <v/>
      </c>
      <c r="U1862" s="17">
        <f>CONCATENATE(A1862,"-",G1862)</f>
        <v/>
      </c>
      <c r="V1862" s="17">
        <f>IF(N1862="","",IF(N1862&lt;=30,"Fast (&lt;30m)",IF(N1862&lt;=45,"Moderate (30-45m)","Delayed (&gt;45m)")))</f>
        <v/>
      </c>
      <c r="W1862" s="17">
        <f>IF(AND(I1862&gt;600,P1862="Delivered"),"High Value Delivered","Standard")</f>
        <v/>
      </c>
      <c r="X1862" s="17">
        <f>IF(OR(N1862&gt;50,Q1862&lt;=2),"High Risk / Delayed","Normal")</f>
        <v/>
      </c>
      <c r="Y1862" s="17">
        <f>IF(NOT(P1862="Cancelled"),"Fulfilled","Cancelled")</f>
        <v/>
      </c>
      <c r="Z1862" s="17">
        <f>IFERROR(Q1862,0)</f>
        <v/>
      </c>
    </row>
    <row r="1863">
      <c r="A1863" s="25" t="inlineStr">
        <is>
          <t>ORD2862</t>
        </is>
      </c>
      <c r="B1863" s="25" t="inlineStr">
        <is>
          <t>2025-06-17</t>
        </is>
      </c>
      <c r="C1863" s="25" t="inlineStr">
        <is>
          <t>13:39:11</t>
        </is>
      </c>
      <c r="D1863" s="25" t="n">
        <v>1276</v>
      </c>
      <c r="E1863" s="25" t="n">
        <v>111</v>
      </c>
      <c r="F1863" s="25" t="n">
        <v>227</v>
      </c>
      <c r="G1863" s="25" t="inlineStr">
        <is>
          <t>Bangalore</t>
        </is>
      </c>
      <c r="H1863" s="25" t="inlineStr">
        <is>
          <t>South Indian</t>
        </is>
      </c>
      <c r="I1863" s="26" t="n">
        <v>623</v>
      </c>
      <c r="J1863" s="26" t="n">
        <v>47.21</v>
      </c>
      <c r="K1863" s="26" t="n">
        <v>44</v>
      </c>
      <c r="L1863" s="27" t="n">
        <v>0.15</v>
      </c>
      <c r="M1863" s="26" t="n">
        <v>104.45</v>
      </c>
      <c r="N1863" s="28" t="n">
        <v>6.8</v>
      </c>
      <c r="O1863" s="28" t="n">
        <v>50.7</v>
      </c>
      <c r="P1863" s="25" t="inlineStr">
        <is>
          <t>Digital Wallet</t>
        </is>
      </c>
      <c r="Q1863" s="25" t="inlineStr">
        <is>
          <t>Delivered</t>
        </is>
      </c>
      <c r="R1863" s="25" t="n">
        <v>1</v>
      </c>
      <c r="S1863" s="25">
        <f>TEXT(B1863,"yyyy-mm")</f>
        <v/>
      </c>
      <c r="T1863" s="25">
        <f>VLOOKUP(D1863,Customers!A:D,4,FALSE)</f>
        <v/>
      </c>
      <c r="U1863" s="25">
        <f>CONCATENATE(A1863,"-",G1863)</f>
        <v/>
      </c>
      <c r="V1863" s="25">
        <f>IF(N1863="","",IF(N1863&lt;=30,"Fast (&lt;30m)",IF(N1863&lt;=45,"Moderate (30-45m)","Delayed (&gt;45m)")))</f>
        <v/>
      </c>
      <c r="W1863" s="25">
        <f>IF(AND(I1863&gt;600,P1863="Delivered"),"High Value Delivered","Standard")</f>
        <v/>
      </c>
      <c r="X1863" s="25">
        <f>IF(OR(N1863&gt;50,Q1863&lt;=2),"High Risk / Delayed","Normal")</f>
        <v/>
      </c>
      <c r="Y1863" s="25">
        <f>IF(NOT(P1863="Cancelled"),"Fulfilled","Cancelled")</f>
        <v/>
      </c>
      <c r="Z1863" s="25">
        <f>IFERROR(Q1863,0)</f>
        <v/>
      </c>
    </row>
    <row r="1864">
      <c r="A1864" s="17" t="inlineStr">
        <is>
          <t>ORD2863</t>
        </is>
      </c>
      <c r="B1864" s="17" t="inlineStr">
        <is>
          <t>2025-06-09</t>
        </is>
      </c>
      <c r="C1864" s="17" t="inlineStr">
        <is>
          <t>16:59:32</t>
        </is>
      </c>
      <c r="D1864" s="17" t="n">
        <v>1031</v>
      </c>
      <c r="E1864" s="17" t="n">
        <v>103</v>
      </c>
      <c r="F1864" s="17" t="n">
        <v>206</v>
      </c>
      <c r="G1864" s="17" t="inlineStr">
        <is>
          <t>Mumbai</t>
        </is>
      </c>
      <c r="H1864" s="17" t="inlineStr">
        <is>
          <t>Italian</t>
        </is>
      </c>
      <c r="I1864" s="22" t="n">
        <v>610</v>
      </c>
      <c r="J1864" s="22" t="n">
        <v>54.72</v>
      </c>
      <c r="K1864" s="22" t="n">
        <v>26</v>
      </c>
      <c r="L1864" s="23" t="n">
        <v>0.18</v>
      </c>
      <c r="M1864" s="22" t="n">
        <v>116.3</v>
      </c>
      <c r="N1864" s="24" t="n">
        <v>3.2</v>
      </c>
      <c r="O1864" s="24" t="n">
        <v>29.9</v>
      </c>
      <c r="P1864" s="17" t="inlineStr">
        <is>
          <t>UPI</t>
        </is>
      </c>
      <c r="Q1864" s="17" t="inlineStr">
        <is>
          <t>Delivered</t>
        </is>
      </c>
      <c r="R1864" s="17" t="n">
        <v>5</v>
      </c>
      <c r="S1864" s="17">
        <f>TEXT(B1864,"yyyy-mm")</f>
        <v/>
      </c>
      <c r="T1864" s="17">
        <f>VLOOKUP(D1864,Customers!A:D,4,FALSE)</f>
        <v/>
      </c>
      <c r="U1864" s="17">
        <f>CONCATENATE(A1864,"-",G1864)</f>
        <v/>
      </c>
      <c r="V1864" s="17">
        <f>IF(N1864="","",IF(N1864&lt;=30,"Fast (&lt;30m)",IF(N1864&lt;=45,"Moderate (30-45m)","Delayed (&gt;45m)")))</f>
        <v/>
      </c>
      <c r="W1864" s="17">
        <f>IF(AND(I1864&gt;600,P1864="Delivered"),"High Value Delivered","Standard")</f>
        <v/>
      </c>
      <c r="X1864" s="17">
        <f>IF(OR(N1864&gt;50,Q1864&lt;=2),"High Risk / Delayed","Normal")</f>
        <v/>
      </c>
      <c r="Y1864" s="17">
        <f>IF(NOT(P1864="Cancelled"),"Fulfilled","Cancelled")</f>
        <v/>
      </c>
      <c r="Z1864" s="17">
        <f>IFERROR(Q1864,0)</f>
        <v/>
      </c>
    </row>
    <row r="1865">
      <c r="A1865" s="25" t="inlineStr">
        <is>
          <t>ORD2864</t>
        </is>
      </c>
      <c r="B1865" s="25" t="inlineStr">
        <is>
          <t>2025-06-10</t>
        </is>
      </c>
      <c r="C1865" s="25" t="inlineStr">
        <is>
          <t>18:51:42</t>
        </is>
      </c>
      <c r="D1865" s="25" t="n">
        <v>1078</v>
      </c>
      <c r="E1865" s="25" t="n">
        <v>104</v>
      </c>
      <c r="F1865" s="25" t="n">
        <v>212</v>
      </c>
      <c r="G1865" s="25" t="inlineStr">
        <is>
          <t>Delhi NCR</t>
        </is>
      </c>
      <c r="H1865" s="25" t="inlineStr">
        <is>
          <t>Fast Food</t>
        </is>
      </c>
      <c r="I1865" s="26" t="n">
        <v>270</v>
      </c>
      <c r="J1865" s="26" t="n">
        <v>0</v>
      </c>
      <c r="K1865" s="26" t="n">
        <v>25</v>
      </c>
      <c r="L1865" s="27" t="n">
        <v>0.18</v>
      </c>
      <c r="M1865" s="26" t="n">
        <v>54.85</v>
      </c>
      <c r="N1865" s="28" t="n">
        <v>1.2</v>
      </c>
      <c r="O1865" s="28" t="n">
        <v>24.4</v>
      </c>
      <c r="P1865" s="25" t="inlineStr">
        <is>
          <t>Digital Wallet</t>
        </is>
      </c>
      <c r="Q1865" s="25" t="inlineStr">
        <is>
          <t>Delivered</t>
        </is>
      </c>
      <c r="R1865" s="25" t="n">
        <v>4</v>
      </c>
      <c r="S1865" s="25">
        <f>TEXT(B1865,"yyyy-mm")</f>
        <v/>
      </c>
      <c r="T1865" s="25">
        <f>VLOOKUP(D1865,Customers!A:D,4,FALSE)</f>
        <v/>
      </c>
      <c r="U1865" s="25">
        <f>CONCATENATE(A1865,"-",G1865)</f>
        <v/>
      </c>
      <c r="V1865" s="25">
        <f>IF(N1865="","",IF(N1865&lt;=30,"Fast (&lt;30m)",IF(N1865&lt;=45,"Moderate (30-45m)","Delayed (&gt;45m)")))</f>
        <v/>
      </c>
      <c r="W1865" s="25">
        <f>IF(AND(I1865&gt;600,P1865="Delivered"),"High Value Delivered","Standard")</f>
        <v/>
      </c>
      <c r="X1865" s="25">
        <f>IF(OR(N1865&gt;50,Q1865&lt;=2),"High Risk / Delayed","Normal")</f>
        <v/>
      </c>
      <c r="Y1865" s="25">
        <f>IF(NOT(P1865="Cancelled"),"Fulfilled","Cancelled")</f>
        <v/>
      </c>
      <c r="Z1865" s="25">
        <f>IFERROR(Q1865,0)</f>
        <v/>
      </c>
    </row>
    <row r="1866">
      <c r="A1866" s="17" t="inlineStr">
        <is>
          <t>ORD2865</t>
        </is>
      </c>
      <c r="B1866" s="17" t="inlineStr">
        <is>
          <t>2025-07-04</t>
        </is>
      </c>
      <c r="C1866" s="17" t="inlineStr">
        <is>
          <t>20:15:44</t>
        </is>
      </c>
      <c r="D1866" s="17" t="n">
        <v>1070</v>
      </c>
      <c r="E1866" s="17" t="n">
        <v>103</v>
      </c>
      <c r="F1866" s="17" t="n">
        <v>222</v>
      </c>
      <c r="G1866" s="17" t="inlineStr">
        <is>
          <t>Mumbai</t>
        </is>
      </c>
      <c r="H1866" s="17" t="inlineStr">
        <is>
          <t>Italian</t>
        </is>
      </c>
      <c r="I1866" s="22" t="n">
        <v>937</v>
      </c>
      <c r="J1866" s="22" t="n">
        <v>158.8</v>
      </c>
      <c r="K1866" s="22" t="n">
        <v>0</v>
      </c>
      <c r="L1866" s="23" t="n">
        <v>0.18</v>
      </c>
      <c r="M1866" s="22" t="n">
        <v>168.66</v>
      </c>
      <c r="N1866" s="24" t="n">
        <v>8.300000000000001</v>
      </c>
      <c r="O1866" s="24" t="n">
        <v>47</v>
      </c>
      <c r="P1866" s="17" t="inlineStr">
        <is>
          <t>UPI</t>
        </is>
      </c>
      <c r="Q1866" s="17" t="inlineStr">
        <is>
          <t>Delivered</t>
        </is>
      </c>
      <c r="R1866" s="17" t="n">
        <v>3</v>
      </c>
      <c r="S1866" s="17">
        <f>TEXT(B1866,"yyyy-mm")</f>
        <v/>
      </c>
      <c r="T1866" s="17">
        <f>VLOOKUP(D1866,Customers!A:D,4,FALSE)</f>
        <v/>
      </c>
      <c r="U1866" s="17">
        <f>CONCATENATE(A1866,"-",G1866)</f>
        <v/>
      </c>
      <c r="V1866" s="17">
        <f>IF(N1866="","",IF(N1866&lt;=30,"Fast (&lt;30m)",IF(N1866&lt;=45,"Moderate (30-45m)","Delayed (&gt;45m)")))</f>
        <v/>
      </c>
      <c r="W1866" s="17">
        <f>IF(AND(I1866&gt;600,P1866="Delivered"),"High Value Delivered","Standard")</f>
        <v/>
      </c>
      <c r="X1866" s="17">
        <f>IF(OR(N1866&gt;50,Q1866&lt;=2),"High Risk / Delayed","Normal")</f>
        <v/>
      </c>
      <c r="Y1866" s="17">
        <f>IF(NOT(P1866="Cancelled"),"Fulfilled","Cancelled")</f>
        <v/>
      </c>
      <c r="Z1866" s="17">
        <f>IFERROR(Q1866,0)</f>
        <v/>
      </c>
    </row>
    <row r="1867">
      <c r="A1867" s="25" t="inlineStr">
        <is>
          <t>ORD2866</t>
        </is>
      </c>
      <c r="B1867" s="25" t="inlineStr">
        <is>
          <t>2025-12-16</t>
        </is>
      </c>
      <c r="C1867" s="25" t="inlineStr">
        <is>
          <t>20:46:03</t>
        </is>
      </c>
      <c r="D1867" s="25" t="n">
        <v>1023</v>
      </c>
      <c r="E1867" s="25" t="n">
        <v>101</v>
      </c>
      <c r="F1867" s="25" t="n">
        <v>205</v>
      </c>
      <c r="G1867" s="25" t="inlineStr">
        <is>
          <t>Bangalore</t>
        </is>
      </c>
      <c r="H1867" s="25" t="inlineStr">
        <is>
          <t>North Indian</t>
        </is>
      </c>
      <c r="I1867" s="26" t="n">
        <v>452</v>
      </c>
      <c r="J1867" s="26" t="n">
        <v>19.45</v>
      </c>
      <c r="K1867" s="26" t="n">
        <v>30.5</v>
      </c>
      <c r="L1867" s="27" t="n">
        <v>0.2</v>
      </c>
      <c r="M1867" s="26" t="n">
        <v>98.02</v>
      </c>
      <c r="N1867" s="28" t="n">
        <v>4.1</v>
      </c>
      <c r="O1867" s="28" t="n">
        <v>37.2</v>
      </c>
      <c r="P1867" s="25" t="inlineStr">
        <is>
          <t>Cash on Delivery</t>
        </is>
      </c>
      <c r="Q1867" s="25" t="inlineStr">
        <is>
          <t>Delivered</t>
        </is>
      </c>
      <c r="R1867" s="25" t="n">
        <v>4</v>
      </c>
      <c r="S1867" s="25">
        <f>TEXT(B1867,"yyyy-mm")</f>
        <v/>
      </c>
      <c r="T1867" s="25">
        <f>VLOOKUP(D1867,Customers!A:D,4,FALSE)</f>
        <v/>
      </c>
      <c r="U1867" s="25">
        <f>CONCATENATE(A1867,"-",G1867)</f>
        <v/>
      </c>
      <c r="V1867" s="25">
        <f>IF(N1867="","",IF(N1867&lt;=30,"Fast (&lt;30m)",IF(N1867&lt;=45,"Moderate (30-45m)","Delayed (&gt;45m)")))</f>
        <v/>
      </c>
      <c r="W1867" s="25">
        <f>IF(AND(I1867&gt;600,P1867="Delivered"),"High Value Delivered","Standard")</f>
        <v/>
      </c>
      <c r="X1867" s="25">
        <f>IF(OR(N1867&gt;50,Q1867&lt;=2),"High Risk / Delayed","Normal")</f>
        <v/>
      </c>
      <c r="Y1867" s="25">
        <f>IF(NOT(P1867="Cancelled"),"Fulfilled","Cancelled")</f>
        <v/>
      </c>
      <c r="Z1867" s="25">
        <f>IFERROR(Q1867,0)</f>
        <v/>
      </c>
    </row>
    <row r="1868">
      <c r="A1868" s="17" t="inlineStr">
        <is>
          <t>ORD2867</t>
        </is>
      </c>
      <c r="B1868" s="17" t="inlineStr">
        <is>
          <t>2025-06-10</t>
        </is>
      </c>
      <c r="C1868" s="17" t="inlineStr">
        <is>
          <t>13:15:26</t>
        </is>
      </c>
      <c r="D1868" s="17" t="n">
        <v>1170</v>
      </c>
      <c r="E1868" s="17" t="n">
        <v>113</v>
      </c>
      <c r="F1868" s="17" t="n">
        <v>206</v>
      </c>
      <c r="G1868" s="17" t="inlineStr">
        <is>
          <t>Mumbai</t>
        </is>
      </c>
      <c r="H1868" s="17" t="inlineStr">
        <is>
          <t>Fast Food</t>
        </is>
      </c>
      <c r="I1868" s="22" t="n">
        <v>946</v>
      </c>
      <c r="J1868" s="22" t="n">
        <v>7.57</v>
      </c>
      <c r="K1868" s="22" t="n">
        <v>25</v>
      </c>
      <c r="L1868" s="23" t="n">
        <v>0.18</v>
      </c>
      <c r="M1868" s="22" t="n">
        <v>176.53</v>
      </c>
      <c r="N1868" s="24" t="n">
        <v>2.1</v>
      </c>
      <c r="O1868" s="24" t="n">
        <v>29.9</v>
      </c>
      <c r="P1868" s="17" t="inlineStr">
        <is>
          <t>Debit Card</t>
        </is>
      </c>
      <c r="Q1868" s="17" t="inlineStr">
        <is>
          <t>Delivered</t>
        </is>
      </c>
      <c r="R1868" s="17" t="n">
        <v>5</v>
      </c>
      <c r="S1868" s="17">
        <f>TEXT(B1868,"yyyy-mm")</f>
        <v/>
      </c>
      <c r="T1868" s="17">
        <f>VLOOKUP(D1868,Customers!A:D,4,FALSE)</f>
        <v/>
      </c>
      <c r="U1868" s="17">
        <f>CONCATENATE(A1868,"-",G1868)</f>
        <v/>
      </c>
      <c r="V1868" s="17">
        <f>IF(N1868="","",IF(N1868&lt;=30,"Fast (&lt;30m)",IF(N1868&lt;=45,"Moderate (30-45m)","Delayed (&gt;45m)")))</f>
        <v/>
      </c>
      <c r="W1868" s="17">
        <f>IF(AND(I1868&gt;600,P1868="Delivered"),"High Value Delivered","Standard")</f>
        <v/>
      </c>
      <c r="X1868" s="17">
        <f>IF(OR(N1868&gt;50,Q1868&lt;=2),"High Risk / Delayed","Normal")</f>
        <v/>
      </c>
      <c r="Y1868" s="17">
        <f>IF(NOT(P1868="Cancelled"),"Fulfilled","Cancelled")</f>
        <v/>
      </c>
      <c r="Z1868" s="17">
        <f>IFERROR(Q1868,0)</f>
        <v/>
      </c>
    </row>
    <row r="1869">
      <c r="A1869" s="25" t="inlineStr">
        <is>
          <t>ORD2868</t>
        </is>
      </c>
      <c r="B1869" s="25" t="inlineStr">
        <is>
          <t>2025-09-06</t>
        </is>
      </c>
      <c r="C1869" s="25" t="inlineStr">
        <is>
          <t>13:00:03</t>
        </is>
      </c>
      <c r="D1869" s="25" t="n">
        <v>1109</v>
      </c>
      <c r="E1869" s="25" t="n">
        <v>113</v>
      </c>
      <c r="F1869" s="25" t="n">
        <v>222</v>
      </c>
      <c r="G1869" s="25" t="inlineStr">
        <is>
          <t>Mumbai</t>
        </is>
      </c>
      <c r="H1869" s="25" t="inlineStr">
        <is>
          <t>Fast Food</t>
        </is>
      </c>
      <c r="I1869" s="26" t="n">
        <v>245</v>
      </c>
      <c r="J1869" s="26" t="n">
        <v>12.77</v>
      </c>
      <c r="K1869" s="26" t="n">
        <v>34.5</v>
      </c>
      <c r="L1869" s="27" t="n">
        <v>0.18</v>
      </c>
      <c r="M1869" s="26" t="n">
        <v>52.72</v>
      </c>
      <c r="N1869" s="28" t="n">
        <v>4.9</v>
      </c>
      <c r="O1869" s="28" t="n">
        <v>38.2</v>
      </c>
      <c r="P1869" s="25" t="inlineStr">
        <is>
          <t>Credit Card</t>
        </is>
      </c>
      <c r="Q1869" s="25" t="inlineStr">
        <is>
          <t>Delivered</t>
        </is>
      </c>
      <c r="R1869" s="25" t="n">
        <v>5</v>
      </c>
      <c r="S1869" s="25">
        <f>TEXT(B1869,"yyyy-mm")</f>
        <v/>
      </c>
      <c r="T1869" s="25">
        <f>VLOOKUP(D1869,Customers!A:D,4,FALSE)</f>
        <v/>
      </c>
      <c r="U1869" s="25">
        <f>CONCATENATE(A1869,"-",G1869)</f>
        <v/>
      </c>
      <c r="V1869" s="25">
        <f>IF(N1869="","",IF(N1869&lt;=30,"Fast (&lt;30m)",IF(N1869&lt;=45,"Moderate (30-45m)","Delayed (&gt;45m)")))</f>
        <v/>
      </c>
      <c r="W1869" s="25">
        <f>IF(AND(I1869&gt;600,P1869="Delivered"),"High Value Delivered","Standard")</f>
        <v/>
      </c>
      <c r="X1869" s="25">
        <f>IF(OR(N1869&gt;50,Q1869&lt;=2),"High Risk / Delayed","Normal")</f>
        <v/>
      </c>
      <c r="Y1869" s="25">
        <f>IF(NOT(P1869="Cancelled"),"Fulfilled","Cancelled")</f>
        <v/>
      </c>
      <c r="Z1869" s="25">
        <f>IFERROR(Q1869,0)</f>
        <v/>
      </c>
    </row>
    <row r="1870">
      <c r="A1870" s="17" t="inlineStr">
        <is>
          <t>ORD2869</t>
        </is>
      </c>
      <c r="B1870" s="17" t="inlineStr">
        <is>
          <t>2025-01-25</t>
        </is>
      </c>
      <c r="C1870" s="17" t="inlineStr">
        <is>
          <t>21:18:58</t>
        </is>
      </c>
      <c r="D1870" s="17" t="n">
        <v>1182</v>
      </c>
      <c r="E1870" s="17" t="n">
        <v>109</v>
      </c>
      <c r="F1870" s="17" t="n">
        <v>215</v>
      </c>
      <c r="G1870" s="17" t="inlineStr">
        <is>
          <t>Hyderabad</t>
        </is>
      </c>
      <c r="H1870" s="17" t="inlineStr">
        <is>
          <t>Biryani</t>
        </is>
      </c>
      <c r="I1870" s="22" t="n">
        <v>605</v>
      </c>
      <c r="J1870" s="22" t="n">
        <v>33.03</v>
      </c>
      <c r="K1870" s="22" t="n">
        <v>49.5</v>
      </c>
      <c r="L1870" s="23" t="n">
        <v>0.2</v>
      </c>
      <c r="M1870" s="22" t="n">
        <v>133.38</v>
      </c>
      <c r="N1870" s="24" t="n">
        <v>7.9</v>
      </c>
      <c r="O1870" s="24" t="n">
        <v>49</v>
      </c>
      <c r="P1870" s="17" t="inlineStr">
        <is>
          <t>Digital Wallet</t>
        </is>
      </c>
      <c r="Q1870" s="17" t="inlineStr">
        <is>
          <t>Delivered</t>
        </is>
      </c>
      <c r="R1870" s="17" t="n">
        <v>5</v>
      </c>
      <c r="S1870" s="17">
        <f>TEXT(B1870,"yyyy-mm")</f>
        <v/>
      </c>
      <c r="T1870" s="17">
        <f>VLOOKUP(D1870,Customers!A:D,4,FALSE)</f>
        <v/>
      </c>
      <c r="U1870" s="17">
        <f>CONCATENATE(A1870,"-",G1870)</f>
        <v/>
      </c>
      <c r="V1870" s="17">
        <f>IF(N1870="","",IF(N1870&lt;=30,"Fast (&lt;30m)",IF(N1870&lt;=45,"Moderate (30-45m)","Delayed (&gt;45m)")))</f>
        <v/>
      </c>
      <c r="W1870" s="17">
        <f>IF(AND(I1870&gt;600,P1870="Delivered"),"High Value Delivered","Standard")</f>
        <v/>
      </c>
      <c r="X1870" s="17">
        <f>IF(OR(N1870&gt;50,Q1870&lt;=2),"High Risk / Delayed","Normal")</f>
        <v/>
      </c>
      <c r="Y1870" s="17">
        <f>IF(NOT(P1870="Cancelled"),"Fulfilled","Cancelled")</f>
        <v/>
      </c>
      <c r="Z1870" s="17">
        <f>IFERROR(Q1870,0)</f>
        <v/>
      </c>
    </row>
    <row r="1871">
      <c r="A1871" s="25" t="inlineStr">
        <is>
          <t>ORD2870</t>
        </is>
      </c>
      <c r="B1871" s="25" t="inlineStr">
        <is>
          <t>2025-07-30</t>
        </is>
      </c>
      <c r="C1871" s="25" t="inlineStr">
        <is>
          <t>19:03:20</t>
        </is>
      </c>
      <c r="D1871" s="25" t="n">
        <v>1016</v>
      </c>
      <c r="E1871" s="25" t="n">
        <v>101</v>
      </c>
      <c r="F1871" s="25" t="n">
        <v>220</v>
      </c>
      <c r="G1871" s="25" t="inlineStr">
        <is>
          <t>Bangalore</t>
        </is>
      </c>
      <c r="H1871" s="25" t="inlineStr">
        <is>
          <t>North Indian</t>
        </is>
      </c>
      <c r="I1871" s="26" t="n">
        <v>666</v>
      </c>
      <c r="J1871" s="26" t="n">
        <v>0</v>
      </c>
      <c r="K1871" s="26" t="n">
        <v>25</v>
      </c>
      <c r="L1871" s="27" t="n">
        <v>0.2</v>
      </c>
      <c r="M1871" s="26" t="n">
        <v>139.45</v>
      </c>
      <c r="N1871" s="28" t="n">
        <v>3</v>
      </c>
      <c r="O1871" s="28" t="n">
        <v>24.1</v>
      </c>
      <c r="P1871" s="25" t="inlineStr">
        <is>
          <t>Debit Card</t>
        </is>
      </c>
      <c r="Q1871" s="25" t="inlineStr">
        <is>
          <t>Delivered</t>
        </is>
      </c>
      <c r="R1871" s="25" t="n">
        <v>4</v>
      </c>
      <c r="S1871" s="25">
        <f>TEXT(B1871,"yyyy-mm")</f>
        <v/>
      </c>
      <c r="T1871" s="25">
        <f>VLOOKUP(D1871,Customers!A:D,4,FALSE)</f>
        <v/>
      </c>
      <c r="U1871" s="25">
        <f>CONCATENATE(A1871,"-",G1871)</f>
        <v/>
      </c>
      <c r="V1871" s="25">
        <f>IF(N1871="","",IF(N1871&lt;=30,"Fast (&lt;30m)",IF(N1871&lt;=45,"Moderate (30-45m)","Delayed (&gt;45m)")))</f>
        <v/>
      </c>
      <c r="W1871" s="25">
        <f>IF(AND(I1871&gt;600,P1871="Delivered"),"High Value Delivered","Standard")</f>
        <v/>
      </c>
      <c r="X1871" s="25">
        <f>IF(OR(N1871&gt;50,Q1871&lt;=2),"High Risk / Delayed","Normal")</f>
        <v/>
      </c>
      <c r="Y1871" s="25">
        <f>IF(NOT(P1871="Cancelled"),"Fulfilled","Cancelled")</f>
        <v/>
      </c>
      <c r="Z1871" s="25">
        <f>IFERROR(Q1871,0)</f>
        <v/>
      </c>
    </row>
    <row r="1872">
      <c r="A1872" s="17" t="inlineStr">
        <is>
          <t>ORD2871</t>
        </is>
      </c>
      <c r="B1872" s="17" t="inlineStr">
        <is>
          <t>2025-09-08</t>
        </is>
      </c>
      <c r="C1872" s="17" t="inlineStr">
        <is>
          <t>13:48:28</t>
        </is>
      </c>
      <c r="D1872" s="17" t="n">
        <v>1217</v>
      </c>
      <c r="E1872" s="17" t="n">
        <v>109</v>
      </c>
      <c r="F1872" s="17" t="n">
        <v>225</v>
      </c>
      <c r="G1872" s="17" t="inlineStr">
        <is>
          <t>Hyderabad</t>
        </is>
      </c>
      <c r="H1872" s="17" t="inlineStr">
        <is>
          <t>Biryani</t>
        </is>
      </c>
      <c r="I1872" s="22" t="n">
        <v>568</v>
      </c>
      <c r="J1872" s="22" t="n">
        <v>1.33</v>
      </c>
      <c r="K1872" s="22" t="n">
        <v>36.5</v>
      </c>
      <c r="L1872" s="23" t="n">
        <v>0.2</v>
      </c>
      <c r="M1872" s="22" t="n">
        <v>122.72</v>
      </c>
      <c r="N1872" s="24" t="n">
        <v>5.3</v>
      </c>
      <c r="O1872" s="24" t="n">
        <v/>
      </c>
      <c r="P1872" s="17" t="inlineStr">
        <is>
          <t>Debit Card</t>
        </is>
      </c>
      <c r="Q1872" s="17" t="inlineStr">
        <is>
          <t>Cancelled</t>
        </is>
      </c>
      <c r="R1872" s="17" t="n">
        <v/>
      </c>
      <c r="S1872" s="17">
        <f>TEXT(B1872,"yyyy-mm")</f>
        <v/>
      </c>
      <c r="T1872" s="17">
        <f>VLOOKUP(D1872,Customers!A:D,4,FALSE)</f>
        <v/>
      </c>
      <c r="U1872" s="17">
        <f>CONCATENATE(A1872,"-",G1872)</f>
        <v/>
      </c>
      <c r="V1872" s="17">
        <f>IF(N1872="","",IF(N1872&lt;=30,"Fast (&lt;30m)",IF(N1872&lt;=45,"Moderate (30-45m)","Delayed (&gt;45m)")))</f>
        <v/>
      </c>
      <c r="W1872" s="17">
        <f>IF(AND(I1872&gt;600,P1872="Delivered"),"High Value Delivered","Standard")</f>
        <v/>
      </c>
      <c r="X1872" s="17">
        <f>IF(OR(N1872&gt;50,Q1872&lt;=2),"High Risk / Delayed","Normal")</f>
        <v/>
      </c>
      <c r="Y1872" s="17">
        <f>IF(NOT(P1872="Cancelled"),"Fulfilled","Cancelled")</f>
        <v/>
      </c>
      <c r="Z1872" s="17">
        <f>IFERROR(Q1872,0)</f>
        <v/>
      </c>
    </row>
    <row r="1873">
      <c r="A1873" s="25" t="inlineStr">
        <is>
          <t>ORD2872</t>
        </is>
      </c>
      <c r="B1873" s="25" t="inlineStr">
        <is>
          <t>2025-09-17</t>
        </is>
      </c>
      <c r="C1873" s="25" t="inlineStr">
        <is>
          <t>21:51:38</t>
        </is>
      </c>
      <c r="D1873" s="25" t="n">
        <v>1102</v>
      </c>
      <c r="E1873" s="25" t="n">
        <v>103</v>
      </c>
      <c r="F1873" s="25" t="n">
        <v>206</v>
      </c>
      <c r="G1873" s="25" t="inlineStr">
        <is>
          <t>Mumbai</t>
        </is>
      </c>
      <c r="H1873" s="25" t="inlineStr">
        <is>
          <t>Italian</t>
        </is>
      </c>
      <c r="I1873" s="26" t="n">
        <v>249</v>
      </c>
      <c r="J1873" s="26" t="n">
        <v>19.86</v>
      </c>
      <c r="K1873" s="26" t="n">
        <v>34</v>
      </c>
      <c r="L1873" s="27" t="n">
        <v>0.18</v>
      </c>
      <c r="M1873" s="26" t="n">
        <v>53.32</v>
      </c>
      <c r="N1873" s="28" t="n">
        <v>4.8</v>
      </c>
      <c r="O1873" s="28" t="n">
        <v>32.9</v>
      </c>
      <c r="P1873" s="25" t="inlineStr">
        <is>
          <t>Debit Card</t>
        </is>
      </c>
      <c r="Q1873" s="25" t="inlineStr">
        <is>
          <t>Delivered</t>
        </is>
      </c>
      <c r="R1873" s="25" t="n">
        <v>4</v>
      </c>
      <c r="S1873" s="25">
        <f>TEXT(B1873,"yyyy-mm")</f>
        <v/>
      </c>
      <c r="T1873" s="25">
        <f>VLOOKUP(D1873,Customers!A:D,4,FALSE)</f>
        <v/>
      </c>
      <c r="U1873" s="25">
        <f>CONCATENATE(A1873,"-",G1873)</f>
        <v/>
      </c>
      <c r="V1873" s="25">
        <f>IF(N1873="","",IF(N1873&lt;=30,"Fast (&lt;30m)",IF(N1873&lt;=45,"Moderate (30-45m)","Delayed (&gt;45m)")))</f>
        <v/>
      </c>
      <c r="W1873" s="25">
        <f>IF(AND(I1873&gt;600,P1873="Delivered"),"High Value Delivered","Standard")</f>
        <v/>
      </c>
      <c r="X1873" s="25">
        <f>IF(OR(N1873&gt;50,Q1873&lt;=2),"High Risk / Delayed","Normal")</f>
        <v/>
      </c>
      <c r="Y1873" s="25">
        <f>IF(NOT(P1873="Cancelled"),"Fulfilled","Cancelled")</f>
        <v/>
      </c>
      <c r="Z1873" s="25">
        <f>IFERROR(Q1873,0)</f>
        <v/>
      </c>
    </row>
    <row r="1874">
      <c r="A1874" s="17" t="inlineStr">
        <is>
          <t>ORD2873</t>
        </is>
      </c>
      <c r="B1874" s="17" t="inlineStr">
        <is>
          <t>2025-03-08</t>
        </is>
      </c>
      <c r="C1874" s="17" t="inlineStr">
        <is>
          <t>10:54:40</t>
        </is>
      </c>
      <c r="D1874" s="17" t="n">
        <v>1241</v>
      </c>
      <c r="E1874" s="17" t="n">
        <v>114</v>
      </c>
      <c r="F1874" s="17" t="n">
        <v>225</v>
      </c>
      <c r="G1874" s="17" t="inlineStr">
        <is>
          <t>Hyderabad</t>
        </is>
      </c>
      <c r="H1874" s="17" t="inlineStr">
        <is>
          <t>Biryani</t>
        </is>
      </c>
      <c r="I1874" s="22" t="n">
        <v>705</v>
      </c>
      <c r="J1874" s="22" t="n">
        <v>100.02</v>
      </c>
      <c r="K1874" s="22" t="n">
        <v>0</v>
      </c>
      <c r="L1874" s="23" t="n">
        <v>0.22</v>
      </c>
      <c r="M1874" s="22" t="n">
        <v>155.1</v>
      </c>
      <c r="N1874" s="24" t="n">
        <v>5.3</v>
      </c>
      <c r="O1874" s="24" t="n">
        <v>36.7</v>
      </c>
      <c r="P1874" s="17" t="inlineStr">
        <is>
          <t>UPI</t>
        </is>
      </c>
      <c r="Q1874" s="17" t="inlineStr">
        <is>
          <t>Delivered</t>
        </is>
      </c>
      <c r="R1874" s="17" t="n">
        <v>5</v>
      </c>
      <c r="S1874" s="17">
        <f>TEXT(B1874,"yyyy-mm")</f>
        <v/>
      </c>
      <c r="T1874" s="17">
        <f>VLOOKUP(D1874,Customers!A:D,4,FALSE)</f>
        <v/>
      </c>
      <c r="U1874" s="17">
        <f>CONCATENATE(A1874,"-",G1874)</f>
        <v/>
      </c>
      <c r="V1874" s="17">
        <f>IF(N1874="","",IF(N1874&lt;=30,"Fast (&lt;30m)",IF(N1874&lt;=45,"Moderate (30-45m)","Delayed (&gt;45m)")))</f>
        <v/>
      </c>
      <c r="W1874" s="17">
        <f>IF(AND(I1874&gt;600,P1874="Delivered"),"High Value Delivered","Standard")</f>
        <v/>
      </c>
      <c r="X1874" s="17">
        <f>IF(OR(N1874&gt;50,Q1874&lt;=2),"High Risk / Delayed","Normal")</f>
        <v/>
      </c>
      <c r="Y1874" s="17">
        <f>IF(NOT(P1874="Cancelled"),"Fulfilled","Cancelled")</f>
        <v/>
      </c>
      <c r="Z1874" s="17">
        <f>IFERROR(Q1874,0)</f>
        <v/>
      </c>
    </row>
    <row r="1875">
      <c r="A1875" s="25" t="inlineStr">
        <is>
          <t>ORD2874</t>
        </is>
      </c>
      <c r="B1875" s="25" t="inlineStr">
        <is>
          <t>2025-11-20</t>
        </is>
      </c>
      <c r="C1875" s="25" t="inlineStr">
        <is>
          <t>21:21:38</t>
        </is>
      </c>
      <c r="D1875" s="25" t="n">
        <v>1039</v>
      </c>
      <c r="E1875" s="25" t="n">
        <v>115</v>
      </c>
      <c r="F1875" s="25" t="n">
        <v>213</v>
      </c>
      <c r="G1875" s="25" t="inlineStr">
        <is>
          <t>Bangalore</t>
        </is>
      </c>
      <c r="H1875" s="25" t="inlineStr">
        <is>
          <t>Italian</t>
        </is>
      </c>
      <c r="I1875" s="26" t="n">
        <v>842</v>
      </c>
      <c r="J1875" s="26" t="n">
        <v>62.55</v>
      </c>
      <c r="K1875" s="26" t="n">
        <v>42.5</v>
      </c>
      <c r="L1875" s="27" t="n">
        <v>0.2</v>
      </c>
      <c r="M1875" s="26" t="n">
        <v>179.02</v>
      </c>
      <c r="N1875" s="28" t="n">
        <v>6.5</v>
      </c>
      <c r="O1875" s="28" t="n">
        <v>47.1</v>
      </c>
      <c r="P1875" s="25" t="inlineStr">
        <is>
          <t>UPI</t>
        </is>
      </c>
      <c r="Q1875" s="25" t="inlineStr">
        <is>
          <t>Delivered</t>
        </is>
      </c>
      <c r="R1875" s="25" t="n">
        <v>1</v>
      </c>
      <c r="S1875" s="25">
        <f>TEXT(B1875,"yyyy-mm")</f>
        <v/>
      </c>
      <c r="T1875" s="25">
        <f>VLOOKUP(D1875,Customers!A:D,4,FALSE)</f>
        <v/>
      </c>
      <c r="U1875" s="25">
        <f>CONCATENATE(A1875,"-",G1875)</f>
        <v/>
      </c>
      <c r="V1875" s="25">
        <f>IF(N1875="","",IF(N1875&lt;=30,"Fast (&lt;30m)",IF(N1875&lt;=45,"Moderate (30-45m)","Delayed (&gt;45m)")))</f>
        <v/>
      </c>
      <c r="W1875" s="25">
        <f>IF(AND(I1875&gt;600,P1875="Delivered"),"High Value Delivered","Standard")</f>
        <v/>
      </c>
      <c r="X1875" s="25">
        <f>IF(OR(N1875&gt;50,Q1875&lt;=2),"High Risk / Delayed","Normal")</f>
        <v/>
      </c>
      <c r="Y1875" s="25">
        <f>IF(NOT(P1875="Cancelled"),"Fulfilled","Cancelled")</f>
        <v/>
      </c>
      <c r="Z1875" s="25">
        <f>IFERROR(Q1875,0)</f>
        <v/>
      </c>
    </row>
    <row r="1876">
      <c r="A1876" s="17" t="inlineStr">
        <is>
          <t>ORD2875</t>
        </is>
      </c>
      <c r="B1876" s="17" t="inlineStr">
        <is>
          <t>2025-03-02</t>
        </is>
      </c>
      <c r="C1876" s="17" t="inlineStr">
        <is>
          <t>20:11:09</t>
        </is>
      </c>
      <c r="D1876" s="17" t="n">
        <v>1224</v>
      </c>
      <c r="E1876" s="17" t="n">
        <v>104</v>
      </c>
      <c r="F1876" s="17" t="n">
        <v>212</v>
      </c>
      <c r="G1876" s="17" t="inlineStr">
        <is>
          <t>Delhi NCR</t>
        </is>
      </c>
      <c r="H1876" s="17" t="inlineStr">
        <is>
          <t>Fast Food</t>
        </is>
      </c>
      <c r="I1876" s="22" t="n">
        <v>521</v>
      </c>
      <c r="J1876" s="22" t="n">
        <v>0</v>
      </c>
      <c r="K1876" s="22" t="n">
        <v>31.5</v>
      </c>
      <c r="L1876" s="23" t="n">
        <v>0.18</v>
      </c>
      <c r="M1876" s="22" t="n">
        <v>101.66</v>
      </c>
      <c r="N1876" s="24" t="n">
        <v>4.3</v>
      </c>
      <c r="O1876" s="24" t="n">
        <v/>
      </c>
      <c r="P1876" s="17" t="inlineStr">
        <is>
          <t>Cash on Delivery</t>
        </is>
      </c>
      <c r="Q1876" s="17" t="inlineStr">
        <is>
          <t>Cancelled</t>
        </is>
      </c>
      <c r="R1876" s="17" t="n">
        <v/>
      </c>
      <c r="S1876" s="17">
        <f>TEXT(B1876,"yyyy-mm")</f>
        <v/>
      </c>
      <c r="T1876" s="17">
        <f>VLOOKUP(D1876,Customers!A:D,4,FALSE)</f>
        <v/>
      </c>
      <c r="U1876" s="17">
        <f>CONCATENATE(A1876,"-",G1876)</f>
        <v/>
      </c>
      <c r="V1876" s="17">
        <f>IF(N1876="","",IF(N1876&lt;=30,"Fast (&lt;30m)",IF(N1876&lt;=45,"Moderate (30-45m)","Delayed (&gt;45m)")))</f>
        <v/>
      </c>
      <c r="W1876" s="17">
        <f>IF(AND(I1876&gt;600,P1876="Delivered"),"High Value Delivered","Standard")</f>
        <v/>
      </c>
      <c r="X1876" s="17">
        <f>IF(OR(N1876&gt;50,Q1876&lt;=2),"High Risk / Delayed","Normal")</f>
        <v/>
      </c>
      <c r="Y1876" s="17">
        <f>IF(NOT(P1876="Cancelled"),"Fulfilled","Cancelled")</f>
        <v/>
      </c>
      <c r="Z1876" s="17">
        <f>IFERROR(Q1876,0)</f>
        <v/>
      </c>
    </row>
    <row r="1877">
      <c r="A1877" s="25" t="inlineStr">
        <is>
          <t>ORD2876</t>
        </is>
      </c>
      <c r="B1877" s="25" t="inlineStr">
        <is>
          <t>2025-06-09</t>
        </is>
      </c>
      <c r="C1877" s="25" t="inlineStr">
        <is>
          <t>20:25:08</t>
        </is>
      </c>
      <c r="D1877" s="25" t="n">
        <v>1251</v>
      </c>
      <c r="E1877" s="25" t="n">
        <v>102</v>
      </c>
      <c r="F1877" s="25" t="n">
        <v>216</v>
      </c>
      <c r="G1877" s="25" t="inlineStr">
        <is>
          <t>Hyderabad</t>
        </is>
      </c>
      <c r="H1877" s="25" t="inlineStr">
        <is>
          <t>Biryani</t>
        </is>
      </c>
      <c r="I1877" s="26" t="n">
        <v>543</v>
      </c>
      <c r="J1877" s="26" t="n">
        <v>16.95</v>
      </c>
      <c r="K1877" s="26" t="n">
        <v>27</v>
      </c>
      <c r="L1877" s="27" t="n">
        <v>0.22</v>
      </c>
      <c r="M1877" s="26" t="n">
        <v>126.21</v>
      </c>
      <c r="N1877" s="28" t="n">
        <v>3.4</v>
      </c>
      <c r="O1877" s="28" t="n">
        <v>26.9</v>
      </c>
      <c r="P1877" s="25" t="inlineStr">
        <is>
          <t>Credit Card</t>
        </is>
      </c>
      <c r="Q1877" s="25" t="inlineStr">
        <is>
          <t>Delivered</t>
        </is>
      </c>
      <c r="R1877" s="25" t="n">
        <v>4</v>
      </c>
      <c r="S1877" s="25">
        <f>TEXT(B1877,"yyyy-mm")</f>
        <v/>
      </c>
      <c r="T1877" s="25">
        <f>VLOOKUP(D1877,Customers!A:D,4,FALSE)</f>
        <v/>
      </c>
      <c r="U1877" s="25">
        <f>CONCATENATE(A1877,"-",G1877)</f>
        <v/>
      </c>
      <c r="V1877" s="25">
        <f>IF(N1877="","",IF(N1877&lt;=30,"Fast (&lt;30m)",IF(N1877&lt;=45,"Moderate (30-45m)","Delayed (&gt;45m)")))</f>
        <v/>
      </c>
      <c r="W1877" s="25">
        <f>IF(AND(I1877&gt;600,P1877="Delivered"),"High Value Delivered","Standard")</f>
        <v/>
      </c>
      <c r="X1877" s="25">
        <f>IF(OR(N1877&gt;50,Q1877&lt;=2),"High Risk / Delayed","Normal")</f>
        <v/>
      </c>
      <c r="Y1877" s="25">
        <f>IF(NOT(P1877="Cancelled"),"Fulfilled","Cancelled")</f>
        <v/>
      </c>
      <c r="Z1877" s="25">
        <f>IFERROR(Q1877,0)</f>
        <v/>
      </c>
    </row>
    <row r="1878">
      <c r="A1878" s="17" t="inlineStr">
        <is>
          <t>ORD2877</t>
        </is>
      </c>
      <c r="B1878" s="17" t="inlineStr">
        <is>
          <t>2025-07-10</t>
        </is>
      </c>
      <c r="C1878" s="17" t="inlineStr">
        <is>
          <t>12:58:54</t>
        </is>
      </c>
      <c r="D1878" s="17" t="n">
        <v>1159</v>
      </c>
      <c r="E1878" s="17" t="n">
        <v>112</v>
      </c>
      <c r="F1878" s="17" t="n">
        <v>212</v>
      </c>
      <c r="G1878" s="17" t="inlineStr">
        <is>
          <t>Delhi NCR</t>
        </is>
      </c>
      <c r="H1878" s="17" t="inlineStr">
        <is>
          <t>North Indian</t>
        </is>
      </c>
      <c r="I1878" s="22" t="n">
        <v>735</v>
      </c>
      <c r="J1878" s="22" t="n">
        <v>14.77</v>
      </c>
      <c r="K1878" s="22" t="n">
        <v>26</v>
      </c>
      <c r="L1878" s="23" t="n">
        <v>0.22</v>
      </c>
      <c r="M1878" s="22" t="n">
        <v>168.2</v>
      </c>
      <c r="N1878" s="24" t="n">
        <v>3.2</v>
      </c>
      <c r="O1878" s="24" t="n">
        <v>35.3</v>
      </c>
      <c r="P1878" s="17" t="inlineStr">
        <is>
          <t>Cash on Delivery</t>
        </is>
      </c>
      <c r="Q1878" s="17" t="inlineStr">
        <is>
          <t>Delivered</t>
        </is>
      </c>
      <c r="R1878" s="17" t="n">
        <v>5</v>
      </c>
      <c r="S1878" s="17">
        <f>TEXT(B1878,"yyyy-mm")</f>
        <v/>
      </c>
      <c r="T1878" s="17">
        <f>VLOOKUP(D1878,Customers!A:D,4,FALSE)</f>
        <v/>
      </c>
      <c r="U1878" s="17">
        <f>CONCATENATE(A1878,"-",G1878)</f>
        <v/>
      </c>
      <c r="V1878" s="17">
        <f>IF(N1878="","",IF(N1878&lt;=30,"Fast (&lt;30m)",IF(N1878&lt;=45,"Moderate (30-45m)","Delayed (&gt;45m)")))</f>
        <v/>
      </c>
      <c r="W1878" s="17">
        <f>IF(AND(I1878&gt;600,P1878="Delivered"),"High Value Delivered","Standard")</f>
        <v/>
      </c>
      <c r="X1878" s="17">
        <f>IF(OR(N1878&gt;50,Q1878&lt;=2),"High Risk / Delayed","Normal")</f>
        <v/>
      </c>
      <c r="Y1878" s="17">
        <f>IF(NOT(P1878="Cancelled"),"Fulfilled","Cancelled")</f>
        <v/>
      </c>
      <c r="Z1878" s="17">
        <f>IFERROR(Q1878,0)</f>
        <v/>
      </c>
    </row>
    <row r="1879">
      <c r="A1879" s="25" t="inlineStr">
        <is>
          <t>ORD2878</t>
        </is>
      </c>
      <c r="B1879" s="25" t="inlineStr">
        <is>
          <t>2025-10-02</t>
        </is>
      </c>
      <c r="C1879" s="25" t="inlineStr">
        <is>
          <t>18:00:06</t>
        </is>
      </c>
      <c r="D1879" s="25" t="n">
        <v>1012</v>
      </c>
      <c r="E1879" s="25" t="n">
        <v>120</v>
      </c>
      <c r="F1879" s="25" t="n">
        <v>214</v>
      </c>
      <c r="G1879" s="25" t="inlineStr">
        <is>
          <t>Pune</t>
        </is>
      </c>
      <c r="H1879" s="25" t="inlineStr">
        <is>
          <t>Fast Food</t>
        </is>
      </c>
      <c r="I1879" s="26" t="n">
        <v>955</v>
      </c>
      <c r="J1879" s="26" t="n">
        <v>144.8</v>
      </c>
      <c r="K1879" s="26" t="n">
        <v>0</v>
      </c>
      <c r="L1879" s="27" t="n">
        <v>0.18</v>
      </c>
      <c r="M1879" s="26" t="n">
        <v>171.9</v>
      </c>
      <c r="N1879" s="28" t="n">
        <v>9.199999999999999</v>
      </c>
      <c r="O1879" s="28" t="n">
        <v>44.2</v>
      </c>
      <c r="P1879" s="25" t="inlineStr">
        <is>
          <t>Cash on Delivery</t>
        </is>
      </c>
      <c r="Q1879" s="25" t="inlineStr">
        <is>
          <t>Delivered</t>
        </is>
      </c>
      <c r="R1879" s="25" t="n">
        <v>3</v>
      </c>
      <c r="S1879" s="25">
        <f>TEXT(B1879,"yyyy-mm")</f>
        <v/>
      </c>
      <c r="T1879" s="25">
        <f>VLOOKUP(D1879,Customers!A:D,4,FALSE)</f>
        <v/>
      </c>
      <c r="U1879" s="25">
        <f>CONCATENATE(A1879,"-",G1879)</f>
        <v/>
      </c>
      <c r="V1879" s="25">
        <f>IF(N1879="","",IF(N1879&lt;=30,"Fast (&lt;30m)",IF(N1879&lt;=45,"Moderate (30-45m)","Delayed (&gt;45m)")))</f>
        <v/>
      </c>
      <c r="W1879" s="25">
        <f>IF(AND(I1879&gt;600,P1879="Delivered"),"High Value Delivered","Standard")</f>
        <v/>
      </c>
      <c r="X1879" s="25">
        <f>IF(OR(N1879&gt;50,Q1879&lt;=2),"High Risk / Delayed","Normal")</f>
        <v/>
      </c>
      <c r="Y1879" s="25">
        <f>IF(NOT(P1879="Cancelled"),"Fulfilled","Cancelled")</f>
        <v/>
      </c>
      <c r="Z1879" s="25">
        <f>IFERROR(Q1879,0)</f>
        <v/>
      </c>
    </row>
    <row r="1880">
      <c r="A1880" s="17" t="inlineStr">
        <is>
          <t>ORD2879</t>
        </is>
      </c>
      <c r="B1880" s="17" t="inlineStr">
        <is>
          <t>2025-03-30</t>
        </is>
      </c>
      <c r="C1880" s="17" t="inlineStr">
        <is>
          <t>16:36:38</t>
        </is>
      </c>
      <c r="D1880" s="17" t="n">
        <v>1231</v>
      </c>
      <c r="E1880" s="17" t="n">
        <v>101</v>
      </c>
      <c r="F1880" s="17" t="n">
        <v>213</v>
      </c>
      <c r="G1880" s="17" t="inlineStr">
        <is>
          <t>Bangalore</t>
        </is>
      </c>
      <c r="H1880" s="17" t="inlineStr">
        <is>
          <t>North Indian</t>
        </is>
      </c>
      <c r="I1880" s="22" t="n">
        <v>586</v>
      </c>
      <c r="J1880" s="22" t="n">
        <v>47.52</v>
      </c>
      <c r="K1880" s="22" t="n">
        <v>26</v>
      </c>
      <c r="L1880" s="23" t="n">
        <v>0.2</v>
      </c>
      <c r="M1880" s="22" t="n">
        <v>123.7</v>
      </c>
      <c r="N1880" s="24" t="n">
        <v>3.2</v>
      </c>
      <c r="O1880" s="24" t="n">
        <v>37</v>
      </c>
      <c r="P1880" s="17" t="inlineStr">
        <is>
          <t>UPI</t>
        </is>
      </c>
      <c r="Q1880" s="17" t="inlineStr">
        <is>
          <t>Delivered</t>
        </is>
      </c>
      <c r="R1880" s="17" t="n">
        <v>2</v>
      </c>
      <c r="S1880" s="17">
        <f>TEXT(B1880,"yyyy-mm")</f>
        <v/>
      </c>
      <c r="T1880" s="17">
        <f>VLOOKUP(D1880,Customers!A:D,4,FALSE)</f>
        <v/>
      </c>
      <c r="U1880" s="17">
        <f>CONCATENATE(A1880,"-",G1880)</f>
        <v/>
      </c>
      <c r="V1880" s="17">
        <f>IF(N1880="","",IF(N1880&lt;=30,"Fast (&lt;30m)",IF(N1880&lt;=45,"Moderate (30-45m)","Delayed (&gt;45m)")))</f>
        <v/>
      </c>
      <c r="W1880" s="17">
        <f>IF(AND(I1880&gt;600,P1880="Delivered"),"High Value Delivered","Standard")</f>
        <v/>
      </c>
      <c r="X1880" s="17">
        <f>IF(OR(N1880&gt;50,Q1880&lt;=2),"High Risk / Delayed","Normal")</f>
        <v/>
      </c>
      <c r="Y1880" s="17">
        <f>IF(NOT(P1880="Cancelled"),"Fulfilled","Cancelled")</f>
        <v/>
      </c>
      <c r="Z1880" s="17">
        <f>IFERROR(Q1880,0)</f>
        <v/>
      </c>
    </row>
    <row r="1881">
      <c r="A1881" s="25" t="inlineStr">
        <is>
          <t>ORD2880</t>
        </is>
      </c>
      <c r="B1881" s="25" t="inlineStr">
        <is>
          <t>2025-07-29</t>
        </is>
      </c>
      <c r="C1881" s="25" t="inlineStr">
        <is>
          <t>17:50:16</t>
        </is>
      </c>
      <c r="D1881" s="25" t="n">
        <v>1220</v>
      </c>
      <c r="E1881" s="25" t="n">
        <v>114</v>
      </c>
      <c r="F1881" s="25" t="n">
        <v>216</v>
      </c>
      <c r="G1881" s="25" t="inlineStr">
        <is>
          <t>Hyderabad</t>
        </is>
      </c>
      <c r="H1881" s="25" t="inlineStr">
        <is>
          <t>Biryani</t>
        </is>
      </c>
      <c r="I1881" s="26" t="n">
        <v>388</v>
      </c>
      <c r="J1881" s="26" t="n">
        <v>36.74</v>
      </c>
      <c r="K1881" s="26" t="n">
        <v>27</v>
      </c>
      <c r="L1881" s="27" t="n">
        <v>0.22</v>
      </c>
      <c r="M1881" s="26" t="n">
        <v>92.11</v>
      </c>
      <c r="N1881" s="28" t="n">
        <v>3.4</v>
      </c>
      <c r="O1881" s="28" t="n">
        <v>27.3</v>
      </c>
      <c r="P1881" s="25" t="inlineStr">
        <is>
          <t>Credit Card</t>
        </is>
      </c>
      <c r="Q1881" s="25" t="inlineStr">
        <is>
          <t>Delivered</t>
        </is>
      </c>
      <c r="R1881" s="25" t="n">
        <v>5</v>
      </c>
      <c r="S1881" s="25">
        <f>TEXT(B1881,"yyyy-mm")</f>
        <v/>
      </c>
      <c r="T1881" s="25">
        <f>VLOOKUP(D1881,Customers!A:D,4,FALSE)</f>
        <v/>
      </c>
      <c r="U1881" s="25">
        <f>CONCATENATE(A1881,"-",G1881)</f>
        <v/>
      </c>
      <c r="V1881" s="25">
        <f>IF(N1881="","",IF(N1881&lt;=30,"Fast (&lt;30m)",IF(N1881&lt;=45,"Moderate (30-45m)","Delayed (&gt;45m)")))</f>
        <v/>
      </c>
      <c r="W1881" s="25">
        <f>IF(AND(I1881&gt;600,P1881="Delivered"),"High Value Delivered","Standard")</f>
        <v/>
      </c>
      <c r="X1881" s="25">
        <f>IF(OR(N1881&gt;50,Q1881&lt;=2),"High Risk / Delayed","Normal")</f>
        <v/>
      </c>
      <c r="Y1881" s="25">
        <f>IF(NOT(P1881="Cancelled"),"Fulfilled","Cancelled")</f>
        <v/>
      </c>
      <c r="Z1881" s="25">
        <f>IFERROR(Q1881,0)</f>
        <v/>
      </c>
    </row>
    <row r="1882">
      <c r="A1882" s="17" t="inlineStr">
        <is>
          <t>ORD2881</t>
        </is>
      </c>
      <c r="B1882" s="17" t="inlineStr">
        <is>
          <t>2025-04-15</t>
        </is>
      </c>
      <c r="C1882" s="17" t="inlineStr">
        <is>
          <t>12:33:16</t>
        </is>
      </c>
      <c r="D1882" s="17" t="n">
        <v>1260</v>
      </c>
      <c r="E1882" s="17" t="n">
        <v>110</v>
      </c>
      <c r="F1882" s="17" t="n">
        <v>209</v>
      </c>
      <c r="G1882" s="17" t="inlineStr">
        <is>
          <t>Pune</t>
        </is>
      </c>
      <c r="H1882" s="17" t="inlineStr">
        <is>
          <t>North Indian</t>
        </is>
      </c>
      <c r="I1882" s="22" t="n">
        <v>454</v>
      </c>
      <c r="J1882" s="22" t="n">
        <v>32.12</v>
      </c>
      <c r="K1882" s="22" t="n">
        <v>31.5</v>
      </c>
      <c r="L1882" s="23" t="n">
        <v>0.18</v>
      </c>
      <c r="M1882" s="22" t="n">
        <v>89.59999999999999</v>
      </c>
      <c r="N1882" s="24" t="n">
        <v>4.3</v>
      </c>
      <c r="O1882" s="24" t="n">
        <v>36.3</v>
      </c>
      <c r="P1882" s="17" t="inlineStr">
        <is>
          <t>Cash on Delivery</t>
        </is>
      </c>
      <c r="Q1882" s="17" t="inlineStr">
        <is>
          <t>Delivered</t>
        </is>
      </c>
      <c r="R1882" s="17" t="n">
        <v>3</v>
      </c>
      <c r="S1882" s="17">
        <f>TEXT(B1882,"yyyy-mm")</f>
        <v/>
      </c>
      <c r="T1882" s="17">
        <f>VLOOKUP(D1882,Customers!A:D,4,FALSE)</f>
        <v/>
      </c>
      <c r="U1882" s="17">
        <f>CONCATENATE(A1882,"-",G1882)</f>
        <v/>
      </c>
      <c r="V1882" s="17">
        <f>IF(N1882="","",IF(N1882&lt;=30,"Fast (&lt;30m)",IF(N1882&lt;=45,"Moderate (30-45m)","Delayed (&gt;45m)")))</f>
        <v/>
      </c>
      <c r="W1882" s="17">
        <f>IF(AND(I1882&gt;600,P1882="Delivered"),"High Value Delivered","Standard")</f>
        <v/>
      </c>
      <c r="X1882" s="17">
        <f>IF(OR(N1882&gt;50,Q1882&lt;=2),"High Risk / Delayed","Normal")</f>
        <v/>
      </c>
      <c r="Y1882" s="17">
        <f>IF(NOT(P1882="Cancelled"),"Fulfilled","Cancelled")</f>
        <v/>
      </c>
      <c r="Z1882" s="17">
        <f>IFERROR(Q1882,0)</f>
        <v/>
      </c>
    </row>
    <row r="1883">
      <c r="A1883" s="25" t="inlineStr">
        <is>
          <t>ORD2882</t>
        </is>
      </c>
      <c r="B1883" s="25" t="inlineStr">
        <is>
          <t>2025-08-25</t>
        </is>
      </c>
      <c r="C1883" s="25" t="inlineStr">
        <is>
          <t>20:35:22</t>
        </is>
      </c>
      <c r="D1883" s="25" t="n">
        <v>1239</v>
      </c>
      <c r="E1883" s="25" t="n">
        <v>115</v>
      </c>
      <c r="F1883" s="25" t="n">
        <v>210</v>
      </c>
      <c r="G1883" s="25" t="inlineStr">
        <is>
          <t>Bangalore</t>
        </is>
      </c>
      <c r="H1883" s="25" t="inlineStr">
        <is>
          <t>Italian</t>
        </is>
      </c>
      <c r="I1883" s="26" t="n">
        <v>870</v>
      </c>
      <c r="J1883" s="26" t="n">
        <v>53.78</v>
      </c>
      <c r="K1883" s="26" t="n">
        <v>41.5</v>
      </c>
      <c r="L1883" s="27" t="n">
        <v>0.2</v>
      </c>
      <c r="M1883" s="26" t="n">
        <v>184.38</v>
      </c>
      <c r="N1883" s="28" t="n">
        <v>6.3</v>
      </c>
      <c r="O1883" s="28" t="n">
        <v>46</v>
      </c>
      <c r="P1883" s="25" t="inlineStr">
        <is>
          <t>Digital Wallet</t>
        </is>
      </c>
      <c r="Q1883" s="25" t="inlineStr">
        <is>
          <t>Delivered</t>
        </is>
      </c>
      <c r="R1883" s="25" t="n">
        <v>2</v>
      </c>
      <c r="S1883" s="25">
        <f>TEXT(B1883,"yyyy-mm")</f>
        <v/>
      </c>
      <c r="T1883" s="25">
        <f>VLOOKUP(D1883,Customers!A:D,4,FALSE)</f>
        <v/>
      </c>
      <c r="U1883" s="25">
        <f>CONCATENATE(A1883,"-",G1883)</f>
        <v/>
      </c>
      <c r="V1883" s="25">
        <f>IF(N1883="","",IF(N1883&lt;=30,"Fast (&lt;30m)",IF(N1883&lt;=45,"Moderate (30-45m)","Delayed (&gt;45m)")))</f>
        <v/>
      </c>
      <c r="W1883" s="25">
        <f>IF(AND(I1883&gt;600,P1883="Delivered"),"High Value Delivered","Standard")</f>
        <v/>
      </c>
      <c r="X1883" s="25">
        <f>IF(OR(N1883&gt;50,Q1883&lt;=2),"High Risk / Delayed","Normal")</f>
        <v/>
      </c>
      <c r="Y1883" s="25">
        <f>IF(NOT(P1883="Cancelled"),"Fulfilled","Cancelled")</f>
        <v/>
      </c>
      <c r="Z1883" s="25">
        <f>IFERROR(Q1883,0)</f>
        <v/>
      </c>
    </row>
    <row r="1884">
      <c r="A1884" s="17" t="inlineStr">
        <is>
          <t>ORD2883</t>
        </is>
      </c>
      <c r="B1884" s="17" t="inlineStr">
        <is>
          <t>2025-03-07</t>
        </is>
      </c>
      <c r="C1884" s="17" t="inlineStr">
        <is>
          <t>13:07:42</t>
        </is>
      </c>
      <c r="D1884" s="17" t="n">
        <v>1030</v>
      </c>
      <c r="E1884" s="17" t="n">
        <v>102</v>
      </c>
      <c r="F1884" s="17" t="n">
        <v>216</v>
      </c>
      <c r="G1884" s="17" t="inlineStr">
        <is>
          <t>Hyderabad</t>
        </is>
      </c>
      <c r="H1884" s="17" t="inlineStr">
        <is>
          <t>Biryani</t>
        </is>
      </c>
      <c r="I1884" s="22" t="n">
        <v>790</v>
      </c>
      <c r="J1884" s="22" t="n">
        <v>14.7</v>
      </c>
      <c r="K1884" s="22" t="n">
        <v>63.5</v>
      </c>
      <c r="L1884" s="23" t="n">
        <v>0.22</v>
      </c>
      <c r="M1884" s="22" t="n">
        <v>189.68</v>
      </c>
      <c r="N1884" s="24" t="n">
        <v>10.7</v>
      </c>
      <c r="O1884" s="24" t="n">
        <v>55.9</v>
      </c>
      <c r="P1884" s="17" t="inlineStr">
        <is>
          <t>Debit Card</t>
        </is>
      </c>
      <c r="Q1884" s="17" t="inlineStr">
        <is>
          <t>Delivered</t>
        </is>
      </c>
      <c r="R1884" s="17" t="n">
        <v>2</v>
      </c>
      <c r="S1884" s="17">
        <f>TEXT(B1884,"yyyy-mm")</f>
        <v/>
      </c>
      <c r="T1884" s="17">
        <f>VLOOKUP(D1884,Customers!A:D,4,FALSE)</f>
        <v/>
      </c>
      <c r="U1884" s="17">
        <f>CONCATENATE(A1884,"-",G1884)</f>
        <v/>
      </c>
      <c r="V1884" s="17">
        <f>IF(N1884="","",IF(N1884&lt;=30,"Fast (&lt;30m)",IF(N1884&lt;=45,"Moderate (30-45m)","Delayed (&gt;45m)")))</f>
        <v/>
      </c>
      <c r="W1884" s="17">
        <f>IF(AND(I1884&gt;600,P1884="Delivered"),"High Value Delivered","Standard")</f>
        <v/>
      </c>
      <c r="X1884" s="17">
        <f>IF(OR(N1884&gt;50,Q1884&lt;=2),"High Risk / Delayed","Normal")</f>
        <v/>
      </c>
      <c r="Y1884" s="17">
        <f>IF(NOT(P1884="Cancelled"),"Fulfilled","Cancelled")</f>
        <v/>
      </c>
      <c r="Z1884" s="17">
        <f>IFERROR(Q1884,0)</f>
        <v/>
      </c>
    </row>
    <row r="1885">
      <c r="A1885" s="25" t="inlineStr">
        <is>
          <t>ORD2884</t>
        </is>
      </c>
      <c r="B1885" s="25" t="inlineStr">
        <is>
          <t>2025-01-17</t>
        </is>
      </c>
      <c r="C1885" s="25" t="inlineStr">
        <is>
          <t>20:43:27</t>
        </is>
      </c>
      <c r="D1885" s="25" t="n">
        <v>1256</v>
      </c>
      <c r="E1885" s="25" t="n">
        <v>105</v>
      </c>
      <c r="F1885" s="25" t="n">
        <v>218</v>
      </c>
      <c r="G1885" s="25" t="inlineStr">
        <is>
          <t>Bangalore</t>
        </is>
      </c>
      <c r="H1885" s="25" t="inlineStr">
        <is>
          <t>Chinese</t>
        </is>
      </c>
      <c r="I1885" s="26" t="n">
        <v>480</v>
      </c>
      <c r="J1885" s="26" t="n">
        <v>0</v>
      </c>
      <c r="K1885" s="26" t="n">
        <v>29</v>
      </c>
      <c r="L1885" s="27" t="n">
        <v>0.2</v>
      </c>
      <c r="M1885" s="26" t="n">
        <v>103.25</v>
      </c>
      <c r="N1885" s="28" t="n">
        <v>3.8</v>
      </c>
      <c r="O1885" s="28" t="n">
        <v>35.1</v>
      </c>
      <c r="P1885" s="25" t="inlineStr">
        <is>
          <t>Cash on Delivery</t>
        </is>
      </c>
      <c r="Q1885" s="25" t="inlineStr">
        <is>
          <t>Delivered</t>
        </is>
      </c>
      <c r="R1885" s="25" t="n">
        <v>4</v>
      </c>
      <c r="S1885" s="25">
        <f>TEXT(B1885,"yyyy-mm")</f>
        <v/>
      </c>
      <c r="T1885" s="25">
        <f>VLOOKUP(D1885,Customers!A:D,4,FALSE)</f>
        <v/>
      </c>
      <c r="U1885" s="25">
        <f>CONCATENATE(A1885,"-",G1885)</f>
        <v/>
      </c>
      <c r="V1885" s="25">
        <f>IF(N1885="","",IF(N1885&lt;=30,"Fast (&lt;30m)",IF(N1885&lt;=45,"Moderate (30-45m)","Delayed (&gt;45m)")))</f>
        <v/>
      </c>
      <c r="W1885" s="25">
        <f>IF(AND(I1885&gt;600,P1885="Delivered"),"High Value Delivered","Standard")</f>
        <v/>
      </c>
      <c r="X1885" s="25">
        <f>IF(OR(N1885&gt;50,Q1885&lt;=2),"High Risk / Delayed","Normal")</f>
        <v/>
      </c>
      <c r="Y1885" s="25">
        <f>IF(NOT(P1885="Cancelled"),"Fulfilled","Cancelled")</f>
        <v/>
      </c>
      <c r="Z1885" s="25">
        <f>IFERROR(Q1885,0)</f>
        <v/>
      </c>
    </row>
    <row r="1886">
      <c r="A1886" s="17" t="inlineStr">
        <is>
          <t>ORD2885</t>
        </is>
      </c>
      <c r="B1886" s="17" t="inlineStr">
        <is>
          <t>2025-02-09</t>
        </is>
      </c>
      <c r="C1886" s="17" t="inlineStr">
        <is>
          <t>14:07:08</t>
        </is>
      </c>
      <c r="D1886" s="17" t="n">
        <v>1144</v>
      </c>
      <c r="E1886" s="17" t="n">
        <v>101</v>
      </c>
      <c r="F1886" s="17" t="n">
        <v>218</v>
      </c>
      <c r="G1886" s="17" t="inlineStr">
        <is>
          <t>Bangalore</t>
        </is>
      </c>
      <c r="H1886" s="17" t="inlineStr">
        <is>
          <t>North Indian</t>
        </is>
      </c>
      <c r="I1886" s="22" t="n">
        <v>418</v>
      </c>
      <c r="J1886" s="22" t="n">
        <v>0</v>
      </c>
      <c r="K1886" s="22" t="n">
        <v>25</v>
      </c>
      <c r="L1886" s="23" t="n">
        <v>0.2</v>
      </c>
      <c r="M1886" s="22" t="n">
        <v>89.84999999999999</v>
      </c>
      <c r="N1886" s="24" t="n">
        <v>2.2</v>
      </c>
      <c r="O1886" s="24" t="n">
        <v>28.6</v>
      </c>
      <c r="P1886" s="17" t="inlineStr">
        <is>
          <t>Cash on Delivery</t>
        </is>
      </c>
      <c r="Q1886" s="17" t="inlineStr">
        <is>
          <t>Delivered</t>
        </is>
      </c>
      <c r="R1886" s="17" t="n">
        <v>4</v>
      </c>
      <c r="S1886" s="17">
        <f>TEXT(B1886,"yyyy-mm")</f>
        <v/>
      </c>
      <c r="T1886" s="17">
        <f>VLOOKUP(D1886,Customers!A:D,4,FALSE)</f>
        <v/>
      </c>
      <c r="U1886" s="17">
        <f>CONCATENATE(A1886,"-",G1886)</f>
        <v/>
      </c>
      <c r="V1886" s="17">
        <f>IF(N1886="","",IF(N1886&lt;=30,"Fast (&lt;30m)",IF(N1886&lt;=45,"Moderate (30-45m)","Delayed (&gt;45m)")))</f>
        <v/>
      </c>
      <c r="W1886" s="17">
        <f>IF(AND(I1886&gt;600,P1886="Delivered"),"High Value Delivered","Standard")</f>
        <v/>
      </c>
      <c r="X1886" s="17">
        <f>IF(OR(N1886&gt;50,Q1886&lt;=2),"High Risk / Delayed","Normal")</f>
        <v/>
      </c>
      <c r="Y1886" s="17">
        <f>IF(NOT(P1886="Cancelled"),"Fulfilled","Cancelled")</f>
        <v/>
      </c>
      <c r="Z1886" s="17">
        <f>IFERROR(Q1886,0)</f>
        <v/>
      </c>
    </row>
    <row r="1887">
      <c r="A1887" s="25" t="inlineStr">
        <is>
          <t>ORD2886</t>
        </is>
      </c>
      <c r="B1887" s="25" t="inlineStr">
        <is>
          <t>2025-08-19</t>
        </is>
      </c>
      <c r="C1887" s="25" t="inlineStr">
        <is>
          <t>13:28:57</t>
        </is>
      </c>
      <c r="D1887" s="25" t="n">
        <v>1008</v>
      </c>
      <c r="E1887" s="25" t="n">
        <v>113</v>
      </c>
      <c r="F1887" s="25" t="n">
        <v>229</v>
      </c>
      <c r="G1887" s="25" t="inlineStr">
        <is>
          <t>Mumbai</t>
        </is>
      </c>
      <c r="H1887" s="25" t="inlineStr">
        <is>
          <t>Fast Food</t>
        </is>
      </c>
      <c r="I1887" s="26" t="n">
        <v>922</v>
      </c>
      <c r="J1887" s="26" t="n">
        <v>111.22</v>
      </c>
      <c r="K1887" s="26" t="n">
        <v>0</v>
      </c>
      <c r="L1887" s="27" t="n">
        <v>0.18</v>
      </c>
      <c r="M1887" s="26" t="n">
        <v>165.96</v>
      </c>
      <c r="N1887" s="28" t="n">
        <v>1.9</v>
      </c>
      <c r="O1887" s="28" t="n">
        <v>28.3</v>
      </c>
      <c r="P1887" s="25" t="inlineStr">
        <is>
          <t>Credit Card</t>
        </is>
      </c>
      <c r="Q1887" s="25" t="inlineStr">
        <is>
          <t>Delivered</t>
        </is>
      </c>
      <c r="R1887" s="25" t="n">
        <v>5</v>
      </c>
      <c r="S1887" s="25">
        <f>TEXT(B1887,"yyyy-mm")</f>
        <v/>
      </c>
      <c r="T1887" s="25">
        <f>VLOOKUP(D1887,Customers!A:D,4,FALSE)</f>
        <v/>
      </c>
      <c r="U1887" s="25">
        <f>CONCATENATE(A1887,"-",G1887)</f>
        <v/>
      </c>
      <c r="V1887" s="25">
        <f>IF(N1887="","",IF(N1887&lt;=30,"Fast (&lt;30m)",IF(N1887&lt;=45,"Moderate (30-45m)","Delayed (&gt;45m)")))</f>
        <v/>
      </c>
      <c r="W1887" s="25">
        <f>IF(AND(I1887&gt;600,P1887="Delivered"),"High Value Delivered","Standard")</f>
        <v/>
      </c>
      <c r="X1887" s="25">
        <f>IF(OR(N1887&gt;50,Q1887&lt;=2),"High Risk / Delayed","Normal")</f>
        <v/>
      </c>
      <c r="Y1887" s="25">
        <f>IF(NOT(P1887="Cancelled"),"Fulfilled","Cancelled")</f>
        <v/>
      </c>
      <c r="Z1887" s="25">
        <f>IFERROR(Q1887,0)</f>
        <v/>
      </c>
    </row>
    <row r="1888">
      <c r="A1888" s="17" t="inlineStr">
        <is>
          <t>ORD2887</t>
        </is>
      </c>
      <c r="B1888" s="17" t="inlineStr">
        <is>
          <t>2025-04-09</t>
        </is>
      </c>
      <c r="C1888" s="17" t="inlineStr">
        <is>
          <t>21:55:53</t>
        </is>
      </c>
      <c r="D1888" s="17" t="n">
        <v>1028</v>
      </c>
      <c r="E1888" s="17" t="n">
        <v>102</v>
      </c>
      <c r="F1888" s="17" t="n">
        <v>216</v>
      </c>
      <c r="G1888" s="17" t="inlineStr">
        <is>
          <t>Hyderabad</t>
        </is>
      </c>
      <c r="H1888" s="17" t="inlineStr">
        <is>
          <t>Biryani</t>
        </is>
      </c>
      <c r="I1888" s="22" t="n">
        <v>788</v>
      </c>
      <c r="J1888" s="22" t="n">
        <v>43.19</v>
      </c>
      <c r="K1888" s="22" t="n">
        <v>25</v>
      </c>
      <c r="L1888" s="23" t="n">
        <v>0.22</v>
      </c>
      <c r="M1888" s="22" t="n">
        <v>179.61</v>
      </c>
      <c r="N1888" s="24" t="n">
        <v>2.7</v>
      </c>
      <c r="O1888" s="24" t="n">
        <v>31.8</v>
      </c>
      <c r="P1888" s="17" t="inlineStr">
        <is>
          <t>Cash on Delivery</t>
        </is>
      </c>
      <c r="Q1888" s="17" t="inlineStr">
        <is>
          <t>Delivered</t>
        </is>
      </c>
      <c r="R1888" s="17" t="n">
        <v>4</v>
      </c>
      <c r="S1888" s="17">
        <f>TEXT(B1888,"yyyy-mm")</f>
        <v/>
      </c>
      <c r="T1888" s="17">
        <f>VLOOKUP(D1888,Customers!A:D,4,FALSE)</f>
        <v/>
      </c>
      <c r="U1888" s="17">
        <f>CONCATENATE(A1888,"-",G1888)</f>
        <v/>
      </c>
      <c r="V1888" s="17">
        <f>IF(N1888="","",IF(N1888&lt;=30,"Fast (&lt;30m)",IF(N1888&lt;=45,"Moderate (30-45m)","Delayed (&gt;45m)")))</f>
        <v/>
      </c>
      <c r="W1888" s="17">
        <f>IF(AND(I1888&gt;600,P1888="Delivered"),"High Value Delivered","Standard")</f>
        <v/>
      </c>
      <c r="X1888" s="17">
        <f>IF(OR(N1888&gt;50,Q1888&lt;=2),"High Risk / Delayed","Normal")</f>
        <v/>
      </c>
      <c r="Y1888" s="17">
        <f>IF(NOT(P1888="Cancelled"),"Fulfilled","Cancelled")</f>
        <v/>
      </c>
      <c r="Z1888" s="17">
        <f>IFERROR(Q1888,0)</f>
        <v/>
      </c>
    </row>
    <row r="1889">
      <c r="A1889" s="25" t="inlineStr">
        <is>
          <t>ORD2888</t>
        </is>
      </c>
      <c r="B1889" s="25" t="inlineStr">
        <is>
          <t>2025-02-04</t>
        </is>
      </c>
      <c r="C1889" s="25" t="inlineStr">
        <is>
          <t>13:38:50</t>
        </is>
      </c>
      <c r="D1889" s="25" t="n">
        <v>1113</v>
      </c>
      <c r="E1889" s="25" t="n">
        <v>101</v>
      </c>
      <c r="F1889" s="25" t="n">
        <v>220</v>
      </c>
      <c r="G1889" s="25" t="inlineStr">
        <is>
          <t>Bangalore</t>
        </is>
      </c>
      <c r="H1889" s="25" t="inlineStr">
        <is>
          <t>North Indian</t>
        </is>
      </c>
      <c r="I1889" s="26" t="n">
        <v>962</v>
      </c>
      <c r="J1889" s="26" t="n">
        <v>119.96</v>
      </c>
      <c r="K1889" s="26" t="n">
        <v>0</v>
      </c>
      <c r="L1889" s="27" t="n">
        <v>0.2</v>
      </c>
      <c r="M1889" s="26" t="n">
        <v>192.4</v>
      </c>
      <c r="N1889" s="28" t="n">
        <v>4.5</v>
      </c>
      <c r="O1889" s="28" t="n">
        <v>30.6</v>
      </c>
      <c r="P1889" s="25" t="inlineStr">
        <is>
          <t>Debit Card</t>
        </is>
      </c>
      <c r="Q1889" s="25" t="inlineStr">
        <is>
          <t>Delivered</t>
        </is>
      </c>
      <c r="R1889" s="25" t="n">
        <v>4</v>
      </c>
      <c r="S1889" s="25">
        <f>TEXT(B1889,"yyyy-mm")</f>
        <v/>
      </c>
      <c r="T1889" s="25">
        <f>VLOOKUP(D1889,Customers!A:D,4,FALSE)</f>
        <v/>
      </c>
      <c r="U1889" s="25">
        <f>CONCATENATE(A1889,"-",G1889)</f>
        <v/>
      </c>
      <c r="V1889" s="25">
        <f>IF(N1889="","",IF(N1889&lt;=30,"Fast (&lt;30m)",IF(N1889&lt;=45,"Moderate (30-45m)","Delayed (&gt;45m)")))</f>
        <v/>
      </c>
      <c r="W1889" s="25">
        <f>IF(AND(I1889&gt;600,P1889="Delivered"),"High Value Delivered","Standard")</f>
        <v/>
      </c>
      <c r="X1889" s="25">
        <f>IF(OR(N1889&gt;50,Q1889&lt;=2),"High Risk / Delayed","Normal")</f>
        <v/>
      </c>
      <c r="Y1889" s="25">
        <f>IF(NOT(P1889="Cancelled"),"Fulfilled","Cancelled")</f>
        <v/>
      </c>
      <c r="Z1889" s="25">
        <f>IFERROR(Q1889,0)</f>
        <v/>
      </c>
    </row>
    <row r="1890">
      <c r="A1890" s="17" t="inlineStr">
        <is>
          <t>ORD2889</t>
        </is>
      </c>
      <c r="B1890" s="17" t="inlineStr">
        <is>
          <t>2025-11-08</t>
        </is>
      </c>
      <c r="C1890" s="17" t="inlineStr">
        <is>
          <t>19:50:14</t>
        </is>
      </c>
      <c r="D1890" s="17" t="n">
        <v>1050</v>
      </c>
      <c r="E1890" s="17" t="n">
        <v>106</v>
      </c>
      <c r="F1890" s="17" t="n">
        <v>214</v>
      </c>
      <c r="G1890" s="17" t="inlineStr">
        <is>
          <t>Pune</t>
        </is>
      </c>
      <c r="H1890" s="17" t="inlineStr">
        <is>
          <t>South Indian</t>
        </is>
      </c>
      <c r="I1890" s="22" t="n">
        <v>552</v>
      </c>
      <c r="J1890" s="22" t="n">
        <v>22.21</v>
      </c>
      <c r="K1890" s="22" t="n">
        <v>29</v>
      </c>
      <c r="L1890" s="23" t="n">
        <v>0.15</v>
      </c>
      <c r="M1890" s="22" t="n">
        <v>90.05</v>
      </c>
      <c r="N1890" s="24" t="n">
        <v>3.8</v>
      </c>
      <c r="O1890" s="24" t="n">
        <v>30.7</v>
      </c>
      <c r="P1890" s="17" t="inlineStr">
        <is>
          <t>Digital Wallet</t>
        </is>
      </c>
      <c r="Q1890" s="17" t="inlineStr">
        <is>
          <t>Delivered</t>
        </is>
      </c>
      <c r="R1890" s="17" t="n">
        <v>5</v>
      </c>
      <c r="S1890" s="17">
        <f>TEXT(B1890,"yyyy-mm")</f>
        <v/>
      </c>
      <c r="T1890" s="17">
        <f>VLOOKUP(D1890,Customers!A:D,4,FALSE)</f>
        <v/>
      </c>
      <c r="U1890" s="17">
        <f>CONCATENATE(A1890,"-",G1890)</f>
        <v/>
      </c>
      <c r="V1890" s="17">
        <f>IF(N1890="","",IF(N1890&lt;=30,"Fast (&lt;30m)",IF(N1890&lt;=45,"Moderate (30-45m)","Delayed (&gt;45m)")))</f>
        <v/>
      </c>
      <c r="W1890" s="17">
        <f>IF(AND(I1890&gt;600,P1890="Delivered"),"High Value Delivered","Standard")</f>
        <v/>
      </c>
      <c r="X1890" s="17">
        <f>IF(OR(N1890&gt;50,Q1890&lt;=2),"High Risk / Delayed","Normal")</f>
        <v/>
      </c>
      <c r="Y1890" s="17">
        <f>IF(NOT(P1890="Cancelled"),"Fulfilled","Cancelled")</f>
        <v/>
      </c>
      <c r="Z1890" s="17">
        <f>IFERROR(Q1890,0)</f>
        <v/>
      </c>
    </row>
    <row r="1891">
      <c r="A1891" s="25" t="inlineStr">
        <is>
          <t>ORD2890</t>
        </is>
      </c>
      <c r="B1891" s="25" t="inlineStr">
        <is>
          <t>2025-04-28</t>
        </is>
      </c>
      <c r="C1891" s="25" t="inlineStr">
        <is>
          <t>19:56:19</t>
        </is>
      </c>
      <c r="D1891" s="25" t="n">
        <v>1192</v>
      </c>
      <c r="E1891" s="25" t="n">
        <v>101</v>
      </c>
      <c r="F1891" s="25" t="n">
        <v>213</v>
      </c>
      <c r="G1891" s="25" t="inlineStr">
        <is>
          <t>Bangalore</t>
        </is>
      </c>
      <c r="H1891" s="25" t="inlineStr">
        <is>
          <t>North Indian</t>
        </is>
      </c>
      <c r="I1891" s="26" t="n">
        <v>341</v>
      </c>
      <c r="J1891" s="26" t="n">
        <v>63.35</v>
      </c>
      <c r="K1891" s="26" t="n">
        <v>26.5</v>
      </c>
      <c r="L1891" s="27" t="n">
        <v>0.2</v>
      </c>
      <c r="M1891" s="26" t="n">
        <v>74.81999999999999</v>
      </c>
      <c r="N1891" s="28" t="n">
        <v>3.3</v>
      </c>
      <c r="O1891" s="28" t="n">
        <v>33.8</v>
      </c>
      <c r="P1891" s="25" t="inlineStr">
        <is>
          <t>UPI</t>
        </is>
      </c>
      <c r="Q1891" s="25" t="inlineStr">
        <is>
          <t>Delivered</t>
        </is>
      </c>
      <c r="R1891" s="25" t="n">
        <v>5</v>
      </c>
      <c r="S1891" s="25">
        <f>TEXT(B1891,"yyyy-mm")</f>
        <v/>
      </c>
      <c r="T1891" s="25">
        <f>VLOOKUP(D1891,Customers!A:D,4,FALSE)</f>
        <v/>
      </c>
      <c r="U1891" s="25">
        <f>CONCATENATE(A1891,"-",G1891)</f>
        <v/>
      </c>
      <c r="V1891" s="25">
        <f>IF(N1891="","",IF(N1891&lt;=30,"Fast (&lt;30m)",IF(N1891&lt;=45,"Moderate (30-45m)","Delayed (&gt;45m)")))</f>
        <v/>
      </c>
      <c r="W1891" s="25">
        <f>IF(AND(I1891&gt;600,P1891="Delivered"),"High Value Delivered","Standard")</f>
        <v/>
      </c>
      <c r="X1891" s="25">
        <f>IF(OR(N1891&gt;50,Q1891&lt;=2),"High Risk / Delayed","Normal")</f>
        <v/>
      </c>
      <c r="Y1891" s="25">
        <f>IF(NOT(P1891="Cancelled"),"Fulfilled","Cancelled")</f>
        <v/>
      </c>
      <c r="Z1891" s="25">
        <f>IFERROR(Q1891,0)</f>
        <v/>
      </c>
    </row>
    <row r="1892">
      <c r="A1892" s="17" t="inlineStr">
        <is>
          <t>ORD2891</t>
        </is>
      </c>
      <c r="B1892" s="17" t="inlineStr">
        <is>
          <t>2025-08-31</t>
        </is>
      </c>
      <c r="C1892" s="17" t="inlineStr">
        <is>
          <t>12:32:18</t>
        </is>
      </c>
      <c r="D1892" s="17" t="n">
        <v>1057</v>
      </c>
      <c r="E1892" s="17" t="n">
        <v>103</v>
      </c>
      <c r="F1892" s="17" t="n">
        <v>222</v>
      </c>
      <c r="G1892" s="17" t="inlineStr">
        <is>
          <t>Mumbai</t>
        </is>
      </c>
      <c r="H1892" s="17" t="inlineStr">
        <is>
          <t>Italian</t>
        </is>
      </c>
      <c r="I1892" s="22" t="n">
        <v>746</v>
      </c>
      <c r="J1892" s="22" t="n">
        <v>50.28</v>
      </c>
      <c r="K1892" s="22" t="n">
        <v>40</v>
      </c>
      <c r="L1892" s="23" t="n">
        <v>0.18</v>
      </c>
      <c r="M1892" s="22" t="n">
        <v>144.28</v>
      </c>
      <c r="N1892" s="24" t="n">
        <v>6</v>
      </c>
      <c r="O1892" s="24" t="n">
        <v>42.9</v>
      </c>
      <c r="P1892" s="17" t="inlineStr">
        <is>
          <t>Credit Card</t>
        </is>
      </c>
      <c r="Q1892" s="17" t="inlineStr">
        <is>
          <t>Delivered</t>
        </is>
      </c>
      <c r="R1892" s="17" t="n">
        <v>2</v>
      </c>
      <c r="S1892" s="17">
        <f>TEXT(B1892,"yyyy-mm")</f>
        <v/>
      </c>
      <c r="T1892" s="17">
        <f>VLOOKUP(D1892,Customers!A:D,4,FALSE)</f>
        <v/>
      </c>
      <c r="U1892" s="17">
        <f>CONCATENATE(A1892,"-",G1892)</f>
        <v/>
      </c>
      <c r="V1892" s="17">
        <f>IF(N1892="","",IF(N1892&lt;=30,"Fast (&lt;30m)",IF(N1892&lt;=45,"Moderate (30-45m)","Delayed (&gt;45m)")))</f>
        <v/>
      </c>
      <c r="W1892" s="17">
        <f>IF(AND(I1892&gt;600,P1892="Delivered"),"High Value Delivered","Standard")</f>
        <v/>
      </c>
      <c r="X1892" s="17">
        <f>IF(OR(N1892&gt;50,Q1892&lt;=2),"High Risk / Delayed","Normal")</f>
        <v/>
      </c>
      <c r="Y1892" s="17">
        <f>IF(NOT(P1892="Cancelled"),"Fulfilled","Cancelled")</f>
        <v/>
      </c>
      <c r="Z1892" s="17">
        <f>IFERROR(Q1892,0)</f>
        <v/>
      </c>
    </row>
    <row r="1893">
      <c r="A1893" s="25" t="inlineStr">
        <is>
          <t>ORD2892</t>
        </is>
      </c>
      <c r="B1893" s="25" t="inlineStr">
        <is>
          <t>2025-12-10</t>
        </is>
      </c>
      <c r="C1893" s="25" t="inlineStr">
        <is>
          <t>20:23:16</t>
        </is>
      </c>
      <c r="D1893" s="25" t="n">
        <v>1193</v>
      </c>
      <c r="E1893" s="25" t="n">
        <v>112</v>
      </c>
      <c r="F1893" s="25" t="n">
        <v>219</v>
      </c>
      <c r="G1893" s="25" t="inlineStr">
        <is>
          <t>Delhi NCR</t>
        </is>
      </c>
      <c r="H1893" s="25" t="inlineStr">
        <is>
          <t>North Indian</t>
        </is>
      </c>
      <c r="I1893" s="26" t="n">
        <v>697</v>
      </c>
      <c r="J1893" s="26" t="n">
        <v>73.43000000000001</v>
      </c>
      <c r="K1893" s="26" t="n">
        <v>0</v>
      </c>
      <c r="L1893" s="27" t="n">
        <v>0.22</v>
      </c>
      <c r="M1893" s="26" t="n">
        <v>153.34</v>
      </c>
      <c r="N1893" s="28" t="n">
        <v>3.6</v>
      </c>
      <c r="O1893" s="28" t="n">
        <v>32.4</v>
      </c>
      <c r="P1893" s="25" t="inlineStr">
        <is>
          <t>Digital Wallet</t>
        </is>
      </c>
      <c r="Q1893" s="25" t="inlineStr">
        <is>
          <t>Delivered</t>
        </is>
      </c>
      <c r="R1893" s="25" t="n">
        <v>5</v>
      </c>
      <c r="S1893" s="25">
        <f>TEXT(B1893,"yyyy-mm")</f>
        <v/>
      </c>
      <c r="T1893" s="25">
        <f>VLOOKUP(D1893,Customers!A:D,4,FALSE)</f>
        <v/>
      </c>
      <c r="U1893" s="25">
        <f>CONCATENATE(A1893,"-",G1893)</f>
        <v/>
      </c>
      <c r="V1893" s="25">
        <f>IF(N1893="","",IF(N1893&lt;=30,"Fast (&lt;30m)",IF(N1893&lt;=45,"Moderate (30-45m)","Delayed (&gt;45m)")))</f>
        <v/>
      </c>
      <c r="W1893" s="25">
        <f>IF(AND(I1893&gt;600,P1893="Delivered"),"High Value Delivered","Standard")</f>
        <v/>
      </c>
      <c r="X1893" s="25">
        <f>IF(OR(N1893&gt;50,Q1893&lt;=2),"High Risk / Delayed","Normal")</f>
        <v/>
      </c>
      <c r="Y1893" s="25">
        <f>IF(NOT(P1893="Cancelled"),"Fulfilled","Cancelled")</f>
        <v/>
      </c>
      <c r="Z1893" s="25">
        <f>IFERROR(Q1893,0)</f>
        <v/>
      </c>
    </row>
    <row r="1894">
      <c r="A1894" s="17" t="inlineStr">
        <is>
          <t>ORD2893</t>
        </is>
      </c>
      <c r="B1894" s="17" t="inlineStr">
        <is>
          <t>2025-11-05</t>
        </is>
      </c>
      <c r="C1894" s="17" t="inlineStr">
        <is>
          <t>17:39:13</t>
        </is>
      </c>
      <c r="D1894" s="17" t="n">
        <v>1296</v>
      </c>
      <c r="E1894" s="17" t="n">
        <v>108</v>
      </c>
      <c r="F1894" s="17" t="n">
        <v>219</v>
      </c>
      <c r="G1894" s="17" t="inlineStr">
        <is>
          <t>Delhi NCR</t>
        </is>
      </c>
      <c r="H1894" s="17" t="inlineStr">
        <is>
          <t>Fast Food</t>
        </is>
      </c>
      <c r="I1894" s="22" t="n">
        <v>681</v>
      </c>
      <c r="J1894" s="22" t="n">
        <v>30.1</v>
      </c>
      <c r="K1894" s="22" t="n">
        <v>31.5</v>
      </c>
      <c r="L1894" s="23" t="n">
        <v>0.18</v>
      </c>
      <c r="M1894" s="22" t="n">
        <v>130.45</v>
      </c>
      <c r="N1894" s="24" t="n">
        <v>4.3</v>
      </c>
      <c r="O1894" s="24" t="n">
        <v>24.9</v>
      </c>
      <c r="P1894" s="17" t="inlineStr">
        <is>
          <t>Debit Card</t>
        </is>
      </c>
      <c r="Q1894" s="17" t="inlineStr">
        <is>
          <t>Delivered</t>
        </is>
      </c>
      <c r="R1894" s="17" t="n">
        <v>4</v>
      </c>
      <c r="S1894" s="17">
        <f>TEXT(B1894,"yyyy-mm")</f>
        <v/>
      </c>
      <c r="T1894" s="17">
        <f>VLOOKUP(D1894,Customers!A:D,4,FALSE)</f>
        <v/>
      </c>
      <c r="U1894" s="17">
        <f>CONCATENATE(A1894,"-",G1894)</f>
        <v/>
      </c>
      <c r="V1894" s="17">
        <f>IF(N1894="","",IF(N1894&lt;=30,"Fast (&lt;30m)",IF(N1894&lt;=45,"Moderate (30-45m)","Delayed (&gt;45m)")))</f>
        <v/>
      </c>
      <c r="W1894" s="17">
        <f>IF(AND(I1894&gt;600,P1894="Delivered"),"High Value Delivered","Standard")</f>
        <v/>
      </c>
      <c r="X1894" s="17">
        <f>IF(OR(N1894&gt;50,Q1894&lt;=2),"High Risk / Delayed","Normal")</f>
        <v/>
      </c>
      <c r="Y1894" s="17">
        <f>IF(NOT(P1894="Cancelled"),"Fulfilled","Cancelled")</f>
        <v/>
      </c>
      <c r="Z1894" s="17">
        <f>IFERROR(Q1894,0)</f>
        <v/>
      </c>
    </row>
    <row r="1895">
      <c r="A1895" s="25" t="inlineStr">
        <is>
          <t>ORD2894</t>
        </is>
      </c>
      <c r="B1895" s="25" t="inlineStr">
        <is>
          <t>2025-03-17</t>
        </is>
      </c>
      <c r="C1895" s="25" t="inlineStr">
        <is>
          <t>20:34:29</t>
        </is>
      </c>
      <c r="D1895" s="25" t="n">
        <v>1123</v>
      </c>
      <c r="E1895" s="25" t="n">
        <v>101</v>
      </c>
      <c r="F1895" s="25" t="n">
        <v>213</v>
      </c>
      <c r="G1895" s="25" t="inlineStr">
        <is>
          <t>Bangalore</t>
        </is>
      </c>
      <c r="H1895" s="25" t="inlineStr">
        <is>
          <t>North Indian</t>
        </is>
      </c>
      <c r="I1895" s="26" t="n">
        <v>734</v>
      </c>
      <c r="J1895" s="26" t="n">
        <v>15</v>
      </c>
      <c r="K1895" s="26" t="n">
        <v>41.5</v>
      </c>
      <c r="L1895" s="27" t="n">
        <v>0.2</v>
      </c>
      <c r="M1895" s="26" t="n">
        <v>157.18</v>
      </c>
      <c r="N1895" s="28" t="n">
        <v>6.3</v>
      </c>
      <c r="O1895" s="28" t="n">
        <v>43.1</v>
      </c>
      <c r="P1895" s="25" t="inlineStr">
        <is>
          <t>Cash on Delivery</t>
        </is>
      </c>
      <c r="Q1895" s="25" t="inlineStr">
        <is>
          <t>Delivered</t>
        </is>
      </c>
      <c r="R1895" s="25" t="n">
        <v>2</v>
      </c>
      <c r="S1895" s="25">
        <f>TEXT(B1895,"yyyy-mm")</f>
        <v/>
      </c>
      <c r="T1895" s="25">
        <f>VLOOKUP(D1895,Customers!A:D,4,FALSE)</f>
        <v/>
      </c>
      <c r="U1895" s="25">
        <f>CONCATENATE(A1895,"-",G1895)</f>
        <v/>
      </c>
      <c r="V1895" s="25">
        <f>IF(N1895="","",IF(N1895&lt;=30,"Fast (&lt;30m)",IF(N1895&lt;=45,"Moderate (30-45m)","Delayed (&gt;45m)")))</f>
        <v/>
      </c>
      <c r="W1895" s="25">
        <f>IF(AND(I1895&gt;600,P1895="Delivered"),"High Value Delivered","Standard")</f>
        <v/>
      </c>
      <c r="X1895" s="25">
        <f>IF(OR(N1895&gt;50,Q1895&lt;=2),"High Risk / Delayed","Normal")</f>
        <v/>
      </c>
      <c r="Y1895" s="25">
        <f>IF(NOT(P1895="Cancelled"),"Fulfilled","Cancelled")</f>
        <v/>
      </c>
      <c r="Z1895" s="25">
        <f>IFERROR(Q1895,0)</f>
        <v/>
      </c>
    </row>
    <row r="1896">
      <c r="A1896" s="17" t="inlineStr">
        <is>
          <t>ORD2895</t>
        </is>
      </c>
      <c r="B1896" s="17" t="inlineStr">
        <is>
          <t>2025-06-06</t>
        </is>
      </c>
      <c r="C1896" s="17" t="inlineStr">
        <is>
          <t>11:20:30</t>
        </is>
      </c>
      <c r="D1896" s="17" t="n">
        <v>1020</v>
      </c>
      <c r="E1896" s="17" t="n">
        <v>112</v>
      </c>
      <c r="F1896" s="17" t="n">
        <v>221</v>
      </c>
      <c r="G1896" s="17" t="inlineStr">
        <is>
          <t>Delhi NCR</t>
        </is>
      </c>
      <c r="H1896" s="17" t="inlineStr">
        <is>
          <t>North Indian</t>
        </is>
      </c>
      <c r="I1896" s="22" t="n">
        <v>812</v>
      </c>
      <c r="J1896" s="22" t="n">
        <v>54.4</v>
      </c>
      <c r="K1896" s="22" t="n">
        <v>25</v>
      </c>
      <c r="L1896" s="23" t="n">
        <v>0.22</v>
      </c>
      <c r="M1896" s="22" t="n">
        <v>184.89</v>
      </c>
      <c r="N1896" s="24" t="n">
        <v>1.9</v>
      </c>
      <c r="O1896" s="24" t="n">
        <v>20.3</v>
      </c>
      <c r="P1896" s="17" t="inlineStr">
        <is>
          <t>Cash on Delivery</t>
        </is>
      </c>
      <c r="Q1896" s="17" t="inlineStr">
        <is>
          <t>Delivered</t>
        </is>
      </c>
      <c r="R1896" s="17" t="n">
        <v>5</v>
      </c>
      <c r="S1896" s="17">
        <f>TEXT(B1896,"yyyy-mm")</f>
        <v/>
      </c>
      <c r="T1896" s="17">
        <f>VLOOKUP(D1896,Customers!A:D,4,FALSE)</f>
        <v/>
      </c>
      <c r="U1896" s="17">
        <f>CONCATENATE(A1896,"-",G1896)</f>
        <v/>
      </c>
      <c r="V1896" s="17">
        <f>IF(N1896="","",IF(N1896&lt;=30,"Fast (&lt;30m)",IF(N1896&lt;=45,"Moderate (30-45m)","Delayed (&gt;45m)")))</f>
        <v/>
      </c>
      <c r="W1896" s="17">
        <f>IF(AND(I1896&gt;600,P1896="Delivered"),"High Value Delivered","Standard")</f>
        <v/>
      </c>
      <c r="X1896" s="17">
        <f>IF(OR(N1896&gt;50,Q1896&lt;=2),"High Risk / Delayed","Normal")</f>
        <v/>
      </c>
      <c r="Y1896" s="17">
        <f>IF(NOT(P1896="Cancelled"),"Fulfilled","Cancelled")</f>
        <v/>
      </c>
      <c r="Z1896" s="17">
        <f>IFERROR(Q1896,0)</f>
        <v/>
      </c>
    </row>
    <row r="1897">
      <c r="A1897" s="25" t="inlineStr">
        <is>
          <t>ORD2896</t>
        </is>
      </c>
      <c r="B1897" s="25" t="inlineStr">
        <is>
          <t>2025-04-30</t>
        </is>
      </c>
      <c r="C1897" s="25" t="inlineStr">
        <is>
          <t>18:02:51</t>
        </is>
      </c>
      <c r="D1897" s="25" t="n">
        <v>1149</v>
      </c>
      <c r="E1897" s="25" t="n">
        <v>116</v>
      </c>
      <c r="F1897" s="25" t="n">
        <v>217</v>
      </c>
      <c r="G1897" s="25" t="inlineStr">
        <is>
          <t>Pune</t>
        </is>
      </c>
      <c r="H1897" s="25" t="inlineStr">
        <is>
          <t>Desserts</t>
        </is>
      </c>
      <c r="I1897" s="26" t="n">
        <v>311</v>
      </c>
      <c r="J1897" s="26" t="n">
        <v>24.54</v>
      </c>
      <c r="K1897" s="26" t="n">
        <v>31</v>
      </c>
      <c r="L1897" s="27" t="n">
        <v>0.25</v>
      </c>
      <c r="M1897" s="26" t="n">
        <v>85.5</v>
      </c>
      <c r="N1897" s="28" t="n">
        <v>4.2</v>
      </c>
      <c r="O1897" s="28" t="n">
        <v>29.2</v>
      </c>
      <c r="P1897" s="25" t="inlineStr">
        <is>
          <t>Cash on Delivery</t>
        </is>
      </c>
      <c r="Q1897" s="25" t="inlineStr">
        <is>
          <t>Delivered</t>
        </is>
      </c>
      <c r="R1897" s="25" t="n">
        <v>5</v>
      </c>
      <c r="S1897" s="25">
        <f>TEXT(B1897,"yyyy-mm")</f>
        <v/>
      </c>
      <c r="T1897" s="25">
        <f>VLOOKUP(D1897,Customers!A:D,4,FALSE)</f>
        <v/>
      </c>
      <c r="U1897" s="25">
        <f>CONCATENATE(A1897,"-",G1897)</f>
        <v/>
      </c>
      <c r="V1897" s="25">
        <f>IF(N1897="","",IF(N1897&lt;=30,"Fast (&lt;30m)",IF(N1897&lt;=45,"Moderate (30-45m)","Delayed (&gt;45m)")))</f>
        <v/>
      </c>
      <c r="W1897" s="25">
        <f>IF(AND(I1897&gt;600,P1897="Delivered"),"High Value Delivered","Standard")</f>
        <v/>
      </c>
      <c r="X1897" s="25">
        <f>IF(OR(N1897&gt;50,Q1897&lt;=2),"High Risk / Delayed","Normal")</f>
        <v/>
      </c>
      <c r="Y1897" s="25">
        <f>IF(NOT(P1897="Cancelled"),"Fulfilled","Cancelled")</f>
        <v/>
      </c>
      <c r="Z1897" s="25">
        <f>IFERROR(Q1897,0)</f>
        <v/>
      </c>
    </row>
    <row r="1898">
      <c r="A1898" s="17" t="inlineStr">
        <is>
          <t>ORD2897</t>
        </is>
      </c>
      <c r="B1898" s="17" t="inlineStr">
        <is>
          <t>2025-03-09</t>
        </is>
      </c>
      <c r="C1898" s="17" t="inlineStr">
        <is>
          <t>19:57:13</t>
        </is>
      </c>
      <c r="D1898" s="17" t="n">
        <v>1092</v>
      </c>
      <c r="E1898" s="17" t="n">
        <v>118</v>
      </c>
      <c r="F1898" s="17" t="n">
        <v>230</v>
      </c>
      <c r="G1898" s="17" t="inlineStr">
        <is>
          <t>Delhi NCR</t>
        </is>
      </c>
      <c r="H1898" s="17" t="inlineStr">
        <is>
          <t>North Indian</t>
        </is>
      </c>
      <c r="I1898" s="22" t="n">
        <v>790</v>
      </c>
      <c r="J1898" s="22" t="n">
        <v>75.37</v>
      </c>
      <c r="K1898" s="22" t="n">
        <v>27</v>
      </c>
      <c r="L1898" s="23" t="n">
        <v>0.2</v>
      </c>
      <c r="M1898" s="22" t="n">
        <v>164.75</v>
      </c>
      <c r="N1898" s="24" t="n">
        <v>3.4</v>
      </c>
      <c r="O1898" s="24" t="n">
        <v>32.8</v>
      </c>
      <c r="P1898" s="17" t="inlineStr">
        <is>
          <t>Credit Card</t>
        </is>
      </c>
      <c r="Q1898" s="17" t="inlineStr">
        <is>
          <t>Delivered</t>
        </is>
      </c>
      <c r="R1898" s="17" t="n">
        <v>4</v>
      </c>
      <c r="S1898" s="17">
        <f>TEXT(B1898,"yyyy-mm")</f>
        <v/>
      </c>
      <c r="T1898" s="17">
        <f>VLOOKUP(D1898,Customers!A:D,4,FALSE)</f>
        <v/>
      </c>
      <c r="U1898" s="17">
        <f>CONCATENATE(A1898,"-",G1898)</f>
        <v/>
      </c>
      <c r="V1898" s="17">
        <f>IF(N1898="","",IF(N1898&lt;=30,"Fast (&lt;30m)",IF(N1898&lt;=45,"Moderate (30-45m)","Delayed (&gt;45m)")))</f>
        <v/>
      </c>
      <c r="W1898" s="17">
        <f>IF(AND(I1898&gt;600,P1898="Delivered"),"High Value Delivered","Standard")</f>
        <v/>
      </c>
      <c r="X1898" s="17">
        <f>IF(OR(N1898&gt;50,Q1898&lt;=2),"High Risk / Delayed","Normal")</f>
        <v/>
      </c>
      <c r="Y1898" s="17">
        <f>IF(NOT(P1898="Cancelled"),"Fulfilled","Cancelled")</f>
        <v/>
      </c>
      <c r="Z1898" s="17">
        <f>IFERROR(Q1898,0)</f>
        <v/>
      </c>
    </row>
    <row r="1899">
      <c r="A1899" s="25" t="inlineStr">
        <is>
          <t>ORD2898</t>
        </is>
      </c>
      <c r="B1899" s="25" t="inlineStr">
        <is>
          <t>2025-03-19</t>
        </is>
      </c>
      <c r="C1899" s="25" t="inlineStr">
        <is>
          <t>18:07:41</t>
        </is>
      </c>
      <c r="D1899" s="25" t="n">
        <v>1272</v>
      </c>
      <c r="E1899" s="25" t="n">
        <v>108</v>
      </c>
      <c r="F1899" s="25" t="n">
        <v>219</v>
      </c>
      <c r="G1899" s="25" t="inlineStr">
        <is>
          <t>Delhi NCR</t>
        </is>
      </c>
      <c r="H1899" s="25" t="inlineStr">
        <is>
          <t>Fast Food</t>
        </is>
      </c>
      <c r="I1899" s="26" t="n">
        <v>895</v>
      </c>
      <c r="J1899" s="26" t="n">
        <v>79.19</v>
      </c>
      <c r="K1899" s="26" t="n">
        <v>34</v>
      </c>
      <c r="L1899" s="27" t="n">
        <v>0.18</v>
      </c>
      <c r="M1899" s="26" t="n">
        <v>169.6</v>
      </c>
      <c r="N1899" s="28" t="n">
        <v>4.8</v>
      </c>
      <c r="O1899" s="28" t="n">
        <v>25.8</v>
      </c>
      <c r="P1899" s="25" t="inlineStr">
        <is>
          <t>Credit Card</t>
        </is>
      </c>
      <c r="Q1899" s="25" t="inlineStr">
        <is>
          <t>Delivered</t>
        </is>
      </c>
      <c r="R1899" s="25" t="n">
        <v>4</v>
      </c>
      <c r="S1899" s="25">
        <f>TEXT(B1899,"yyyy-mm")</f>
        <v/>
      </c>
      <c r="T1899" s="25">
        <f>VLOOKUP(D1899,Customers!A:D,4,FALSE)</f>
        <v/>
      </c>
      <c r="U1899" s="25">
        <f>CONCATENATE(A1899,"-",G1899)</f>
        <v/>
      </c>
      <c r="V1899" s="25">
        <f>IF(N1899="","",IF(N1899&lt;=30,"Fast (&lt;30m)",IF(N1899&lt;=45,"Moderate (30-45m)","Delayed (&gt;45m)")))</f>
        <v/>
      </c>
      <c r="W1899" s="25">
        <f>IF(AND(I1899&gt;600,P1899="Delivered"),"High Value Delivered","Standard")</f>
        <v/>
      </c>
      <c r="X1899" s="25">
        <f>IF(OR(N1899&gt;50,Q1899&lt;=2),"High Risk / Delayed","Normal")</f>
        <v/>
      </c>
      <c r="Y1899" s="25">
        <f>IF(NOT(P1899="Cancelled"),"Fulfilled","Cancelled")</f>
        <v/>
      </c>
      <c r="Z1899" s="25">
        <f>IFERROR(Q1899,0)</f>
        <v/>
      </c>
    </row>
    <row r="1900">
      <c r="A1900" s="17" t="inlineStr">
        <is>
          <t>ORD2899</t>
        </is>
      </c>
      <c r="B1900" s="17" t="inlineStr">
        <is>
          <t>2025-12-31</t>
        </is>
      </c>
      <c r="C1900" s="17" t="inlineStr">
        <is>
          <t>12:36:35</t>
        </is>
      </c>
      <c r="D1900" s="17" t="n">
        <v>1269</v>
      </c>
      <c r="E1900" s="17" t="n">
        <v>107</v>
      </c>
      <c r="F1900" s="17" t="n">
        <v>222</v>
      </c>
      <c r="G1900" s="17" t="inlineStr">
        <is>
          <t>Mumbai</t>
        </is>
      </c>
      <c r="H1900" s="17" t="inlineStr">
        <is>
          <t>Desserts</t>
        </is>
      </c>
      <c r="I1900" s="22" t="n">
        <v>437</v>
      </c>
      <c r="J1900" s="22" t="n">
        <v>0</v>
      </c>
      <c r="K1900" s="22" t="n">
        <v>25</v>
      </c>
      <c r="L1900" s="23" t="n">
        <v>0.25</v>
      </c>
      <c r="M1900" s="22" t="n">
        <v>115.5</v>
      </c>
      <c r="N1900" s="24" t="n">
        <v>2.7</v>
      </c>
      <c r="O1900" s="24" t="n">
        <v>26.2</v>
      </c>
      <c r="P1900" s="17" t="inlineStr">
        <is>
          <t>UPI</t>
        </is>
      </c>
      <c r="Q1900" s="17" t="inlineStr">
        <is>
          <t>Delivered</t>
        </is>
      </c>
      <c r="R1900" s="17" t="n">
        <v>4</v>
      </c>
      <c r="S1900" s="17">
        <f>TEXT(B1900,"yyyy-mm")</f>
        <v/>
      </c>
      <c r="T1900" s="17">
        <f>VLOOKUP(D1900,Customers!A:D,4,FALSE)</f>
        <v/>
      </c>
      <c r="U1900" s="17">
        <f>CONCATENATE(A1900,"-",G1900)</f>
        <v/>
      </c>
      <c r="V1900" s="17">
        <f>IF(N1900="","",IF(N1900&lt;=30,"Fast (&lt;30m)",IF(N1900&lt;=45,"Moderate (30-45m)","Delayed (&gt;45m)")))</f>
        <v/>
      </c>
      <c r="W1900" s="17">
        <f>IF(AND(I1900&gt;600,P1900="Delivered"),"High Value Delivered","Standard")</f>
        <v/>
      </c>
      <c r="X1900" s="17">
        <f>IF(OR(N1900&gt;50,Q1900&lt;=2),"High Risk / Delayed","Normal")</f>
        <v/>
      </c>
      <c r="Y1900" s="17">
        <f>IF(NOT(P1900="Cancelled"),"Fulfilled","Cancelled")</f>
        <v/>
      </c>
      <c r="Z1900" s="17">
        <f>IFERROR(Q1900,0)</f>
        <v/>
      </c>
    </row>
    <row r="1901">
      <c r="A1901" s="25" t="inlineStr">
        <is>
          <t>ORD2900</t>
        </is>
      </c>
      <c r="B1901" s="25" t="inlineStr">
        <is>
          <t>2025-04-28</t>
        </is>
      </c>
      <c r="C1901" s="25" t="inlineStr">
        <is>
          <t>22:11:56</t>
        </is>
      </c>
      <c r="D1901" s="25" t="n">
        <v>1113</v>
      </c>
      <c r="E1901" s="25" t="n">
        <v>105</v>
      </c>
      <c r="F1901" s="25" t="n">
        <v>201</v>
      </c>
      <c r="G1901" s="25" t="inlineStr">
        <is>
          <t>Bangalore</t>
        </is>
      </c>
      <c r="H1901" s="25" t="inlineStr">
        <is>
          <t>Chinese</t>
        </is>
      </c>
      <c r="I1901" s="26" t="n">
        <v>326</v>
      </c>
      <c r="J1901" s="26" t="n">
        <v>34.65</v>
      </c>
      <c r="K1901" s="26" t="n">
        <v>25</v>
      </c>
      <c r="L1901" s="27" t="n">
        <v>0.2</v>
      </c>
      <c r="M1901" s="26" t="n">
        <v>71.45</v>
      </c>
      <c r="N1901" s="28" t="n">
        <v>2.6</v>
      </c>
      <c r="O1901" s="28" t="n">
        <v>29</v>
      </c>
      <c r="P1901" s="25" t="inlineStr">
        <is>
          <t>Cash on Delivery</t>
        </is>
      </c>
      <c r="Q1901" s="25" t="inlineStr">
        <is>
          <t>Delivered</t>
        </is>
      </c>
      <c r="R1901" s="25" t="n">
        <v>4</v>
      </c>
      <c r="S1901" s="25">
        <f>TEXT(B1901,"yyyy-mm")</f>
        <v/>
      </c>
      <c r="T1901" s="25">
        <f>VLOOKUP(D1901,Customers!A:D,4,FALSE)</f>
        <v/>
      </c>
      <c r="U1901" s="25">
        <f>CONCATENATE(A1901,"-",G1901)</f>
        <v/>
      </c>
      <c r="V1901" s="25">
        <f>IF(N1901="","",IF(N1901&lt;=30,"Fast (&lt;30m)",IF(N1901&lt;=45,"Moderate (30-45m)","Delayed (&gt;45m)")))</f>
        <v/>
      </c>
      <c r="W1901" s="25">
        <f>IF(AND(I1901&gt;600,P1901="Delivered"),"High Value Delivered","Standard")</f>
        <v/>
      </c>
      <c r="X1901" s="25">
        <f>IF(OR(N1901&gt;50,Q1901&lt;=2),"High Risk / Delayed","Normal")</f>
        <v/>
      </c>
      <c r="Y1901" s="25">
        <f>IF(NOT(P1901="Cancelled"),"Fulfilled","Cancelled")</f>
        <v/>
      </c>
      <c r="Z1901" s="25">
        <f>IFERROR(Q1901,0)</f>
        <v/>
      </c>
    </row>
    <row r="1902">
      <c r="A1902" s="17" t="inlineStr">
        <is>
          <t>ORD2901</t>
        </is>
      </c>
      <c r="B1902" s="17" t="inlineStr">
        <is>
          <t>2025-01-24</t>
        </is>
      </c>
      <c r="C1902" s="17" t="inlineStr">
        <is>
          <t>18:58:01</t>
        </is>
      </c>
      <c r="D1902" s="17" t="n">
        <v>1118</v>
      </c>
      <c r="E1902" s="17" t="n">
        <v>118</v>
      </c>
      <c r="F1902" s="17" t="n">
        <v>211</v>
      </c>
      <c r="G1902" s="17" t="inlineStr">
        <is>
          <t>Delhi NCR</t>
        </is>
      </c>
      <c r="H1902" s="17" t="inlineStr">
        <is>
          <t>North Indian</t>
        </is>
      </c>
      <c r="I1902" s="22" t="n">
        <v>740</v>
      </c>
      <c r="J1902" s="22" t="n">
        <v>35.33</v>
      </c>
      <c r="K1902" s="22" t="n">
        <v>34.5</v>
      </c>
      <c r="L1902" s="23" t="n">
        <v>0.2</v>
      </c>
      <c r="M1902" s="22" t="n">
        <v>156.62</v>
      </c>
      <c r="N1902" s="24" t="n">
        <v>4.9</v>
      </c>
      <c r="O1902" s="24" t="n">
        <v>37.9</v>
      </c>
      <c r="P1902" s="17" t="inlineStr">
        <is>
          <t>Cash on Delivery</t>
        </is>
      </c>
      <c r="Q1902" s="17" t="inlineStr">
        <is>
          <t>Delivered</t>
        </is>
      </c>
      <c r="R1902" s="17" t="n">
        <v>4</v>
      </c>
      <c r="S1902" s="17">
        <f>TEXT(B1902,"yyyy-mm")</f>
        <v/>
      </c>
      <c r="T1902" s="17">
        <f>VLOOKUP(D1902,Customers!A:D,4,FALSE)</f>
        <v/>
      </c>
      <c r="U1902" s="17">
        <f>CONCATENATE(A1902,"-",G1902)</f>
        <v/>
      </c>
      <c r="V1902" s="17">
        <f>IF(N1902="","",IF(N1902&lt;=30,"Fast (&lt;30m)",IF(N1902&lt;=45,"Moderate (30-45m)","Delayed (&gt;45m)")))</f>
        <v/>
      </c>
      <c r="W1902" s="17">
        <f>IF(AND(I1902&gt;600,P1902="Delivered"),"High Value Delivered","Standard")</f>
        <v/>
      </c>
      <c r="X1902" s="17">
        <f>IF(OR(N1902&gt;50,Q1902&lt;=2),"High Risk / Delayed","Normal")</f>
        <v/>
      </c>
      <c r="Y1902" s="17">
        <f>IF(NOT(P1902="Cancelled"),"Fulfilled","Cancelled")</f>
        <v/>
      </c>
      <c r="Z1902" s="17">
        <f>IFERROR(Q1902,0)</f>
        <v/>
      </c>
    </row>
    <row r="1903">
      <c r="A1903" s="25" t="inlineStr">
        <is>
          <t>ORD2902</t>
        </is>
      </c>
      <c r="B1903" s="25" t="inlineStr">
        <is>
          <t>2025-10-08</t>
        </is>
      </c>
      <c r="C1903" s="25" t="inlineStr">
        <is>
          <t>18:05:52</t>
        </is>
      </c>
      <c r="D1903" s="25" t="n">
        <v>1222</v>
      </c>
      <c r="E1903" s="25" t="n">
        <v>114</v>
      </c>
      <c r="F1903" s="25" t="n">
        <v>215</v>
      </c>
      <c r="G1903" s="25" t="inlineStr">
        <is>
          <t>Hyderabad</t>
        </is>
      </c>
      <c r="H1903" s="25" t="inlineStr">
        <is>
          <t>Biryani</t>
        </is>
      </c>
      <c r="I1903" s="26" t="n">
        <v>522</v>
      </c>
      <c r="J1903" s="26" t="n">
        <v>0</v>
      </c>
      <c r="K1903" s="26" t="n">
        <v>27</v>
      </c>
      <c r="L1903" s="27" t="n">
        <v>0.22</v>
      </c>
      <c r="M1903" s="26" t="n">
        <v>121.59</v>
      </c>
      <c r="N1903" s="28" t="n">
        <v>3.4</v>
      </c>
      <c r="O1903" s="28" t="n">
        <v>44.9</v>
      </c>
      <c r="P1903" s="25" t="inlineStr">
        <is>
          <t>UPI</t>
        </is>
      </c>
      <c r="Q1903" s="25" t="inlineStr">
        <is>
          <t>Delivered</t>
        </is>
      </c>
      <c r="R1903" s="25" t="n">
        <v>2</v>
      </c>
      <c r="S1903" s="25">
        <f>TEXT(B1903,"yyyy-mm")</f>
        <v/>
      </c>
      <c r="T1903" s="25">
        <f>VLOOKUP(D1903,Customers!A:D,4,FALSE)</f>
        <v/>
      </c>
      <c r="U1903" s="25">
        <f>CONCATENATE(A1903,"-",G1903)</f>
        <v/>
      </c>
      <c r="V1903" s="25">
        <f>IF(N1903="","",IF(N1903&lt;=30,"Fast (&lt;30m)",IF(N1903&lt;=45,"Moderate (30-45m)","Delayed (&gt;45m)")))</f>
        <v/>
      </c>
      <c r="W1903" s="25">
        <f>IF(AND(I1903&gt;600,P1903="Delivered"),"High Value Delivered","Standard")</f>
        <v/>
      </c>
      <c r="X1903" s="25">
        <f>IF(OR(N1903&gt;50,Q1903&lt;=2),"High Risk / Delayed","Normal")</f>
        <v/>
      </c>
      <c r="Y1903" s="25">
        <f>IF(NOT(P1903="Cancelled"),"Fulfilled","Cancelled")</f>
        <v/>
      </c>
      <c r="Z1903" s="25">
        <f>IFERROR(Q1903,0)</f>
        <v/>
      </c>
    </row>
    <row r="1904">
      <c r="A1904" s="17" t="inlineStr">
        <is>
          <t>ORD2903</t>
        </is>
      </c>
      <c r="B1904" s="17" t="inlineStr">
        <is>
          <t>2025-10-11</t>
        </is>
      </c>
      <c r="C1904" s="17" t="inlineStr">
        <is>
          <t>12:18:59</t>
        </is>
      </c>
      <c r="D1904" s="17" t="n">
        <v>1216</v>
      </c>
      <c r="E1904" s="17" t="n">
        <v>116</v>
      </c>
      <c r="F1904" s="17" t="n">
        <v>207</v>
      </c>
      <c r="G1904" s="17" t="inlineStr">
        <is>
          <t>Pune</t>
        </is>
      </c>
      <c r="H1904" s="17" t="inlineStr">
        <is>
          <t>Desserts</t>
        </is>
      </c>
      <c r="I1904" s="22" t="n">
        <v>546</v>
      </c>
      <c r="J1904" s="22" t="n">
        <v>28.01</v>
      </c>
      <c r="K1904" s="22" t="n">
        <v>41.5</v>
      </c>
      <c r="L1904" s="23" t="n">
        <v>0.25</v>
      </c>
      <c r="M1904" s="22" t="n">
        <v>146.88</v>
      </c>
      <c r="N1904" s="24" t="n">
        <v>6.3</v>
      </c>
      <c r="O1904" s="24" t="n">
        <v>40.4</v>
      </c>
      <c r="P1904" s="17" t="inlineStr">
        <is>
          <t>Digital Wallet</t>
        </is>
      </c>
      <c r="Q1904" s="17" t="inlineStr">
        <is>
          <t>Delivered</t>
        </is>
      </c>
      <c r="R1904" s="17" t="n">
        <v>2</v>
      </c>
      <c r="S1904" s="17">
        <f>TEXT(B1904,"yyyy-mm")</f>
        <v/>
      </c>
      <c r="T1904" s="17">
        <f>VLOOKUP(D1904,Customers!A:D,4,FALSE)</f>
        <v/>
      </c>
      <c r="U1904" s="17">
        <f>CONCATENATE(A1904,"-",G1904)</f>
        <v/>
      </c>
      <c r="V1904" s="17">
        <f>IF(N1904="","",IF(N1904&lt;=30,"Fast (&lt;30m)",IF(N1904&lt;=45,"Moderate (30-45m)","Delayed (&gt;45m)")))</f>
        <v/>
      </c>
      <c r="W1904" s="17">
        <f>IF(AND(I1904&gt;600,P1904="Delivered"),"High Value Delivered","Standard")</f>
        <v/>
      </c>
      <c r="X1904" s="17">
        <f>IF(OR(N1904&gt;50,Q1904&lt;=2),"High Risk / Delayed","Normal")</f>
        <v/>
      </c>
      <c r="Y1904" s="17">
        <f>IF(NOT(P1904="Cancelled"),"Fulfilled","Cancelled")</f>
        <v/>
      </c>
      <c r="Z1904" s="17">
        <f>IFERROR(Q1904,0)</f>
        <v/>
      </c>
    </row>
    <row r="1905">
      <c r="A1905" s="25" t="inlineStr">
        <is>
          <t>ORD2904</t>
        </is>
      </c>
      <c r="B1905" s="25" t="inlineStr">
        <is>
          <t>2025-05-22</t>
        </is>
      </c>
      <c r="C1905" s="25" t="inlineStr">
        <is>
          <t>18:26:50</t>
        </is>
      </c>
      <c r="D1905" s="25" t="n">
        <v>1013</v>
      </c>
      <c r="E1905" s="25" t="n">
        <v>111</v>
      </c>
      <c r="F1905" s="25" t="n">
        <v>218</v>
      </c>
      <c r="G1905" s="25" t="inlineStr">
        <is>
          <t>Bangalore</t>
        </is>
      </c>
      <c r="H1905" s="25" t="inlineStr">
        <is>
          <t>South Indian</t>
        </is>
      </c>
      <c r="I1905" s="26" t="n">
        <v>783</v>
      </c>
      <c r="J1905" s="26" t="n">
        <v>74.31</v>
      </c>
      <c r="K1905" s="26" t="n">
        <v>25.5</v>
      </c>
      <c r="L1905" s="27" t="n">
        <v>0.15</v>
      </c>
      <c r="M1905" s="26" t="n">
        <v>123.82</v>
      </c>
      <c r="N1905" s="28" t="n">
        <v>3.1</v>
      </c>
      <c r="O1905" s="28" t="n">
        <v>26.5</v>
      </c>
      <c r="P1905" s="25" t="inlineStr">
        <is>
          <t>Debit Card</t>
        </is>
      </c>
      <c r="Q1905" s="25" t="inlineStr">
        <is>
          <t>Delivered</t>
        </is>
      </c>
      <c r="R1905" s="25" t="n">
        <v>4</v>
      </c>
      <c r="S1905" s="25">
        <f>TEXT(B1905,"yyyy-mm")</f>
        <v/>
      </c>
      <c r="T1905" s="25">
        <f>VLOOKUP(D1905,Customers!A:D,4,FALSE)</f>
        <v/>
      </c>
      <c r="U1905" s="25">
        <f>CONCATENATE(A1905,"-",G1905)</f>
        <v/>
      </c>
      <c r="V1905" s="25">
        <f>IF(N1905="","",IF(N1905&lt;=30,"Fast (&lt;30m)",IF(N1905&lt;=45,"Moderate (30-45m)","Delayed (&gt;45m)")))</f>
        <v/>
      </c>
      <c r="W1905" s="25">
        <f>IF(AND(I1905&gt;600,P1905="Delivered"),"High Value Delivered","Standard")</f>
        <v/>
      </c>
      <c r="X1905" s="25">
        <f>IF(OR(N1905&gt;50,Q1905&lt;=2),"High Risk / Delayed","Normal")</f>
        <v/>
      </c>
      <c r="Y1905" s="25">
        <f>IF(NOT(P1905="Cancelled"),"Fulfilled","Cancelled")</f>
        <v/>
      </c>
      <c r="Z1905" s="25">
        <f>IFERROR(Q1905,0)</f>
        <v/>
      </c>
    </row>
    <row r="1906">
      <c r="A1906" s="17" t="inlineStr">
        <is>
          <t>ORD2905</t>
        </is>
      </c>
      <c r="B1906" s="17" t="inlineStr">
        <is>
          <t>2025-01-18</t>
        </is>
      </c>
      <c r="C1906" s="17" t="inlineStr">
        <is>
          <t>16:00:12</t>
        </is>
      </c>
      <c r="D1906" s="17" t="n">
        <v>1133</v>
      </c>
      <c r="E1906" s="17" t="n">
        <v>104</v>
      </c>
      <c r="F1906" s="17" t="n">
        <v>221</v>
      </c>
      <c r="G1906" s="17" t="inlineStr">
        <is>
          <t>Delhi NCR</t>
        </is>
      </c>
      <c r="H1906" s="17" t="inlineStr">
        <is>
          <t>Fast Food</t>
        </is>
      </c>
      <c r="I1906" s="22" t="n">
        <v>237</v>
      </c>
      <c r="J1906" s="22" t="n">
        <v>0</v>
      </c>
      <c r="K1906" s="22" t="n">
        <v>48</v>
      </c>
      <c r="L1906" s="23" t="n">
        <v>0.18</v>
      </c>
      <c r="M1906" s="22" t="n">
        <v>54.66</v>
      </c>
      <c r="N1906" s="24" t="n">
        <v>7.6</v>
      </c>
      <c r="O1906" s="24" t="n">
        <v>42</v>
      </c>
      <c r="P1906" s="17" t="inlineStr">
        <is>
          <t>Credit Card</t>
        </is>
      </c>
      <c r="Q1906" s="17" t="inlineStr">
        <is>
          <t>Delivered</t>
        </is>
      </c>
      <c r="R1906" s="17" t="n">
        <v>5</v>
      </c>
      <c r="S1906" s="17">
        <f>TEXT(B1906,"yyyy-mm")</f>
        <v/>
      </c>
      <c r="T1906" s="17">
        <f>VLOOKUP(D1906,Customers!A:D,4,FALSE)</f>
        <v/>
      </c>
      <c r="U1906" s="17">
        <f>CONCATENATE(A1906,"-",G1906)</f>
        <v/>
      </c>
      <c r="V1906" s="17">
        <f>IF(N1906="","",IF(N1906&lt;=30,"Fast (&lt;30m)",IF(N1906&lt;=45,"Moderate (30-45m)","Delayed (&gt;45m)")))</f>
        <v/>
      </c>
      <c r="W1906" s="17">
        <f>IF(AND(I1906&gt;600,P1906="Delivered"),"High Value Delivered","Standard")</f>
        <v/>
      </c>
      <c r="X1906" s="17">
        <f>IF(OR(N1906&gt;50,Q1906&lt;=2),"High Risk / Delayed","Normal")</f>
        <v/>
      </c>
      <c r="Y1906" s="17">
        <f>IF(NOT(P1906="Cancelled"),"Fulfilled","Cancelled")</f>
        <v/>
      </c>
      <c r="Z1906" s="17">
        <f>IFERROR(Q1906,0)</f>
        <v/>
      </c>
    </row>
    <row r="1907">
      <c r="A1907" s="25" t="inlineStr">
        <is>
          <t>ORD2906</t>
        </is>
      </c>
      <c r="B1907" s="25" t="inlineStr">
        <is>
          <t>2025-05-23</t>
        </is>
      </c>
      <c r="C1907" s="25" t="inlineStr">
        <is>
          <t>10:21:47</t>
        </is>
      </c>
      <c r="D1907" s="25" t="n">
        <v>1032</v>
      </c>
      <c r="E1907" s="25" t="n">
        <v>108</v>
      </c>
      <c r="F1907" s="25" t="n">
        <v>221</v>
      </c>
      <c r="G1907" s="25" t="inlineStr">
        <is>
          <t>Delhi NCR</t>
        </is>
      </c>
      <c r="H1907" s="25" t="inlineStr">
        <is>
          <t>Fast Food</t>
        </is>
      </c>
      <c r="I1907" s="26" t="n">
        <v>822</v>
      </c>
      <c r="J1907" s="26" t="n">
        <v>0</v>
      </c>
      <c r="K1907" s="26" t="n">
        <v>25</v>
      </c>
      <c r="L1907" s="27" t="n">
        <v>0.18</v>
      </c>
      <c r="M1907" s="26" t="n">
        <v>154.21</v>
      </c>
      <c r="N1907" s="28" t="n">
        <v>2.8</v>
      </c>
      <c r="O1907" s="28" t="n">
        <v>30.3</v>
      </c>
      <c r="P1907" s="25" t="inlineStr">
        <is>
          <t>Debit Card</t>
        </is>
      </c>
      <c r="Q1907" s="25" t="inlineStr">
        <is>
          <t>Delivered</t>
        </is>
      </c>
      <c r="R1907" s="25" t="n">
        <v>3</v>
      </c>
      <c r="S1907" s="25">
        <f>TEXT(B1907,"yyyy-mm")</f>
        <v/>
      </c>
      <c r="T1907" s="25">
        <f>VLOOKUP(D1907,Customers!A:D,4,FALSE)</f>
        <v/>
      </c>
      <c r="U1907" s="25">
        <f>CONCATENATE(A1907,"-",G1907)</f>
        <v/>
      </c>
      <c r="V1907" s="25">
        <f>IF(N1907="","",IF(N1907&lt;=30,"Fast (&lt;30m)",IF(N1907&lt;=45,"Moderate (30-45m)","Delayed (&gt;45m)")))</f>
        <v/>
      </c>
      <c r="W1907" s="25">
        <f>IF(AND(I1907&gt;600,P1907="Delivered"),"High Value Delivered","Standard")</f>
        <v/>
      </c>
      <c r="X1907" s="25">
        <f>IF(OR(N1907&gt;50,Q1907&lt;=2),"High Risk / Delayed","Normal")</f>
        <v/>
      </c>
      <c r="Y1907" s="25">
        <f>IF(NOT(P1907="Cancelled"),"Fulfilled","Cancelled")</f>
        <v/>
      </c>
      <c r="Z1907" s="25">
        <f>IFERROR(Q1907,0)</f>
        <v/>
      </c>
    </row>
    <row r="1908">
      <c r="A1908" s="17" t="inlineStr">
        <is>
          <t>ORD2907</t>
        </is>
      </c>
      <c r="B1908" s="17" t="inlineStr">
        <is>
          <t>2025-08-12</t>
        </is>
      </c>
      <c r="C1908" s="17" t="inlineStr">
        <is>
          <t>14:27:57</t>
        </is>
      </c>
      <c r="D1908" s="17" t="n">
        <v>1224</v>
      </c>
      <c r="E1908" s="17" t="n">
        <v>104</v>
      </c>
      <c r="F1908" s="17" t="n">
        <v>228</v>
      </c>
      <c r="G1908" s="17" t="inlineStr">
        <is>
          <t>Delhi NCR</t>
        </is>
      </c>
      <c r="H1908" s="17" t="inlineStr">
        <is>
          <t>Fast Food</t>
        </is>
      </c>
      <c r="I1908" s="22" t="n">
        <v>904</v>
      </c>
      <c r="J1908" s="22" t="n">
        <v>0</v>
      </c>
      <c r="K1908" s="22" t="n">
        <v>25</v>
      </c>
      <c r="L1908" s="23" t="n">
        <v>0.18</v>
      </c>
      <c r="M1908" s="22" t="n">
        <v>168.97</v>
      </c>
      <c r="N1908" s="24" t="n">
        <v>3</v>
      </c>
      <c r="O1908" s="24" t="n">
        <v>27.5</v>
      </c>
      <c r="P1908" s="17" t="inlineStr">
        <is>
          <t>UPI</t>
        </is>
      </c>
      <c r="Q1908" s="17" t="inlineStr">
        <is>
          <t>Delivered</t>
        </is>
      </c>
      <c r="R1908" s="17" t="n">
        <v>5</v>
      </c>
      <c r="S1908" s="17">
        <f>TEXT(B1908,"yyyy-mm")</f>
        <v/>
      </c>
      <c r="T1908" s="17">
        <f>VLOOKUP(D1908,Customers!A:D,4,FALSE)</f>
        <v/>
      </c>
      <c r="U1908" s="17">
        <f>CONCATENATE(A1908,"-",G1908)</f>
        <v/>
      </c>
      <c r="V1908" s="17">
        <f>IF(N1908="","",IF(N1908&lt;=30,"Fast (&lt;30m)",IF(N1908&lt;=45,"Moderate (30-45m)","Delayed (&gt;45m)")))</f>
        <v/>
      </c>
      <c r="W1908" s="17">
        <f>IF(AND(I1908&gt;600,P1908="Delivered"),"High Value Delivered","Standard")</f>
        <v/>
      </c>
      <c r="X1908" s="17">
        <f>IF(OR(N1908&gt;50,Q1908&lt;=2),"High Risk / Delayed","Normal")</f>
        <v/>
      </c>
      <c r="Y1908" s="17">
        <f>IF(NOT(P1908="Cancelled"),"Fulfilled","Cancelled")</f>
        <v/>
      </c>
      <c r="Z1908" s="17">
        <f>IFERROR(Q1908,0)</f>
        <v/>
      </c>
    </row>
    <row r="1909">
      <c r="A1909" s="25" t="inlineStr">
        <is>
          <t>ORD2908</t>
        </is>
      </c>
      <c r="B1909" s="25" t="inlineStr">
        <is>
          <t>2025-07-09</t>
        </is>
      </c>
      <c r="C1909" s="25" t="inlineStr">
        <is>
          <t>13:19:55</t>
        </is>
      </c>
      <c r="D1909" s="25" t="n">
        <v>1072</v>
      </c>
      <c r="E1909" s="25" t="n">
        <v>116</v>
      </c>
      <c r="F1909" s="25" t="n">
        <v>209</v>
      </c>
      <c r="G1909" s="25" t="inlineStr">
        <is>
          <t>Pune</t>
        </is>
      </c>
      <c r="H1909" s="25" t="inlineStr">
        <is>
          <t>Desserts</t>
        </is>
      </c>
      <c r="I1909" s="26" t="n">
        <v>308</v>
      </c>
      <c r="J1909" s="26" t="n">
        <v>17.35</v>
      </c>
      <c r="K1909" s="26" t="n">
        <v>25</v>
      </c>
      <c r="L1909" s="27" t="n">
        <v>0.25</v>
      </c>
      <c r="M1909" s="26" t="n">
        <v>83.25</v>
      </c>
      <c r="N1909" s="28" t="n">
        <v>1.5</v>
      </c>
      <c r="O1909" s="28" t="n">
        <v>27.6</v>
      </c>
      <c r="P1909" s="25" t="inlineStr">
        <is>
          <t>Credit Card</t>
        </is>
      </c>
      <c r="Q1909" s="25" t="inlineStr">
        <is>
          <t>Delivered</t>
        </is>
      </c>
      <c r="R1909" s="25" t="n">
        <v>5</v>
      </c>
      <c r="S1909" s="25">
        <f>TEXT(B1909,"yyyy-mm")</f>
        <v/>
      </c>
      <c r="T1909" s="25">
        <f>VLOOKUP(D1909,Customers!A:D,4,FALSE)</f>
        <v/>
      </c>
      <c r="U1909" s="25">
        <f>CONCATENATE(A1909,"-",G1909)</f>
        <v/>
      </c>
      <c r="V1909" s="25">
        <f>IF(N1909="","",IF(N1909&lt;=30,"Fast (&lt;30m)",IF(N1909&lt;=45,"Moderate (30-45m)","Delayed (&gt;45m)")))</f>
        <v/>
      </c>
      <c r="W1909" s="25">
        <f>IF(AND(I1909&gt;600,P1909="Delivered"),"High Value Delivered","Standard")</f>
        <v/>
      </c>
      <c r="X1909" s="25">
        <f>IF(OR(N1909&gt;50,Q1909&lt;=2),"High Risk / Delayed","Normal")</f>
        <v/>
      </c>
      <c r="Y1909" s="25">
        <f>IF(NOT(P1909="Cancelled"),"Fulfilled","Cancelled")</f>
        <v/>
      </c>
      <c r="Z1909" s="25">
        <f>IFERROR(Q1909,0)</f>
        <v/>
      </c>
    </row>
    <row r="1910">
      <c r="A1910" s="17" t="inlineStr">
        <is>
          <t>ORD2909</t>
        </is>
      </c>
      <c r="B1910" s="17" t="inlineStr">
        <is>
          <t>2025-10-05</t>
        </is>
      </c>
      <c r="C1910" s="17" t="inlineStr">
        <is>
          <t>18:20:06</t>
        </is>
      </c>
      <c r="D1910" s="17" t="n">
        <v>1006</v>
      </c>
      <c r="E1910" s="17" t="n">
        <v>117</v>
      </c>
      <c r="F1910" s="17" t="n">
        <v>229</v>
      </c>
      <c r="G1910" s="17" t="inlineStr">
        <is>
          <t>Mumbai</t>
        </is>
      </c>
      <c r="H1910" s="17" t="inlineStr">
        <is>
          <t>Chinese</t>
        </is>
      </c>
      <c r="I1910" s="22" t="n">
        <v>628</v>
      </c>
      <c r="J1910" s="22" t="n">
        <v>46.34</v>
      </c>
      <c r="K1910" s="22" t="n">
        <v>43.5</v>
      </c>
      <c r="L1910" s="23" t="n">
        <v>0.2</v>
      </c>
      <c r="M1910" s="22" t="n">
        <v>136.48</v>
      </c>
      <c r="N1910" s="24" t="n">
        <v>6.7</v>
      </c>
      <c r="O1910" s="24" t="n">
        <v>44.5</v>
      </c>
      <c r="P1910" s="17" t="inlineStr">
        <is>
          <t>Digital Wallet</t>
        </is>
      </c>
      <c r="Q1910" s="17" t="inlineStr">
        <is>
          <t>Delivered</t>
        </is>
      </c>
      <c r="R1910" s="17" t="n">
        <v>3</v>
      </c>
      <c r="S1910" s="17">
        <f>TEXT(B1910,"yyyy-mm")</f>
        <v/>
      </c>
      <c r="T1910" s="17">
        <f>VLOOKUP(D1910,Customers!A:D,4,FALSE)</f>
        <v/>
      </c>
      <c r="U1910" s="17">
        <f>CONCATENATE(A1910,"-",G1910)</f>
        <v/>
      </c>
      <c r="V1910" s="17">
        <f>IF(N1910="","",IF(N1910&lt;=30,"Fast (&lt;30m)",IF(N1910&lt;=45,"Moderate (30-45m)","Delayed (&gt;45m)")))</f>
        <v/>
      </c>
      <c r="W1910" s="17">
        <f>IF(AND(I1910&gt;600,P1910="Delivered"),"High Value Delivered","Standard")</f>
        <v/>
      </c>
      <c r="X1910" s="17">
        <f>IF(OR(N1910&gt;50,Q1910&lt;=2),"High Risk / Delayed","Normal")</f>
        <v/>
      </c>
      <c r="Y1910" s="17">
        <f>IF(NOT(P1910="Cancelled"),"Fulfilled","Cancelled")</f>
        <v/>
      </c>
      <c r="Z1910" s="17">
        <f>IFERROR(Q1910,0)</f>
        <v/>
      </c>
    </row>
    <row r="1911">
      <c r="A1911" s="25" t="inlineStr">
        <is>
          <t>ORD2910</t>
        </is>
      </c>
      <c r="B1911" s="25" t="inlineStr">
        <is>
          <t>2025-07-08</t>
        </is>
      </c>
      <c r="C1911" s="25" t="inlineStr">
        <is>
          <t>21:49:35</t>
        </is>
      </c>
      <c r="D1911" s="25" t="n">
        <v>1058</v>
      </c>
      <c r="E1911" s="25" t="n">
        <v>107</v>
      </c>
      <c r="F1911" s="25" t="n">
        <v>206</v>
      </c>
      <c r="G1911" s="25" t="inlineStr">
        <is>
          <t>Mumbai</t>
        </is>
      </c>
      <c r="H1911" s="25" t="inlineStr">
        <is>
          <t>Desserts</t>
        </is>
      </c>
      <c r="I1911" s="26" t="n">
        <v>419</v>
      </c>
      <c r="J1911" s="26" t="n">
        <v>0</v>
      </c>
      <c r="K1911" s="26" t="n">
        <v>25</v>
      </c>
      <c r="L1911" s="27" t="n">
        <v>0.25</v>
      </c>
      <c r="M1911" s="26" t="n">
        <v>111</v>
      </c>
      <c r="N1911" s="28" t="n">
        <v>2.1</v>
      </c>
      <c r="O1911" s="28" t="n">
        <v>33.7</v>
      </c>
      <c r="P1911" s="25" t="inlineStr">
        <is>
          <t>Debit Card</t>
        </is>
      </c>
      <c r="Q1911" s="25" t="inlineStr">
        <is>
          <t>Delivered</t>
        </is>
      </c>
      <c r="R1911" s="25" t="n">
        <v>5</v>
      </c>
      <c r="S1911" s="25">
        <f>TEXT(B1911,"yyyy-mm")</f>
        <v/>
      </c>
      <c r="T1911" s="25">
        <f>VLOOKUP(D1911,Customers!A:D,4,FALSE)</f>
        <v/>
      </c>
      <c r="U1911" s="25">
        <f>CONCATENATE(A1911,"-",G1911)</f>
        <v/>
      </c>
      <c r="V1911" s="25">
        <f>IF(N1911="","",IF(N1911&lt;=30,"Fast (&lt;30m)",IF(N1911&lt;=45,"Moderate (30-45m)","Delayed (&gt;45m)")))</f>
        <v/>
      </c>
      <c r="W1911" s="25">
        <f>IF(AND(I1911&gt;600,P1911="Delivered"),"High Value Delivered","Standard")</f>
        <v/>
      </c>
      <c r="X1911" s="25">
        <f>IF(OR(N1911&gt;50,Q1911&lt;=2),"High Risk / Delayed","Normal")</f>
        <v/>
      </c>
      <c r="Y1911" s="25">
        <f>IF(NOT(P1911="Cancelled"),"Fulfilled","Cancelled")</f>
        <v/>
      </c>
      <c r="Z1911" s="25">
        <f>IFERROR(Q1911,0)</f>
        <v/>
      </c>
    </row>
    <row r="1912">
      <c r="A1912" s="17" t="inlineStr">
        <is>
          <t>ORD2911</t>
        </is>
      </c>
      <c r="B1912" s="17" t="inlineStr">
        <is>
          <t>2025-03-23</t>
        </is>
      </c>
      <c r="C1912" s="17" t="inlineStr">
        <is>
          <t>14:24:38</t>
        </is>
      </c>
      <c r="D1912" s="17" t="n">
        <v>1271</v>
      </c>
      <c r="E1912" s="17" t="n">
        <v>104</v>
      </c>
      <c r="F1912" s="17" t="n">
        <v>228</v>
      </c>
      <c r="G1912" s="17" t="inlineStr">
        <is>
          <t>Delhi NCR</t>
        </is>
      </c>
      <c r="H1912" s="17" t="inlineStr">
        <is>
          <t>Fast Food</t>
        </is>
      </c>
      <c r="I1912" s="22" t="n">
        <v>690</v>
      </c>
      <c r="J1912" s="22" t="n">
        <v>72.41</v>
      </c>
      <c r="K1912" s="22" t="n">
        <v>28</v>
      </c>
      <c r="L1912" s="23" t="n">
        <v>0.18</v>
      </c>
      <c r="M1912" s="22" t="n">
        <v>131.2</v>
      </c>
      <c r="N1912" s="24" t="n">
        <v>3.6</v>
      </c>
      <c r="O1912" s="24" t="n">
        <v>33.1</v>
      </c>
      <c r="P1912" s="17" t="inlineStr">
        <is>
          <t>Digital Wallet</t>
        </is>
      </c>
      <c r="Q1912" s="17" t="inlineStr">
        <is>
          <t>Delivered</t>
        </is>
      </c>
      <c r="R1912" s="17" t="n">
        <v>4</v>
      </c>
      <c r="S1912" s="17">
        <f>TEXT(B1912,"yyyy-mm")</f>
        <v/>
      </c>
      <c r="T1912" s="17">
        <f>VLOOKUP(D1912,Customers!A:D,4,FALSE)</f>
        <v/>
      </c>
      <c r="U1912" s="17">
        <f>CONCATENATE(A1912,"-",G1912)</f>
        <v/>
      </c>
      <c r="V1912" s="17">
        <f>IF(N1912="","",IF(N1912&lt;=30,"Fast (&lt;30m)",IF(N1912&lt;=45,"Moderate (30-45m)","Delayed (&gt;45m)")))</f>
        <v/>
      </c>
      <c r="W1912" s="17">
        <f>IF(AND(I1912&gt;600,P1912="Delivered"),"High Value Delivered","Standard")</f>
        <v/>
      </c>
      <c r="X1912" s="17">
        <f>IF(OR(N1912&gt;50,Q1912&lt;=2),"High Risk / Delayed","Normal")</f>
        <v/>
      </c>
      <c r="Y1912" s="17">
        <f>IF(NOT(P1912="Cancelled"),"Fulfilled","Cancelled")</f>
        <v/>
      </c>
      <c r="Z1912" s="17">
        <f>IFERROR(Q1912,0)</f>
        <v/>
      </c>
    </row>
    <row r="1913">
      <c r="A1913" s="25" t="inlineStr">
        <is>
          <t>ORD2912</t>
        </is>
      </c>
      <c r="B1913" s="25" t="inlineStr">
        <is>
          <t>2025-09-28</t>
        </is>
      </c>
      <c r="C1913" s="25" t="inlineStr">
        <is>
          <t>00:43:42</t>
        </is>
      </c>
      <c r="D1913" s="25" t="n">
        <v>1117</v>
      </c>
      <c r="E1913" s="25" t="n">
        <v>107</v>
      </c>
      <c r="F1913" s="25" t="n">
        <v>229</v>
      </c>
      <c r="G1913" s="25" t="inlineStr">
        <is>
          <t>Mumbai</t>
        </is>
      </c>
      <c r="H1913" s="25" t="inlineStr">
        <is>
          <t>Desserts</t>
        </is>
      </c>
      <c r="I1913" s="26" t="n">
        <v>876</v>
      </c>
      <c r="J1913" s="26" t="n">
        <v>73.56</v>
      </c>
      <c r="K1913" s="26" t="n">
        <v>25</v>
      </c>
      <c r="L1913" s="27" t="n">
        <v>0.25</v>
      </c>
      <c r="M1913" s="26" t="n">
        <v>225.25</v>
      </c>
      <c r="N1913" s="28" t="n">
        <v>2.2</v>
      </c>
      <c r="O1913" s="28" t="n">
        <v>26</v>
      </c>
      <c r="P1913" s="25" t="inlineStr">
        <is>
          <t>Debit Card</t>
        </is>
      </c>
      <c r="Q1913" s="25" t="inlineStr">
        <is>
          <t>Delivered</t>
        </is>
      </c>
      <c r="R1913" s="25" t="n">
        <v>5</v>
      </c>
      <c r="S1913" s="25">
        <f>TEXT(B1913,"yyyy-mm")</f>
        <v/>
      </c>
      <c r="T1913" s="25">
        <f>VLOOKUP(D1913,Customers!A:D,4,FALSE)</f>
        <v/>
      </c>
      <c r="U1913" s="25">
        <f>CONCATENATE(A1913,"-",G1913)</f>
        <v/>
      </c>
      <c r="V1913" s="25">
        <f>IF(N1913="","",IF(N1913&lt;=30,"Fast (&lt;30m)",IF(N1913&lt;=45,"Moderate (30-45m)","Delayed (&gt;45m)")))</f>
        <v/>
      </c>
      <c r="W1913" s="25">
        <f>IF(AND(I1913&gt;600,P1913="Delivered"),"High Value Delivered","Standard")</f>
        <v/>
      </c>
      <c r="X1913" s="25">
        <f>IF(OR(N1913&gt;50,Q1913&lt;=2),"High Risk / Delayed","Normal")</f>
        <v/>
      </c>
      <c r="Y1913" s="25">
        <f>IF(NOT(P1913="Cancelled"),"Fulfilled","Cancelled")</f>
        <v/>
      </c>
      <c r="Z1913" s="25">
        <f>IFERROR(Q1913,0)</f>
        <v/>
      </c>
    </row>
    <row r="1914">
      <c r="A1914" s="17" t="inlineStr">
        <is>
          <t>ORD2913</t>
        </is>
      </c>
      <c r="B1914" s="17" t="inlineStr">
        <is>
          <t>2025-10-30</t>
        </is>
      </c>
      <c r="C1914" s="17" t="inlineStr">
        <is>
          <t>10:27:11</t>
        </is>
      </c>
      <c r="D1914" s="17" t="n">
        <v>1078</v>
      </c>
      <c r="E1914" s="17" t="n">
        <v>104</v>
      </c>
      <c r="F1914" s="17" t="n">
        <v>219</v>
      </c>
      <c r="G1914" s="17" t="inlineStr">
        <is>
          <t>Delhi NCR</t>
        </is>
      </c>
      <c r="H1914" s="17" t="inlineStr">
        <is>
          <t>Fast Food</t>
        </is>
      </c>
      <c r="I1914" s="22" t="n">
        <v>591</v>
      </c>
      <c r="J1914" s="22" t="n">
        <v>0</v>
      </c>
      <c r="K1914" s="22" t="n">
        <v>25</v>
      </c>
      <c r="L1914" s="23" t="n">
        <v>0.18</v>
      </c>
      <c r="M1914" s="22" t="n">
        <v>112.63</v>
      </c>
      <c r="N1914" s="24" t="n">
        <v>2.2</v>
      </c>
      <c r="O1914" s="24" t="n">
        <v>19.1</v>
      </c>
      <c r="P1914" s="17" t="inlineStr">
        <is>
          <t>Cash on Delivery</t>
        </is>
      </c>
      <c r="Q1914" s="17" t="inlineStr">
        <is>
          <t>Delivered</t>
        </is>
      </c>
      <c r="R1914" s="17" t="n">
        <v>4</v>
      </c>
      <c r="S1914" s="17">
        <f>TEXT(B1914,"yyyy-mm")</f>
        <v/>
      </c>
      <c r="T1914" s="17">
        <f>VLOOKUP(D1914,Customers!A:D,4,FALSE)</f>
        <v/>
      </c>
      <c r="U1914" s="17">
        <f>CONCATENATE(A1914,"-",G1914)</f>
        <v/>
      </c>
      <c r="V1914" s="17">
        <f>IF(N1914="","",IF(N1914&lt;=30,"Fast (&lt;30m)",IF(N1914&lt;=45,"Moderate (30-45m)","Delayed (&gt;45m)")))</f>
        <v/>
      </c>
      <c r="W1914" s="17">
        <f>IF(AND(I1914&gt;600,P1914="Delivered"),"High Value Delivered","Standard")</f>
        <v/>
      </c>
      <c r="X1914" s="17">
        <f>IF(OR(N1914&gt;50,Q1914&lt;=2),"High Risk / Delayed","Normal")</f>
        <v/>
      </c>
      <c r="Y1914" s="17">
        <f>IF(NOT(P1914="Cancelled"),"Fulfilled","Cancelled")</f>
        <v/>
      </c>
      <c r="Z1914" s="17">
        <f>IFERROR(Q1914,0)</f>
        <v/>
      </c>
    </row>
    <row r="1915">
      <c r="A1915" s="25" t="inlineStr">
        <is>
          <t>ORD2914</t>
        </is>
      </c>
      <c r="B1915" s="25" t="inlineStr">
        <is>
          <t>2025-03-06</t>
        </is>
      </c>
      <c r="C1915" s="25" t="inlineStr">
        <is>
          <t>20:01:05</t>
        </is>
      </c>
      <c r="D1915" s="25" t="n">
        <v>1197</v>
      </c>
      <c r="E1915" s="25" t="n">
        <v>113</v>
      </c>
      <c r="F1915" s="25" t="n">
        <v>206</v>
      </c>
      <c r="G1915" s="25" t="inlineStr">
        <is>
          <t>Mumbai</t>
        </is>
      </c>
      <c r="H1915" s="25" t="inlineStr">
        <is>
          <t>Fast Food</t>
        </is>
      </c>
      <c r="I1915" s="26" t="n">
        <v>355</v>
      </c>
      <c r="J1915" s="26" t="n">
        <v>28.48</v>
      </c>
      <c r="K1915" s="26" t="n">
        <v>33</v>
      </c>
      <c r="L1915" s="27" t="n">
        <v>0.18</v>
      </c>
      <c r="M1915" s="26" t="n">
        <v>72.15000000000001</v>
      </c>
      <c r="N1915" s="28" t="n">
        <v>4.6</v>
      </c>
      <c r="O1915" s="28" t="n">
        <v>43.3</v>
      </c>
      <c r="P1915" s="25" t="inlineStr">
        <is>
          <t>Debit Card</t>
        </is>
      </c>
      <c r="Q1915" s="25" t="inlineStr">
        <is>
          <t>Delivered</t>
        </is>
      </c>
      <c r="R1915" s="25" t="n">
        <v>1</v>
      </c>
      <c r="S1915" s="25">
        <f>TEXT(B1915,"yyyy-mm")</f>
        <v/>
      </c>
      <c r="T1915" s="25">
        <f>VLOOKUP(D1915,Customers!A:D,4,FALSE)</f>
        <v/>
      </c>
      <c r="U1915" s="25">
        <f>CONCATENATE(A1915,"-",G1915)</f>
        <v/>
      </c>
      <c r="V1915" s="25">
        <f>IF(N1915="","",IF(N1915&lt;=30,"Fast (&lt;30m)",IF(N1915&lt;=45,"Moderate (30-45m)","Delayed (&gt;45m)")))</f>
        <v/>
      </c>
      <c r="W1915" s="25">
        <f>IF(AND(I1915&gt;600,P1915="Delivered"),"High Value Delivered","Standard")</f>
        <v/>
      </c>
      <c r="X1915" s="25">
        <f>IF(OR(N1915&gt;50,Q1915&lt;=2),"High Risk / Delayed","Normal")</f>
        <v/>
      </c>
      <c r="Y1915" s="25">
        <f>IF(NOT(P1915="Cancelled"),"Fulfilled","Cancelled")</f>
        <v/>
      </c>
      <c r="Z1915" s="25">
        <f>IFERROR(Q1915,0)</f>
        <v/>
      </c>
    </row>
    <row r="1916">
      <c r="A1916" s="17" t="inlineStr">
        <is>
          <t>ORD2915</t>
        </is>
      </c>
      <c r="B1916" s="17" t="inlineStr">
        <is>
          <t>2025-01-08</t>
        </is>
      </c>
      <c r="C1916" s="17" t="inlineStr">
        <is>
          <t>18:19:05</t>
        </is>
      </c>
      <c r="D1916" s="17" t="n">
        <v>1151</v>
      </c>
      <c r="E1916" s="17" t="n">
        <v>103</v>
      </c>
      <c r="F1916" s="17" t="n">
        <v>206</v>
      </c>
      <c r="G1916" s="17" t="inlineStr">
        <is>
          <t>Mumbai</t>
        </is>
      </c>
      <c r="H1916" s="17" t="inlineStr">
        <is>
          <t>Italian</t>
        </is>
      </c>
      <c r="I1916" s="22" t="n">
        <v>1104</v>
      </c>
      <c r="J1916" s="22" t="n">
        <v>111.05</v>
      </c>
      <c r="K1916" s="22" t="n">
        <v>0</v>
      </c>
      <c r="L1916" s="23" t="n">
        <v>0.18</v>
      </c>
      <c r="M1916" s="22" t="n">
        <v>198.72</v>
      </c>
      <c r="N1916" s="24" t="n">
        <v>7.2</v>
      </c>
      <c r="O1916" s="24" t="n">
        <v>43</v>
      </c>
      <c r="P1916" s="17" t="inlineStr">
        <is>
          <t>Digital Wallet</t>
        </is>
      </c>
      <c r="Q1916" s="17" t="inlineStr">
        <is>
          <t>Delivered</t>
        </is>
      </c>
      <c r="R1916" s="17" t="n">
        <v>3</v>
      </c>
      <c r="S1916" s="17">
        <f>TEXT(B1916,"yyyy-mm")</f>
        <v/>
      </c>
      <c r="T1916" s="17">
        <f>VLOOKUP(D1916,Customers!A:D,4,FALSE)</f>
        <v/>
      </c>
      <c r="U1916" s="17">
        <f>CONCATENATE(A1916,"-",G1916)</f>
        <v/>
      </c>
      <c r="V1916" s="17">
        <f>IF(N1916="","",IF(N1916&lt;=30,"Fast (&lt;30m)",IF(N1916&lt;=45,"Moderate (30-45m)","Delayed (&gt;45m)")))</f>
        <v/>
      </c>
      <c r="W1916" s="17">
        <f>IF(AND(I1916&gt;600,P1916="Delivered"),"High Value Delivered","Standard")</f>
        <v/>
      </c>
      <c r="X1916" s="17">
        <f>IF(OR(N1916&gt;50,Q1916&lt;=2),"High Risk / Delayed","Normal")</f>
        <v/>
      </c>
      <c r="Y1916" s="17">
        <f>IF(NOT(P1916="Cancelled"),"Fulfilled","Cancelled")</f>
        <v/>
      </c>
      <c r="Z1916" s="17">
        <f>IFERROR(Q1916,0)</f>
        <v/>
      </c>
    </row>
    <row r="1917">
      <c r="A1917" s="25" t="inlineStr">
        <is>
          <t>ORD2916</t>
        </is>
      </c>
      <c r="B1917" s="25" t="inlineStr">
        <is>
          <t>2025-08-25</t>
        </is>
      </c>
      <c r="C1917" s="25" t="inlineStr">
        <is>
          <t>19:23:21</t>
        </is>
      </c>
      <c r="D1917" s="25" t="n">
        <v>1032</v>
      </c>
      <c r="E1917" s="25" t="n">
        <v>104</v>
      </c>
      <c r="F1917" s="25" t="n">
        <v>228</v>
      </c>
      <c r="G1917" s="25" t="inlineStr">
        <is>
          <t>Delhi NCR</t>
        </is>
      </c>
      <c r="H1917" s="25" t="inlineStr">
        <is>
          <t>Fast Food</t>
        </is>
      </c>
      <c r="I1917" s="26" t="n">
        <v>742</v>
      </c>
      <c r="J1917" s="26" t="n">
        <v>0</v>
      </c>
      <c r="K1917" s="26" t="n">
        <v>25</v>
      </c>
      <c r="L1917" s="27" t="n">
        <v>0.18</v>
      </c>
      <c r="M1917" s="26" t="n">
        <v>139.81</v>
      </c>
      <c r="N1917" s="28" t="n">
        <v>2.1</v>
      </c>
      <c r="O1917" s="28" t="n">
        <v>35.7</v>
      </c>
      <c r="P1917" s="25" t="inlineStr">
        <is>
          <t>Cash on Delivery</t>
        </is>
      </c>
      <c r="Q1917" s="25" t="inlineStr">
        <is>
          <t>Delivered</t>
        </is>
      </c>
      <c r="R1917" s="25" t="n">
        <v>3</v>
      </c>
      <c r="S1917" s="25">
        <f>TEXT(B1917,"yyyy-mm")</f>
        <v/>
      </c>
      <c r="T1917" s="25">
        <f>VLOOKUP(D1917,Customers!A:D,4,FALSE)</f>
        <v/>
      </c>
      <c r="U1917" s="25">
        <f>CONCATENATE(A1917,"-",G1917)</f>
        <v/>
      </c>
      <c r="V1917" s="25">
        <f>IF(N1917="","",IF(N1917&lt;=30,"Fast (&lt;30m)",IF(N1917&lt;=45,"Moderate (30-45m)","Delayed (&gt;45m)")))</f>
        <v/>
      </c>
      <c r="W1917" s="25">
        <f>IF(AND(I1917&gt;600,P1917="Delivered"),"High Value Delivered","Standard")</f>
        <v/>
      </c>
      <c r="X1917" s="25">
        <f>IF(OR(N1917&gt;50,Q1917&lt;=2),"High Risk / Delayed","Normal")</f>
        <v/>
      </c>
      <c r="Y1917" s="25">
        <f>IF(NOT(P1917="Cancelled"),"Fulfilled","Cancelled")</f>
        <v/>
      </c>
      <c r="Z1917" s="25">
        <f>IFERROR(Q1917,0)</f>
        <v/>
      </c>
    </row>
    <row r="1918">
      <c r="A1918" s="17" t="inlineStr">
        <is>
          <t>ORD2917</t>
        </is>
      </c>
      <c r="B1918" s="17" t="inlineStr">
        <is>
          <t>2025-12-28</t>
        </is>
      </c>
      <c r="C1918" s="17" t="inlineStr">
        <is>
          <t>08:05:42</t>
        </is>
      </c>
      <c r="D1918" s="17" t="n">
        <v>1139</v>
      </c>
      <c r="E1918" s="17" t="n">
        <v>104</v>
      </c>
      <c r="F1918" s="17" t="n">
        <v>212</v>
      </c>
      <c r="G1918" s="17" t="inlineStr">
        <is>
          <t>Delhi NCR</t>
        </is>
      </c>
      <c r="H1918" s="17" t="inlineStr">
        <is>
          <t>Fast Food</t>
        </is>
      </c>
      <c r="I1918" s="22" t="n">
        <v>361</v>
      </c>
      <c r="J1918" s="22" t="n">
        <v>0</v>
      </c>
      <c r="K1918" s="22" t="n">
        <v>32</v>
      </c>
      <c r="L1918" s="23" t="n">
        <v>0.18</v>
      </c>
      <c r="M1918" s="22" t="n">
        <v>72.98</v>
      </c>
      <c r="N1918" s="24" t="n">
        <v>4.4</v>
      </c>
      <c r="O1918" s="24" t="n">
        <v>28.5</v>
      </c>
      <c r="P1918" s="17" t="inlineStr">
        <is>
          <t>Credit Card</t>
        </is>
      </c>
      <c r="Q1918" s="17" t="inlineStr">
        <is>
          <t>Delivered</t>
        </is>
      </c>
      <c r="R1918" s="17" t="n">
        <v>4</v>
      </c>
      <c r="S1918" s="17">
        <f>TEXT(B1918,"yyyy-mm")</f>
        <v/>
      </c>
      <c r="T1918" s="17">
        <f>VLOOKUP(D1918,Customers!A:D,4,FALSE)</f>
        <v/>
      </c>
      <c r="U1918" s="17">
        <f>CONCATENATE(A1918,"-",G1918)</f>
        <v/>
      </c>
      <c r="V1918" s="17">
        <f>IF(N1918="","",IF(N1918&lt;=30,"Fast (&lt;30m)",IF(N1918&lt;=45,"Moderate (30-45m)","Delayed (&gt;45m)")))</f>
        <v/>
      </c>
      <c r="W1918" s="17">
        <f>IF(AND(I1918&gt;600,P1918="Delivered"),"High Value Delivered","Standard")</f>
        <v/>
      </c>
      <c r="X1918" s="17">
        <f>IF(OR(N1918&gt;50,Q1918&lt;=2),"High Risk / Delayed","Normal")</f>
        <v/>
      </c>
      <c r="Y1918" s="17">
        <f>IF(NOT(P1918="Cancelled"),"Fulfilled","Cancelled")</f>
        <v/>
      </c>
      <c r="Z1918" s="17">
        <f>IFERROR(Q1918,0)</f>
        <v/>
      </c>
    </row>
    <row r="1919">
      <c r="A1919" s="25" t="inlineStr">
        <is>
          <t>ORD2918</t>
        </is>
      </c>
      <c r="B1919" s="25" t="inlineStr">
        <is>
          <t>2025-10-05</t>
        </is>
      </c>
      <c r="C1919" s="25" t="inlineStr">
        <is>
          <t>08:43:51</t>
        </is>
      </c>
      <c r="D1919" s="25" t="n">
        <v>1178</v>
      </c>
      <c r="E1919" s="25" t="n">
        <v>116</v>
      </c>
      <c r="F1919" s="25" t="n">
        <v>208</v>
      </c>
      <c r="G1919" s="25" t="inlineStr">
        <is>
          <t>Pune</t>
        </is>
      </c>
      <c r="H1919" s="25" t="inlineStr">
        <is>
          <t>Desserts</t>
        </is>
      </c>
      <c r="I1919" s="26" t="n">
        <v>880</v>
      </c>
      <c r="J1919" s="26" t="n">
        <v>19.74</v>
      </c>
      <c r="K1919" s="26" t="n">
        <v>28.5</v>
      </c>
      <c r="L1919" s="27" t="n">
        <v>0.25</v>
      </c>
      <c r="M1919" s="26" t="n">
        <v>227.12</v>
      </c>
      <c r="N1919" s="28" t="n">
        <v>3.7</v>
      </c>
      <c r="O1919" s="28" t="n">
        <v>28.8</v>
      </c>
      <c r="P1919" s="25" t="inlineStr">
        <is>
          <t>Digital Wallet</t>
        </is>
      </c>
      <c r="Q1919" s="25" t="inlineStr">
        <is>
          <t>Delivered</t>
        </is>
      </c>
      <c r="R1919" s="25" t="n">
        <v>4</v>
      </c>
      <c r="S1919" s="25">
        <f>TEXT(B1919,"yyyy-mm")</f>
        <v/>
      </c>
      <c r="T1919" s="25">
        <f>VLOOKUP(D1919,Customers!A:D,4,FALSE)</f>
        <v/>
      </c>
      <c r="U1919" s="25">
        <f>CONCATENATE(A1919,"-",G1919)</f>
        <v/>
      </c>
      <c r="V1919" s="25">
        <f>IF(N1919="","",IF(N1919&lt;=30,"Fast (&lt;30m)",IF(N1919&lt;=45,"Moderate (30-45m)","Delayed (&gt;45m)")))</f>
        <v/>
      </c>
      <c r="W1919" s="25">
        <f>IF(AND(I1919&gt;600,P1919="Delivered"),"High Value Delivered","Standard")</f>
        <v/>
      </c>
      <c r="X1919" s="25">
        <f>IF(OR(N1919&gt;50,Q1919&lt;=2),"High Risk / Delayed","Normal")</f>
        <v/>
      </c>
      <c r="Y1919" s="25">
        <f>IF(NOT(P1919="Cancelled"),"Fulfilled","Cancelled")</f>
        <v/>
      </c>
      <c r="Z1919" s="25">
        <f>IFERROR(Q1919,0)</f>
        <v/>
      </c>
    </row>
    <row r="1920">
      <c r="A1920" s="17" t="inlineStr">
        <is>
          <t>ORD2919</t>
        </is>
      </c>
      <c r="B1920" s="17" t="inlineStr">
        <is>
          <t>2025-05-17</t>
        </is>
      </c>
      <c r="C1920" s="17" t="inlineStr">
        <is>
          <t>19:11:10</t>
        </is>
      </c>
      <c r="D1920" s="17" t="n">
        <v>1159</v>
      </c>
      <c r="E1920" s="17" t="n">
        <v>104</v>
      </c>
      <c r="F1920" s="17" t="n">
        <v>230</v>
      </c>
      <c r="G1920" s="17" t="inlineStr">
        <is>
          <t>Delhi NCR</t>
        </is>
      </c>
      <c r="H1920" s="17" t="inlineStr">
        <is>
          <t>Fast Food</t>
        </is>
      </c>
      <c r="I1920" s="22" t="n">
        <v>364</v>
      </c>
      <c r="J1920" s="22" t="n">
        <v>13.91</v>
      </c>
      <c r="K1920" s="22" t="n">
        <v>27</v>
      </c>
      <c r="L1920" s="23" t="n">
        <v>0.18</v>
      </c>
      <c r="M1920" s="22" t="n">
        <v>72.27</v>
      </c>
      <c r="N1920" s="24" t="n">
        <v>3.4</v>
      </c>
      <c r="O1920" s="24" t="n">
        <v>30.4</v>
      </c>
      <c r="P1920" s="17" t="inlineStr">
        <is>
          <t>UPI</t>
        </is>
      </c>
      <c r="Q1920" s="17" t="inlineStr">
        <is>
          <t>Delivered</t>
        </is>
      </c>
      <c r="R1920" s="17" t="n">
        <v>4</v>
      </c>
      <c r="S1920" s="17">
        <f>TEXT(B1920,"yyyy-mm")</f>
        <v/>
      </c>
      <c r="T1920" s="17">
        <f>VLOOKUP(D1920,Customers!A:D,4,FALSE)</f>
        <v/>
      </c>
      <c r="U1920" s="17">
        <f>CONCATENATE(A1920,"-",G1920)</f>
        <v/>
      </c>
      <c r="V1920" s="17">
        <f>IF(N1920="","",IF(N1920&lt;=30,"Fast (&lt;30m)",IF(N1920&lt;=45,"Moderate (30-45m)","Delayed (&gt;45m)")))</f>
        <v/>
      </c>
      <c r="W1920" s="17">
        <f>IF(AND(I1920&gt;600,P1920="Delivered"),"High Value Delivered","Standard")</f>
        <v/>
      </c>
      <c r="X1920" s="17">
        <f>IF(OR(N1920&gt;50,Q1920&lt;=2),"High Risk / Delayed","Normal")</f>
        <v/>
      </c>
      <c r="Y1920" s="17">
        <f>IF(NOT(P1920="Cancelled"),"Fulfilled","Cancelled")</f>
        <v/>
      </c>
      <c r="Z1920" s="17">
        <f>IFERROR(Q1920,0)</f>
        <v/>
      </c>
    </row>
    <row r="1921">
      <c r="A1921" s="25" t="inlineStr">
        <is>
          <t>ORD2920</t>
        </is>
      </c>
      <c r="B1921" s="25" t="inlineStr">
        <is>
          <t>2025-07-07</t>
        </is>
      </c>
      <c r="C1921" s="25" t="inlineStr">
        <is>
          <t>09:17:58</t>
        </is>
      </c>
      <c r="D1921" s="25" t="n">
        <v>1293</v>
      </c>
      <c r="E1921" s="25" t="n">
        <v>109</v>
      </c>
      <c r="F1921" s="25" t="n">
        <v>225</v>
      </c>
      <c r="G1921" s="25" t="inlineStr">
        <is>
          <t>Hyderabad</t>
        </is>
      </c>
      <c r="H1921" s="25" t="inlineStr">
        <is>
          <t>Biryani</t>
        </is>
      </c>
      <c r="I1921" s="26" t="n">
        <v>355</v>
      </c>
      <c r="J1921" s="26" t="n">
        <v>20.37</v>
      </c>
      <c r="K1921" s="26" t="n">
        <v>25</v>
      </c>
      <c r="L1921" s="27" t="n">
        <v>0.2</v>
      </c>
      <c r="M1921" s="26" t="n">
        <v>77.25</v>
      </c>
      <c r="N1921" s="28" t="n">
        <v>1.4</v>
      </c>
      <c r="O1921" s="28" t="n">
        <v>73.90000000000001</v>
      </c>
      <c r="P1921" s="25" t="inlineStr">
        <is>
          <t>Debit Card</t>
        </is>
      </c>
      <c r="Q1921" s="25" t="inlineStr">
        <is>
          <t>Delivered</t>
        </is>
      </c>
      <c r="R1921" s="25" t="n">
        <v>1</v>
      </c>
      <c r="S1921" s="25">
        <f>TEXT(B1921,"yyyy-mm")</f>
        <v/>
      </c>
      <c r="T1921" s="25">
        <f>VLOOKUP(D1921,Customers!A:D,4,FALSE)</f>
        <v/>
      </c>
      <c r="U1921" s="25">
        <f>CONCATENATE(A1921,"-",G1921)</f>
        <v/>
      </c>
      <c r="V1921" s="25">
        <f>IF(N1921="","",IF(N1921&lt;=30,"Fast (&lt;30m)",IF(N1921&lt;=45,"Moderate (30-45m)","Delayed (&gt;45m)")))</f>
        <v/>
      </c>
      <c r="W1921" s="25">
        <f>IF(AND(I1921&gt;600,P1921="Delivered"),"High Value Delivered","Standard")</f>
        <v/>
      </c>
      <c r="X1921" s="25">
        <f>IF(OR(N1921&gt;50,Q1921&lt;=2),"High Risk / Delayed","Normal")</f>
        <v/>
      </c>
      <c r="Y1921" s="25">
        <f>IF(NOT(P1921="Cancelled"),"Fulfilled","Cancelled")</f>
        <v/>
      </c>
      <c r="Z1921" s="25">
        <f>IFERROR(Q1921,0)</f>
        <v/>
      </c>
    </row>
    <row r="1922">
      <c r="A1922" s="17" t="inlineStr">
        <is>
          <t>ORD2921</t>
        </is>
      </c>
      <c r="B1922" s="17" t="inlineStr">
        <is>
          <t>2025-08-11</t>
        </is>
      </c>
      <c r="C1922" s="17" t="inlineStr">
        <is>
          <t>21:49:32</t>
        </is>
      </c>
      <c r="D1922" s="17" t="n">
        <v>1006</v>
      </c>
      <c r="E1922" s="17" t="n">
        <v>113</v>
      </c>
      <c r="F1922" s="17" t="n">
        <v>206</v>
      </c>
      <c r="G1922" s="17" t="inlineStr">
        <is>
          <t>Mumbai</t>
        </is>
      </c>
      <c r="H1922" s="17" t="inlineStr">
        <is>
          <t>Fast Food</t>
        </is>
      </c>
      <c r="I1922" s="22" t="n">
        <v>349</v>
      </c>
      <c r="J1922" s="22" t="n">
        <v>0</v>
      </c>
      <c r="K1922" s="22" t="n">
        <v>29</v>
      </c>
      <c r="L1922" s="23" t="n">
        <v>0.18</v>
      </c>
      <c r="M1922" s="22" t="n">
        <v>70.06999999999999</v>
      </c>
      <c r="N1922" s="24" t="n">
        <v>3.8</v>
      </c>
      <c r="O1922" s="24" t="n">
        <v/>
      </c>
      <c r="P1922" s="17" t="inlineStr">
        <is>
          <t>Credit Card</t>
        </is>
      </c>
      <c r="Q1922" s="17" t="inlineStr">
        <is>
          <t>Cancelled</t>
        </is>
      </c>
      <c r="R1922" s="17" t="n">
        <v/>
      </c>
      <c r="S1922" s="17">
        <f>TEXT(B1922,"yyyy-mm")</f>
        <v/>
      </c>
      <c r="T1922" s="17">
        <f>VLOOKUP(D1922,Customers!A:D,4,FALSE)</f>
        <v/>
      </c>
      <c r="U1922" s="17">
        <f>CONCATENATE(A1922,"-",G1922)</f>
        <v/>
      </c>
      <c r="V1922" s="17">
        <f>IF(N1922="","",IF(N1922&lt;=30,"Fast (&lt;30m)",IF(N1922&lt;=45,"Moderate (30-45m)","Delayed (&gt;45m)")))</f>
        <v/>
      </c>
      <c r="W1922" s="17">
        <f>IF(AND(I1922&gt;600,P1922="Delivered"),"High Value Delivered","Standard")</f>
        <v/>
      </c>
      <c r="X1922" s="17">
        <f>IF(OR(N1922&gt;50,Q1922&lt;=2),"High Risk / Delayed","Normal")</f>
        <v/>
      </c>
      <c r="Y1922" s="17">
        <f>IF(NOT(P1922="Cancelled"),"Fulfilled","Cancelled")</f>
        <v/>
      </c>
      <c r="Z1922" s="17">
        <f>IFERROR(Q1922,0)</f>
        <v/>
      </c>
    </row>
    <row r="1923">
      <c r="A1923" s="25" t="inlineStr">
        <is>
          <t>ORD2922</t>
        </is>
      </c>
      <c r="B1923" s="25" t="inlineStr">
        <is>
          <t>2025-12-30</t>
        </is>
      </c>
      <c r="C1923" s="25" t="inlineStr">
        <is>
          <t>13:36:01</t>
        </is>
      </c>
      <c r="D1923" s="25" t="n">
        <v>1054</v>
      </c>
      <c r="E1923" s="25" t="n">
        <v>105</v>
      </c>
      <c r="F1923" s="25" t="n">
        <v>213</v>
      </c>
      <c r="G1923" s="25" t="inlineStr">
        <is>
          <t>Bangalore</t>
        </is>
      </c>
      <c r="H1923" s="25" t="inlineStr">
        <is>
          <t>Chinese</t>
        </is>
      </c>
      <c r="I1923" s="26" t="n">
        <v>386</v>
      </c>
      <c r="J1923" s="26" t="n">
        <v>63</v>
      </c>
      <c r="K1923" s="26" t="n">
        <v>30</v>
      </c>
      <c r="L1923" s="27" t="n">
        <v>0.2</v>
      </c>
      <c r="M1923" s="26" t="n">
        <v>84.7</v>
      </c>
      <c r="N1923" s="28" t="n">
        <v>4</v>
      </c>
      <c r="O1923" s="28" t="n">
        <v>31.3</v>
      </c>
      <c r="P1923" s="25" t="inlineStr">
        <is>
          <t>Debit Card</t>
        </is>
      </c>
      <c r="Q1923" s="25" t="inlineStr">
        <is>
          <t>Delivered</t>
        </is>
      </c>
      <c r="R1923" s="25" t="n">
        <v>4</v>
      </c>
      <c r="S1923" s="25">
        <f>TEXT(B1923,"yyyy-mm")</f>
        <v/>
      </c>
      <c r="T1923" s="25">
        <f>VLOOKUP(D1923,Customers!A:D,4,FALSE)</f>
        <v/>
      </c>
      <c r="U1923" s="25">
        <f>CONCATENATE(A1923,"-",G1923)</f>
        <v/>
      </c>
      <c r="V1923" s="25">
        <f>IF(N1923="","",IF(N1923&lt;=30,"Fast (&lt;30m)",IF(N1923&lt;=45,"Moderate (30-45m)","Delayed (&gt;45m)")))</f>
        <v/>
      </c>
      <c r="W1923" s="25">
        <f>IF(AND(I1923&gt;600,P1923="Delivered"),"High Value Delivered","Standard")</f>
        <v/>
      </c>
      <c r="X1923" s="25">
        <f>IF(OR(N1923&gt;50,Q1923&lt;=2),"High Risk / Delayed","Normal")</f>
        <v/>
      </c>
      <c r="Y1923" s="25">
        <f>IF(NOT(P1923="Cancelled"),"Fulfilled","Cancelled")</f>
        <v/>
      </c>
      <c r="Z1923" s="25">
        <f>IFERROR(Q1923,0)</f>
        <v/>
      </c>
    </row>
    <row r="1924">
      <c r="A1924" s="17" t="inlineStr">
        <is>
          <t>ORD2923</t>
        </is>
      </c>
      <c r="B1924" s="17" t="inlineStr">
        <is>
          <t>2025-08-24</t>
        </is>
      </c>
      <c r="C1924" s="17" t="inlineStr">
        <is>
          <t>17:10:13</t>
        </is>
      </c>
      <c r="D1924" s="17" t="n">
        <v>1150</v>
      </c>
      <c r="E1924" s="17" t="n">
        <v>109</v>
      </c>
      <c r="F1924" s="17" t="n">
        <v>225</v>
      </c>
      <c r="G1924" s="17" t="inlineStr">
        <is>
          <t>Hyderabad</t>
        </is>
      </c>
      <c r="H1924" s="17" t="inlineStr">
        <is>
          <t>Biryani</t>
        </is>
      </c>
      <c r="I1924" s="22" t="n">
        <v>359</v>
      </c>
      <c r="J1924" s="22" t="n">
        <v>0</v>
      </c>
      <c r="K1924" s="22" t="n">
        <v>25</v>
      </c>
      <c r="L1924" s="23" t="n">
        <v>0.2</v>
      </c>
      <c r="M1924" s="22" t="n">
        <v>78.05</v>
      </c>
      <c r="N1924" s="24" t="n">
        <v>1.6</v>
      </c>
      <c r="O1924" s="24" t="n">
        <v>28.6</v>
      </c>
      <c r="P1924" s="17" t="inlineStr">
        <is>
          <t>Credit Card</t>
        </is>
      </c>
      <c r="Q1924" s="17" t="inlineStr">
        <is>
          <t>Delivered</t>
        </is>
      </c>
      <c r="R1924" s="17" t="n">
        <v>5</v>
      </c>
      <c r="S1924" s="17">
        <f>TEXT(B1924,"yyyy-mm")</f>
        <v/>
      </c>
      <c r="T1924" s="17">
        <f>VLOOKUP(D1924,Customers!A:D,4,FALSE)</f>
        <v/>
      </c>
      <c r="U1924" s="17">
        <f>CONCATENATE(A1924,"-",G1924)</f>
        <v/>
      </c>
      <c r="V1924" s="17">
        <f>IF(N1924="","",IF(N1924&lt;=30,"Fast (&lt;30m)",IF(N1924&lt;=45,"Moderate (30-45m)","Delayed (&gt;45m)")))</f>
        <v/>
      </c>
      <c r="W1924" s="17">
        <f>IF(AND(I1924&gt;600,P1924="Delivered"),"High Value Delivered","Standard")</f>
        <v/>
      </c>
      <c r="X1924" s="17">
        <f>IF(OR(N1924&gt;50,Q1924&lt;=2),"High Risk / Delayed","Normal")</f>
        <v/>
      </c>
      <c r="Y1924" s="17">
        <f>IF(NOT(P1924="Cancelled"),"Fulfilled","Cancelled")</f>
        <v/>
      </c>
      <c r="Z1924" s="17">
        <f>IFERROR(Q1924,0)</f>
        <v/>
      </c>
    </row>
    <row r="1925">
      <c r="A1925" s="25" t="inlineStr">
        <is>
          <t>ORD2924</t>
        </is>
      </c>
      <c r="B1925" s="25" t="inlineStr">
        <is>
          <t>2025-01-03</t>
        </is>
      </c>
      <c r="C1925" s="25" t="inlineStr">
        <is>
          <t>12:03:05</t>
        </is>
      </c>
      <c r="D1925" s="25" t="n">
        <v>1110</v>
      </c>
      <c r="E1925" s="25" t="n">
        <v>103</v>
      </c>
      <c r="F1925" s="25" t="n">
        <v>229</v>
      </c>
      <c r="G1925" s="25" t="inlineStr">
        <is>
          <t>Mumbai</t>
        </is>
      </c>
      <c r="H1925" s="25" t="inlineStr">
        <is>
          <t>Italian</t>
        </is>
      </c>
      <c r="I1925" s="26" t="n">
        <v>717</v>
      </c>
      <c r="J1925" s="26" t="n">
        <v>54.22</v>
      </c>
      <c r="K1925" s="26" t="n">
        <v>56</v>
      </c>
      <c r="L1925" s="27" t="n">
        <v>0.18</v>
      </c>
      <c r="M1925" s="26" t="n">
        <v>143.06</v>
      </c>
      <c r="N1925" s="28" t="n">
        <v>9.199999999999999</v>
      </c>
      <c r="O1925" s="28" t="n">
        <v>55</v>
      </c>
      <c r="P1925" s="25" t="inlineStr">
        <is>
          <t>Credit Card</t>
        </is>
      </c>
      <c r="Q1925" s="25" t="inlineStr">
        <is>
          <t>Delivered</t>
        </is>
      </c>
      <c r="R1925" s="25" t="n">
        <v>4</v>
      </c>
      <c r="S1925" s="25">
        <f>TEXT(B1925,"yyyy-mm")</f>
        <v/>
      </c>
      <c r="T1925" s="25">
        <f>VLOOKUP(D1925,Customers!A:D,4,FALSE)</f>
        <v/>
      </c>
      <c r="U1925" s="25">
        <f>CONCATENATE(A1925,"-",G1925)</f>
        <v/>
      </c>
      <c r="V1925" s="25">
        <f>IF(N1925="","",IF(N1925&lt;=30,"Fast (&lt;30m)",IF(N1925&lt;=45,"Moderate (30-45m)","Delayed (&gt;45m)")))</f>
        <v/>
      </c>
      <c r="W1925" s="25">
        <f>IF(AND(I1925&gt;600,P1925="Delivered"),"High Value Delivered","Standard")</f>
        <v/>
      </c>
      <c r="X1925" s="25">
        <f>IF(OR(N1925&gt;50,Q1925&lt;=2),"High Risk / Delayed","Normal")</f>
        <v/>
      </c>
      <c r="Y1925" s="25">
        <f>IF(NOT(P1925="Cancelled"),"Fulfilled","Cancelled")</f>
        <v/>
      </c>
      <c r="Z1925" s="25">
        <f>IFERROR(Q1925,0)</f>
        <v/>
      </c>
    </row>
    <row r="1926">
      <c r="A1926" s="17" t="inlineStr">
        <is>
          <t>ORD2925</t>
        </is>
      </c>
      <c r="B1926" s="17" t="inlineStr">
        <is>
          <t>2025-08-20</t>
        </is>
      </c>
      <c r="C1926" s="17" t="inlineStr">
        <is>
          <t>11:15:05</t>
        </is>
      </c>
      <c r="D1926" s="17" t="n">
        <v>1264</v>
      </c>
      <c r="E1926" s="17" t="n">
        <v>105</v>
      </c>
      <c r="F1926" s="17" t="n">
        <v>213</v>
      </c>
      <c r="G1926" s="17" t="inlineStr">
        <is>
          <t>Bangalore</t>
        </is>
      </c>
      <c r="H1926" s="17" t="inlineStr">
        <is>
          <t>Chinese</t>
        </is>
      </c>
      <c r="I1926" s="22" t="n">
        <v>359</v>
      </c>
      <c r="J1926" s="22" t="n">
        <v>2.08</v>
      </c>
      <c r="K1926" s="22" t="n">
        <v>25</v>
      </c>
      <c r="L1926" s="23" t="n">
        <v>0.2</v>
      </c>
      <c r="M1926" s="22" t="n">
        <v>78.05</v>
      </c>
      <c r="N1926" s="24" t="n">
        <v>2.6</v>
      </c>
      <c r="O1926" s="24" t="n">
        <v>28.9</v>
      </c>
      <c r="P1926" s="17" t="inlineStr">
        <is>
          <t>Digital Wallet</t>
        </is>
      </c>
      <c r="Q1926" s="17" t="inlineStr">
        <is>
          <t>Delivered</t>
        </is>
      </c>
      <c r="R1926" s="17" t="n">
        <v>5</v>
      </c>
      <c r="S1926" s="17">
        <f>TEXT(B1926,"yyyy-mm")</f>
        <v/>
      </c>
      <c r="T1926" s="17">
        <f>VLOOKUP(D1926,Customers!A:D,4,FALSE)</f>
        <v/>
      </c>
      <c r="U1926" s="17">
        <f>CONCATENATE(A1926,"-",G1926)</f>
        <v/>
      </c>
      <c r="V1926" s="17">
        <f>IF(N1926="","",IF(N1926&lt;=30,"Fast (&lt;30m)",IF(N1926&lt;=45,"Moderate (30-45m)","Delayed (&gt;45m)")))</f>
        <v/>
      </c>
      <c r="W1926" s="17">
        <f>IF(AND(I1926&gt;600,P1926="Delivered"),"High Value Delivered","Standard")</f>
        <v/>
      </c>
      <c r="X1926" s="17">
        <f>IF(OR(N1926&gt;50,Q1926&lt;=2),"High Risk / Delayed","Normal")</f>
        <v/>
      </c>
      <c r="Y1926" s="17">
        <f>IF(NOT(P1926="Cancelled"),"Fulfilled","Cancelled")</f>
        <v/>
      </c>
      <c r="Z1926" s="17">
        <f>IFERROR(Q1926,0)</f>
        <v/>
      </c>
    </row>
    <row r="1927">
      <c r="A1927" s="25" t="inlineStr">
        <is>
          <t>ORD2926</t>
        </is>
      </c>
      <c r="B1927" s="25" t="inlineStr">
        <is>
          <t>2025-02-03</t>
        </is>
      </c>
      <c r="C1927" s="25" t="inlineStr">
        <is>
          <t>12:03:50</t>
        </is>
      </c>
      <c r="D1927" s="25" t="n">
        <v>1148</v>
      </c>
      <c r="E1927" s="25" t="n">
        <v>105</v>
      </c>
      <c r="F1927" s="25" t="n">
        <v>205</v>
      </c>
      <c r="G1927" s="25" t="inlineStr">
        <is>
          <t>Bangalore</t>
        </is>
      </c>
      <c r="H1927" s="25" t="inlineStr">
        <is>
          <t>Chinese</t>
        </is>
      </c>
      <c r="I1927" s="26" t="n">
        <v>579</v>
      </c>
      <c r="J1927" s="26" t="n">
        <v>29.71</v>
      </c>
      <c r="K1927" s="26" t="n">
        <v>25</v>
      </c>
      <c r="L1927" s="27" t="n">
        <v>0.2</v>
      </c>
      <c r="M1927" s="26" t="n">
        <v>122.05</v>
      </c>
      <c r="N1927" s="28" t="n">
        <v>2.3</v>
      </c>
      <c r="O1927" s="28" t="n">
        <v>34.4</v>
      </c>
      <c r="P1927" s="25" t="inlineStr">
        <is>
          <t>UPI</t>
        </is>
      </c>
      <c r="Q1927" s="25" t="inlineStr">
        <is>
          <t>Delivered</t>
        </is>
      </c>
      <c r="R1927" s="25" t="n">
        <v>2</v>
      </c>
      <c r="S1927" s="25">
        <f>TEXT(B1927,"yyyy-mm")</f>
        <v/>
      </c>
      <c r="T1927" s="25">
        <f>VLOOKUP(D1927,Customers!A:D,4,FALSE)</f>
        <v/>
      </c>
      <c r="U1927" s="25">
        <f>CONCATENATE(A1927,"-",G1927)</f>
        <v/>
      </c>
      <c r="V1927" s="25">
        <f>IF(N1927="","",IF(N1927&lt;=30,"Fast (&lt;30m)",IF(N1927&lt;=45,"Moderate (30-45m)","Delayed (&gt;45m)")))</f>
        <v/>
      </c>
      <c r="W1927" s="25">
        <f>IF(AND(I1927&gt;600,P1927="Delivered"),"High Value Delivered","Standard")</f>
        <v/>
      </c>
      <c r="X1927" s="25">
        <f>IF(OR(N1927&gt;50,Q1927&lt;=2),"High Risk / Delayed","Normal")</f>
        <v/>
      </c>
      <c r="Y1927" s="25">
        <f>IF(NOT(P1927="Cancelled"),"Fulfilled","Cancelled")</f>
        <v/>
      </c>
      <c r="Z1927" s="25">
        <f>IFERROR(Q1927,0)</f>
        <v/>
      </c>
    </row>
    <row r="1928">
      <c r="A1928" s="17" t="inlineStr">
        <is>
          <t>ORD2927</t>
        </is>
      </c>
      <c r="B1928" s="17" t="inlineStr">
        <is>
          <t>2025-10-22</t>
        </is>
      </c>
      <c r="C1928" s="17" t="inlineStr">
        <is>
          <t>13:23:00</t>
        </is>
      </c>
      <c r="D1928" s="17" t="n">
        <v>1248</v>
      </c>
      <c r="E1928" s="17" t="n">
        <v>118</v>
      </c>
      <c r="F1928" s="17" t="n">
        <v>211</v>
      </c>
      <c r="G1928" s="17" t="inlineStr">
        <is>
          <t>Delhi NCR</t>
        </is>
      </c>
      <c r="H1928" s="17" t="inlineStr">
        <is>
          <t>North Indian</t>
        </is>
      </c>
      <c r="I1928" s="22" t="n">
        <v>990</v>
      </c>
      <c r="J1928" s="22" t="n">
        <v>182.54</v>
      </c>
      <c r="K1928" s="22" t="n">
        <v>0</v>
      </c>
      <c r="L1928" s="23" t="n">
        <v>0.2</v>
      </c>
      <c r="M1928" s="22" t="n">
        <v>198</v>
      </c>
      <c r="N1928" s="24" t="n">
        <v>2</v>
      </c>
      <c r="O1928" s="24" t="n">
        <v>33.7</v>
      </c>
      <c r="P1928" s="17" t="inlineStr">
        <is>
          <t>UPI</t>
        </is>
      </c>
      <c r="Q1928" s="17" t="inlineStr">
        <is>
          <t>Delivered</t>
        </is>
      </c>
      <c r="R1928" s="17" t="n">
        <v>5</v>
      </c>
      <c r="S1928" s="17">
        <f>TEXT(B1928,"yyyy-mm")</f>
        <v/>
      </c>
      <c r="T1928" s="17">
        <f>VLOOKUP(D1928,Customers!A:D,4,FALSE)</f>
        <v/>
      </c>
      <c r="U1928" s="17">
        <f>CONCATENATE(A1928,"-",G1928)</f>
        <v/>
      </c>
      <c r="V1928" s="17">
        <f>IF(N1928="","",IF(N1928&lt;=30,"Fast (&lt;30m)",IF(N1928&lt;=45,"Moderate (30-45m)","Delayed (&gt;45m)")))</f>
        <v/>
      </c>
      <c r="W1928" s="17">
        <f>IF(AND(I1928&gt;600,P1928="Delivered"),"High Value Delivered","Standard")</f>
        <v/>
      </c>
      <c r="X1928" s="17">
        <f>IF(OR(N1928&gt;50,Q1928&lt;=2),"High Risk / Delayed","Normal")</f>
        <v/>
      </c>
      <c r="Y1928" s="17">
        <f>IF(NOT(P1928="Cancelled"),"Fulfilled","Cancelled")</f>
        <v/>
      </c>
      <c r="Z1928" s="17">
        <f>IFERROR(Q1928,0)</f>
        <v/>
      </c>
    </row>
    <row r="1929">
      <c r="A1929" s="25" t="inlineStr">
        <is>
          <t>ORD2928</t>
        </is>
      </c>
      <c r="B1929" s="25" t="inlineStr">
        <is>
          <t>2025-08-07</t>
        </is>
      </c>
      <c r="C1929" s="25" t="inlineStr">
        <is>
          <t>18:05:47</t>
        </is>
      </c>
      <c r="D1929" s="25" t="n">
        <v>1007</v>
      </c>
      <c r="E1929" s="25" t="n">
        <v>105</v>
      </c>
      <c r="F1929" s="25" t="n">
        <v>220</v>
      </c>
      <c r="G1929" s="25" t="inlineStr">
        <is>
          <t>Bangalore</t>
        </is>
      </c>
      <c r="H1929" s="25" t="inlineStr">
        <is>
          <t>Chinese</t>
        </is>
      </c>
      <c r="I1929" s="26" t="n">
        <v>264</v>
      </c>
      <c r="J1929" s="26" t="n">
        <v>4.8</v>
      </c>
      <c r="K1929" s="26" t="n">
        <v>30.5</v>
      </c>
      <c r="L1929" s="27" t="n">
        <v>0.2</v>
      </c>
      <c r="M1929" s="26" t="n">
        <v>60.42</v>
      </c>
      <c r="N1929" s="28" t="n">
        <v>4.1</v>
      </c>
      <c r="O1929" s="28" t="n">
        <v>36.3</v>
      </c>
      <c r="P1929" s="25" t="inlineStr">
        <is>
          <t>Cash on Delivery</t>
        </is>
      </c>
      <c r="Q1929" s="25" t="inlineStr">
        <is>
          <t>Delivered</t>
        </is>
      </c>
      <c r="R1929" s="25" t="n">
        <v>3</v>
      </c>
      <c r="S1929" s="25">
        <f>TEXT(B1929,"yyyy-mm")</f>
        <v/>
      </c>
      <c r="T1929" s="25">
        <f>VLOOKUP(D1929,Customers!A:D,4,FALSE)</f>
        <v/>
      </c>
      <c r="U1929" s="25">
        <f>CONCATENATE(A1929,"-",G1929)</f>
        <v/>
      </c>
      <c r="V1929" s="25">
        <f>IF(N1929="","",IF(N1929&lt;=30,"Fast (&lt;30m)",IF(N1929&lt;=45,"Moderate (30-45m)","Delayed (&gt;45m)")))</f>
        <v/>
      </c>
      <c r="W1929" s="25">
        <f>IF(AND(I1929&gt;600,P1929="Delivered"),"High Value Delivered","Standard")</f>
        <v/>
      </c>
      <c r="X1929" s="25">
        <f>IF(OR(N1929&gt;50,Q1929&lt;=2),"High Risk / Delayed","Normal")</f>
        <v/>
      </c>
      <c r="Y1929" s="25">
        <f>IF(NOT(P1929="Cancelled"),"Fulfilled","Cancelled")</f>
        <v/>
      </c>
      <c r="Z1929" s="25">
        <f>IFERROR(Q1929,0)</f>
        <v/>
      </c>
    </row>
    <row r="1930">
      <c r="A1930" s="17" t="inlineStr">
        <is>
          <t>ORD2929</t>
        </is>
      </c>
      <c r="B1930" s="17" t="inlineStr">
        <is>
          <t>2025-04-13</t>
        </is>
      </c>
      <c r="C1930" s="17" t="inlineStr">
        <is>
          <t>22:02:02</t>
        </is>
      </c>
      <c r="D1930" s="17" t="n">
        <v>1280</v>
      </c>
      <c r="E1930" s="17" t="n">
        <v>120</v>
      </c>
      <c r="F1930" s="17" t="n">
        <v>224</v>
      </c>
      <c r="G1930" s="17" t="inlineStr">
        <is>
          <t>Pune</t>
        </is>
      </c>
      <c r="H1930" s="17" t="inlineStr">
        <is>
          <t>Fast Food</t>
        </is>
      </c>
      <c r="I1930" s="22" t="n">
        <v>693</v>
      </c>
      <c r="J1930" s="22" t="n">
        <v>38.09</v>
      </c>
      <c r="K1930" s="22" t="n">
        <v>34</v>
      </c>
      <c r="L1930" s="23" t="n">
        <v>0.18</v>
      </c>
      <c r="M1930" s="22" t="n">
        <v>133.24</v>
      </c>
      <c r="N1930" s="24" t="n">
        <v>4.8</v>
      </c>
      <c r="O1930" s="24" t="n">
        <v/>
      </c>
      <c r="P1930" s="17" t="inlineStr">
        <is>
          <t>Debit Card</t>
        </is>
      </c>
      <c r="Q1930" s="17" t="inlineStr">
        <is>
          <t>Cancelled</t>
        </is>
      </c>
      <c r="R1930" s="17" t="n">
        <v/>
      </c>
      <c r="S1930" s="17">
        <f>TEXT(B1930,"yyyy-mm")</f>
        <v/>
      </c>
      <c r="T1930" s="17">
        <f>VLOOKUP(D1930,Customers!A:D,4,FALSE)</f>
        <v/>
      </c>
      <c r="U1930" s="17">
        <f>CONCATENATE(A1930,"-",G1930)</f>
        <v/>
      </c>
      <c r="V1930" s="17">
        <f>IF(N1930="","",IF(N1930&lt;=30,"Fast (&lt;30m)",IF(N1930&lt;=45,"Moderate (30-45m)","Delayed (&gt;45m)")))</f>
        <v/>
      </c>
      <c r="W1930" s="17">
        <f>IF(AND(I1930&gt;600,P1930="Delivered"),"High Value Delivered","Standard")</f>
        <v/>
      </c>
      <c r="X1930" s="17">
        <f>IF(OR(N1930&gt;50,Q1930&lt;=2),"High Risk / Delayed","Normal")</f>
        <v/>
      </c>
      <c r="Y1930" s="17">
        <f>IF(NOT(P1930="Cancelled"),"Fulfilled","Cancelled")</f>
        <v/>
      </c>
      <c r="Z1930" s="17">
        <f>IFERROR(Q1930,0)</f>
        <v/>
      </c>
    </row>
    <row r="1931">
      <c r="A1931" s="25" t="inlineStr">
        <is>
          <t>ORD2930</t>
        </is>
      </c>
      <c r="B1931" s="25" t="inlineStr">
        <is>
          <t>2025-05-12</t>
        </is>
      </c>
      <c r="C1931" s="25" t="inlineStr">
        <is>
          <t>17:57:44</t>
        </is>
      </c>
      <c r="D1931" s="25" t="n">
        <v>1290</v>
      </c>
      <c r="E1931" s="25" t="n">
        <v>117</v>
      </c>
      <c r="F1931" s="25" t="n">
        <v>202</v>
      </c>
      <c r="G1931" s="25" t="inlineStr">
        <is>
          <t>Mumbai</t>
        </is>
      </c>
      <c r="H1931" s="25" t="inlineStr">
        <is>
          <t>Chinese</t>
        </is>
      </c>
      <c r="I1931" s="26" t="n">
        <v>889</v>
      </c>
      <c r="J1931" s="26" t="n">
        <v>0</v>
      </c>
      <c r="K1931" s="26" t="n">
        <v>28.5</v>
      </c>
      <c r="L1931" s="27" t="n">
        <v>0.2</v>
      </c>
      <c r="M1931" s="26" t="n">
        <v>184.92</v>
      </c>
      <c r="N1931" s="28" t="n">
        <v>3.7</v>
      </c>
      <c r="O1931" s="28" t="n">
        <v>31.5</v>
      </c>
      <c r="P1931" s="25" t="inlineStr">
        <is>
          <t>Debit Card</t>
        </is>
      </c>
      <c r="Q1931" s="25" t="inlineStr">
        <is>
          <t>Delivered</t>
        </is>
      </c>
      <c r="R1931" s="25" t="n">
        <v>5</v>
      </c>
      <c r="S1931" s="25">
        <f>TEXT(B1931,"yyyy-mm")</f>
        <v/>
      </c>
      <c r="T1931" s="25">
        <f>VLOOKUP(D1931,Customers!A:D,4,FALSE)</f>
        <v/>
      </c>
      <c r="U1931" s="25">
        <f>CONCATENATE(A1931,"-",G1931)</f>
        <v/>
      </c>
      <c r="V1931" s="25">
        <f>IF(N1931="","",IF(N1931&lt;=30,"Fast (&lt;30m)",IF(N1931&lt;=45,"Moderate (30-45m)","Delayed (&gt;45m)")))</f>
        <v/>
      </c>
      <c r="W1931" s="25">
        <f>IF(AND(I1931&gt;600,P1931="Delivered"),"High Value Delivered","Standard")</f>
        <v/>
      </c>
      <c r="X1931" s="25">
        <f>IF(OR(N1931&gt;50,Q1931&lt;=2),"High Risk / Delayed","Normal")</f>
        <v/>
      </c>
      <c r="Y1931" s="25">
        <f>IF(NOT(P1931="Cancelled"),"Fulfilled","Cancelled")</f>
        <v/>
      </c>
      <c r="Z1931" s="25">
        <f>IFERROR(Q1931,0)</f>
        <v/>
      </c>
    </row>
    <row r="1932">
      <c r="A1932" s="17" t="inlineStr">
        <is>
          <t>ORD2931</t>
        </is>
      </c>
      <c r="B1932" s="17" t="inlineStr">
        <is>
          <t>2025-11-27</t>
        </is>
      </c>
      <c r="C1932" s="17" t="inlineStr">
        <is>
          <t>21:09:51</t>
        </is>
      </c>
      <c r="D1932" s="17" t="n">
        <v>1090</v>
      </c>
      <c r="E1932" s="17" t="n">
        <v>101</v>
      </c>
      <c r="F1932" s="17" t="n">
        <v>203</v>
      </c>
      <c r="G1932" s="17" t="inlineStr">
        <is>
          <t>Bangalore</t>
        </is>
      </c>
      <c r="H1932" s="17" t="inlineStr">
        <is>
          <t>North Indian</t>
        </is>
      </c>
      <c r="I1932" s="22" t="n">
        <v>801</v>
      </c>
      <c r="J1932" s="22" t="n">
        <v>26.48</v>
      </c>
      <c r="K1932" s="22" t="n">
        <v>26.5</v>
      </c>
      <c r="L1932" s="23" t="n">
        <v>0.2</v>
      </c>
      <c r="M1932" s="22" t="n">
        <v>166.82</v>
      </c>
      <c r="N1932" s="24" t="n">
        <v>3.3</v>
      </c>
      <c r="O1932" s="24" t="n">
        <v>31.1</v>
      </c>
      <c r="P1932" s="17" t="inlineStr">
        <is>
          <t>Credit Card</t>
        </is>
      </c>
      <c r="Q1932" s="17" t="inlineStr">
        <is>
          <t>Delivered</t>
        </is>
      </c>
      <c r="R1932" s="17" t="n">
        <v>3</v>
      </c>
      <c r="S1932" s="17">
        <f>TEXT(B1932,"yyyy-mm")</f>
        <v/>
      </c>
      <c r="T1932" s="17">
        <f>VLOOKUP(D1932,Customers!A:D,4,FALSE)</f>
        <v/>
      </c>
      <c r="U1932" s="17">
        <f>CONCATENATE(A1932,"-",G1932)</f>
        <v/>
      </c>
      <c r="V1932" s="17">
        <f>IF(N1932="","",IF(N1932&lt;=30,"Fast (&lt;30m)",IF(N1932&lt;=45,"Moderate (30-45m)","Delayed (&gt;45m)")))</f>
        <v/>
      </c>
      <c r="W1932" s="17">
        <f>IF(AND(I1932&gt;600,P1932="Delivered"),"High Value Delivered","Standard")</f>
        <v/>
      </c>
      <c r="X1932" s="17">
        <f>IF(OR(N1932&gt;50,Q1932&lt;=2),"High Risk / Delayed","Normal")</f>
        <v/>
      </c>
      <c r="Y1932" s="17">
        <f>IF(NOT(P1932="Cancelled"),"Fulfilled","Cancelled")</f>
        <v/>
      </c>
      <c r="Z1932" s="17">
        <f>IFERROR(Q1932,0)</f>
        <v/>
      </c>
    </row>
    <row r="1933">
      <c r="A1933" s="25" t="inlineStr">
        <is>
          <t>ORD2932</t>
        </is>
      </c>
      <c r="B1933" s="25" t="inlineStr">
        <is>
          <t>2025-11-01</t>
        </is>
      </c>
      <c r="C1933" s="25" t="inlineStr">
        <is>
          <t>08:16:17</t>
        </is>
      </c>
      <c r="D1933" s="25" t="n">
        <v>1202</v>
      </c>
      <c r="E1933" s="25" t="n">
        <v>111</v>
      </c>
      <c r="F1933" s="25" t="n">
        <v>227</v>
      </c>
      <c r="G1933" s="25" t="inlineStr">
        <is>
          <t>Bangalore</t>
        </is>
      </c>
      <c r="H1933" s="25" t="inlineStr">
        <is>
          <t>South Indian</t>
        </is>
      </c>
      <c r="I1933" s="26" t="n">
        <v>703</v>
      </c>
      <c r="J1933" s="26" t="n">
        <v>23.25</v>
      </c>
      <c r="K1933" s="26" t="n">
        <v>29</v>
      </c>
      <c r="L1933" s="27" t="n">
        <v>0.15</v>
      </c>
      <c r="M1933" s="26" t="n">
        <v>112.7</v>
      </c>
      <c r="N1933" s="28" t="n">
        <v>3.8</v>
      </c>
      <c r="O1933" s="28" t="n">
        <v>30</v>
      </c>
      <c r="P1933" s="25" t="inlineStr">
        <is>
          <t>Digital Wallet</t>
        </is>
      </c>
      <c r="Q1933" s="25" t="inlineStr">
        <is>
          <t>Delivered</t>
        </is>
      </c>
      <c r="R1933" s="25" t="n">
        <v>4</v>
      </c>
      <c r="S1933" s="25">
        <f>TEXT(B1933,"yyyy-mm")</f>
        <v/>
      </c>
      <c r="T1933" s="25">
        <f>VLOOKUP(D1933,Customers!A:D,4,FALSE)</f>
        <v/>
      </c>
      <c r="U1933" s="25">
        <f>CONCATENATE(A1933,"-",G1933)</f>
        <v/>
      </c>
      <c r="V1933" s="25">
        <f>IF(N1933="","",IF(N1933&lt;=30,"Fast (&lt;30m)",IF(N1933&lt;=45,"Moderate (30-45m)","Delayed (&gt;45m)")))</f>
        <v/>
      </c>
      <c r="W1933" s="25">
        <f>IF(AND(I1933&gt;600,P1933="Delivered"),"High Value Delivered","Standard")</f>
        <v/>
      </c>
      <c r="X1933" s="25">
        <f>IF(OR(N1933&gt;50,Q1933&lt;=2),"High Risk / Delayed","Normal")</f>
        <v/>
      </c>
      <c r="Y1933" s="25">
        <f>IF(NOT(P1933="Cancelled"),"Fulfilled","Cancelled")</f>
        <v/>
      </c>
      <c r="Z1933" s="25">
        <f>IFERROR(Q1933,0)</f>
        <v/>
      </c>
    </row>
    <row r="1934">
      <c r="A1934" s="17" t="inlineStr">
        <is>
          <t>ORD2933</t>
        </is>
      </c>
      <c r="B1934" s="17" t="inlineStr">
        <is>
          <t>2025-06-09</t>
        </is>
      </c>
      <c r="C1934" s="17" t="inlineStr">
        <is>
          <t>19:51:34</t>
        </is>
      </c>
      <c r="D1934" s="17" t="n">
        <v>1173</v>
      </c>
      <c r="E1934" s="17" t="n">
        <v>101</v>
      </c>
      <c r="F1934" s="17" t="n">
        <v>210</v>
      </c>
      <c r="G1934" s="17" t="inlineStr">
        <is>
          <t>Bangalore</t>
        </is>
      </c>
      <c r="H1934" s="17" t="inlineStr">
        <is>
          <t>North Indian</t>
        </is>
      </c>
      <c r="I1934" s="22" t="n">
        <v>304</v>
      </c>
      <c r="J1934" s="22" t="n">
        <v>0</v>
      </c>
      <c r="K1934" s="22" t="n">
        <v>42</v>
      </c>
      <c r="L1934" s="23" t="n">
        <v>0.2</v>
      </c>
      <c r="M1934" s="22" t="n">
        <v>71.3</v>
      </c>
      <c r="N1934" s="24" t="n">
        <v>6.4</v>
      </c>
      <c r="O1934" s="24" t="n">
        <v>44.4</v>
      </c>
      <c r="P1934" s="17" t="inlineStr">
        <is>
          <t>UPI</t>
        </is>
      </c>
      <c r="Q1934" s="17" t="inlineStr">
        <is>
          <t>Delivered</t>
        </is>
      </c>
      <c r="R1934" s="17" t="n">
        <v>2</v>
      </c>
      <c r="S1934" s="17">
        <f>TEXT(B1934,"yyyy-mm")</f>
        <v/>
      </c>
      <c r="T1934" s="17">
        <f>VLOOKUP(D1934,Customers!A:D,4,FALSE)</f>
        <v/>
      </c>
      <c r="U1934" s="17">
        <f>CONCATENATE(A1934,"-",G1934)</f>
        <v/>
      </c>
      <c r="V1934" s="17">
        <f>IF(N1934="","",IF(N1934&lt;=30,"Fast (&lt;30m)",IF(N1934&lt;=45,"Moderate (30-45m)","Delayed (&gt;45m)")))</f>
        <v/>
      </c>
      <c r="W1934" s="17">
        <f>IF(AND(I1934&gt;600,P1934="Delivered"),"High Value Delivered","Standard")</f>
        <v/>
      </c>
      <c r="X1934" s="17">
        <f>IF(OR(N1934&gt;50,Q1934&lt;=2),"High Risk / Delayed","Normal")</f>
        <v/>
      </c>
      <c r="Y1934" s="17">
        <f>IF(NOT(P1934="Cancelled"),"Fulfilled","Cancelled")</f>
        <v/>
      </c>
      <c r="Z1934" s="17">
        <f>IFERROR(Q1934,0)</f>
        <v/>
      </c>
    </row>
    <row r="1935">
      <c r="A1935" s="25" t="inlineStr">
        <is>
          <t>ORD2934</t>
        </is>
      </c>
      <c r="B1935" s="25" t="inlineStr">
        <is>
          <t>2025-06-20</t>
        </is>
      </c>
      <c r="C1935" s="25" t="inlineStr">
        <is>
          <t>00:02:09</t>
        </is>
      </c>
      <c r="D1935" s="25" t="n">
        <v>1220</v>
      </c>
      <c r="E1935" s="25" t="n">
        <v>114</v>
      </c>
      <c r="F1935" s="25" t="n">
        <v>225</v>
      </c>
      <c r="G1935" s="25" t="inlineStr">
        <is>
          <t>Hyderabad</t>
        </is>
      </c>
      <c r="H1935" s="25" t="inlineStr">
        <is>
          <t>Biryani</t>
        </is>
      </c>
      <c r="I1935" s="26" t="n">
        <v>580</v>
      </c>
      <c r="J1935" s="26" t="n">
        <v>60.45</v>
      </c>
      <c r="K1935" s="26" t="n">
        <v>56</v>
      </c>
      <c r="L1935" s="27" t="n">
        <v>0.22</v>
      </c>
      <c r="M1935" s="26" t="n">
        <v>141.6</v>
      </c>
      <c r="N1935" s="28" t="n">
        <v>9.199999999999999</v>
      </c>
      <c r="O1935" s="28" t="n">
        <v>52.8</v>
      </c>
      <c r="P1935" s="25" t="inlineStr">
        <is>
          <t>Cash on Delivery</t>
        </is>
      </c>
      <c r="Q1935" s="25" t="inlineStr">
        <is>
          <t>Delivered</t>
        </is>
      </c>
      <c r="R1935" s="25" t="n">
        <v>1</v>
      </c>
      <c r="S1935" s="25">
        <f>TEXT(B1935,"yyyy-mm")</f>
        <v/>
      </c>
      <c r="T1935" s="25">
        <f>VLOOKUP(D1935,Customers!A:D,4,FALSE)</f>
        <v/>
      </c>
      <c r="U1935" s="25">
        <f>CONCATENATE(A1935,"-",G1935)</f>
        <v/>
      </c>
      <c r="V1935" s="25">
        <f>IF(N1935="","",IF(N1935&lt;=30,"Fast (&lt;30m)",IF(N1935&lt;=45,"Moderate (30-45m)","Delayed (&gt;45m)")))</f>
        <v/>
      </c>
      <c r="W1935" s="25">
        <f>IF(AND(I1935&gt;600,P1935="Delivered"),"High Value Delivered","Standard")</f>
        <v/>
      </c>
      <c r="X1935" s="25">
        <f>IF(OR(N1935&gt;50,Q1935&lt;=2),"High Risk / Delayed","Normal")</f>
        <v/>
      </c>
      <c r="Y1935" s="25">
        <f>IF(NOT(P1935="Cancelled"),"Fulfilled","Cancelled")</f>
        <v/>
      </c>
      <c r="Z1935" s="25">
        <f>IFERROR(Q1935,0)</f>
        <v/>
      </c>
    </row>
    <row r="1936">
      <c r="A1936" s="17" t="inlineStr">
        <is>
          <t>ORD2935</t>
        </is>
      </c>
      <c r="B1936" s="17" t="inlineStr">
        <is>
          <t>2025-02-05</t>
        </is>
      </c>
      <c r="C1936" s="17" t="inlineStr">
        <is>
          <t>11:29:57</t>
        </is>
      </c>
      <c r="D1936" s="17" t="n">
        <v>1231</v>
      </c>
      <c r="E1936" s="17" t="n">
        <v>105</v>
      </c>
      <c r="F1936" s="17" t="n">
        <v>227</v>
      </c>
      <c r="G1936" s="17" t="inlineStr">
        <is>
          <t>Bangalore</t>
        </is>
      </c>
      <c r="H1936" s="17" t="inlineStr">
        <is>
          <t>Chinese</t>
        </is>
      </c>
      <c r="I1936" s="22" t="n">
        <v>523</v>
      </c>
      <c r="J1936" s="22" t="n">
        <v>33.96</v>
      </c>
      <c r="K1936" s="22" t="n">
        <v>33.5</v>
      </c>
      <c r="L1936" s="23" t="n">
        <v>0.2</v>
      </c>
      <c r="M1936" s="22" t="n">
        <v>112.98</v>
      </c>
      <c r="N1936" s="24" t="n">
        <v>4.7</v>
      </c>
      <c r="O1936" s="24" t="n">
        <v>48.1</v>
      </c>
      <c r="P1936" s="17" t="inlineStr">
        <is>
          <t>Debit Card</t>
        </is>
      </c>
      <c r="Q1936" s="17" t="inlineStr">
        <is>
          <t>Delivered</t>
        </is>
      </c>
      <c r="R1936" s="17" t="n">
        <v>3</v>
      </c>
      <c r="S1936" s="17">
        <f>TEXT(B1936,"yyyy-mm")</f>
        <v/>
      </c>
      <c r="T1936" s="17">
        <f>VLOOKUP(D1936,Customers!A:D,4,FALSE)</f>
        <v/>
      </c>
      <c r="U1936" s="17">
        <f>CONCATENATE(A1936,"-",G1936)</f>
        <v/>
      </c>
      <c r="V1936" s="17">
        <f>IF(N1936="","",IF(N1936&lt;=30,"Fast (&lt;30m)",IF(N1936&lt;=45,"Moderate (30-45m)","Delayed (&gt;45m)")))</f>
        <v/>
      </c>
      <c r="W1936" s="17">
        <f>IF(AND(I1936&gt;600,P1936="Delivered"),"High Value Delivered","Standard")</f>
        <v/>
      </c>
      <c r="X1936" s="17">
        <f>IF(OR(N1936&gt;50,Q1936&lt;=2),"High Risk / Delayed","Normal")</f>
        <v/>
      </c>
      <c r="Y1936" s="17">
        <f>IF(NOT(P1936="Cancelled"),"Fulfilled","Cancelled")</f>
        <v/>
      </c>
      <c r="Z1936" s="17">
        <f>IFERROR(Q1936,0)</f>
        <v/>
      </c>
    </row>
    <row r="1937">
      <c r="A1937" s="25" t="inlineStr">
        <is>
          <t>ORD2936</t>
        </is>
      </c>
      <c r="B1937" s="25" t="inlineStr">
        <is>
          <t>2025-06-22</t>
        </is>
      </c>
      <c r="C1937" s="25" t="inlineStr">
        <is>
          <t>20:55:58</t>
        </is>
      </c>
      <c r="D1937" s="25" t="n">
        <v>1034</v>
      </c>
      <c r="E1937" s="25" t="n">
        <v>117</v>
      </c>
      <c r="F1937" s="25" t="n">
        <v>222</v>
      </c>
      <c r="G1937" s="25" t="inlineStr">
        <is>
          <t>Mumbai</t>
        </is>
      </c>
      <c r="H1937" s="25" t="inlineStr">
        <is>
          <t>Chinese</t>
        </is>
      </c>
      <c r="I1937" s="26" t="n">
        <v>582</v>
      </c>
      <c r="J1937" s="26" t="n">
        <v>89.04000000000001</v>
      </c>
      <c r="K1937" s="26" t="n">
        <v>0</v>
      </c>
      <c r="L1937" s="27" t="n">
        <v>0.2</v>
      </c>
      <c r="M1937" s="26" t="n">
        <v>116.4</v>
      </c>
      <c r="N1937" s="28" t="n">
        <v>2.5</v>
      </c>
      <c r="O1937" s="28" t="n">
        <v/>
      </c>
      <c r="P1937" s="25" t="inlineStr">
        <is>
          <t>Debit Card</t>
        </is>
      </c>
      <c r="Q1937" s="25" t="inlineStr">
        <is>
          <t>Cancelled</t>
        </is>
      </c>
      <c r="R1937" s="25" t="n">
        <v/>
      </c>
      <c r="S1937" s="25">
        <f>TEXT(B1937,"yyyy-mm")</f>
        <v/>
      </c>
      <c r="T1937" s="25">
        <f>VLOOKUP(D1937,Customers!A:D,4,FALSE)</f>
        <v/>
      </c>
      <c r="U1937" s="25">
        <f>CONCATENATE(A1937,"-",G1937)</f>
        <v/>
      </c>
      <c r="V1937" s="25">
        <f>IF(N1937="","",IF(N1937&lt;=30,"Fast (&lt;30m)",IF(N1937&lt;=45,"Moderate (30-45m)","Delayed (&gt;45m)")))</f>
        <v/>
      </c>
      <c r="W1937" s="25">
        <f>IF(AND(I1937&gt;600,P1937="Delivered"),"High Value Delivered","Standard")</f>
        <v/>
      </c>
      <c r="X1937" s="25">
        <f>IF(OR(N1937&gt;50,Q1937&lt;=2),"High Risk / Delayed","Normal")</f>
        <v/>
      </c>
      <c r="Y1937" s="25">
        <f>IF(NOT(P1937="Cancelled"),"Fulfilled","Cancelled")</f>
        <v/>
      </c>
      <c r="Z1937" s="25">
        <f>IFERROR(Q1937,0)</f>
        <v/>
      </c>
    </row>
    <row r="1938">
      <c r="A1938" s="17" t="inlineStr">
        <is>
          <t>ORD2937</t>
        </is>
      </c>
      <c r="B1938" s="17" t="inlineStr">
        <is>
          <t>2025-08-18</t>
        </is>
      </c>
      <c r="C1938" s="17" t="inlineStr">
        <is>
          <t>11:12:37</t>
        </is>
      </c>
      <c r="D1938" s="17" t="n">
        <v>1268</v>
      </c>
      <c r="E1938" s="17" t="n">
        <v>113</v>
      </c>
      <c r="F1938" s="17" t="n">
        <v>222</v>
      </c>
      <c r="G1938" s="17" t="inlineStr">
        <is>
          <t>Mumbai</t>
        </is>
      </c>
      <c r="H1938" s="17" t="inlineStr">
        <is>
          <t>Fast Food</t>
        </is>
      </c>
      <c r="I1938" s="22" t="n">
        <v>781</v>
      </c>
      <c r="J1938" s="22" t="n">
        <v>51.02</v>
      </c>
      <c r="K1938" s="22" t="n">
        <v>45.5</v>
      </c>
      <c r="L1938" s="23" t="n">
        <v>0.18</v>
      </c>
      <c r="M1938" s="22" t="n">
        <v>151.95</v>
      </c>
      <c r="N1938" s="24" t="n">
        <v>7.1</v>
      </c>
      <c r="O1938" s="24" t="n">
        <v>42.6</v>
      </c>
      <c r="P1938" s="17" t="inlineStr">
        <is>
          <t>Debit Card</t>
        </is>
      </c>
      <c r="Q1938" s="17" t="inlineStr">
        <is>
          <t>Delivered</t>
        </is>
      </c>
      <c r="R1938" s="17" t="n">
        <v>1</v>
      </c>
      <c r="S1938" s="17">
        <f>TEXT(B1938,"yyyy-mm")</f>
        <v/>
      </c>
      <c r="T1938" s="17">
        <f>VLOOKUP(D1938,Customers!A:D,4,FALSE)</f>
        <v/>
      </c>
      <c r="U1938" s="17">
        <f>CONCATENATE(A1938,"-",G1938)</f>
        <v/>
      </c>
      <c r="V1938" s="17">
        <f>IF(N1938="","",IF(N1938&lt;=30,"Fast (&lt;30m)",IF(N1938&lt;=45,"Moderate (30-45m)","Delayed (&gt;45m)")))</f>
        <v/>
      </c>
      <c r="W1938" s="17">
        <f>IF(AND(I1938&gt;600,P1938="Delivered"),"High Value Delivered","Standard")</f>
        <v/>
      </c>
      <c r="X1938" s="17">
        <f>IF(OR(N1938&gt;50,Q1938&lt;=2),"High Risk / Delayed","Normal")</f>
        <v/>
      </c>
      <c r="Y1938" s="17">
        <f>IF(NOT(P1938="Cancelled"),"Fulfilled","Cancelled")</f>
        <v/>
      </c>
      <c r="Z1938" s="17">
        <f>IFERROR(Q1938,0)</f>
        <v/>
      </c>
    </row>
    <row r="1939">
      <c r="A1939" s="25" t="inlineStr">
        <is>
          <t>ORD2938</t>
        </is>
      </c>
      <c r="B1939" s="25" t="inlineStr">
        <is>
          <t>2025-04-01</t>
        </is>
      </c>
      <c r="C1939" s="25" t="inlineStr">
        <is>
          <t>15:20:51</t>
        </is>
      </c>
      <c r="D1939" s="25" t="n">
        <v>1151</v>
      </c>
      <c r="E1939" s="25" t="n">
        <v>107</v>
      </c>
      <c r="F1939" s="25" t="n">
        <v>229</v>
      </c>
      <c r="G1939" s="25" t="inlineStr">
        <is>
          <t>Mumbai</t>
        </is>
      </c>
      <c r="H1939" s="25" t="inlineStr">
        <is>
          <t>Desserts</t>
        </is>
      </c>
      <c r="I1939" s="26" t="n">
        <v>650</v>
      </c>
      <c r="J1939" s="26" t="n">
        <v>124.87</v>
      </c>
      <c r="K1939" s="26" t="n">
        <v>0</v>
      </c>
      <c r="L1939" s="27" t="n">
        <v>0.25</v>
      </c>
      <c r="M1939" s="26" t="n">
        <v>162.5</v>
      </c>
      <c r="N1939" s="28" t="n">
        <v>5.8</v>
      </c>
      <c r="O1939" s="28" t="n">
        <v>39.1</v>
      </c>
      <c r="P1939" s="25" t="inlineStr">
        <is>
          <t>Debit Card</t>
        </is>
      </c>
      <c r="Q1939" s="25" t="inlineStr">
        <is>
          <t>Delivered</t>
        </is>
      </c>
      <c r="R1939" s="25" t="n">
        <v>5</v>
      </c>
      <c r="S1939" s="25">
        <f>TEXT(B1939,"yyyy-mm")</f>
        <v/>
      </c>
      <c r="T1939" s="25">
        <f>VLOOKUP(D1939,Customers!A:D,4,FALSE)</f>
        <v/>
      </c>
      <c r="U1939" s="25">
        <f>CONCATENATE(A1939,"-",G1939)</f>
        <v/>
      </c>
      <c r="V1939" s="25">
        <f>IF(N1939="","",IF(N1939&lt;=30,"Fast (&lt;30m)",IF(N1939&lt;=45,"Moderate (30-45m)","Delayed (&gt;45m)")))</f>
        <v/>
      </c>
      <c r="W1939" s="25">
        <f>IF(AND(I1939&gt;600,P1939="Delivered"),"High Value Delivered","Standard")</f>
        <v/>
      </c>
      <c r="X1939" s="25">
        <f>IF(OR(N1939&gt;50,Q1939&lt;=2),"High Risk / Delayed","Normal")</f>
        <v/>
      </c>
      <c r="Y1939" s="25">
        <f>IF(NOT(P1939="Cancelled"),"Fulfilled","Cancelled")</f>
        <v/>
      </c>
      <c r="Z1939" s="25">
        <f>IFERROR(Q1939,0)</f>
        <v/>
      </c>
    </row>
    <row r="1940">
      <c r="A1940" s="17" t="inlineStr">
        <is>
          <t>ORD2939</t>
        </is>
      </c>
      <c r="B1940" s="17" t="inlineStr">
        <is>
          <t>2025-06-19</t>
        </is>
      </c>
      <c r="C1940" s="17" t="inlineStr">
        <is>
          <t>21:21:03</t>
        </is>
      </c>
      <c r="D1940" s="17" t="n">
        <v>1097</v>
      </c>
      <c r="E1940" s="17" t="n">
        <v>101</v>
      </c>
      <c r="F1940" s="17" t="n">
        <v>213</v>
      </c>
      <c r="G1940" s="17" t="inlineStr">
        <is>
          <t>Bangalore</t>
        </is>
      </c>
      <c r="H1940" s="17" t="inlineStr">
        <is>
          <t>North Indian</t>
        </is>
      </c>
      <c r="I1940" s="22" t="n">
        <v>676</v>
      </c>
      <c r="J1940" s="22" t="n">
        <v>50.13</v>
      </c>
      <c r="K1940" s="22" t="n">
        <v>25</v>
      </c>
      <c r="L1940" s="23" t="n">
        <v>0.2</v>
      </c>
      <c r="M1940" s="22" t="n">
        <v>141.45</v>
      </c>
      <c r="N1940" s="24" t="n">
        <v>1.8</v>
      </c>
      <c r="O1940" s="24" t="n">
        <v>31</v>
      </c>
      <c r="P1940" s="17" t="inlineStr">
        <is>
          <t>Cash on Delivery</t>
        </is>
      </c>
      <c r="Q1940" s="17" t="inlineStr">
        <is>
          <t>Delivered</t>
        </is>
      </c>
      <c r="R1940" s="17" t="n">
        <v>4</v>
      </c>
      <c r="S1940" s="17">
        <f>TEXT(B1940,"yyyy-mm")</f>
        <v/>
      </c>
      <c r="T1940" s="17">
        <f>VLOOKUP(D1940,Customers!A:D,4,FALSE)</f>
        <v/>
      </c>
      <c r="U1940" s="17">
        <f>CONCATENATE(A1940,"-",G1940)</f>
        <v/>
      </c>
      <c r="V1940" s="17">
        <f>IF(N1940="","",IF(N1940&lt;=30,"Fast (&lt;30m)",IF(N1940&lt;=45,"Moderate (30-45m)","Delayed (&gt;45m)")))</f>
        <v/>
      </c>
      <c r="W1940" s="17">
        <f>IF(AND(I1940&gt;600,P1940="Delivered"),"High Value Delivered","Standard")</f>
        <v/>
      </c>
      <c r="X1940" s="17">
        <f>IF(OR(N1940&gt;50,Q1940&lt;=2),"High Risk / Delayed","Normal")</f>
        <v/>
      </c>
      <c r="Y1940" s="17">
        <f>IF(NOT(P1940="Cancelled"),"Fulfilled","Cancelled")</f>
        <v/>
      </c>
      <c r="Z1940" s="17">
        <f>IFERROR(Q1940,0)</f>
        <v/>
      </c>
    </row>
    <row r="1941">
      <c r="A1941" s="25" t="inlineStr">
        <is>
          <t>ORD2940</t>
        </is>
      </c>
      <c r="B1941" s="25" t="inlineStr">
        <is>
          <t>2025-06-30</t>
        </is>
      </c>
      <c r="C1941" s="25" t="inlineStr">
        <is>
          <t>19:05:23</t>
        </is>
      </c>
      <c r="D1941" s="25" t="n">
        <v>1035</v>
      </c>
      <c r="E1941" s="25" t="n">
        <v>115</v>
      </c>
      <c r="F1941" s="25" t="n">
        <v>213</v>
      </c>
      <c r="G1941" s="25" t="inlineStr">
        <is>
          <t>Bangalore</t>
        </is>
      </c>
      <c r="H1941" s="25" t="inlineStr">
        <is>
          <t>Italian</t>
        </is>
      </c>
      <c r="I1941" s="26" t="n">
        <v>766</v>
      </c>
      <c r="J1941" s="26" t="n">
        <v>92.38</v>
      </c>
      <c r="K1941" s="26" t="n">
        <v>0</v>
      </c>
      <c r="L1941" s="27" t="n">
        <v>0.2</v>
      </c>
      <c r="M1941" s="26" t="n">
        <v>153.2</v>
      </c>
      <c r="N1941" s="28" t="n">
        <v>4.2</v>
      </c>
      <c r="O1941" s="28" t="n">
        <v>33.6</v>
      </c>
      <c r="P1941" s="25" t="inlineStr">
        <is>
          <t>UPI</t>
        </is>
      </c>
      <c r="Q1941" s="25" t="inlineStr">
        <is>
          <t>Delivered</t>
        </is>
      </c>
      <c r="R1941" s="25" t="n">
        <v>4</v>
      </c>
      <c r="S1941" s="25">
        <f>TEXT(B1941,"yyyy-mm")</f>
        <v/>
      </c>
      <c r="T1941" s="25">
        <f>VLOOKUP(D1941,Customers!A:D,4,FALSE)</f>
        <v/>
      </c>
      <c r="U1941" s="25">
        <f>CONCATENATE(A1941,"-",G1941)</f>
        <v/>
      </c>
      <c r="V1941" s="25">
        <f>IF(N1941="","",IF(N1941&lt;=30,"Fast (&lt;30m)",IF(N1941&lt;=45,"Moderate (30-45m)","Delayed (&gt;45m)")))</f>
        <v/>
      </c>
      <c r="W1941" s="25">
        <f>IF(AND(I1941&gt;600,P1941="Delivered"),"High Value Delivered","Standard")</f>
        <v/>
      </c>
      <c r="X1941" s="25">
        <f>IF(OR(N1941&gt;50,Q1941&lt;=2),"High Risk / Delayed","Normal")</f>
        <v/>
      </c>
      <c r="Y1941" s="25">
        <f>IF(NOT(P1941="Cancelled"),"Fulfilled","Cancelled")</f>
        <v/>
      </c>
      <c r="Z1941" s="25">
        <f>IFERROR(Q1941,0)</f>
        <v/>
      </c>
    </row>
    <row r="1942">
      <c r="A1942" s="17" t="inlineStr">
        <is>
          <t>ORD2941</t>
        </is>
      </c>
      <c r="B1942" s="17" t="inlineStr">
        <is>
          <t>2025-02-24</t>
        </is>
      </c>
      <c r="C1942" s="17" t="inlineStr">
        <is>
          <t>23:02:31</t>
        </is>
      </c>
      <c r="D1942" s="17" t="n">
        <v>1071</v>
      </c>
      <c r="E1942" s="17" t="n">
        <v>106</v>
      </c>
      <c r="F1942" s="17" t="n">
        <v>217</v>
      </c>
      <c r="G1942" s="17" t="inlineStr">
        <is>
          <t>Pune</t>
        </is>
      </c>
      <c r="H1942" s="17" t="inlineStr">
        <is>
          <t>South Indian</t>
        </is>
      </c>
      <c r="I1942" s="22" t="n">
        <v>864</v>
      </c>
      <c r="J1942" s="22" t="n">
        <v>85.53</v>
      </c>
      <c r="K1942" s="22" t="n">
        <v>25</v>
      </c>
      <c r="L1942" s="23" t="n">
        <v>0.15</v>
      </c>
      <c r="M1942" s="22" t="n">
        <v>135.85</v>
      </c>
      <c r="N1942" s="24" t="n">
        <v>1.6</v>
      </c>
      <c r="O1942" s="24" t="n">
        <v>33.2</v>
      </c>
      <c r="P1942" s="17" t="inlineStr">
        <is>
          <t>Digital Wallet</t>
        </is>
      </c>
      <c r="Q1942" s="17" t="inlineStr">
        <is>
          <t>Delivered</t>
        </is>
      </c>
      <c r="R1942" s="17" t="n">
        <v>5</v>
      </c>
      <c r="S1942" s="17">
        <f>TEXT(B1942,"yyyy-mm")</f>
        <v/>
      </c>
      <c r="T1942" s="17">
        <f>VLOOKUP(D1942,Customers!A:D,4,FALSE)</f>
        <v/>
      </c>
      <c r="U1942" s="17">
        <f>CONCATENATE(A1942,"-",G1942)</f>
        <v/>
      </c>
      <c r="V1942" s="17">
        <f>IF(N1942="","",IF(N1942&lt;=30,"Fast (&lt;30m)",IF(N1942&lt;=45,"Moderate (30-45m)","Delayed (&gt;45m)")))</f>
        <v/>
      </c>
      <c r="W1942" s="17">
        <f>IF(AND(I1942&gt;600,P1942="Delivered"),"High Value Delivered","Standard")</f>
        <v/>
      </c>
      <c r="X1942" s="17">
        <f>IF(OR(N1942&gt;50,Q1942&lt;=2),"High Risk / Delayed","Normal")</f>
        <v/>
      </c>
      <c r="Y1942" s="17">
        <f>IF(NOT(P1942="Cancelled"),"Fulfilled","Cancelled")</f>
        <v/>
      </c>
      <c r="Z1942" s="17">
        <f>IFERROR(Q1942,0)</f>
        <v/>
      </c>
    </row>
    <row r="1943">
      <c r="A1943" s="25" t="inlineStr">
        <is>
          <t>ORD2942</t>
        </is>
      </c>
      <c r="B1943" s="25" t="inlineStr">
        <is>
          <t>2025-02-21</t>
        </is>
      </c>
      <c r="C1943" s="25" t="inlineStr">
        <is>
          <t>18:05:06</t>
        </is>
      </c>
      <c r="D1943" s="25" t="n">
        <v>1294</v>
      </c>
      <c r="E1943" s="25" t="n">
        <v>112</v>
      </c>
      <c r="F1943" s="25" t="n">
        <v>221</v>
      </c>
      <c r="G1943" s="25" t="inlineStr">
        <is>
          <t>Delhi NCR</t>
        </is>
      </c>
      <c r="H1943" s="25" t="inlineStr">
        <is>
          <t>North Indian</t>
        </is>
      </c>
      <c r="I1943" s="26" t="n">
        <v>693</v>
      </c>
      <c r="J1943" s="26" t="n">
        <v>52.19</v>
      </c>
      <c r="K1943" s="26" t="n">
        <v>25</v>
      </c>
      <c r="L1943" s="27" t="n">
        <v>0.22</v>
      </c>
      <c r="M1943" s="26" t="n">
        <v>158.71</v>
      </c>
      <c r="N1943" s="28" t="n">
        <v>2.6</v>
      </c>
      <c r="O1943" s="28" t="n">
        <v/>
      </c>
      <c r="P1943" s="25" t="inlineStr">
        <is>
          <t>UPI</t>
        </is>
      </c>
      <c r="Q1943" s="25" t="inlineStr">
        <is>
          <t>Cancelled</t>
        </is>
      </c>
      <c r="R1943" s="25" t="n">
        <v/>
      </c>
      <c r="S1943" s="25">
        <f>TEXT(B1943,"yyyy-mm")</f>
        <v/>
      </c>
      <c r="T1943" s="25">
        <f>VLOOKUP(D1943,Customers!A:D,4,FALSE)</f>
        <v/>
      </c>
      <c r="U1943" s="25">
        <f>CONCATENATE(A1943,"-",G1943)</f>
        <v/>
      </c>
      <c r="V1943" s="25">
        <f>IF(N1943="","",IF(N1943&lt;=30,"Fast (&lt;30m)",IF(N1943&lt;=45,"Moderate (30-45m)","Delayed (&gt;45m)")))</f>
        <v/>
      </c>
      <c r="W1943" s="25">
        <f>IF(AND(I1943&gt;600,P1943="Delivered"),"High Value Delivered","Standard")</f>
        <v/>
      </c>
      <c r="X1943" s="25">
        <f>IF(OR(N1943&gt;50,Q1943&lt;=2),"High Risk / Delayed","Normal")</f>
        <v/>
      </c>
      <c r="Y1943" s="25">
        <f>IF(NOT(P1943="Cancelled"),"Fulfilled","Cancelled")</f>
        <v/>
      </c>
      <c r="Z1943" s="25">
        <f>IFERROR(Q1943,0)</f>
        <v/>
      </c>
    </row>
    <row r="1944">
      <c r="A1944" s="17" t="inlineStr">
        <is>
          <t>ORD2943</t>
        </is>
      </c>
      <c r="B1944" s="17" t="inlineStr">
        <is>
          <t>2025-06-01</t>
        </is>
      </c>
      <c r="C1944" s="17" t="inlineStr">
        <is>
          <t>10:45:28</t>
        </is>
      </c>
      <c r="D1944" s="17" t="n">
        <v>1174</v>
      </c>
      <c r="E1944" s="17" t="n">
        <v>109</v>
      </c>
      <c r="F1944" s="17" t="n">
        <v>215</v>
      </c>
      <c r="G1944" s="17" t="inlineStr">
        <is>
          <t>Hyderabad</t>
        </is>
      </c>
      <c r="H1944" s="17" t="inlineStr">
        <is>
          <t>Biryani</t>
        </is>
      </c>
      <c r="I1944" s="22" t="n">
        <v>918</v>
      </c>
      <c r="J1944" s="22" t="n">
        <v>0</v>
      </c>
      <c r="K1944" s="22" t="n">
        <v>25</v>
      </c>
      <c r="L1944" s="23" t="n">
        <v>0.2</v>
      </c>
      <c r="M1944" s="22" t="n">
        <v>189.85</v>
      </c>
      <c r="N1944" s="24" t="n">
        <v>2.9</v>
      </c>
      <c r="O1944" s="24" t="n">
        <v>35.3</v>
      </c>
      <c r="P1944" s="17" t="inlineStr">
        <is>
          <t>Credit Card</t>
        </is>
      </c>
      <c r="Q1944" s="17" t="inlineStr">
        <is>
          <t>Delivered</t>
        </is>
      </c>
      <c r="R1944" s="17" t="n">
        <v>2</v>
      </c>
      <c r="S1944" s="17">
        <f>TEXT(B1944,"yyyy-mm")</f>
        <v/>
      </c>
      <c r="T1944" s="17">
        <f>VLOOKUP(D1944,Customers!A:D,4,FALSE)</f>
        <v/>
      </c>
      <c r="U1944" s="17">
        <f>CONCATENATE(A1944,"-",G1944)</f>
        <v/>
      </c>
      <c r="V1944" s="17">
        <f>IF(N1944="","",IF(N1944&lt;=30,"Fast (&lt;30m)",IF(N1944&lt;=45,"Moderate (30-45m)","Delayed (&gt;45m)")))</f>
        <v/>
      </c>
      <c r="W1944" s="17">
        <f>IF(AND(I1944&gt;600,P1944="Delivered"),"High Value Delivered","Standard")</f>
        <v/>
      </c>
      <c r="X1944" s="17">
        <f>IF(OR(N1944&gt;50,Q1944&lt;=2),"High Risk / Delayed","Normal")</f>
        <v/>
      </c>
      <c r="Y1944" s="17">
        <f>IF(NOT(P1944="Cancelled"),"Fulfilled","Cancelled")</f>
        <v/>
      </c>
      <c r="Z1944" s="17">
        <f>IFERROR(Q1944,0)</f>
        <v/>
      </c>
    </row>
    <row r="1945">
      <c r="A1945" s="25" t="inlineStr">
        <is>
          <t>ORD2944</t>
        </is>
      </c>
      <c r="B1945" s="25" t="inlineStr">
        <is>
          <t>2025-07-27</t>
        </is>
      </c>
      <c r="C1945" s="25" t="inlineStr">
        <is>
          <t>18:45:39</t>
        </is>
      </c>
      <c r="D1945" s="25" t="n">
        <v>1172</v>
      </c>
      <c r="E1945" s="25" t="n">
        <v>120</v>
      </c>
      <c r="F1945" s="25" t="n">
        <v>209</v>
      </c>
      <c r="G1945" s="25" t="inlineStr">
        <is>
          <t>Pune</t>
        </is>
      </c>
      <c r="H1945" s="25" t="inlineStr">
        <is>
          <t>Fast Food</t>
        </is>
      </c>
      <c r="I1945" s="26" t="n">
        <v>599</v>
      </c>
      <c r="J1945" s="26" t="n">
        <v>15.1</v>
      </c>
      <c r="K1945" s="26" t="n">
        <v>35</v>
      </c>
      <c r="L1945" s="27" t="n">
        <v>0.18</v>
      </c>
      <c r="M1945" s="26" t="n">
        <v>116.57</v>
      </c>
      <c r="N1945" s="28" t="n">
        <v>5</v>
      </c>
      <c r="O1945" s="28" t="n">
        <v>38.6</v>
      </c>
      <c r="P1945" s="25" t="inlineStr">
        <is>
          <t>Debit Card</t>
        </is>
      </c>
      <c r="Q1945" s="25" t="inlineStr">
        <is>
          <t>Delivered</t>
        </is>
      </c>
      <c r="R1945" s="25" t="n">
        <v>2</v>
      </c>
      <c r="S1945" s="25">
        <f>TEXT(B1945,"yyyy-mm")</f>
        <v/>
      </c>
      <c r="T1945" s="25">
        <f>VLOOKUP(D1945,Customers!A:D,4,FALSE)</f>
        <v/>
      </c>
      <c r="U1945" s="25">
        <f>CONCATENATE(A1945,"-",G1945)</f>
        <v/>
      </c>
      <c r="V1945" s="25">
        <f>IF(N1945="","",IF(N1945&lt;=30,"Fast (&lt;30m)",IF(N1945&lt;=45,"Moderate (30-45m)","Delayed (&gt;45m)")))</f>
        <v/>
      </c>
      <c r="W1945" s="25">
        <f>IF(AND(I1945&gt;600,P1945="Delivered"),"High Value Delivered","Standard")</f>
        <v/>
      </c>
      <c r="X1945" s="25">
        <f>IF(OR(N1945&gt;50,Q1945&lt;=2),"High Risk / Delayed","Normal")</f>
        <v/>
      </c>
      <c r="Y1945" s="25">
        <f>IF(NOT(P1945="Cancelled"),"Fulfilled","Cancelled")</f>
        <v/>
      </c>
      <c r="Z1945" s="25">
        <f>IFERROR(Q1945,0)</f>
        <v/>
      </c>
    </row>
    <row r="1946">
      <c r="A1946" s="17" t="inlineStr">
        <is>
          <t>ORD2945</t>
        </is>
      </c>
      <c r="B1946" s="17" t="inlineStr">
        <is>
          <t>2025-02-12</t>
        </is>
      </c>
      <c r="C1946" s="17" t="inlineStr">
        <is>
          <t>13:42:08</t>
        </is>
      </c>
      <c r="D1946" s="17" t="n">
        <v>1299</v>
      </c>
      <c r="E1946" s="17" t="n">
        <v>114</v>
      </c>
      <c r="F1946" s="17" t="n">
        <v>215</v>
      </c>
      <c r="G1946" s="17" t="inlineStr">
        <is>
          <t>Hyderabad</t>
        </is>
      </c>
      <c r="H1946" s="17" t="inlineStr">
        <is>
          <t>Biryani</t>
        </is>
      </c>
      <c r="I1946" s="22" t="n">
        <v>406</v>
      </c>
      <c r="J1946" s="22" t="n">
        <v>32.74</v>
      </c>
      <c r="K1946" s="22" t="n">
        <v>31.5</v>
      </c>
      <c r="L1946" s="23" t="n">
        <v>0.22</v>
      </c>
      <c r="M1946" s="22" t="n">
        <v>97.2</v>
      </c>
      <c r="N1946" s="24" t="n">
        <v>4.3</v>
      </c>
      <c r="O1946" s="24" t="n">
        <v>31.5</v>
      </c>
      <c r="P1946" s="17" t="inlineStr">
        <is>
          <t>Digital Wallet</t>
        </is>
      </c>
      <c r="Q1946" s="17" t="inlineStr">
        <is>
          <t>Delivered</t>
        </is>
      </c>
      <c r="R1946" s="17" t="n">
        <v>4</v>
      </c>
      <c r="S1946" s="17">
        <f>TEXT(B1946,"yyyy-mm")</f>
        <v/>
      </c>
      <c r="T1946" s="17">
        <f>VLOOKUP(D1946,Customers!A:D,4,FALSE)</f>
        <v/>
      </c>
      <c r="U1946" s="17">
        <f>CONCATENATE(A1946,"-",G1946)</f>
        <v/>
      </c>
      <c r="V1946" s="17">
        <f>IF(N1946="","",IF(N1946&lt;=30,"Fast (&lt;30m)",IF(N1946&lt;=45,"Moderate (30-45m)","Delayed (&gt;45m)")))</f>
        <v/>
      </c>
      <c r="W1946" s="17">
        <f>IF(AND(I1946&gt;600,P1946="Delivered"),"High Value Delivered","Standard")</f>
        <v/>
      </c>
      <c r="X1946" s="17">
        <f>IF(OR(N1946&gt;50,Q1946&lt;=2),"High Risk / Delayed","Normal")</f>
        <v/>
      </c>
      <c r="Y1946" s="17">
        <f>IF(NOT(P1946="Cancelled"),"Fulfilled","Cancelled")</f>
        <v/>
      </c>
      <c r="Z1946" s="17">
        <f>IFERROR(Q1946,0)</f>
        <v/>
      </c>
    </row>
    <row r="1947">
      <c r="A1947" s="25" t="inlineStr">
        <is>
          <t>ORD2946</t>
        </is>
      </c>
      <c r="B1947" s="25" t="inlineStr">
        <is>
          <t>2025-03-22</t>
        </is>
      </c>
      <c r="C1947" s="25" t="inlineStr">
        <is>
          <t>20:55:26</t>
        </is>
      </c>
      <c r="D1947" s="25" t="n">
        <v>1021</v>
      </c>
      <c r="E1947" s="25" t="n">
        <v>116</v>
      </c>
      <c r="F1947" s="25" t="n">
        <v>217</v>
      </c>
      <c r="G1947" s="25" t="inlineStr">
        <is>
          <t>Pune</t>
        </is>
      </c>
      <c r="H1947" s="25" t="inlineStr">
        <is>
          <t>Desserts</t>
        </is>
      </c>
      <c r="I1947" s="26" t="n">
        <v>936</v>
      </c>
      <c r="J1947" s="26" t="n">
        <v>107.01</v>
      </c>
      <c r="K1947" s="26" t="n">
        <v>25</v>
      </c>
      <c r="L1947" s="27" t="n">
        <v>0.25</v>
      </c>
      <c r="M1947" s="26" t="n">
        <v>240.25</v>
      </c>
      <c r="N1947" s="28" t="n">
        <v>2.3</v>
      </c>
      <c r="O1947" s="28" t="n">
        <v>27.5</v>
      </c>
      <c r="P1947" s="25" t="inlineStr">
        <is>
          <t>UPI</t>
        </is>
      </c>
      <c r="Q1947" s="25" t="inlineStr">
        <is>
          <t>Delivered</t>
        </is>
      </c>
      <c r="R1947" s="25" t="n">
        <v>4</v>
      </c>
      <c r="S1947" s="25">
        <f>TEXT(B1947,"yyyy-mm")</f>
        <v/>
      </c>
      <c r="T1947" s="25">
        <f>VLOOKUP(D1947,Customers!A:D,4,FALSE)</f>
        <v/>
      </c>
      <c r="U1947" s="25">
        <f>CONCATENATE(A1947,"-",G1947)</f>
        <v/>
      </c>
      <c r="V1947" s="25">
        <f>IF(N1947="","",IF(N1947&lt;=30,"Fast (&lt;30m)",IF(N1947&lt;=45,"Moderate (30-45m)","Delayed (&gt;45m)")))</f>
        <v/>
      </c>
      <c r="W1947" s="25">
        <f>IF(AND(I1947&gt;600,P1947="Delivered"),"High Value Delivered","Standard")</f>
        <v/>
      </c>
      <c r="X1947" s="25">
        <f>IF(OR(N1947&gt;50,Q1947&lt;=2),"High Risk / Delayed","Normal")</f>
        <v/>
      </c>
      <c r="Y1947" s="25">
        <f>IF(NOT(P1947="Cancelled"),"Fulfilled","Cancelled")</f>
        <v/>
      </c>
      <c r="Z1947" s="25">
        <f>IFERROR(Q1947,0)</f>
        <v/>
      </c>
    </row>
    <row r="1948">
      <c r="A1948" s="17" t="inlineStr">
        <is>
          <t>ORD2947</t>
        </is>
      </c>
      <c r="B1948" s="17" t="inlineStr">
        <is>
          <t>2025-06-27</t>
        </is>
      </c>
      <c r="C1948" s="17" t="inlineStr">
        <is>
          <t>22:51:41</t>
        </is>
      </c>
      <c r="D1948" s="17" t="n">
        <v>1037</v>
      </c>
      <c r="E1948" s="17" t="n">
        <v>105</v>
      </c>
      <c r="F1948" s="17" t="n">
        <v>210</v>
      </c>
      <c r="G1948" s="17" t="inlineStr">
        <is>
          <t>Bangalore</t>
        </is>
      </c>
      <c r="H1948" s="17" t="inlineStr">
        <is>
          <t>Chinese</t>
        </is>
      </c>
      <c r="I1948" s="22" t="n">
        <v>922</v>
      </c>
      <c r="J1948" s="22" t="n">
        <v>19.15</v>
      </c>
      <c r="K1948" s="22" t="n">
        <v>31</v>
      </c>
      <c r="L1948" s="23" t="n">
        <v>0.2</v>
      </c>
      <c r="M1948" s="22" t="n">
        <v>192.15</v>
      </c>
      <c r="N1948" s="24" t="n">
        <v>4.2</v>
      </c>
      <c r="O1948" s="24" t="n">
        <v>30.5</v>
      </c>
      <c r="P1948" s="17" t="inlineStr">
        <is>
          <t>Digital Wallet</t>
        </is>
      </c>
      <c r="Q1948" s="17" t="inlineStr">
        <is>
          <t>Delivered</t>
        </is>
      </c>
      <c r="R1948" s="17" t="n">
        <v>4</v>
      </c>
      <c r="S1948" s="17">
        <f>TEXT(B1948,"yyyy-mm")</f>
        <v/>
      </c>
      <c r="T1948" s="17">
        <f>VLOOKUP(D1948,Customers!A:D,4,FALSE)</f>
        <v/>
      </c>
      <c r="U1948" s="17">
        <f>CONCATENATE(A1948,"-",G1948)</f>
        <v/>
      </c>
      <c r="V1948" s="17">
        <f>IF(N1948="","",IF(N1948&lt;=30,"Fast (&lt;30m)",IF(N1948&lt;=45,"Moderate (30-45m)","Delayed (&gt;45m)")))</f>
        <v/>
      </c>
      <c r="W1948" s="17">
        <f>IF(AND(I1948&gt;600,P1948="Delivered"),"High Value Delivered","Standard")</f>
        <v/>
      </c>
      <c r="X1948" s="17">
        <f>IF(OR(N1948&gt;50,Q1948&lt;=2),"High Risk / Delayed","Normal")</f>
        <v/>
      </c>
      <c r="Y1948" s="17">
        <f>IF(NOT(P1948="Cancelled"),"Fulfilled","Cancelled")</f>
        <v/>
      </c>
      <c r="Z1948" s="17">
        <f>IFERROR(Q1948,0)</f>
        <v/>
      </c>
    </row>
    <row r="1949">
      <c r="A1949" s="25" t="inlineStr">
        <is>
          <t>ORD2948</t>
        </is>
      </c>
      <c r="B1949" s="25" t="inlineStr">
        <is>
          <t>2025-05-25</t>
        </is>
      </c>
      <c r="C1949" s="25" t="inlineStr">
        <is>
          <t>08:02:53</t>
        </is>
      </c>
      <c r="D1949" s="25" t="n">
        <v>1187</v>
      </c>
      <c r="E1949" s="25" t="n">
        <v>103</v>
      </c>
      <c r="F1949" s="25" t="n">
        <v>229</v>
      </c>
      <c r="G1949" s="25" t="inlineStr">
        <is>
          <t>Mumbai</t>
        </is>
      </c>
      <c r="H1949" s="25" t="inlineStr">
        <is>
          <t>Italian</t>
        </is>
      </c>
      <c r="I1949" s="26" t="n">
        <v>724</v>
      </c>
      <c r="J1949" s="26" t="n">
        <v>41.26</v>
      </c>
      <c r="K1949" s="26" t="n">
        <v>27.5</v>
      </c>
      <c r="L1949" s="27" t="n">
        <v>0.18</v>
      </c>
      <c r="M1949" s="26" t="n">
        <v>137.2</v>
      </c>
      <c r="N1949" s="28" t="n">
        <v>3.5</v>
      </c>
      <c r="O1949" s="28" t="n">
        <v>29</v>
      </c>
      <c r="P1949" s="25" t="inlineStr">
        <is>
          <t>Credit Card</t>
        </is>
      </c>
      <c r="Q1949" s="25" t="inlineStr">
        <is>
          <t>Delivered</t>
        </is>
      </c>
      <c r="R1949" s="25" t="n">
        <v>5</v>
      </c>
      <c r="S1949" s="25">
        <f>TEXT(B1949,"yyyy-mm")</f>
        <v/>
      </c>
      <c r="T1949" s="25">
        <f>VLOOKUP(D1949,Customers!A:D,4,FALSE)</f>
        <v/>
      </c>
      <c r="U1949" s="25">
        <f>CONCATENATE(A1949,"-",G1949)</f>
        <v/>
      </c>
      <c r="V1949" s="25">
        <f>IF(N1949="","",IF(N1949&lt;=30,"Fast (&lt;30m)",IF(N1949&lt;=45,"Moderate (30-45m)","Delayed (&gt;45m)")))</f>
        <v/>
      </c>
      <c r="W1949" s="25">
        <f>IF(AND(I1949&gt;600,P1949="Delivered"),"High Value Delivered","Standard")</f>
        <v/>
      </c>
      <c r="X1949" s="25">
        <f>IF(OR(N1949&gt;50,Q1949&lt;=2),"High Risk / Delayed","Normal")</f>
        <v/>
      </c>
      <c r="Y1949" s="25">
        <f>IF(NOT(P1949="Cancelled"),"Fulfilled","Cancelled")</f>
        <v/>
      </c>
      <c r="Z1949" s="25">
        <f>IFERROR(Q1949,0)</f>
        <v/>
      </c>
    </row>
    <row r="1950">
      <c r="A1950" s="17" t="inlineStr">
        <is>
          <t>ORD2949</t>
        </is>
      </c>
      <c r="B1950" s="17" t="inlineStr">
        <is>
          <t>2025-11-01</t>
        </is>
      </c>
      <c r="C1950" s="17" t="inlineStr">
        <is>
          <t>14:35:03</t>
        </is>
      </c>
      <c r="D1950" s="17" t="n">
        <v>1087</v>
      </c>
      <c r="E1950" s="17" t="n">
        <v>110</v>
      </c>
      <c r="F1950" s="17" t="n">
        <v>224</v>
      </c>
      <c r="G1950" s="17" t="inlineStr">
        <is>
          <t>Pune</t>
        </is>
      </c>
      <c r="H1950" s="17" t="inlineStr">
        <is>
          <t>North Indian</t>
        </is>
      </c>
      <c r="I1950" s="22" t="n">
        <v>582</v>
      </c>
      <c r="J1950" s="22" t="n">
        <v>57.96</v>
      </c>
      <c r="K1950" s="22" t="n">
        <v>28</v>
      </c>
      <c r="L1950" s="23" t="n">
        <v>0.18</v>
      </c>
      <c r="M1950" s="22" t="n">
        <v>111.76</v>
      </c>
      <c r="N1950" s="24" t="n">
        <v>3.6</v>
      </c>
      <c r="O1950" s="24" t="n">
        <v>37.6</v>
      </c>
      <c r="P1950" s="17" t="inlineStr">
        <is>
          <t>Debit Card</t>
        </is>
      </c>
      <c r="Q1950" s="17" t="inlineStr">
        <is>
          <t>Delivered</t>
        </is>
      </c>
      <c r="R1950" s="17" t="n">
        <v>5</v>
      </c>
      <c r="S1950" s="17">
        <f>TEXT(B1950,"yyyy-mm")</f>
        <v/>
      </c>
      <c r="T1950" s="17">
        <f>VLOOKUP(D1950,Customers!A:D,4,FALSE)</f>
        <v/>
      </c>
      <c r="U1950" s="17">
        <f>CONCATENATE(A1950,"-",G1950)</f>
        <v/>
      </c>
      <c r="V1950" s="17">
        <f>IF(N1950="","",IF(N1950&lt;=30,"Fast (&lt;30m)",IF(N1950&lt;=45,"Moderate (30-45m)","Delayed (&gt;45m)")))</f>
        <v/>
      </c>
      <c r="W1950" s="17">
        <f>IF(AND(I1950&gt;600,P1950="Delivered"),"High Value Delivered","Standard")</f>
        <v/>
      </c>
      <c r="X1950" s="17">
        <f>IF(OR(N1950&gt;50,Q1950&lt;=2),"High Risk / Delayed","Normal")</f>
        <v/>
      </c>
      <c r="Y1950" s="17">
        <f>IF(NOT(P1950="Cancelled"),"Fulfilled","Cancelled")</f>
        <v/>
      </c>
      <c r="Z1950" s="17">
        <f>IFERROR(Q1950,0)</f>
        <v/>
      </c>
    </row>
    <row r="1951">
      <c r="A1951" s="25" t="inlineStr">
        <is>
          <t>ORD2950</t>
        </is>
      </c>
      <c r="B1951" s="25" t="inlineStr">
        <is>
          <t>2025-01-25</t>
        </is>
      </c>
      <c r="C1951" s="25" t="inlineStr">
        <is>
          <t>20:00:25</t>
        </is>
      </c>
      <c r="D1951" s="25" t="n">
        <v>1038</v>
      </c>
      <c r="E1951" s="25" t="n">
        <v>115</v>
      </c>
      <c r="F1951" s="25" t="n">
        <v>210</v>
      </c>
      <c r="G1951" s="25" t="inlineStr">
        <is>
          <t>Bangalore</t>
        </is>
      </c>
      <c r="H1951" s="25" t="inlineStr">
        <is>
          <t>Italian</t>
        </is>
      </c>
      <c r="I1951" s="26" t="n">
        <v>514</v>
      </c>
      <c r="J1951" s="26" t="n">
        <v>25.58</v>
      </c>
      <c r="K1951" s="26" t="n">
        <v>42.5</v>
      </c>
      <c r="L1951" s="27" t="n">
        <v>0.2</v>
      </c>
      <c r="M1951" s="26" t="n">
        <v>113.43</v>
      </c>
      <c r="N1951" s="28" t="n">
        <v>6.5</v>
      </c>
      <c r="O1951" s="28" t="n">
        <v>49.5</v>
      </c>
      <c r="P1951" s="25" t="inlineStr">
        <is>
          <t>UPI</t>
        </is>
      </c>
      <c r="Q1951" s="25" t="inlineStr">
        <is>
          <t>Delivered</t>
        </is>
      </c>
      <c r="R1951" s="25" t="n">
        <v>1</v>
      </c>
      <c r="S1951" s="25">
        <f>TEXT(B1951,"yyyy-mm")</f>
        <v/>
      </c>
      <c r="T1951" s="25">
        <f>VLOOKUP(D1951,Customers!A:D,4,FALSE)</f>
        <v/>
      </c>
      <c r="U1951" s="25">
        <f>CONCATENATE(A1951,"-",G1951)</f>
        <v/>
      </c>
      <c r="V1951" s="25">
        <f>IF(N1951="","",IF(N1951&lt;=30,"Fast (&lt;30m)",IF(N1951&lt;=45,"Moderate (30-45m)","Delayed (&gt;45m)")))</f>
        <v/>
      </c>
      <c r="W1951" s="25">
        <f>IF(AND(I1951&gt;600,P1951="Delivered"),"High Value Delivered","Standard")</f>
        <v/>
      </c>
      <c r="X1951" s="25">
        <f>IF(OR(N1951&gt;50,Q1951&lt;=2),"High Risk / Delayed","Normal")</f>
        <v/>
      </c>
      <c r="Y1951" s="25">
        <f>IF(NOT(P1951="Cancelled"),"Fulfilled","Cancelled")</f>
        <v/>
      </c>
      <c r="Z1951" s="25">
        <f>IFERROR(Q1951,0)</f>
        <v/>
      </c>
    </row>
    <row r="1952">
      <c r="A1952" s="17" t="inlineStr">
        <is>
          <t>ORD2951</t>
        </is>
      </c>
      <c r="B1952" s="17" t="inlineStr">
        <is>
          <t>2025-01-02</t>
        </is>
      </c>
      <c r="C1952" s="17" t="inlineStr">
        <is>
          <t>20:17:22</t>
        </is>
      </c>
      <c r="D1952" s="17" t="n">
        <v>1251</v>
      </c>
      <c r="E1952" s="17" t="n">
        <v>102</v>
      </c>
      <c r="F1952" s="17" t="n">
        <v>216</v>
      </c>
      <c r="G1952" s="17" t="inlineStr">
        <is>
          <t>Hyderabad</t>
        </is>
      </c>
      <c r="H1952" s="17" t="inlineStr">
        <is>
          <t>Biryani</t>
        </is>
      </c>
      <c r="I1952" s="22" t="n">
        <v>349</v>
      </c>
      <c r="J1952" s="22" t="n">
        <v>24.52</v>
      </c>
      <c r="K1952" s="22" t="n">
        <v>25</v>
      </c>
      <c r="L1952" s="23" t="n">
        <v>0.22</v>
      </c>
      <c r="M1952" s="22" t="n">
        <v>83.03</v>
      </c>
      <c r="N1952" s="24" t="n">
        <v>2.8</v>
      </c>
      <c r="O1952" s="24" t="n">
        <v>29</v>
      </c>
      <c r="P1952" s="17" t="inlineStr">
        <is>
          <t>Digital Wallet</t>
        </is>
      </c>
      <c r="Q1952" s="17" t="inlineStr">
        <is>
          <t>Delivered</t>
        </is>
      </c>
      <c r="R1952" s="17" t="n">
        <v>2</v>
      </c>
      <c r="S1952" s="17">
        <f>TEXT(B1952,"yyyy-mm")</f>
        <v/>
      </c>
      <c r="T1952" s="17">
        <f>VLOOKUP(D1952,Customers!A:D,4,FALSE)</f>
        <v/>
      </c>
      <c r="U1952" s="17">
        <f>CONCATENATE(A1952,"-",G1952)</f>
        <v/>
      </c>
      <c r="V1952" s="17">
        <f>IF(N1952="","",IF(N1952&lt;=30,"Fast (&lt;30m)",IF(N1952&lt;=45,"Moderate (30-45m)","Delayed (&gt;45m)")))</f>
        <v/>
      </c>
      <c r="W1952" s="17">
        <f>IF(AND(I1952&gt;600,P1952="Delivered"),"High Value Delivered","Standard")</f>
        <v/>
      </c>
      <c r="X1952" s="17">
        <f>IF(OR(N1952&gt;50,Q1952&lt;=2),"High Risk / Delayed","Normal")</f>
        <v/>
      </c>
      <c r="Y1952" s="17">
        <f>IF(NOT(P1952="Cancelled"),"Fulfilled","Cancelled")</f>
        <v/>
      </c>
      <c r="Z1952" s="17">
        <f>IFERROR(Q1952,0)</f>
        <v/>
      </c>
    </row>
    <row r="1953">
      <c r="A1953" s="25" t="inlineStr">
        <is>
          <t>ORD2952</t>
        </is>
      </c>
      <c r="B1953" s="25" t="inlineStr">
        <is>
          <t>2025-10-05</t>
        </is>
      </c>
      <c r="C1953" s="25" t="inlineStr">
        <is>
          <t>13:19:40</t>
        </is>
      </c>
      <c r="D1953" s="25" t="n">
        <v>1157</v>
      </c>
      <c r="E1953" s="25" t="n">
        <v>109</v>
      </c>
      <c r="F1953" s="25" t="n">
        <v>225</v>
      </c>
      <c r="G1953" s="25" t="inlineStr">
        <is>
          <t>Hyderabad</t>
        </is>
      </c>
      <c r="H1953" s="25" t="inlineStr">
        <is>
          <t>Biryani</t>
        </is>
      </c>
      <c r="I1953" s="26" t="n">
        <v>848</v>
      </c>
      <c r="J1953" s="26" t="n">
        <v>96.41</v>
      </c>
      <c r="K1953" s="26" t="n">
        <v>36</v>
      </c>
      <c r="L1953" s="27" t="n">
        <v>0.2</v>
      </c>
      <c r="M1953" s="26" t="n">
        <v>178.6</v>
      </c>
      <c r="N1953" s="28" t="n">
        <v>5.2</v>
      </c>
      <c r="O1953" s="28" t="n">
        <v>50.5</v>
      </c>
      <c r="P1953" s="25" t="inlineStr">
        <is>
          <t>Debit Card</t>
        </is>
      </c>
      <c r="Q1953" s="25" t="inlineStr">
        <is>
          <t>Delivered</t>
        </is>
      </c>
      <c r="R1953" s="25" t="n">
        <v>5</v>
      </c>
      <c r="S1953" s="25">
        <f>TEXT(B1953,"yyyy-mm")</f>
        <v/>
      </c>
      <c r="T1953" s="25">
        <f>VLOOKUP(D1953,Customers!A:D,4,FALSE)</f>
        <v/>
      </c>
      <c r="U1953" s="25">
        <f>CONCATENATE(A1953,"-",G1953)</f>
        <v/>
      </c>
      <c r="V1953" s="25">
        <f>IF(N1953="","",IF(N1953&lt;=30,"Fast (&lt;30m)",IF(N1953&lt;=45,"Moderate (30-45m)","Delayed (&gt;45m)")))</f>
        <v/>
      </c>
      <c r="W1953" s="25">
        <f>IF(AND(I1953&gt;600,P1953="Delivered"),"High Value Delivered","Standard")</f>
        <v/>
      </c>
      <c r="X1953" s="25">
        <f>IF(OR(N1953&gt;50,Q1953&lt;=2),"High Risk / Delayed","Normal")</f>
        <v/>
      </c>
      <c r="Y1953" s="25">
        <f>IF(NOT(P1953="Cancelled"),"Fulfilled","Cancelled")</f>
        <v/>
      </c>
      <c r="Z1953" s="25">
        <f>IFERROR(Q1953,0)</f>
        <v/>
      </c>
    </row>
    <row r="1954">
      <c r="A1954" s="17" t="inlineStr">
        <is>
          <t>ORD2953</t>
        </is>
      </c>
      <c r="B1954" s="17" t="inlineStr">
        <is>
          <t>2025-05-05</t>
        </is>
      </c>
      <c r="C1954" s="17" t="inlineStr">
        <is>
          <t>13:58:23</t>
        </is>
      </c>
      <c r="D1954" s="17" t="n">
        <v>1187</v>
      </c>
      <c r="E1954" s="17" t="n">
        <v>107</v>
      </c>
      <c r="F1954" s="17" t="n">
        <v>206</v>
      </c>
      <c r="G1954" s="17" t="inlineStr">
        <is>
          <t>Mumbai</t>
        </is>
      </c>
      <c r="H1954" s="17" t="inlineStr">
        <is>
          <t>Desserts</t>
        </is>
      </c>
      <c r="I1954" s="22" t="n">
        <v>922</v>
      </c>
      <c r="J1954" s="22" t="n">
        <v>82.7</v>
      </c>
      <c r="K1954" s="22" t="n">
        <v>31</v>
      </c>
      <c r="L1954" s="23" t="n">
        <v>0.25</v>
      </c>
      <c r="M1954" s="22" t="n">
        <v>238.25</v>
      </c>
      <c r="N1954" s="24" t="n">
        <v>4.2</v>
      </c>
      <c r="O1954" s="24" t="n">
        <v>29.7</v>
      </c>
      <c r="P1954" s="17" t="inlineStr">
        <is>
          <t>Debit Card</t>
        </is>
      </c>
      <c r="Q1954" s="17" t="inlineStr">
        <is>
          <t>Delivered</t>
        </is>
      </c>
      <c r="R1954" s="17" t="n">
        <v>5</v>
      </c>
      <c r="S1954" s="17">
        <f>TEXT(B1954,"yyyy-mm")</f>
        <v/>
      </c>
      <c r="T1954" s="17">
        <f>VLOOKUP(D1954,Customers!A:D,4,FALSE)</f>
        <v/>
      </c>
      <c r="U1954" s="17">
        <f>CONCATENATE(A1954,"-",G1954)</f>
        <v/>
      </c>
      <c r="V1954" s="17">
        <f>IF(N1954="","",IF(N1954&lt;=30,"Fast (&lt;30m)",IF(N1954&lt;=45,"Moderate (30-45m)","Delayed (&gt;45m)")))</f>
        <v/>
      </c>
      <c r="W1954" s="17">
        <f>IF(AND(I1954&gt;600,P1954="Delivered"),"High Value Delivered","Standard")</f>
        <v/>
      </c>
      <c r="X1954" s="17">
        <f>IF(OR(N1954&gt;50,Q1954&lt;=2),"High Risk / Delayed","Normal")</f>
        <v/>
      </c>
      <c r="Y1954" s="17">
        <f>IF(NOT(P1954="Cancelled"),"Fulfilled","Cancelled")</f>
        <v/>
      </c>
      <c r="Z1954" s="17">
        <f>IFERROR(Q1954,0)</f>
        <v/>
      </c>
    </row>
    <row r="1955">
      <c r="A1955" s="25" t="inlineStr">
        <is>
          <t>ORD2954</t>
        </is>
      </c>
      <c r="B1955" s="25" t="inlineStr">
        <is>
          <t>2025-01-31</t>
        </is>
      </c>
      <c r="C1955" s="25" t="inlineStr">
        <is>
          <t>20:26:31</t>
        </is>
      </c>
      <c r="D1955" s="25" t="n">
        <v>1287</v>
      </c>
      <c r="E1955" s="25" t="n">
        <v>115</v>
      </c>
      <c r="F1955" s="25" t="n">
        <v>218</v>
      </c>
      <c r="G1955" s="25" t="inlineStr">
        <is>
          <t>Bangalore</t>
        </is>
      </c>
      <c r="H1955" s="25" t="inlineStr">
        <is>
          <t>Italian</t>
        </is>
      </c>
      <c r="I1955" s="26" t="n">
        <v>803</v>
      </c>
      <c r="J1955" s="26" t="n">
        <v>0.84</v>
      </c>
      <c r="K1955" s="26" t="n">
        <v>32</v>
      </c>
      <c r="L1955" s="27" t="n">
        <v>0.2</v>
      </c>
      <c r="M1955" s="26" t="n">
        <v>168.6</v>
      </c>
      <c r="N1955" s="28" t="n">
        <v>4.4</v>
      </c>
      <c r="O1955" s="28" t="n">
        <v>30.5</v>
      </c>
      <c r="P1955" s="25" t="inlineStr">
        <is>
          <t>Digital Wallet</t>
        </is>
      </c>
      <c r="Q1955" s="25" t="inlineStr">
        <is>
          <t>Delivered</t>
        </is>
      </c>
      <c r="R1955" s="25" t="n">
        <v>4</v>
      </c>
      <c r="S1955" s="25">
        <f>TEXT(B1955,"yyyy-mm")</f>
        <v/>
      </c>
      <c r="T1955" s="25">
        <f>VLOOKUP(D1955,Customers!A:D,4,FALSE)</f>
        <v/>
      </c>
      <c r="U1955" s="25">
        <f>CONCATENATE(A1955,"-",G1955)</f>
        <v/>
      </c>
      <c r="V1955" s="25">
        <f>IF(N1955="","",IF(N1955&lt;=30,"Fast (&lt;30m)",IF(N1955&lt;=45,"Moderate (30-45m)","Delayed (&gt;45m)")))</f>
        <v/>
      </c>
      <c r="W1955" s="25">
        <f>IF(AND(I1955&gt;600,P1955="Delivered"),"High Value Delivered","Standard")</f>
        <v/>
      </c>
      <c r="X1955" s="25">
        <f>IF(OR(N1955&gt;50,Q1955&lt;=2),"High Risk / Delayed","Normal")</f>
        <v/>
      </c>
      <c r="Y1955" s="25">
        <f>IF(NOT(P1955="Cancelled"),"Fulfilled","Cancelled")</f>
        <v/>
      </c>
      <c r="Z1955" s="25">
        <f>IFERROR(Q1955,0)</f>
        <v/>
      </c>
    </row>
    <row r="1956">
      <c r="A1956" s="17" t="inlineStr">
        <is>
          <t>ORD2955</t>
        </is>
      </c>
      <c r="B1956" s="17" t="inlineStr">
        <is>
          <t>2025-10-07</t>
        </is>
      </c>
      <c r="C1956" s="17" t="inlineStr">
        <is>
          <t>21:24:45</t>
        </is>
      </c>
      <c r="D1956" s="17" t="n">
        <v>1155</v>
      </c>
      <c r="E1956" s="17" t="n">
        <v>120</v>
      </c>
      <c r="F1956" s="17" t="n">
        <v>204</v>
      </c>
      <c r="G1956" s="17" t="inlineStr">
        <is>
          <t>Pune</t>
        </is>
      </c>
      <c r="H1956" s="17" t="inlineStr">
        <is>
          <t>Fast Food</t>
        </is>
      </c>
      <c r="I1956" s="22" t="n">
        <v>891</v>
      </c>
      <c r="J1956" s="22" t="n">
        <v>112.51</v>
      </c>
      <c r="K1956" s="22" t="n">
        <v>0</v>
      </c>
      <c r="L1956" s="23" t="n">
        <v>0.18</v>
      </c>
      <c r="M1956" s="22" t="n">
        <v>160.38</v>
      </c>
      <c r="N1956" s="24" t="n">
        <v>2.8</v>
      </c>
      <c r="O1956" s="24" t="n">
        <v>32.2</v>
      </c>
      <c r="P1956" s="17" t="inlineStr">
        <is>
          <t>Credit Card</t>
        </is>
      </c>
      <c r="Q1956" s="17" t="inlineStr">
        <is>
          <t>Delivered</t>
        </is>
      </c>
      <c r="R1956" s="17" t="n">
        <v>5</v>
      </c>
      <c r="S1956" s="17">
        <f>TEXT(B1956,"yyyy-mm")</f>
        <v/>
      </c>
      <c r="T1956" s="17">
        <f>VLOOKUP(D1956,Customers!A:D,4,FALSE)</f>
        <v/>
      </c>
      <c r="U1956" s="17">
        <f>CONCATENATE(A1956,"-",G1956)</f>
        <v/>
      </c>
      <c r="V1956" s="17">
        <f>IF(N1956="","",IF(N1956&lt;=30,"Fast (&lt;30m)",IF(N1956&lt;=45,"Moderate (30-45m)","Delayed (&gt;45m)")))</f>
        <v/>
      </c>
      <c r="W1956" s="17">
        <f>IF(AND(I1956&gt;600,P1956="Delivered"),"High Value Delivered","Standard")</f>
        <v/>
      </c>
      <c r="X1956" s="17">
        <f>IF(OR(N1956&gt;50,Q1956&lt;=2),"High Risk / Delayed","Normal")</f>
        <v/>
      </c>
      <c r="Y1956" s="17">
        <f>IF(NOT(P1956="Cancelled"),"Fulfilled","Cancelled")</f>
        <v/>
      </c>
      <c r="Z1956" s="17">
        <f>IFERROR(Q1956,0)</f>
        <v/>
      </c>
    </row>
    <row r="1957">
      <c r="A1957" s="25" t="inlineStr">
        <is>
          <t>ORD2956</t>
        </is>
      </c>
      <c r="B1957" s="25" t="inlineStr">
        <is>
          <t>2025-04-22</t>
        </is>
      </c>
      <c r="C1957" s="25" t="inlineStr">
        <is>
          <t>12:42:12</t>
        </is>
      </c>
      <c r="D1957" s="25" t="n">
        <v>1190</v>
      </c>
      <c r="E1957" s="25" t="n">
        <v>114</v>
      </c>
      <c r="F1957" s="25" t="n">
        <v>225</v>
      </c>
      <c r="G1957" s="25" t="inlineStr">
        <is>
          <t>Hyderabad</t>
        </is>
      </c>
      <c r="H1957" s="25" t="inlineStr">
        <is>
          <t>Biryani</t>
        </is>
      </c>
      <c r="I1957" s="26" t="n">
        <v>803</v>
      </c>
      <c r="J1957" s="26" t="n">
        <v>19.71</v>
      </c>
      <c r="K1957" s="26" t="n">
        <v>25</v>
      </c>
      <c r="L1957" s="27" t="n">
        <v>0.22</v>
      </c>
      <c r="M1957" s="26" t="n">
        <v>182.91</v>
      </c>
      <c r="N1957" s="28" t="n">
        <v>2.3</v>
      </c>
      <c r="O1957" s="28" t="n">
        <v>28.1</v>
      </c>
      <c r="P1957" s="25" t="inlineStr">
        <is>
          <t>Debit Card</t>
        </is>
      </c>
      <c r="Q1957" s="25" t="inlineStr">
        <is>
          <t>Delivered</t>
        </is>
      </c>
      <c r="R1957" s="25" t="n">
        <v>4</v>
      </c>
      <c r="S1957" s="25">
        <f>TEXT(B1957,"yyyy-mm")</f>
        <v/>
      </c>
      <c r="T1957" s="25">
        <f>VLOOKUP(D1957,Customers!A:D,4,FALSE)</f>
        <v/>
      </c>
      <c r="U1957" s="25">
        <f>CONCATENATE(A1957,"-",G1957)</f>
        <v/>
      </c>
      <c r="V1957" s="25">
        <f>IF(N1957="","",IF(N1957&lt;=30,"Fast (&lt;30m)",IF(N1957&lt;=45,"Moderate (30-45m)","Delayed (&gt;45m)")))</f>
        <v/>
      </c>
      <c r="W1957" s="25">
        <f>IF(AND(I1957&gt;600,P1957="Delivered"),"High Value Delivered","Standard")</f>
        <v/>
      </c>
      <c r="X1957" s="25">
        <f>IF(OR(N1957&gt;50,Q1957&lt;=2),"High Risk / Delayed","Normal")</f>
        <v/>
      </c>
      <c r="Y1957" s="25">
        <f>IF(NOT(P1957="Cancelled"),"Fulfilled","Cancelled")</f>
        <v/>
      </c>
      <c r="Z1957" s="25">
        <f>IFERROR(Q1957,0)</f>
        <v/>
      </c>
    </row>
    <row r="1958">
      <c r="A1958" s="17" t="inlineStr">
        <is>
          <t>ORD2957</t>
        </is>
      </c>
      <c r="B1958" s="17" t="inlineStr">
        <is>
          <t>2025-01-02</t>
        </is>
      </c>
      <c r="C1958" s="17" t="inlineStr">
        <is>
          <t>12:25:31</t>
        </is>
      </c>
      <c r="D1958" s="17" t="n">
        <v>1141</v>
      </c>
      <c r="E1958" s="17" t="n">
        <v>112</v>
      </c>
      <c r="F1958" s="17" t="n">
        <v>230</v>
      </c>
      <c r="G1958" s="17" t="inlineStr">
        <is>
          <t>Delhi NCR</t>
        </is>
      </c>
      <c r="H1958" s="17" t="inlineStr">
        <is>
          <t>North Indian</t>
        </is>
      </c>
      <c r="I1958" s="22" t="n">
        <v>885</v>
      </c>
      <c r="J1958" s="22" t="n">
        <v>155.65</v>
      </c>
      <c r="K1958" s="22" t="n">
        <v>0</v>
      </c>
      <c r="L1958" s="23" t="n">
        <v>0.22</v>
      </c>
      <c r="M1958" s="22" t="n">
        <v>194.7</v>
      </c>
      <c r="N1958" s="24" t="n">
        <v>6.9</v>
      </c>
      <c r="O1958" s="24" t="n">
        <v>49.6</v>
      </c>
      <c r="P1958" s="17" t="inlineStr">
        <is>
          <t>Debit Card</t>
        </is>
      </c>
      <c r="Q1958" s="17" t="inlineStr">
        <is>
          <t>Delivered</t>
        </is>
      </c>
      <c r="R1958" s="17" t="n">
        <v>1</v>
      </c>
      <c r="S1958" s="17">
        <f>TEXT(B1958,"yyyy-mm")</f>
        <v/>
      </c>
      <c r="T1958" s="17">
        <f>VLOOKUP(D1958,Customers!A:D,4,FALSE)</f>
        <v/>
      </c>
      <c r="U1958" s="17">
        <f>CONCATENATE(A1958,"-",G1958)</f>
        <v/>
      </c>
      <c r="V1958" s="17">
        <f>IF(N1958="","",IF(N1958&lt;=30,"Fast (&lt;30m)",IF(N1958&lt;=45,"Moderate (30-45m)","Delayed (&gt;45m)")))</f>
        <v/>
      </c>
      <c r="W1958" s="17">
        <f>IF(AND(I1958&gt;600,P1958="Delivered"),"High Value Delivered","Standard")</f>
        <v/>
      </c>
      <c r="X1958" s="17">
        <f>IF(OR(N1958&gt;50,Q1958&lt;=2),"High Risk / Delayed","Normal")</f>
        <v/>
      </c>
      <c r="Y1958" s="17">
        <f>IF(NOT(P1958="Cancelled"),"Fulfilled","Cancelled")</f>
        <v/>
      </c>
      <c r="Z1958" s="17">
        <f>IFERROR(Q1958,0)</f>
        <v/>
      </c>
    </row>
    <row r="1959">
      <c r="A1959" s="25" t="inlineStr">
        <is>
          <t>ORD2958</t>
        </is>
      </c>
      <c r="B1959" s="25" t="inlineStr">
        <is>
          <t>2025-03-24</t>
        </is>
      </c>
      <c r="C1959" s="25" t="inlineStr">
        <is>
          <t>21:40:22</t>
        </is>
      </c>
      <c r="D1959" s="25" t="n">
        <v>1135</v>
      </c>
      <c r="E1959" s="25" t="n">
        <v>103</v>
      </c>
      <c r="F1959" s="25" t="n">
        <v>229</v>
      </c>
      <c r="G1959" s="25" t="inlineStr">
        <is>
          <t>Mumbai</t>
        </is>
      </c>
      <c r="H1959" s="25" t="inlineStr">
        <is>
          <t>Italian</t>
        </is>
      </c>
      <c r="I1959" s="26" t="n">
        <v>349</v>
      </c>
      <c r="J1959" s="26" t="n">
        <v>52.11</v>
      </c>
      <c r="K1959" s="26" t="n">
        <v>30.5</v>
      </c>
      <c r="L1959" s="27" t="n">
        <v>0.18</v>
      </c>
      <c r="M1959" s="26" t="n">
        <v>70.44</v>
      </c>
      <c r="N1959" s="28" t="n">
        <v>4.1</v>
      </c>
      <c r="O1959" s="28" t="n">
        <v>39.2</v>
      </c>
      <c r="P1959" s="25" t="inlineStr">
        <is>
          <t>Debit Card</t>
        </is>
      </c>
      <c r="Q1959" s="25" t="inlineStr">
        <is>
          <t>Delivered</t>
        </is>
      </c>
      <c r="R1959" s="25" t="n">
        <v>4</v>
      </c>
      <c r="S1959" s="25">
        <f>TEXT(B1959,"yyyy-mm")</f>
        <v/>
      </c>
      <c r="T1959" s="25">
        <f>VLOOKUP(D1959,Customers!A:D,4,FALSE)</f>
        <v/>
      </c>
      <c r="U1959" s="25">
        <f>CONCATENATE(A1959,"-",G1959)</f>
        <v/>
      </c>
      <c r="V1959" s="25">
        <f>IF(N1959="","",IF(N1959&lt;=30,"Fast (&lt;30m)",IF(N1959&lt;=45,"Moderate (30-45m)","Delayed (&gt;45m)")))</f>
        <v/>
      </c>
      <c r="W1959" s="25">
        <f>IF(AND(I1959&gt;600,P1959="Delivered"),"High Value Delivered","Standard")</f>
        <v/>
      </c>
      <c r="X1959" s="25">
        <f>IF(OR(N1959&gt;50,Q1959&lt;=2),"High Risk / Delayed","Normal")</f>
        <v/>
      </c>
      <c r="Y1959" s="25">
        <f>IF(NOT(P1959="Cancelled"),"Fulfilled","Cancelled")</f>
        <v/>
      </c>
      <c r="Z1959" s="25">
        <f>IFERROR(Q1959,0)</f>
        <v/>
      </c>
    </row>
    <row r="1960">
      <c r="A1960" s="17" t="inlineStr">
        <is>
          <t>ORD2959</t>
        </is>
      </c>
      <c r="B1960" s="17" t="inlineStr">
        <is>
          <t>2025-04-05</t>
        </is>
      </c>
      <c r="C1960" s="17" t="inlineStr">
        <is>
          <t>22:18:06</t>
        </is>
      </c>
      <c r="D1960" s="17" t="n">
        <v>1083</v>
      </c>
      <c r="E1960" s="17" t="n">
        <v>118</v>
      </c>
      <c r="F1960" s="17" t="n">
        <v>219</v>
      </c>
      <c r="G1960" s="17" t="inlineStr">
        <is>
          <t>Delhi NCR</t>
        </is>
      </c>
      <c r="H1960" s="17" t="inlineStr">
        <is>
          <t>North Indian</t>
        </is>
      </c>
      <c r="I1960" s="22" t="n">
        <v>690</v>
      </c>
      <c r="J1960" s="22" t="n">
        <v>10.14</v>
      </c>
      <c r="K1960" s="22" t="n">
        <v>38</v>
      </c>
      <c r="L1960" s="23" t="n">
        <v>0.2</v>
      </c>
      <c r="M1960" s="22" t="n">
        <v>147.5</v>
      </c>
      <c r="N1960" s="24" t="n">
        <v>5.6</v>
      </c>
      <c r="O1960" s="24" t="n">
        <v>28.8</v>
      </c>
      <c r="P1960" s="17" t="inlineStr">
        <is>
          <t>Credit Card</t>
        </is>
      </c>
      <c r="Q1960" s="17" t="inlineStr">
        <is>
          <t>Delivered</t>
        </is>
      </c>
      <c r="R1960" s="17" t="n">
        <v>4</v>
      </c>
      <c r="S1960" s="17">
        <f>TEXT(B1960,"yyyy-mm")</f>
        <v/>
      </c>
      <c r="T1960" s="17">
        <f>VLOOKUP(D1960,Customers!A:D,4,FALSE)</f>
        <v/>
      </c>
      <c r="U1960" s="17">
        <f>CONCATENATE(A1960,"-",G1960)</f>
        <v/>
      </c>
      <c r="V1960" s="17">
        <f>IF(N1960="","",IF(N1960&lt;=30,"Fast (&lt;30m)",IF(N1960&lt;=45,"Moderate (30-45m)","Delayed (&gt;45m)")))</f>
        <v/>
      </c>
      <c r="W1960" s="17">
        <f>IF(AND(I1960&gt;600,P1960="Delivered"),"High Value Delivered","Standard")</f>
        <v/>
      </c>
      <c r="X1960" s="17">
        <f>IF(OR(N1960&gt;50,Q1960&lt;=2),"High Risk / Delayed","Normal")</f>
        <v/>
      </c>
      <c r="Y1960" s="17">
        <f>IF(NOT(P1960="Cancelled"),"Fulfilled","Cancelled")</f>
        <v/>
      </c>
      <c r="Z1960" s="17">
        <f>IFERROR(Q1960,0)</f>
        <v/>
      </c>
    </row>
    <row r="1961">
      <c r="A1961" s="25" t="inlineStr">
        <is>
          <t>ORD2960</t>
        </is>
      </c>
      <c r="B1961" s="25" t="inlineStr">
        <is>
          <t>2025-06-07</t>
        </is>
      </c>
      <c r="C1961" s="25" t="inlineStr">
        <is>
          <t>19:21:54</t>
        </is>
      </c>
      <c r="D1961" s="25" t="n">
        <v>1123</v>
      </c>
      <c r="E1961" s="25" t="n">
        <v>115</v>
      </c>
      <c r="F1961" s="25" t="n">
        <v>201</v>
      </c>
      <c r="G1961" s="25" t="inlineStr">
        <is>
          <t>Bangalore</t>
        </is>
      </c>
      <c r="H1961" s="25" t="inlineStr">
        <is>
          <t>Italian</t>
        </is>
      </c>
      <c r="I1961" s="26" t="n">
        <v>317</v>
      </c>
      <c r="J1961" s="26" t="n">
        <v>0</v>
      </c>
      <c r="K1961" s="26" t="n">
        <v>27</v>
      </c>
      <c r="L1961" s="27" t="n">
        <v>0.2</v>
      </c>
      <c r="M1961" s="26" t="n">
        <v>70.15000000000001</v>
      </c>
      <c r="N1961" s="28" t="n">
        <v>3.4</v>
      </c>
      <c r="O1961" s="28" t="n">
        <v>35.9</v>
      </c>
      <c r="P1961" s="25" t="inlineStr">
        <is>
          <t>UPI</t>
        </is>
      </c>
      <c r="Q1961" s="25" t="inlineStr">
        <is>
          <t>Delivered</t>
        </is>
      </c>
      <c r="R1961" s="25" t="n">
        <v>5</v>
      </c>
      <c r="S1961" s="25">
        <f>TEXT(B1961,"yyyy-mm")</f>
        <v/>
      </c>
      <c r="T1961" s="25">
        <f>VLOOKUP(D1961,Customers!A:D,4,FALSE)</f>
        <v/>
      </c>
      <c r="U1961" s="25">
        <f>CONCATENATE(A1961,"-",G1961)</f>
        <v/>
      </c>
      <c r="V1961" s="25">
        <f>IF(N1961="","",IF(N1961&lt;=30,"Fast (&lt;30m)",IF(N1961&lt;=45,"Moderate (30-45m)","Delayed (&gt;45m)")))</f>
        <v/>
      </c>
      <c r="W1961" s="25">
        <f>IF(AND(I1961&gt;600,P1961="Delivered"),"High Value Delivered","Standard")</f>
        <v/>
      </c>
      <c r="X1961" s="25">
        <f>IF(OR(N1961&gt;50,Q1961&lt;=2),"High Risk / Delayed","Normal")</f>
        <v/>
      </c>
      <c r="Y1961" s="25">
        <f>IF(NOT(P1961="Cancelled"),"Fulfilled","Cancelled")</f>
        <v/>
      </c>
      <c r="Z1961" s="25">
        <f>IFERROR(Q1961,0)</f>
        <v/>
      </c>
    </row>
    <row r="1962">
      <c r="A1962" s="17" t="inlineStr">
        <is>
          <t>ORD2961</t>
        </is>
      </c>
      <c r="B1962" s="17" t="inlineStr">
        <is>
          <t>2025-07-02</t>
        </is>
      </c>
      <c r="C1962" s="17" t="inlineStr">
        <is>
          <t>21:15:00</t>
        </is>
      </c>
      <c r="D1962" s="17" t="n">
        <v>1233</v>
      </c>
      <c r="E1962" s="17" t="n">
        <v>106</v>
      </c>
      <c r="F1962" s="17" t="n">
        <v>224</v>
      </c>
      <c r="G1962" s="17" t="inlineStr">
        <is>
          <t>Pune</t>
        </is>
      </c>
      <c r="H1962" s="17" t="inlineStr">
        <is>
          <t>South Indian</t>
        </is>
      </c>
      <c r="I1962" s="22" t="n">
        <v>872</v>
      </c>
      <c r="J1962" s="22" t="n">
        <v>37.74</v>
      </c>
      <c r="K1962" s="22" t="n">
        <v>46</v>
      </c>
      <c r="L1962" s="23" t="n">
        <v>0.15</v>
      </c>
      <c r="M1962" s="22" t="n">
        <v>142.3</v>
      </c>
      <c r="N1962" s="24" t="n">
        <v>7.2</v>
      </c>
      <c r="O1962" s="24" t="n">
        <v>49.3</v>
      </c>
      <c r="P1962" s="17" t="inlineStr">
        <is>
          <t>Digital Wallet</t>
        </is>
      </c>
      <c r="Q1962" s="17" t="inlineStr">
        <is>
          <t>Delivered</t>
        </is>
      </c>
      <c r="R1962" s="17" t="n">
        <v>2</v>
      </c>
      <c r="S1962" s="17">
        <f>TEXT(B1962,"yyyy-mm")</f>
        <v/>
      </c>
      <c r="T1962" s="17">
        <f>VLOOKUP(D1962,Customers!A:D,4,FALSE)</f>
        <v/>
      </c>
      <c r="U1962" s="17">
        <f>CONCATENATE(A1962,"-",G1962)</f>
        <v/>
      </c>
      <c r="V1962" s="17">
        <f>IF(N1962="","",IF(N1962&lt;=30,"Fast (&lt;30m)",IF(N1962&lt;=45,"Moderate (30-45m)","Delayed (&gt;45m)")))</f>
        <v/>
      </c>
      <c r="W1962" s="17">
        <f>IF(AND(I1962&gt;600,P1962="Delivered"),"High Value Delivered","Standard")</f>
        <v/>
      </c>
      <c r="X1962" s="17">
        <f>IF(OR(N1962&gt;50,Q1962&lt;=2),"High Risk / Delayed","Normal")</f>
        <v/>
      </c>
      <c r="Y1962" s="17">
        <f>IF(NOT(P1962="Cancelled"),"Fulfilled","Cancelled")</f>
        <v/>
      </c>
      <c r="Z1962" s="17">
        <f>IFERROR(Q1962,0)</f>
        <v/>
      </c>
    </row>
    <row r="1963">
      <c r="A1963" s="25" t="inlineStr">
        <is>
          <t>ORD2962</t>
        </is>
      </c>
      <c r="B1963" s="25" t="inlineStr">
        <is>
          <t>2025-03-19</t>
        </is>
      </c>
      <c r="C1963" s="25" t="inlineStr">
        <is>
          <t>19:56:57</t>
        </is>
      </c>
      <c r="D1963" s="25" t="n">
        <v>1259</v>
      </c>
      <c r="E1963" s="25" t="n">
        <v>114</v>
      </c>
      <c r="F1963" s="25" t="n">
        <v>225</v>
      </c>
      <c r="G1963" s="25" t="inlineStr">
        <is>
          <t>Hyderabad</t>
        </is>
      </c>
      <c r="H1963" s="25" t="inlineStr">
        <is>
          <t>Biryani</t>
        </is>
      </c>
      <c r="I1963" s="26" t="n">
        <v>339</v>
      </c>
      <c r="J1963" s="26" t="n">
        <v>0</v>
      </c>
      <c r="K1963" s="26" t="n">
        <v>33</v>
      </c>
      <c r="L1963" s="27" t="n">
        <v>0.22</v>
      </c>
      <c r="M1963" s="26" t="n">
        <v>82.83</v>
      </c>
      <c r="N1963" s="28" t="n">
        <v>4.6</v>
      </c>
      <c r="O1963" s="28" t="n">
        <v>37.3</v>
      </c>
      <c r="P1963" s="25" t="inlineStr">
        <is>
          <t>Credit Card</t>
        </is>
      </c>
      <c r="Q1963" s="25" t="inlineStr">
        <is>
          <t>Delivered</t>
        </is>
      </c>
      <c r="R1963" s="25" t="n">
        <v>4</v>
      </c>
      <c r="S1963" s="25">
        <f>TEXT(B1963,"yyyy-mm")</f>
        <v/>
      </c>
      <c r="T1963" s="25">
        <f>VLOOKUP(D1963,Customers!A:D,4,FALSE)</f>
        <v/>
      </c>
      <c r="U1963" s="25">
        <f>CONCATENATE(A1963,"-",G1963)</f>
        <v/>
      </c>
      <c r="V1963" s="25">
        <f>IF(N1963="","",IF(N1963&lt;=30,"Fast (&lt;30m)",IF(N1963&lt;=45,"Moderate (30-45m)","Delayed (&gt;45m)")))</f>
        <v/>
      </c>
      <c r="W1963" s="25">
        <f>IF(AND(I1963&gt;600,P1963="Delivered"),"High Value Delivered","Standard")</f>
        <v/>
      </c>
      <c r="X1963" s="25">
        <f>IF(OR(N1963&gt;50,Q1963&lt;=2),"High Risk / Delayed","Normal")</f>
        <v/>
      </c>
      <c r="Y1963" s="25">
        <f>IF(NOT(P1963="Cancelled"),"Fulfilled","Cancelled")</f>
        <v/>
      </c>
      <c r="Z1963" s="25">
        <f>IFERROR(Q1963,0)</f>
        <v/>
      </c>
    </row>
    <row r="1964">
      <c r="A1964" s="17" t="inlineStr">
        <is>
          <t>ORD2963</t>
        </is>
      </c>
      <c r="B1964" s="17" t="inlineStr">
        <is>
          <t>2025-05-25</t>
        </is>
      </c>
      <c r="C1964" s="17" t="inlineStr">
        <is>
          <t>01:57:43</t>
        </is>
      </c>
      <c r="D1964" s="17" t="n">
        <v>1185</v>
      </c>
      <c r="E1964" s="17" t="n">
        <v>116</v>
      </c>
      <c r="F1964" s="17" t="n">
        <v>224</v>
      </c>
      <c r="G1964" s="17" t="inlineStr">
        <is>
          <t>Pune</t>
        </is>
      </c>
      <c r="H1964" s="17" t="inlineStr">
        <is>
          <t>Desserts</t>
        </is>
      </c>
      <c r="I1964" s="22" t="n">
        <v>562</v>
      </c>
      <c r="J1964" s="22" t="n">
        <v>41.52</v>
      </c>
      <c r="K1964" s="22" t="n">
        <v>30</v>
      </c>
      <c r="L1964" s="23" t="n">
        <v>0.25</v>
      </c>
      <c r="M1964" s="22" t="n">
        <v>148</v>
      </c>
      <c r="N1964" s="24" t="n">
        <v>4</v>
      </c>
      <c r="O1964" s="24" t="n">
        <v>29.4</v>
      </c>
      <c r="P1964" s="17" t="inlineStr">
        <is>
          <t>Digital Wallet</t>
        </is>
      </c>
      <c r="Q1964" s="17" t="inlineStr">
        <is>
          <t>Delivered</t>
        </is>
      </c>
      <c r="R1964" s="17" t="n">
        <v>3</v>
      </c>
      <c r="S1964" s="17">
        <f>TEXT(B1964,"yyyy-mm")</f>
        <v/>
      </c>
      <c r="T1964" s="17">
        <f>VLOOKUP(D1964,Customers!A:D,4,FALSE)</f>
        <v/>
      </c>
      <c r="U1964" s="17">
        <f>CONCATENATE(A1964,"-",G1964)</f>
        <v/>
      </c>
      <c r="V1964" s="17">
        <f>IF(N1964="","",IF(N1964&lt;=30,"Fast (&lt;30m)",IF(N1964&lt;=45,"Moderate (30-45m)","Delayed (&gt;45m)")))</f>
        <v/>
      </c>
      <c r="W1964" s="17">
        <f>IF(AND(I1964&gt;600,P1964="Delivered"),"High Value Delivered","Standard")</f>
        <v/>
      </c>
      <c r="X1964" s="17">
        <f>IF(OR(N1964&gt;50,Q1964&lt;=2),"High Risk / Delayed","Normal")</f>
        <v/>
      </c>
      <c r="Y1964" s="17">
        <f>IF(NOT(P1964="Cancelled"),"Fulfilled","Cancelled")</f>
        <v/>
      </c>
      <c r="Z1964" s="17">
        <f>IFERROR(Q1964,0)</f>
        <v/>
      </c>
    </row>
    <row r="1965">
      <c r="A1965" s="25" t="inlineStr">
        <is>
          <t>ORD2964</t>
        </is>
      </c>
      <c r="B1965" s="25" t="inlineStr">
        <is>
          <t>2025-02-14</t>
        </is>
      </c>
      <c r="C1965" s="25" t="inlineStr">
        <is>
          <t>13:10:37</t>
        </is>
      </c>
      <c r="D1965" s="25" t="n">
        <v>1112</v>
      </c>
      <c r="E1965" s="25" t="n">
        <v>103</v>
      </c>
      <c r="F1965" s="25" t="n">
        <v>202</v>
      </c>
      <c r="G1965" s="25" t="inlineStr">
        <is>
          <t>Mumbai</t>
        </is>
      </c>
      <c r="H1965" s="25" t="inlineStr">
        <is>
          <t>Italian</t>
        </is>
      </c>
      <c r="I1965" s="26" t="n">
        <v>827</v>
      </c>
      <c r="J1965" s="26" t="n">
        <v>20.62</v>
      </c>
      <c r="K1965" s="26" t="n">
        <v>37</v>
      </c>
      <c r="L1965" s="27" t="n">
        <v>0.18</v>
      </c>
      <c r="M1965" s="26" t="n">
        <v>158.11</v>
      </c>
      <c r="N1965" s="28" t="n">
        <v>5.4</v>
      </c>
      <c r="O1965" s="28" t="n">
        <v>37.4</v>
      </c>
      <c r="P1965" s="25" t="inlineStr">
        <is>
          <t>Credit Card</t>
        </is>
      </c>
      <c r="Q1965" s="25" t="inlineStr">
        <is>
          <t>Delivered</t>
        </is>
      </c>
      <c r="R1965" s="25" t="n">
        <v>4</v>
      </c>
      <c r="S1965" s="25">
        <f>TEXT(B1965,"yyyy-mm")</f>
        <v/>
      </c>
      <c r="T1965" s="25">
        <f>VLOOKUP(D1965,Customers!A:D,4,FALSE)</f>
        <v/>
      </c>
      <c r="U1965" s="25">
        <f>CONCATENATE(A1965,"-",G1965)</f>
        <v/>
      </c>
      <c r="V1965" s="25">
        <f>IF(N1965="","",IF(N1965&lt;=30,"Fast (&lt;30m)",IF(N1965&lt;=45,"Moderate (30-45m)","Delayed (&gt;45m)")))</f>
        <v/>
      </c>
      <c r="W1965" s="25">
        <f>IF(AND(I1965&gt;600,P1965="Delivered"),"High Value Delivered","Standard")</f>
        <v/>
      </c>
      <c r="X1965" s="25">
        <f>IF(OR(N1965&gt;50,Q1965&lt;=2),"High Risk / Delayed","Normal")</f>
        <v/>
      </c>
      <c r="Y1965" s="25">
        <f>IF(NOT(P1965="Cancelled"),"Fulfilled","Cancelled")</f>
        <v/>
      </c>
      <c r="Z1965" s="25">
        <f>IFERROR(Q1965,0)</f>
        <v/>
      </c>
    </row>
    <row r="1966">
      <c r="A1966" s="17" t="inlineStr">
        <is>
          <t>ORD2965</t>
        </is>
      </c>
      <c r="B1966" s="17" t="inlineStr">
        <is>
          <t>2025-12-10</t>
        </is>
      </c>
      <c r="C1966" s="17" t="inlineStr">
        <is>
          <t>20:51:56</t>
        </is>
      </c>
      <c r="D1966" s="17" t="n">
        <v>1059</v>
      </c>
      <c r="E1966" s="17" t="n">
        <v>102</v>
      </c>
      <c r="F1966" s="17" t="n">
        <v>216</v>
      </c>
      <c r="G1966" s="17" t="inlineStr">
        <is>
          <t>Hyderabad</t>
        </is>
      </c>
      <c r="H1966" s="17" t="inlineStr">
        <is>
          <t>Biryani</t>
        </is>
      </c>
      <c r="I1966" s="22" t="n">
        <v>403</v>
      </c>
      <c r="J1966" s="22" t="n">
        <v>28.52</v>
      </c>
      <c r="K1966" s="22" t="n">
        <v>30</v>
      </c>
      <c r="L1966" s="23" t="n">
        <v>0.22</v>
      </c>
      <c r="M1966" s="22" t="n">
        <v>96.16</v>
      </c>
      <c r="N1966" s="24" t="n">
        <v>4</v>
      </c>
      <c r="O1966" s="24" t="n">
        <v>30.2</v>
      </c>
      <c r="P1966" s="17" t="inlineStr">
        <is>
          <t>Debit Card</t>
        </is>
      </c>
      <c r="Q1966" s="17" t="inlineStr">
        <is>
          <t>Delivered</t>
        </is>
      </c>
      <c r="R1966" s="17" t="n">
        <v>4</v>
      </c>
      <c r="S1966" s="17">
        <f>TEXT(B1966,"yyyy-mm")</f>
        <v/>
      </c>
      <c r="T1966" s="17">
        <f>VLOOKUP(D1966,Customers!A:D,4,FALSE)</f>
        <v/>
      </c>
      <c r="U1966" s="17">
        <f>CONCATENATE(A1966,"-",G1966)</f>
        <v/>
      </c>
      <c r="V1966" s="17">
        <f>IF(N1966="","",IF(N1966&lt;=30,"Fast (&lt;30m)",IF(N1966&lt;=45,"Moderate (30-45m)","Delayed (&gt;45m)")))</f>
        <v/>
      </c>
      <c r="W1966" s="17">
        <f>IF(AND(I1966&gt;600,P1966="Delivered"),"High Value Delivered","Standard")</f>
        <v/>
      </c>
      <c r="X1966" s="17">
        <f>IF(OR(N1966&gt;50,Q1966&lt;=2),"High Risk / Delayed","Normal")</f>
        <v/>
      </c>
      <c r="Y1966" s="17">
        <f>IF(NOT(P1966="Cancelled"),"Fulfilled","Cancelled")</f>
        <v/>
      </c>
      <c r="Z1966" s="17">
        <f>IFERROR(Q1966,0)</f>
        <v/>
      </c>
    </row>
    <row r="1967">
      <c r="A1967" s="25" t="inlineStr">
        <is>
          <t>ORD2966</t>
        </is>
      </c>
      <c r="B1967" s="25" t="inlineStr">
        <is>
          <t>2025-05-11</t>
        </is>
      </c>
      <c r="C1967" s="25" t="inlineStr">
        <is>
          <t>19:29:29</t>
        </is>
      </c>
      <c r="D1967" s="25" t="n">
        <v>1191</v>
      </c>
      <c r="E1967" s="25" t="n">
        <v>112</v>
      </c>
      <c r="F1967" s="25" t="n">
        <v>212</v>
      </c>
      <c r="G1967" s="25" t="inlineStr">
        <is>
          <t>Delhi NCR</t>
        </is>
      </c>
      <c r="H1967" s="25" t="inlineStr">
        <is>
          <t>North Indian</t>
        </is>
      </c>
      <c r="I1967" s="26" t="n">
        <v>245</v>
      </c>
      <c r="J1967" s="26" t="n">
        <v>2.47</v>
      </c>
      <c r="K1967" s="26" t="n">
        <v>25.5</v>
      </c>
      <c r="L1967" s="27" t="n">
        <v>0.22</v>
      </c>
      <c r="M1967" s="26" t="n">
        <v>60.28</v>
      </c>
      <c r="N1967" s="28" t="n">
        <v>3.1</v>
      </c>
      <c r="O1967" s="28" t="n">
        <v>37.1</v>
      </c>
      <c r="P1967" s="25" t="inlineStr">
        <is>
          <t>UPI</t>
        </is>
      </c>
      <c r="Q1967" s="25" t="inlineStr">
        <is>
          <t>Delivered</t>
        </is>
      </c>
      <c r="R1967" s="25" t="n">
        <v>3</v>
      </c>
      <c r="S1967" s="25">
        <f>TEXT(B1967,"yyyy-mm")</f>
        <v/>
      </c>
      <c r="T1967" s="25">
        <f>VLOOKUP(D1967,Customers!A:D,4,FALSE)</f>
        <v/>
      </c>
      <c r="U1967" s="25">
        <f>CONCATENATE(A1967,"-",G1967)</f>
        <v/>
      </c>
      <c r="V1967" s="25">
        <f>IF(N1967="","",IF(N1967&lt;=30,"Fast (&lt;30m)",IF(N1967&lt;=45,"Moderate (30-45m)","Delayed (&gt;45m)")))</f>
        <v/>
      </c>
      <c r="W1967" s="25">
        <f>IF(AND(I1967&gt;600,P1967="Delivered"),"High Value Delivered","Standard")</f>
        <v/>
      </c>
      <c r="X1967" s="25">
        <f>IF(OR(N1967&gt;50,Q1967&lt;=2),"High Risk / Delayed","Normal")</f>
        <v/>
      </c>
      <c r="Y1967" s="25">
        <f>IF(NOT(P1967="Cancelled"),"Fulfilled","Cancelled")</f>
        <v/>
      </c>
      <c r="Z1967" s="25">
        <f>IFERROR(Q1967,0)</f>
        <v/>
      </c>
    </row>
    <row r="1968">
      <c r="A1968" s="17" t="inlineStr">
        <is>
          <t>ORD2967</t>
        </is>
      </c>
      <c r="B1968" s="17" t="inlineStr">
        <is>
          <t>2025-03-24</t>
        </is>
      </c>
      <c r="C1968" s="17" t="inlineStr">
        <is>
          <t>20:14:45</t>
        </is>
      </c>
      <c r="D1968" s="17" t="n">
        <v>1264</v>
      </c>
      <c r="E1968" s="17" t="n">
        <v>115</v>
      </c>
      <c r="F1968" s="17" t="n">
        <v>203</v>
      </c>
      <c r="G1968" s="17" t="inlineStr">
        <is>
          <t>Bangalore</t>
        </is>
      </c>
      <c r="H1968" s="17" t="inlineStr">
        <is>
          <t>Italian</t>
        </is>
      </c>
      <c r="I1968" s="22" t="n">
        <v>783</v>
      </c>
      <c r="J1968" s="22" t="n">
        <v>0</v>
      </c>
      <c r="K1968" s="22" t="n">
        <v>27.5</v>
      </c>
      <c r="L1968" s="23" t="n">
        <v>0.2</v>
      </c>
      <c r="M1968" s="22" t="n">
        <v>163.48</v>
      </c>
      <c r="N1968" s="24" t="n">
        <v>3.5</v>
      </c>
      <c r="O1968" s="24" t="n">
        <v>34.3</v>
      </c>
      <c r="P1968" s="17" t="inlineStr">
        <is>
          <t>Credit Card</t>
        </is>
      </c>
      <c r="Q1968" s="17" t="inlineStr">
        <is>
          <t>Delivered</t>
        </is>
      </c>
      <c r="R1968" s="17" t="n">
        <v>4</v>
      </c>
      <c r="S1968" s="17">
        <f>TEXT(B1968,"yyyy-mm")</f>
        <v/>
      </c>
      <c r="T1968" s="17">
        <f>VLOOKUP(D1968,Customers!A:D,4,FALSE)</f>
        <v/>
      </c>
      <c r="U1968" s="17">
        <f>CONCATENATE(A1968,"-",G1968)</f>
        <v/>
      </c>
      <c r="V1968" s="17">
        <f>IF(N1968="","",IF(N1968&lt;=30,"Fast (&lt;30m)",IF(N1968&lt;=45,"Moderate (30-45m)","Delayed (&gt;45m)")))</f>
        <v/>
      </c>
      <c r="W1968" s="17">
        <f>IF(AND(I1968&gt;600,P1968="Delivered"),"High Value Delivered","Standard")</f>
        <v/>
      </c>
      <c r="X1968" s="17">
        <f>IF(OR(N1968&gt;50,Q1968&lt;=2),"High Risk / Delayed","Normal")</f>
        <v/>
      </c>
      <c r="Y1968" s="17">
        <f>IF(NOT(P1968="Cancelled"),"Fulfilled","Cancelled")</f>
        <v/>
      </c>
      <c r="Z1968" s="17">
        <f>IFERROR(Q1968,0)</f>
        <v/>
      </c>
    </row>
    <row r="1969">
      <c r="A1969" s="25" t="inlineStr">
        <is>
          <t>ORD2968</t>
        </is>
      </c>
      <c r="B1969" s="25" t="inlineStr">
        <is>
          <t>2025-02-04</t>
        </is>
      </c>
      <c r="C1969" s="25" t="inlineStr">
        <is>
          <t>12:22:58</t>
        </is>
      </c>
      <c r="D1969" s="25" t="n">
        <v>1135</v>
      </c>
      <c r="E1969" s="25" t="n">
        <v>117</v>
      </c>
      <c r="F1969" s="25" t="n">
        <v>222</v>
      </c>
      <c r="G1969" s="25" t="inlineStr">
        <is>
          <t>Mumbai</t>
        </is>
      </c>
      <c r="H1969" s="25" t="inlineStr">
        <is>
          <t>Chinese</t>
        </is>
      </c>
      <c r="I1969" s="26" t="n">
        <v>1058</v>
      </c>
      <c r="J1969" s="26" t="n">
        <v>118.97</v>
      </c>
      <c r="K1969" s="26" t="n">
        <v>0</v>
      </c>
      <c r="L1969" s="27" t="n">
        <v>0.2</v>
      </c>
      <c r="M1969" s="26" t="n">
        <v>211.6</v>
      </c>
      <c r="N1969" s="28" t="n">
        <v>3.5</v>
      </c>
      <c r="O1969" s="28" t="n">
        <v/>
      </c>
      <c r="P1969" s="25" t="inlineStr">
        <is>
          <t>Cash on Delivery</t>
        </is>
      </c>
      <c r="Q1969" s="25" t="inlineStr">
        <is>
          <t>Cancelled</t>
        </is>
      </c>
      <c r="R1969" s="25" t="n">
        <v/>
      </c>
      <c r="S1969" s="25">
        <f>TEXT(B1969,"yyyy-mm")</f>
        <v/>
      </c>
      <c r="T1969" s="25">
        <f>VLOOKUP(D1969,Customers!A:D,4,FALSE)</f>
        <v/>
      </c>
      <c r="U1969" s="25">
        <f>CONCATENATE(A1969,"-",G1969)</f>
        <v/>
      </c>
      <c r="V1969" s="25">
        <f>IF(N1969="","",IF(N1969&lt;=30,"Fast (&lt;30m)",IF(N1969&lt;=45,"Moderate (30-45m)","Delayed (&gt;45m)")))</f>
        <v/>
      </c>
      <c r="W1969" s="25">
        <f>IF(AND(I1969&gt;600,P1969="Delivered"),"High Value Delivered","Standard")</f>
        <v/>
      </c>
      <c r="X1969" s="25">
        <f>IF(OR(N1969&gt;50,Q1969&lt;=2),"High Risk / Delayed","Normal")</f>
        <v/>
      </c>
      <c r="Y1969" s="25">
        <f>IF(NOT(P1969="Cancelled"),"Fulfilled","Cancelled")</f>
        <v/>
      </c>
      <c r="Z1969" s="25">
        <f>IFERROR(Q1969,0)</f>
        <v/>
      </c>
    </row>
    <row r="1970">
      <c r="A1970" s="17" t="inlineStr">
        <is>
          <t>ORD2969</t>
        </is>
      </c>
      <c r="B1970" s="17" t="inlineStr">
        <is>
          <t>2025-08-11</t>
        </is>
      </c>
      <c r="C1970" s="17" t="inlineStr">
        <is>
          <t>20:06:49</t>
        </is>
      </c>
      <c r="D1970" s="17" t="n">
        <v>1286</v>
      </c>
      <c r="E1970" s="17" t="n">
        <v>104</v>
      </c>
      <c r="F1970" s="17" t="n">
        <v>230</v>
      </c>
      <c r="G1970" s="17" t="inlineStr">
        <is>
          <t>Delhi NCR</t>
        </is>
      </c>
      <c r="H1970" s="17" t="inlineStr">
        <is>
          <t>Fast Food</t>
        </is>
      </c>
      <c r="I1970" s="22" t="n">
        <v>334</v>
      </c>
      <c r="J1970" s="22" t="n">
        <v>5.65</v>
      </c>
      <c r="K1970" s="22" t="n">
        <v>27.5</v>
      </c>
      <c r="L1970" s="23" t="n">
        <v>0.18</v>
      </c>
      <c r="M1970" s="22" t="n">
        <v>67</v>
      </c>
      <c r="N1970" s="24" t="n">
        <v>3.5</v>
      </c>
      <c r="O1970" s="24" t="n">
        <v>33</v>
      </c>
      <c r="P1970" s="17" t="inlineStr">
        <is>
          <t>Digital Wallet</t>
        </is>
      </c>
      <c r="Q1970" s="17" t="inlineStr">
        <is>
          <t>Delivered</t>
        </is>
      </c>
      <c r="R1970" s="17" t="n">
        <v>3</v>
      </c>
      <c r="S1970" s="17">
        <f>TEXT(B1970,"yyyy-mm")</f>
        <v/>
      </c>
      <c r="T1970" s="17">
        <f>VLOOKUP(D1970,Customers!A:D,4,FALSE)</f>
        <v/>
      </c>
      <c r="U1970" s="17">
        <f>CONCATENATE(A1970,"-",G1970)</f>
        <v/>
      </c>
      <c r="V1970" s="17">
        <f>IF(N1970="","",IF(N1970&lt;=30,"Fast (&lt;30m)",IF(N1970&lt;=45,"Moderate (30-45m)","Delayed (&gt;45m)")))</f>
        <v/>
      </c>
      <c r="W1970" s="17">
        <f>IF(AND(I1970&gt;600,P1970="Delivered"),"High Value Delivered","Standard")</f>
        <v/>
      </c>
      <c r="X1970" s="17">
        <f>IF(OR(N1970&gt;50,Q1970&lt;=2),"High Risk / Delayed","Normal")</f>
        <v/>
      </c>
      <c r="Y1970" s="17">
        <f>IF(NOT(P1970="Cancelled"),"Fulfilled","Cancelled")</f>
        <v/>
      </c>
      <c r="Z1970" s="17">
        <f>IFERROR(Q1970,0)</f>
        <v/>
      </c>
    </row>
    <row r="1971">
      <c r="A1971" s="25" t="inlineStr">
        <is>
          <t>ORD2970</t>
        </is>
      </c>
      <c r="B1971" s="25" t="inlineStr">
        <is>
          <t>2025-12-20</t>
        </is>
      </c>
      <c r="C1971" s="25" t="inlineStr">
        <is>
          <t>21:30:10</t>
        </is>
      </c>
      <c r="D1971" s="25" t="n">
        <v>1276</v>
      </c>
      <c r="E1971" s="25" t="n">
        <v>111</v>
      </c>
      <c r="F1971" s="25" t="n">
        <v>201</v>
      </c>
      <c r="G1971" s="25" t="inlineStr">
        <is>
          <t>Bangalore</t>
        </is>
      </c>
      <c r="H1971" s="25" t="inlineStr">
        <is>
          <t>South Indian</t>
        </is>
      </c>
      <c r="I1971" s="26" t="n">
        <v>940</v>
      </c>
      <c r="J1971" s="26" t="n">
        <v>28.71</v>
      </c>
      <c r="K1971" s="26" t="n">
        <v>25</v>
      </c>
      <c r="L1971" s="27" t="n">
        <v>0.15</v>
      </c>
      <c r="M1971" s="26" t="n">
        <v>147.25</v>
      </c>
      <c r="N1971" s="28" t="n">
        <v>1.4</v>
      </c>
      <c r="O1971" s="28" t="n">
        <v>23</v>
      </c>
      <c r="P1971" s="25" t="inlineStr">
        <is>
          <t>UPI</t>
        </is>
      </c>
      <c r="Q1971" s="25" t="inlineStr">
        <is>
          <t>Delivered</t>
        </is>
      </c>
      <c r="R1971" s="25" t="n">
        <v>5</v>
      </c>
      <c r="S1971" s="25">
        <f>TEXT(B1971,"yyyy-mm")</f>
        <v/>
      </c>
      <c r="T1971" s="25">
        <f>VLOOKUP(D1971,Customers!A:D,4,FALSE)</f>
        <v/>
      </c>
      <c r="U1971" s="25">
        <f>CONCATENATE(A1971,"-",G1971)</f>
        <v/>
      </c>
      <c r="V1971" s="25">
        <f>IF(N1971="","",IF(N1971&lt;=30,"Fast (&lt;30m)",IF(N1971&lt;=45,"Moderate (30-45m)","Delayed (&gt;45m)")))</f>
        <v/>
      </c>
      <c r="W1971" s="25">
        <f>IF(AND(I1971&gt;600,P1971="Delivered"),"High Value Delivered","Standard")</f>
        <v/>
      </c>
      <c r="X1971" s="25">
        <f>IF(OR(N1971&gt;50,Q1971&lt;=2),"High Risk / Delayed","Normal")</f>
        <v/>
      </c>
      <c r="Y1971" s="25">
        <f>IF(NOT(P1971="Cancelled"),"Fulfilled","Cancelled")</f>
        <v/>
      </c>
      <c r="Z1971" s="25">
        <f>IFERROR(Q1971,0)</f>
        <v/>
      </c>
    </row>
    <row r="1972">
      <c r="A1972" s="17" t="inlineStr">
        <is>
          <t>ORD2971</t>
        </is>
      </c>
      <c r="B1972" s="17" t="inlineStr">
        <is>
          <t>2025-10-01</t>
        </is>
      </c>
      <c r="C1972" s="17" t="inlineStr">
        <is>
          <t>12:48:51</t>
        </is>
      </c>
      <c r="D1972" s="17" t="n">
        <v>1229</v>
      </c>
      <c r="E1972" s="17" t="n">
        <v>103</v>
      </c>
      <c r="F1972" s="17" t="n">
        <v>206</v>
      </c>
      <c r="G1972" s="17" t="inlineStr">
        <is>
          <t>Mumbai</t>
        </is>
      </c>
      <c r="H1972" s="17" t="inlineStr">
        <is>
          <t>Italian</t>
        </is>
      </c>
      <c r="I1972" s="22" t="n">
        <v>1190</v>
      </c>
      <c r="J1972" s="22" t="n">
        <v>221.11</v>
      </c>
      <c r="K1972" s="22" t="n">
        <v>0</v>
      </c>
      <c r="L1972" s="23" t="n">
        <v>0.18</v>
      </c>
      <c r="M1972" s="22" t="n">
        <v>214.2</v>
      </c>
      <c r="N1972" s="24" t="n">
        <v>3</v>
      </c>
      <c r="O1972" s="24" t="n">
        <v>28.1</v>
      </c>
      <c r="P1972" s="17" t="inlineStr">
        <is>
          <t>Cash on Delivery</t>
        </is>
      </c>
      <c r="Q1972" s="17" t="inlineStr">
        <is>
          <t>Delivered</t>
        </is>
      </c>
      <c r="R1972" s="17" t="n">
        <v>2</v>
      </c>
      <c r="S1972" s="17">
        <f>TEXT(B1972,"yyyy-mm")</f>
        <v/>
      </c>
      <c r="T1972" s="17">
        <f>VLOOKUP(D1972,Customers!A:D,4,FALSE)</f>
        <v/>
      </c>
      <c r="U1972" s="17">
        <f>CONCATENATE(A1972,"-",G1972)</f>
        <v/>
      </c>
      <c r="V1972" s="17">
        <f>IF(N1972="","",IF(N1972&lt;=30,"Fast (&lt;30m)",IF(N1972&lt;=45,"Moderate (30-45m)","Delayed (&gt;45m)")))</f>
        <v/>
      </c>
      <c r="W1972" s="17">
        <f>IF(AND(I1972&gt;600,P1972="Delivered"),"High Value Delivered","Standard")</f>
        <v/>
      </c>
      <c r="X1972" s="17">
        <f>IF(OR(N1972&gt;50,Q1972&lt;=2),"High Risk / Delayed","Normal")</f>
        <v/>
      </c>
      <c r="Y1972" s="17">
        <f>IF(NOT(P1972="Cancelled"),"Fulfilled","Cancelled")</f>
        <v/>
      </c>
      <c r="Z1972" s="17">
        <f>IFERROR(Q1972,0)</f>
        <v/>
      </c>
    </row>
    <row r="1973">
      <c r="A1973" s="25" t="inlineStr">
        <is>
          <t>ORD2972</t>
        </is>
      </c>
      <c r="B1973" s="25" t="inlineStr">
        <is>
          <t>2025-09-18</t>
        </is>
      </c>
      <c r="C1973" s="25" t="inlineStr">
        <is>
          <t>13:17:21</t>
        </is>
      </c>
      <c r="D1973" s="25" t="n">
        <v>1013</v>
      </c>
      <c r="E1973" s="25" t="n">
        <v>101</v>
      </c>
      <c r="F1973" s="25" t="n">
        <v>210</v>
      </c>
      <c r="G1973" s="25" t="inlineStr">
        <is>
          <t>Bangalore</t>
        </is>
      </c>
      <c r="H1973" s="25" t="inlineStr">
        <is>
          <t>North Indian</t>
        </is>
      </c>
      <c r="I1973" s="26" t="n">
        <v>538</v>
      </c>
      <c r="J1973" s="26" t="n">
        <v>59.52</v>
      </c>
      <c r="K1973" s="26" t="n">
        <v>29</v>
      </c>
      <c r="L1973" s="27" t="n">
        <v>0.2</v>
      </c>
      <c r="M1973" s="26" t="n">
        <v>114.85</v>
      </c>
      <c r="N1973" s="28" t="n">
        <v>3.8</v>
      </c>
      <c r="O1973" s="28" t="n">
        <v>42.7</v>
      </c>
      <c r="P1973" s="25" t="inlineStr">
        <is>
          <t>Digital Wallet</t>
        </is>
      </c>
      <c r="Q1973" s="25" t="inlineStr">
        <is>
          <t>Delivered</t>
        </is>
      </c>
      <c r="R1973" s="25" t="n">
        <v>4</v>
      </c>
      <c r="S1973" s="25">
        <f>TEXT(B1973,"yyyy-mm")</f>
        <v/>
      </c>
      <c r="T1973" s="25">
        <f>VLOOKUP(D1973,Customers!A:D,4,FALSE)</f>
        <v/>
      </c>
      <c r="U1973" s="25">
        <f>CONCATENATE(A1973,"-",G1973)</f>
        <v/>
      </c>
      <c r="V1973" s="25">
        <f>IF(N1973="","",IF(N1973&lt;=30,"Fast (&lt;30m)",IF(N1973&lt;=45,"Moderate (30-45m)","Delayed (&gt;45m)")))</f>
        <v/>
      </c>
      <c r="W1973" s="25">
        <f>IF(AND(I1973&gt;600,P1973="Delivered"),"High Value Delivered","Standard")</f>
        <v/>
      </c>
      <c r="X1973" s="25">
        <f>IF(OR(N1973&gt;50,Q1973&lt;=2),"High Risk / Delayed","Normal")</f>
        <v/>
      </c>
      <c r="Y1973" s="25">
        <f>IF(NOT(P1973="Cancelled"),"Fulfilled","Cancelled")</f>
        <v/>
      </c>
      <c r="Z1973" s="25">
        <f>IFERROR(Q1973,0)</f>
        <v/>
      </c>
    </row>
    <row r="1974">
      <c r="A1974" s="17" t="inlineStr">
        <is>
          <t>ORD2973</t>
        </is>
      </c>
      <c r="B1974" s="17" t="inlineStr">
        <is>
          <t>2025-09-02</t>
        </is>
      </c>
      <c r="C1974" s="17" t="inlineStr">
        <is>
          <t>20:10:00</t>
        </is>
      </c>
      <c r="D1974" s="17" t="n">
        <v>1239</v>
      </c>
      <c r="E1974" s="17" t="n">
        <v>101</v>
      </c>
      <c r="F1974" s="17" t="n">
        <v>213</v>
      </c>
      <c r="G1974" s="17" t="inlineStr">
        <is>
          <t>Bangalore</t>
        </is>
      </c>
      <c r="H1974" s="17" t="inlineStr">
        <is>
          <t>North Indian</t>
        </is>
      </c>
      <c r="I1974" s="22" t="n">
        <v>275</v>
      </c>
      <c r="J1974" s="22" t="n">
        <v>17.17</v>
      </c>
      <c r="K1974" s="22" t="n">
        <v>28</v>
      </c>
      <c r="L1974" s="23" t="n">
        <v>0.2</v>
      </c>
      <c r="M1974" s="22" t="n">
        <v>62</v>
      </c>
      <c r="N1974" s="24" t="n">
        <v>3.6</v>
      </c>
      <c r="O1974" s="24" t="n">
        <v>38</v>
      </c>
      <c r="P1974" s="17" t="inlineStr">
        <is>
          <t>Debit Card</t>
        </is>
      </c>
      <c r="Q1974" s="17" t="inlineStr">
        <is>
          <t>Delivered</t>
        </is>
      </c>
      <c r="R1974" s="17" t="n">
        <v>5</v>
      </c>
      <c r="S1974" s="17">
        <f>TEXT(B1974,"yyyy-mm")</f>
        <v/>
      </c>
      <c r="T1974" s="17">
        <f>VLOOKUP(D1974,Customers!A:D,4,FALSE)</f>
        <v/>
      </c>
      <c r="U1974" s="17">
        <f>CONCATENATE(A1974,"-",G1974)</f>
        <v/>
      </c>
      <c r="V1974" s="17">
        <f>IF(N1974="","",IF(N1974&lt;=30,"Fast (&lt;30m)",IF(N1974&lt;=45,"Moderate (30-45m)","Delayed (&gt;45m)")))</f>
        <v/>
      </c>
      <c r="W1974" s="17">
        <f>IF(AND(I1974&gt;600,P1974="Delivered"),"High Value Delivered","Standard")</f>
        <v/>
      </c>
      <c r="X1974" s="17">
        <f>IF(OR(N1974&gt;50,Q1974&lt;=2),"High Risk / Delayed","Normal")</f>
        <v/>
      </c>
      <c r="Y1974" s="17">
        <f>IF(NOT(P1974="Cancelled"),"Fulfilled","Cancelled")</f>
        <v/>
      </c>
      <c r="Z1974" s="17">
        <f>IFERROR(Q1974,0)</f>
        <v/>
      </c>
    </row>
    <row r="1975">
      <c r="A1975" s="25" t="inlineStr">
        <is>
          <t>ORD2974</t>
        </is>
      </c>
      <c r="B1975" s="25" t="inlineStr">
        <is>
          <t>2025-12-06</t>
        </is>
      </c>
      <c r="C1975" s="25" t="inlineStr">
        <is>
          <t>20:09:03</t>
        </is>
      </c>
      <c r="D1975" s="25" t="n">
        <v>1010</v>
      </c>
      <c r="E1975" s="25" t="n">
        <v>114</v>
      </c>
      <c r="F1975" s="25" t="n">
        <v>225</v>
      </c>
      <c r="G1975" s="25" t="inlineStr">
        <is>
          <t>Hyderabad</t>
        </is>
      </c>
      <c r="H1975" s="25" t="inlineStr">
        <is>
          <t>Biryani</t>
        </is>
      </c>
      <c r="I1975" s="26" t="n">
        <v>478</v>
      </c>
      <c r="J1975" s="26" t="n">
        <v>26.87</v>
      </c>
      <c r="K1975" s="26" t="n">
        <v>76</v>
      </c>
      <c r="L1975" s="27" t="n">
        <v>0.22</v>
      </c>
      <c r="M1975" s="26" t="n">
        <v>124.16</v>
      </c>
      <c r="N1975" s="28" t="n">
        <v>13.2</v>
      </c>
      <c r="O1975" s="28" t="n">
        <v>68.7</v>
      </c>
      <c r="P1975" s="25" t="inlineStr">
        <is>
          <t>Debit Card</t>
        </is>
      </c>
      <c r="Q1975" s="25" t="inlineStr">
        <is>
          <t>Delivered</t>
        </is>
      </c>
      <c r="R1975" s="25" t="n">
        <v>1</v>
      </c>
      <c r="S1975" s="25">
        <f>TEXT(B1975,"yyyy-mm")</f>
        <v/>
      </c>
      <c r="T1975" s="25">
        <f>VLOOKUP(D1975,Customers!A:D,4,FALSE)</f>
        <v/>
      </c>
      <c r="U1975" s="25">
        <f>CONCATENATE(A1975,"-",G1975)</f>
        <v/>
      </c>
      <c r="V1975" s="25">
        <f>IF(N1975="","",IF(N1975&lt;=30,"Fast (&lt;30m)",IF(N1975&lt;=45,"Moderate (30-45m)","Delayed (&gt;45m)")))</f>
        <v/>
      </c>
      <c r="W1975" s="25">
        <f>IF(AND(I1975&gt;600,P1975="Delivered"),"High Value Delivered","Standard")</f>
        <v/>
      </c>
      <c r="X1975" s="25">
        <f>IF(OR(N1975&gt;50,Q1975&lt;=2),"High Risk / Delayed","Normal")</f>
        <v/>
      </c>
      <c r="Y1975" s="25">
        <f>IF(NOT(P1975="Cancelled"),"Fulfilled","Cancelled")</f>
        <v/>
      </c>
      <c r="Z1975" s="25">
        <f>IFERROR(Q1975,0)</f>
        <v/>
      </c>
    </row>
    <row r="1976">
      <c r="A1976" s="17" t="inlineStr">
        <is>
          <t>ORD2975</t>
        </is>
      </c>
      <c r="B1976" s="17" t="inlineStr">
        <is>
          <t>2025-02-03</t>
        </is>
      </c>
      <c r="C1976" s="17" t="inlineStr">
        <is>
          <t>21:26:23</t>
        </is>
      </c>
      <c r="D1976" s="17" t="n">
        <v>1075</v>
      </c>
      <c r="E1976" s="17" t="n">
        <v>104</v>
      </c>
      <c r="F1976" s="17" t="n">
        <v>228</v>
      </c>
      <c r="G1976" s="17" t="inlineStr">
        <is>
          <t>Delhi NCR</t>
        </is>
      </c>
      <c r="H1976" s="17" t="inlineStr">
        <is>
          <t>Fast Food</t>
        </is>
      </c>
      <c r="I1976" s="22" t="n">
        <v>811</v>
      </c>
      <c r="J1976" s="22" t="n">
        <v>74.75</v>
      </c>
      <c r="K1976" s="22" t="n">
        <v>28.5</v>
      </c>
      <c r="L1976" s="23" t="n">
        <v>0.18</v>
      </c>
      <c r="M1976" s="22" t="n">
        <v>153.1</v>
      </c>
      <c r="N1976" s="24" t="n">
        <v>3.7</v>
      </c>
      <c r="O1976" s="24" t="n">
        <v>30.7</v>
      </c>
      <c r="P1976" s="17" t="inlineStr">
        <is>
          <t>UPI</t>
        </is>
      </c>
      <c r="Q1976" s="17" t="inlineStr">
        <is>
          <t>Delivered</t>
        </is>
      </c>
      <c r="R1976" s="17" t="n">
        <v>4</v>
      </c>
      <c r="S1976" s="17">
        <f>TEXT(B1976,"yyyy-mm")</f>
        <v/>
      </c>
      <c r="T1976" s="17">
        <f>VLOOKUP(D1976,Customers!A:D,4,FALSE)</f>
        <v/>
      </c>
      <c r="U1976" s="17">
        <f>CONCATENATE(A1976,"-",G1976)</f>
        <v/>
      </c>
      <c r="V1976" s="17">
        <f>IF(N1976="","",IF(N1976&lt;=30,"Fast (&lt;30m)",IF(N1976&lt;=45,"Moderate (30-45m)","Delayed (&gt;45m)")))</f>
        <v/>
      </c>
      <c r="W1976" s="17">
        <f>IF(AND(I1976&gt;600,P1976="Delivered"),"High Value Delivered","Standard")</f>
        <v/>
      </c>
      <c r="X1976" s="17">
        <f>IF(OR(N1976&gt;50,Q1976&lt;=2),"High Risk / Delayed","Normal")</f>
        <v/>
      </c>
      <c r="Y1976" s="17">
        <f>IF(NOT(P1976="Cancelled"),"Fulfilled","Cancelled")</f>
        <v/>
      </c>
      <c r="Z1976" s="17">
        <f>IFERROR(Q1976,0)</f>
        <v/>
      </c>
    </row>
    <row r="1977">
      <c r="A1977" s="25" t="inlineStr">
        <is>
          <t>ORD2976</t>
        </is>
      </c>
      <c r="B1977" s="25" t="inlineStr">
        <is>
          <t>2025-01-19</t>
        </is>
      </c>
      <c r="C1977" s="25" t="inlineStr">
        <is>
          <t>08:40:13</t>
        </is>
      </c>
      <c r="D1977" s="25" t="n">
        <v>1245</v>
      </c>
      <c r="E1977" s="25" t="n">
        <v>113</v>
      </c>
      <c r="F1977" s="25" t="n">
        <v>202</v>
      </c>
      <c r="G1977" s="25" t="inlineStr">
        <is>
          <t>Mumbai</t>
        </is>
      </c>
      <c r="H1977" s="25" t="inlineStr">
        <is>
          <t>Fast Food</t>
        </is>
      </c>
      <c r="I1977" s="26" t="n">
        <v>271</v>
      </c>
      <c r="J1977" s="26" t="n">
        <v>0</v>
      </c>
      <c r="K1977" s="26" t="n">
        <v>33</v>
      </c>
      <c r="L1977" s="27" t="n">
        <v>0.18</v>
      </c>
      <c r="M1977" s="26" t="n">
        <v>57.03</v>
      </c>
      <c r="N1977" s="28" t="n">
        <v>4.6</v>
      </c>
      <c r="O1977" s="28" t="n">
        <v>36.1</v>
      </c>
      <c r="P1977" s="25" t="inlineStr">
        <is>
          <t>Credit Card</t>
        </is>
      </c>
      <c r="Q1977" s="25" t="inlineStr">
        <is>
          <t>Delivered</t>
        </is>
      </c>
      <c r="R1977" s="25" t="n">
        <v>5</v>
      </c>
      <c r="S1977" s="25">
        <f>TEXT(B1977,"yyyy-mm")</f>
        <v/>
      </c>
      <c r="T1977" s="25">
        <f>VLOOKUP(D1977,Customers!A:D,4,FALSE)</f>
        <v/>
      </c>
      <c r="U1977" s="25">
        <f>CONCATENATE(A1977,"-",G1977)</f>
        <v/>
      </c>
      <c r="V1977" s="25">
        <f>IF(N1977="","",IF(N1977&lt;=30,"Fast (&lt;30m)",IF(N1977&lt;=45,"Moderate (30-45m)","Delayed (&gt;45m)")))</f>
        <v/>
      </c>
      <c r="W1977" s="25">
        <f>IF(AND(I1977&gt;600,P1977="Delivered"),"High Value Delivered","Standard")</f>
        <v/>
      </c>
      <c r="X1977" s="25">
        <f>IF(OR(N1977&gt;50,Q1977&lt;=2),"High Risk / Delayed","Normal")</f>
        <v/>
      </c>
      <c r="Y1977" s="25">
        <f>IF(NOT(P1977="Cancelled"),"Fulfilled","Cancelled")</f>
        <v/>
      </c>
      <c r="Z1977" s="25">
        <f>IFERROR(Q1977,0)</f>
        <v/>
      </c>
    </row>
    <row r="1978">
      <c r="A1978" s="17" t="inlineStr">
        <is>
          <t>ORD2977</t>
        </is>
      </c>
      <c r="B1978" s="17" t="inlineStr">
        <is>
          <t>2025-03-08</t>
        </is>
      </c>
      <c r="C1978" s="17" t="inlineStr">
        <is>
          <t>14:45:28</t>
        </is>
      </c>
      <c r="D1978" s="17" t="n">
        <v>1231</v>
      </c>
      <c r="E1978" s="17" t="n">
        <v>105</v>
      </c>
      <c r="F1978" s="17" t="n">
        <v>205</v>
      </c>
      <c r="G1978" s="17" t="inlineStr">
        <is>
          <t>Bangalore</t>
        </is>
      </c>
      <c r="H1978" s="17" t="inlineStr">
        <is>
          <t>Chinese</t>
        </is>
      </c>
      <c r="I1978" s="22" t="n">
        <v>729</v>
      </c>
      <c r="J1978" s="22" t="n">
        <v>54.78</v>
      </c>
      <c r="K1978" s="22" t="n">
        <v>27</v>
      </c>
      <c r="L1978" s="23" t="n">
        <v>0.2</v>
      </c>
      <c r="M1978" s="22" t="n">
        <v>152.55</v>
      </c>
      <c r="N1978" s="24" t="n">
        <v>3.4</v>
      </c>
      <c r="O1978" s="24" t="n">
        <v>35</v>
      </c>
      <c r="P1978" s="17" t="inlineStr">
        <is>
          <t>UPI</t>
        </is>
      </c>
      <c r="Q1978" s="17" t="inlineStr">
        <is>
          <t>Delivered</t>
        </is>
      </c>
      <c r="R1978" s="17" t="n">
        <v>3</v>
      </c>
      <c r="S1978" s="17">
        <f>TEXT(B1978,"yyyy-mm")</f>
        <v/>
      </c>
      <c r="T1978" s="17">
        <f>VLOOKUP(D1978,Customers!A:D,4,FALSE)</f>
        <v/>
      </c>
      <c r="U1978" s="17">
        <f>CONCATENATE(A1978,"-",G1978)</f>
        <v/>
      </c>
      <c r="V1978" s="17">
        <f>IF(N1978="","",IF(N1978&lt;=30,"Fast (&lt;30m)",IF(N1978&lt;=45,"Moderate (30-45m)","Delayed (&gt;45m)")))</f>
        <v/>
      </c>
      <c r="W1978" s="17">
        <f>IF(AND(I1978&gt;600,P1978="Delivered"),"High Value Delivered","Standard")</f>
        <v/>
      </c>
      <c r="X1978" s="17">
        <f>IF(OR(N1978&gt;50,Q1978&lt;=2),"High Risk / Delayed","Normal")</f>
        <v/>
      </c>
      <c r="Y1978" s="17">
        <f>IF(NOT(P1978="Cancelled"),"Fulfilled","Cancelled")</f>
        <v/>
      </c>
      <c r="Z1978" s="17">
        <f>IFERROR(Q1978,0)</f>
        <v/>
      </c>
    </row>
    <row r="1979">
      <c r="A1979" s="25" t="inlineStr">
        <is>
          <t>ORD2978</t>
        </is>
      </c>
      <c r="B1979" s="25" t="inlineStr">
        <is>
          <t>2025-04-10</t>
        </is>
      </c>
      <c r="C1979" s="25" t="inlineStr">
        <is>
          <t>06:02:57</t>
        </is>
      </c>
      <c r="D1979" s="25" t="n">
        <v>1248</v>
      </c>
      <c r="E1979" s="25" t="n">
        <v>108</v>
      </c>
      <c r="F1979" s="25" t="n">
        <v>219</v>
      </c>
      <c r="G1979" s="25" t="inlineStr">
        <is>
          <t>Delhi NCR</t>
        </is>
      </c>
      <c r="H1979" s="25" t="inlineStr">
        <is>
          <t>Fast Food</t>
        </is>
      </c>
      <c r="I1979" s="26" t="n">
        <v>581</v>
      </c>
      <c r="J1979" s="26" t="n">
        <v>63.53</v>
      </c>
      <c r="K1979" s="26" t="n">
        <v>0</v>
      </c>
      <c r="L1979" s="27" t="n">
        <v>0.18</v>
      </c>
      <c r="M1979" s="26" t="n">
        <v>104.58</v>
      </c>
      <c r="N1979" s="28" t="n">
        <v>1.7</v>
      </c>
      <c r="O1979" s="28" t="n">
        <v>23.5</v>
      </c>
      <c r="P1979" s="25" t="inlineStr">
        <is>
          <t>UPI</t>
        </is>
      </c>
      <c r="Q1979" s="25" t="inlineStr">
        <is>
          <t>Delivered</t>
        </is>
      </c>
      <c r="R1979" s="25" t="n">
        <v>5</v>
      </c>
      <c r="S1979" s="25">
        <f>TEXT(B1979,"yyyy-mm")</f>
        <v/>
      </c>
      <c r="T1979" s="25">
        <f>VLOOKUP(D1979,Customers!A:D,4,FALSE)</f>
        <v/>
      </c>
      <c r="U1979" s="25">
        <f>CONCATENATE(A1979,"-",G1979)</f>
        <v/>
      </c>
      <c r="V1979" s="25">
        <f>IF(N1979="","",IF(N1979&lt;=30,"Fast (&lt;30m)",IF(N1979&lt;=45,"Moderate (30-45m)","Delayed (&gt;45m)")))</f>
        <v/>
      </c>
      <c r="W1979" s="25">
        <f>IF(AND(I1979&gt;600,P1979="Delivered"),"High Value Delivered","Standard")</f>
        <v/>
      </c>
      <c r="X1979" s="25">
        <f>IF(OR(N1979&gt;50,Q1979&lt;=2),"High Risk / Delayed","Normal")</f>
        <v/>
      </c>
      <c r="Y1979" s="25">
        <f>IF(NOT(P1979="Cancelled"),"Fulfilled","Cancelled")</f>
        <v/>
      </c>
      <c r="Z1979" s="25">
        <f>IFERROR(Q1979,0)</f>
        <v/>
      </c>
    </row>
    <row r="1980">
      <c r="A1980" s="17" t="inlineStr">
        <is>
          <t>ORD2979</t>
        </is>
      </c>
      <c r="B1980" s="17" t="inlineStr">
        <is>
          <t>2025-04-11</t>
        </is>
      </c>
      <c r="C1980" s="17" t="inlineStr">
        <is>
          <t>13:00:43</t>
        </is>
      </c>
      <c r="D1980" s="17" t="n">
        <v>1159</v>
      </c>
      <c r="E1980" s="17" t="n">
        <v>104</v>
      </c>
      <c r="F1980" s="17" t="n">
        <v>228</v>
      </c>
      <c r="G1980" s="17" t="inlineStr">
        <is>
          <t>Delhi NCR</t>
        </is>
      </c>
      <c r="H1980" s="17" t="inlineStr">
        <is>
          <t>Fast Food</t>
        </is>
      </c>
      <c r="I1980" s="22" t="n">
        <v>278</v>
      </c>
      <c r="J1980" s="22" t="n">
        <v>0</v>
      </c>
      <c r="K1980" s="22" t="n">
        <v>25</v>
      </c>
      <c r="L1980" s="23" t="n">
        <v>0.18</v>
      </c>
      <c r="M1980" s="22" t="n">
        <v>56.29</v>
      </c>
      <c r="N1980" s="24" t="n">
        <v>2.7</v>
      </c>
      <c r="O1980" s="24" t="n">
        <v/>
      </c>
      <c r="P1980" s="17" t="inlineStr">
        <is>
          <t>Credit Card</t>
        </is>
      </c>
      <c r="Q1980" s="17" t="inlineStr">
        <is>
          <t>Cancelled</t>
        </is>
      </c>
      <c r="R1980" s="17" t="n">
        <v/>
      </c>
      <c r="S1980" s="17">
        <f>TEXT(B1980,"yyyy-mm")</f>
        <v/>
      </c>
      <c r="T1980" s="17">
        <f>VLOOKUP(D1980,Customers!A:D,4,FALSE)</f>
        <v/>
      </c>
      <c r="U1980" s="17">
        <f>CONCATENATE(A1980,"-",G1980)</f>
        <v/>
      </c>
      <c r="V1980" s="17">
        <f>IF(N1980="","",IF(N1980&lt;=30,"Fast (&lt;30m)",IF(N1980&lt;=45,"Moderate (30-45m)","Delayed (&gt;45m)")))</f>
        <v/>
      </c>
      <c r="W1980" s="17">
        <f>IF(AND(I1980&gt;600,P1980="Delivered"),"High Value Delivered","Standard")</f>
        <v/>
      </c>
      <c r="X1980" s="17">
        <f>IF(OR(N1980&gt;50,Q1980&lt;=2),"High Risk / Delayed","Normal")</f>
        <v/>
      </c>
      <c r="Y1980" s="17">
        <f>IF(NOT(P1980="Cancelled"),"Fulfilled","Cancelled")</f>
        <v/>
      </c>
      <c r="Z1980" s="17">
        <f>IFERROR(Q1980,0)</f>
        <v/>
      </c>
    </row>
    <row r="1981">
      <c r="A1981" s="25" t="inlineStr">
        <is>
          <t>ORD2980</t>
        </is>
      </c>
      <c r="B1981" s="25" t="inlineStr">
        <is>
          <t>2025-07-02</t>
        </is>
      </c>
      <c r="C1981" s="25" t="inlineStr">
        <is>
          <t>20:25:57</t>
        </is>
      </c>
      <c r="D1981" s="25" t="n">
        <v>1084</v>
      </c>
      <c r="E1981" s="25" t="n">
        <v>108</v>
      </c>
      <c r="F1981" s="25" t="n">
        <v>221</v>
      </c>
      <c r="G1981" s="25" t="inlineStr">
        <is>
          <t>Delhi NCR</t>
        </is>
      </c>
      <c r="H1981" s="25" t="inlineStr">
        <is>
          <t>Fast Food</t>
        </is>
      </c>
      <c r="I1981" s="26" t="n">
        <v>818</v>
      </c>
      <c r="J1981" s="26" t="n">
        <v>0</v>
      </c>
      <c r="K1981" s="26" t="n">
        <v>30.5</v>
      </c>
      <c r="L1981" s="27" t="n">
        <v>0.18</v>
      </c>
      <c r="M1981" s="26" t="n">
        <v>154.86</v>
      </c>
      <c r="N1981" s="28" t="n">
        <v>4.1</v>
      </c>
      <c r="O1981" s="28" t="n">
        <v>33.9</v>
      </c>
      <c r="P1981" s="25" t="inlineStr">
        <is>
          <t>Credit Card</t>
        </is>
      </c>
      <c r="Q1981" s="25" t="inlineStr">
        <is>
          <t>Delivered</t>
        </is>
      </c>
      <c r="R1981" s="25" t="n">
        <v>5</v>
      </c>
      <c r="S1981" s="25">
        <f>TEXT(B1981,"yyyy-mm")</f>
        <v/>
      </c>
      <c r="T1981" s="25">
        <f>VLOOKUP(D1981,Customers!A:D,4,FALSE)</f>
        <v/>
      </c>
      <c r="U1981" s="25">
        <f>CONCATENATE(A1981,"-",G1981)</f>
        <v/>
      </c>
      <c r="V1981" s="25">
        <f>IF(N1981="","",IF(N1981&lt;=30,"Fast (&lt;30m)",IF(N1981&lt;=45,"Moderate (30-45m)","Delayed (&gt;45m)")))</f>
        <v/>
      </c>
      <c r="W1981" s="25">
        <f>IF(AND(I1981&gt;600,P1981="Delivered"),"High Value Delivered","Standard")</f>
        <v/>
      </c>
      <c r="X1981" s="25">
        <f>IF(OR(N1981&gt;50,Q1981&lt;=2),"High Risk / Delayed","Normal")</f>
        <v/>
      </c>
      <c r="Y1981" s="25">
        <f>IF(NOT(P1981="Cancelled"),"Fulfilled","Cancelled")</f>
        <v/>
      </c>
      <c r="Z1981" s="25">
        <f>IFERROR(Q1981,0)</f>
        <v/>
      </c>
    </row>
    <row r="1982">
      <c r="A1982" s="17" t="inlineStr">
        <is>
          <t>ORD2981</t>
        </is>
      </c>
      <c r="B1982" s="17" t="inlineStr">
        <is>
          <t>2025-11-30</t>
        </is>
      </c>
      <c r="C1982" s="17" t="inlineStr">
        <is>
          <t>19:10:38</t>
        </is>
      </c>
      <c r="D1982" s="17" t="n">
        <v>1165</v>
      </c>
      <c r="E1982" s="17" t="n">
        <v>117</v>
      </c>
      <c r="F1982" s="17" t="n">
        <v>229</v>
      </c>
      <c r="G1982" s="17" t="inlineStr">
        <is>
          <t>Mumbai</t>
        </is>
      </c>
      <c r="H1982" s="17" t="inlineStr">
        <is>
          <t>Chinese</t>
        </is>
      </c>
      <c r="I1982" s="22" t="n">
        <v>311</v>
      </c>
      <c r="J1982" s="22" t="n">
        <v>0</v>
      </c>
      <c r="K1982" s="22" t="n">
        <v>59.5</v>
      </c>
      <c r="L1982" s="23" t="n">
        <v>0.2</v>
      </c>
      <c r="M1982" s="22" t="n">
        <v>77.08</v>
      </c>
      <c r="N1982" s="24" t="n">
        <v>9.9</v>
      </c>
      <c r="O1982" s="24" t="n">
        <v>64.09999999999999</v>
      </c>
      <c r="P1982" s="17" t="inlineStr">
        <is>
          <t>UPI</t>
        </is>
      </c>
      <c r="Q1982" s="17" t="inlineStr">
        <is>
          <t>Delivered</t>
        </is>
      </c>
      <c r="R1982" s="17" t="n">
        <v>1</v>
      </c>
      <c r="S1982" s="17">
        <f>TEXT(B1982,"yyyy-mm")</f>
        <v/>
      </c>
      <c r="T1982" s="17">
        <f>VLOOKUP(D1982,Customers!A:D,4,FALSE)</f>
        <v/>
      </c>
      <c r="U1982" s="17">
        <f>CONCATENATE(A1982,"-",G1982)</f>
        <v/>
      </c>
      <c r="V1982" s="17">
        <f>IF(N1982="","",IF(N1982&lt;=30,"Fast (&lt;30m)",IF(N1982&lt;=45,"Moderate (30-45m)","Delayed (&gt;45m)")))</f>
        <v/>
      </c>
      <c r="W1982" s="17">
        <f>IF(AND(I1982&gt;600,P1982="Delivered"),"High Value Delivered","Standard")</f>
        <v/>
      </c>
      <c r="X1982" s="17">
        <f>IF(OR(N1982&gt;50,Q1982&lt;=2),"High Risk / Delayed","Normal")</f>
        <v/>
      </c>
      <c r="Y1982" s="17">
        <f>IF(NOT(P1982="Cancelled"),"Fulfilled","Cancelled")</f>
        <v/>
      </c>
      <c r="Z1982" s="17">
        <f>IFERROR(Q1982,0)</f>
        <v/>
      </c>
    </row>
    <row r="1983">
      <c r="A1983" s="25" t="inlineStr">
        <is>
          <t>ORD2982</t>
        </is>
      </c>
      <c r="B1983" s="25" t="inlineStr">
        <is>
          <t>2025-11-08</t>
        </is>
      </c>
      <c r="C1983" s="25" t="inlineStr">
        <is>
          <t>09:02:55</t>
        </is>
      </c>
      <c r="D1983" s="25" t="n">
        <v>1061</v>
      </c>
      <c r="E1983" s="25" t="n">
        <v>106</v>
      </c>
      <c r="F1983" s="25" t="n">
        <v>226</v>
      </c>
      <c r="G1983" s="25" t="inlineStr">
        <is>
          <t>Pune</t>
        </is>
      </c>
      <c r="H1983" s="25" t="inlineStr">
        <is>
          <t>South Indian</t>
        </is>
      </c>
      <c r="I1983" s="26" t="n">
        <v>382</v>
      </c>
      <c r="J1983" s="26" t="n">
        <v>29.21</v>
      </c>
      <c r="K1983" s="26" t="n">
        <v>25</v>
      </c>
      <c r="L1983" s="27" t="n">
        <v>0.15</v>
      </c>
      <c r="M1983" s="26" t="n">
        <v>63.55</v>
      </c>
      <c r="N1983" s="28" t="n">
        <v>2.8</v>
      </c>
      <c r="O1983" s="28" t="n">
        <v>24.2</v>
      </c>
      <c r="P1983" s="25" t="inlineStr">
        <is>
          <t>UPI</t>
        </is>
      </c>
      <c r="Q1983" s="25" t="inlineStr">
        <is>
          <t>Delivered</t>
        </is>
      </c>
      <c r="R1983" s="25" t="n">
        <v>4</v>
      </c>
      <c r="S1983" s="25">
        <f>TEXT(B1983,"yyyy-mm")</f>
        <v/>
      </c>
      <c r="T1983" s="25">
        <f>VLOOKUP(D1983,Customers!A:D,4,FALSE)</f>
        <v/>
      </c>
      <c r="U1983" s="25">
        <f>CONCATENATE(A1983,"-",G1983)</f>
        <v/>
      </c>
      <c r="V1983" s="25">
        <f>IF(N1983="","",IF(N1983&lt;=30,"Fast (&lt;30m)",IF(N1983&lt;=45,"Moderate (30-45m)","Delayed (&gt;45m)")))</f>
        <v/>
      </c>
      <c r="W1983" s="25">
        <f>IF(AND(I1983&gt;600,P1983="Delivered"),"High Value Delivered","Standard")</f>
        <v/>
      </c>
      <c r="X1983" s="25">
        <f>IF(OR(N1983&gt;50,Q1983&lt;=2),"High Risk / Delayed","Normal")</f>
        <v/>
      </c>
      <c r="Y1983" s="25">
        <f>IF(NOT(P1983="Cancelled"),"Fulfilled","Cancelled")</f>
        <v/>
      </c>
      <c r="Z1983" s="25">
        <f>IFERROR(Q1983,0)</f>
        <v/>
      </c>
    </row>
    <row r="1984">
      <c r="A1984" s="17" t="inlineStr">
        <is>
          <t>ORD2983</t>
        </is>
      </c>
      <c r="B1984" s="17" t="inlineStr">
        <is>
          <t>2025-02-04</t>
        </is>
      </c>
      <c r="C1984" s="17" t="inlineStr">
        <is>
          <t>12:39:24</t>
        </is>
      </c>
      <c r="D1984" s="17" t="n">
        <v>1141</v>
      </c>
      <c r="E1984" s="17" t="n">
        <v>108</v>
      </c>
      <c r="F1984" s="17" t="n">
        <v>211</v>
      </c>
      <c r="G1984" s="17" t="inlineStr">
        <is>
          <t>Delhi NCR</t>
        </is>
      </c>
      <c r="H1984" s="17" t="inlineStr">
        <is>
          <t>Fast Food</t>
        </is>
      </c>
      <c r="I1984" s="22" t="n">
        <v>762</v>
      </c>
      <c r="J1984" s="22" t="n">
        <v>87.69</v>
      </c>
      <c r="K1984" s="22" t="n">
        <v>0</v>
      </c>
      <c r="L1984" s="23" t="n">
        <v>0.18</v>
      </c>
      <c r="M1984" s="22" t="n">
        <v>137.16</v>
      </c>
      <c r="N1984" s="24" t="n">
        <v>3</v>
      </c>
      <c r="O1984" s="24" t="n">
        <v>24.7</v>
      </c>
      <c r="P1984" s="17" t="inlineStr">
        <is>
          <t>Credit Card</t>
        </is>
      </c>
      <c r="Q1984" s="17" t="inlineStr">
        <is>
          <t>Delivered</t>
        </is>
      </c>
      <c r="R1984" s="17" t="n">
        <v>4</v>
      </c>
      <c r="S1984" s="17">
        <f>TEXT(B1984,"yyyy-mm")</f>
        <v/>
      </c>
      <c r="T1984" s="17">
        <f>VLOOKUP(D1984,Customers!A:D,4,FALSE)</f>
        <v/>
      </c>
      <c r="U1984" s="17">
        <f>CONCATENATE(A1984,"-",G1984)</f>
        <v/>
      </c>
      <c r="V1984" s="17">
        <f>IF(N1984="","",IF(N1984&lt;=30,"Fast (&lt;30m)",IF(N1984&lt;=45,"Moderate (30-45m)","Delayed (&gt;45m)")))</f>
        <v/>
      </c>
      <c r="W1984" s="17">
        <f>IF(AND(I1984&gt;600,P1984="Delivered"),"High Value Delivered","Standard")</f>
        <v/>
      </c>
      <c r="X1984" s="17">
        <f>IF(OR(N1984&gt;50,Q1984&lt;=2),"High Risk / Delayed","Normal")</f>
        <v/>
      </c>
      <c r="Y1984" s="17">
        <f>IF(NOT(P1984="Cancelled"),"Fulfilled","Cancelled")</f>
        <v/>
      </c>
      <c r="Z1984" s="17">
        <f>IFERROR(Q1984,0)</f>
        <v/>
      </c>
    </row>
    <row r="1985">
      <c r="A1985" s="25" t="inlineStr">
        <is>
          <t>ORD2984</t>
        </is>
      </c>
      <c r="B1985" s="25" t="inlineStr">
        <is>
          <t>2025-09-07</t>
        </is>
      </c>
      <c r="C1985" s="25" t="inlineStr">
        <is>
          <t>18:00:32</t>
        </is>
      </c>
      <c r="D1985" s="25" t="n">
        <v>1300</v>
      </c>
      <c r="E1985" s="25" t="n">
        <v>108</v>
      </c>
      <c r="F1985" s="25" t="n">
        <v>219</v>
      </c>
      <c r="G1985" s="25" t="inlineStr">
        <is>
          <t>Delhi NCR</t>
        </is>
      </c>
      <c r="H1985" s="25" t="inlineStr">
        <is>
          <t>Fast Food</t>
        </is>
      </c>
      <c r="I1985" s="26" t="n">
        <v>277</v>
      </c>
      <c r="J1985" s="26" t="n">
        <v>0</v>
      </c>
      <c r="K1985" s="26" t="n">
        <v>31</v>
      </c>
      <c r="L1985" s="27" t="n">
        <v>0.18</v>
      </c>
      <c r="M1985" s="26" t="n">
        <v>57.61</v>
      </c>
      <c r="N1985" s="28" t="n">
        <v>4.2</v>
      </c>
      <c r="O1985" s="28" t="n">
        <v>31.9</v>
      </c>
      <c r="P1985" s="25" t="inlineStr">
        <is>
          <t>Debit Card</t>
        </is>
      </c>
      <c r="Q1985" s="25" t="inlineStr">
        <is>
          <t>Delivered</t>
        </is>
      </c>
      <c r="R1985" s="25" t="n">
        <v>4</v>
      </c>
      <c r="S1985" s="25">
        <f>TEXT(B1985,"yyyy-mm")</f>
        <v/>
      </c>
      <c r="T1985" s="25">
        <f>VLOOKUP(D1985,Customers!A:D,4,FALSE)</f>
        <v/>
      </c>
      <c r="U1985" s="25">
        <f>CONCATENATE(A1985,"-",G1985)</f>
        <v/>
      </c>
      <c r="V1985" s="25">
        <f>IF(N1985="","",IF(N1985&lt;=30,"Fast (&lt;30m)",IF(N1985&lt;=45,"Moderate (30-45m)","Delayed (&gt;45m)")))</f>
        <v/>
      </c>
      <c r="W1985" s="25">
        <f>IF(AND(I1985&gt;600,P1985="Delivered"),"High Value Delivered","Standard")</f>
        <v/>
      </c>
      <c r="X1985" s="25">
        <f>IF(OR(N1985&gt;50,Q1985&lt;=2),"High Risk / Delayed","Normal")</f>
        <v/>
      </c>
      <c r="Y1985" s="25">
        <f>IF(NOT(P1985="Cancelled"),"Fulfilled","Cancelled")</f>
        <v/>
      </c>
      <c r="Z1985" s="25">
        <f>IFERROR(Q1985,0)</f>
        <v/>
      </c>
    </row>
    <row r="1986">
      <c r="A1986" s="17" t="inlineStr">
        <is>
          <t>ORD2985</t>
        </is>
      </c>
      <c r="B1986" s="17" t="inlineStr">
        <is>
          <t>2025-01-21</t>
        </is>
      </c>
      <c r="C1986" s="17" t="inlineStr">
        <is>
          <t>14:24:14</t>
        </is>
      </c>
      <c r="D1986" s="17" t="n">
        <v>1014</v>
      </c>
      <c r="E1986" s="17" t="n">
        <v>112</v>
      </c>
      <c r="F1986" s="17" t="n">
        <v>228</v>
      </c>
      <c r="G1986" s="17" t="inlineStr">
        <is>
          <t>Delhi NCR</t>
        </is>
      </c>
      <c r="H1986" s="17" t="inlineStr">
        <is>
          <t>North Indian</t>
        </is>
      </c>
      <c r="I1986" s="22" t="n">
        <v>937</v>
      </c>
      <c r="J1986" s="22" t="n">
        <v>0</v>
      </c>
      <c r="K1986" s="22" t="n">
        <v>25</v>
      </c>
      <c r="L1986" s="23" t="n">
        <v>0.22</v>
      </c>
      <c r="M1986" s="22" t="n">
        <v>212.39</v>
      </c>
      <c r="N1986" s="24" t="n">
        <v>2.1</v>
      </c>
      <c r="O1986" s="24" t="n">
        <v>22.4</v>
      </c>
      <c r="P1986" s="17" t="inlineStr">
        <is>
          <t>Digital Wallet</t>
        </is>
      </c>
      <c r="Q1986" s="17" t="inlineStr">
        <is>
          <t>Delivered</t>
        </is>
      </c>
      <c r="R1986" s="17" t="n">
        <v>2</v>
      </c>
      <c r="S1986" s="17">
        <f>TEXT(B1986,"yyyy-mm")</f>
        <v/>
      </c>
      <c r="T1986" s="17">
        <f>VLOOKUP(D1986,Customers!A:D,4,FALSE)</f>
        <v/>
      </c>
      <c r="U1986" s="17">
        <f>CONCATENATE(A1986,"-",G1986)</f>
        <v/>
      </c>
      <c r="V1986" s="17">
        <f>IF(N1986="","",IF(N1986&lt;=30,"Fast (&lt;30m)",IF(N1986&lt;=45,"Moderate (30-45m)","Delayed (&gt;45m)")))</f>
        <v/>
      </c>
      <c r="W1986" s="17">
        <f>IF(AND(I1986&gt;600,P1986="Delivered"),"High Value Delivered","Standard")</f>
        <v/>
      </c>
      <c r="X1986" s="17">
        <f>IF(OR(N1986&gt;50,Q1986&lt;=2),"High Risk / Delayed","Normal")</f>
        <v/>
      </c>
      <c r="Y1986" s="17">
        <f>IF(NOT(P1986="Cancelled"),"Fulfilled","Cancelled")</f>
        <v/>
      </c>
      <c r="Z1986" s="17">
        <f>IFERROR(Q1986,0)</f>
        <v/>
      </c>
    </row>
    <row r="1987">
      <c r="A1987" s="25" t="inlineStr">
        <is>
          <t>ORD2986</t>
        </is>
      </c>
      <c r="B1987" s="25" t="inlineStr">
        <is>
          <t>2025-01-31</t>
        </is>
      </c>
      <c r="C1987" s="25" t="inlineStr">
        <is>
          <t>13:19:37</t>
        </is>
      </c>
      <c r="D1987" s="25" t="n">
        <v>1227</v>
      </c>
      <c r="E1987" s="25" t="n">
        <v>101</v>
      </c>
      <c r="F1987" s="25" t="n">
        <v>201</v>
      </c>
      <c r="G1987" s="25" t="inlineStr">
        <is>
          <t>Bangalore</t>
        </is>
      </c>
      <c r="H1987" s="25" t="inlineStr">
        <is>
          <t>North Indian</t>
        </is>
      </c>
      <c r="I1987" s="26" t="n">
        <v>812</v>
      </c>
      <c r="J1987" s="26" t="n">
        <v>143.16</v>
      </c>
      <c r="K1987" s="26" t="n">
        <v>0</v>
      </c>
      <c r="L1987" s="27" t="n">
        <v>0.2</v>
      </c>
      <c r="M1987" s="26" t="n">
        <v>162.4</v>
      </c>
      <c r="N1987" s="28" t="n">
        <v>2.3</v>
      </c>
      <c r="O1987" s="28" t="n">
        <v>24.8</v>
      </c>
      <c r="P1987" s="25" t="inlineStr">
        <is>
          <t>UPI</t>
        </is>
      </c>
      <c r="Q1987" s="25" t="inlineStr">
        <is>
          <t>Delivered</t>
        </is>
      </c>
      <c r="R1987" s="25" t="n">
        <v>4</v>
      </c>
      <c r="S1987" s="25">
        <f>TEXT(B1987,"yyyy-mm")</f>
        <v/>
      </c>
      <c r="T1987" s="25">
        <f>VLOOKUP(D1987,Customers!A:D,4,FALSE)</f>
        <v/>
      </c>
      <c r="U1987" s="25">
        <f>CONCATENATE(A1987,"-",G1987)</f>
        <v/>
      </c>
      <c r="V1987" s="25">
        <f>IF(N1987="","",IF(N1987&lt;=30,"Fast (&lt;30m)",IF(N1987&lt;=45,"Moderate (30-45m)","Delayed (&gt;45m)")))</f>
        <v/>
      </c>
      <c r="W1987" s="25">
        <f>IF(AND(I1987&gt;600,P1987="Delivered"),"High Value Delivered","Standard")</f>
        <v/>
      </c>
      <c r="X1987" s="25">
        <f>IF(OR(N1987&gt;50,Q1987&lt;=2),"High Risk / Delayed","Normal")</f>
        <v/>
      </c>
      <c r="Y1987" s="25">
        <f>IF(NOT(P1987="Cancelled"),"Fulfilled","Cancelled")</f>
        <v/>
      </c>
      <c r="Z1987" s="25">
        <f>IFERROR(Q1987,0)</f>
        <v/>
      </c>
    </row>
    <row r="1988">
      <c r="A1988" s="17" t="inlineStr">
        <is>
          <t>ORD2987</t>
        </is>
      </c>
      <c r="B1988" s="17" t="inlineStr">
        <is>
          <t>2025-04-11</t>
        </is>
      </c>
      <c r="C1988" s="17" t="inlineStr">
        <is>
          <t>21:43:19</t>
        </is>
      </c>
      <c r="D1988" s="17" t="n">
        <v>1078</v>
      </c>
      <c r="E1988" s="17" t="n">
        <v>108</v>
      </c>
      <c r="F1988" s="17" t="n">
        <v>228</v>
      </c>
      <c r="G1988" s="17" t="inlineStr">
        <is>
          <t>Delhi NCR</t>
        </is>
      </c>
      <c r="H1988" s="17" t="inlineStr">
        <is>
          <t>Fast Food</t>
        </is>
      </c>
      <c r="I1988" s="22" t="n">
        <v>839</v>
      </c>
      <c r="J1988" s="22" t="n">
        <v>48.14</v>
      </c>
      <c r="K1988" s="22" t="n">
        <v>30</v>
      </c>
      <c r="L1988" s="23" t="n">
        <v>0.18</v>
      </c>
      <c r="M1988" s="22" t="n">
        <v>158.52</v>
      </c>
      <c r="N1988" s="24" t="n">
        <v>4</v>
      </c>
      <c r="O1988" s="24" t="n">
        <v>40.4</v>
      </c>
      <c r="P1988" s="17" t="inlineStr">
        <is>
          <t>Debit Card</t>
        </is>
      </c>
      <c r="Q1988" s="17" t="inlineStr">
        <is>
          <t>Delivered</t>
        </is>
      </c>
      <c r="R1988" s="17" t="n">
        <v>3</v>
      </c>
      <c r="S1988" s="17">
        <f>TEXT(B1988,"yyyy-mm")</f>
        <v/>
      </c>
      <c r="T1988" s="17">
        <f>VLOOKUP(D1988,Customers!A:D,4,FALSE)</f>
        <v/>
      </c>
      <c r="U1988" s="17">
        <f>CONCATENATE(A1988,"-",G1988)</f>
        <v/>
      </c>
      <c r="V1988" s="17">
        <f>IF(N1988="","",IF(N1988&lt;=30,"Fast (&lt;30m)",IF(N1988&lt;=45,"Moderate (30-45m)","Delayed (&gt;45m)")))</f>
        <v/>
      </c>
      <c r="W1988" s="17">
        <f>IF(AND(I1988&gt;600,P1988="Delivered"),"High Value Delivered","Standard")</f>
        <v/>
      </c>
      <c r="X1988" s="17">
        <f>IF(OR(N1988&gt;50,Q1988&lt;=2),"High Risk / Delayed","Normal")</f>
        <v/>
      </c>
      <c r="Y1988" s="17">
        <f>IF(NOT(P1988="Cancelled"),"Fulfilled","Cancelled")</f>
        <v/>
      </c>
      <c r="Z1988" s="17">
        <f>IFERROR(Q1988,0)</f>
        <v/>
      </c>
    </row>
    <row r="1989">
      <c r="A1989" s="25" t="inlineStr">
        <is>
          <t>ORD2988</t>
        </is>
      </c>
      <c r="B1989" s="25" t="inlineStr">
        <is>
          <t>2025-11-28</t>
        </is>
      </c>
      <c r="C1989" s="25" t="inlineStr">
        <is>
          <t>00:38:24</t>
        </is>
      </c>
      <c r="D1989" s="25" t="n">
        <v>1020</v>
      </c>
      <c r="E1989" s="25" t="n">
        <v>108</v>
      </c>
      <c r="F1989" s="25" t="n">
        <v>212</v>
      </c>
      <c r="G1989" s="25" t="inlineStr">
        <is>
          <t>Delhi NCR</t>
        </is>
      </c>
      <c r="H1989" s="25" t="inlineStr">
        <is>
          <t>Fast Food</t>
        </is>
      </c>
      <c r="I1989" s="26" t="n">
        <v>391</v>
      </c>
      <c r="J1989" s="26" t="n">
        <v>0</v>
      </c>
      <c r="K1989" s="26" t="n">
        <v>34.5</v>
      </c>
      <c r="L1989" s="27" t="n">
        <v>0.18</v>
      </c>
      <c r="M1989" s="26" t="n">
        <v>79</v>
      </c>
      <c r="N1989" s="28" t="n">
        <v>4.9</v>
      </c>
      <c r="O1989" s="28" t="n">
        <v>30.6</v>
      </c>
      <c r="P1989" s="25" t="inlineStr">
        <is>
          <t>Credit Card</t>
        </is>
      </c>
      <c r="Q1989" s="25" t="inlineStr">
        <is>
          <t>Delivered</t>
        </is>
      </c>
      <c r="R1989" s="25" t="n">
        <v>5</v>
      </c>
      <c r="S1989" s="25">
        <f>TEXT(B1989,"yyyy-mm")</f>
        <v/>
      </c>
      <c r="T1989" s="25">
        <f>VLOOKUP(D1989,Customers!A:D,4,FALSE)</f>
        <v/>
      </c>
      <c r="U1989" s="25">
        <f>CONCATENATE(A1989,"-",G1989)</f>
        <v/>
      </c>
      <c r="V1989" s="25">
        <f>IF(N1989="","",IF(N1989&lt;=30,"Fast (&lt;30m)",IF(N1989&lt;=45,"Moderate (30-45m)","Delayed (&gt;45m)")))</f>
        <v/>
      </c>
      <c r="W1989" s="25">
        <f>IF(AND(I1989&gt;600,P1989="Delivered"),"High Value Delivered","Standard")</f>
        <v/>
      </c>
      <c r="X1989" s="25">
        <f>IF(OR(N1989&gt;50,Q1989&lt;=2),"High Risk / Delayed","Normal")</f>
        <v/>
      </c>
      <c r="Y1989" s="25">
        <f>IF(NOT(P1989="Cancelled"),"Fulfilled","Cancelled")</f>
        <v/>
      </c>
      <c r="Z1989" s="25">
        <f>IFERROR(Q1989,0)</f>
        <v/>
      </c>
    </row>
    <row r="1990">
      <c r="A1990" s="17" t="inlineStr">
        <is>
          <t>ORD2989</t>
        </is>
      </c>
      <c r="B1990" s="17" t="inlineStr">
        <is>
          <t>2025-03-02</t>
        </is>
      </c>
      <c r="C1990" s="17" t="inlineStr">
        <is>
          <t>19:05:18</t>
        </is>
      </c>
      <c r="D1990" s="17" t="n">
        <v>1253</v>
      </c>
      <c r="E1990" s="17" t="n">
        <v>119</v>
      </c>
      <c r="F1990" s="17" t="n">
        <v>216</v>
      </c>
      <c r="G1990" s="17" t="inlineStr">
        <is>
          <t>Hyderabad</t>
        </is>
      </c>
      <c r="H1990" s="17" t="inlineStr">
        <is>
          <t>Biryani</t>
        </is>
      </c>
      <c r="I1990" s="22" t="n">
        <v>535</v>
      </c>
      <c r="J1990" s="22" t="n">
        <v>65.08</v>
      </c>
      <c r="K1990" s="22" t="n">
        <v>0</v>
      </c>
      <c r="L1990" s="23" t="n">
        <v>0.2</v>
      </c>
      <c r="M1990" s="22" t="n">
        <v>107</v>
      </c>
      <c r="N1990" s="24" t="n">
        <v>6.7</v>
      </c>
      <c r="O1990" s="24" t="n">
        <v>43.8</v>
      </c>
      <c r="P1990" s="17" t="inlineStr">
        <is>
          <t>Credit Card</t>
        </is>
      </c>
      <c r="Q1990" s="17" t="inlineStr">
        <is>
          <t>Delivered</t>
        </is>
      </c>
      <c r="R1990" s="17" t="n">
        <v>2</v>
      </c>
      <c r="S1990" s="17">
        <f>TEXT(B1990,"yyyy-mm")</f>
        <v/>
      </c>
      <c r="T1990" s="17">
        <f>VLOOKUP(D1990,Customers!A:D,4,FALSE)</f>
        <v/>
      </c>
      <c r="U1990" s="17">
        <f>CONCATENATE(A1990,"-",G1990)</f>
        <v/>
      </c>
      <c r="V1990" s="17">
        <f>IF(N1990="","",IF(N1990&lt;=30,"Fast (&lt;30m)",IF(N1990&lt;=45,"Moderate (30-45m)","Delayed (&gt;45m)")))</f>
        <v/>
      </c>
      <c r="W1990" s="17">
        <f>IF(AND(I1990&gt;600,P1990="Delivered"),"High Value Delivered","Standard")</f>
        <v/>
      </c>
      <c r="X1990" s="17">
        <f>IF(OR(N1990&gt;50,Q1990&lt;=2),"High Risk / Delayed","Normal")</f>
        <v/>
      </c>
      <c r="Y1990" s="17">
        <f>IF(NOT(P1990="Cancelled"),"Fulfilled","Cancelled")</f>
        <v/>
      </c>
      <c r="Z1990" s="17">
        <f>IFERROR(Q1990,0)</f>
        <v/>
      </c>
    </row>
    <row r="1991">
      <c r="A1991" s="25" t="inlineStr">
        <is>
          <t>ORD2990</t>
        </is>
      </c>
      <c r="B1991" s="25" t="inlineStr">
        <is>
          <t>2025-12-11</t>
        </is>
      </c>
      <c r="C1991" s="25" t="inlineStr">
        <is>
          <t>19:09:06</t>
        </is>
      </c>
      <c r="D1991" s="25" t="n">
        <v>1014</v>
      </c>
      <c r="E1991" s="25" t="n">
        <v>108</v>
      </c>
      <c r="F1991" s="25" t="n">
        <v>219</v>
      </c>
      <c r="G1991" s="25" t="inlineStr">
        <is>
          <t>Delhi NCR</t>
        </is>
      </c>
      <c r="H1991" s="25" t="inlineStr">
        <is>
          <t>Fast Food</t>
        </is>
      </c>
      <c r="I1991" s="26" t="n">
        <v>915</v>
      </c>
      <c r="J1991" s="26" t="n">
        <v>37.57</v>
      </c>
      <c r="K1991" s="26" t="n">
        <v>34.5</v>
      </c>
      <c r="L1991" s="27" t="n">
        <v>0.18</v>
      </c>
      <c r="M1991" s="26" t="n">
        <v>173.32</v>
      </c>
      <c r="N1991" s="28" t="n">
        <v>4.9</v>
      </c>
      <c r="O1991" s="28" t="n">
        <v>40</v>
      </c>
      <c r="P1991" s="25" t="inlineStr">
        <is>
          <t>UPI</t>
        </is>
      </c>
      <c r="Q1991" s="25" t="inlineStr">
        <is>
          <t>Delivered</t>
        </is>
      </c>
      <c r="R1991" s="25" t="n">
        <v>5</v>
      </c>
      <c r="S1991" s="25">
        <f>TEXT(B1991,"yyyy-mm")</f>
        <v/>
      </c>
      <c r="T1991" s="25">
        <f>VLOOKUP(D1991,Customers!A:D,4,FALSE)</f>
        <v/>
      </c>
      <c r="U1991" s="25">
        <f>CONCATENATE(A1991,"-",G1991)</f>
        <v/>
      </c>
      <c r="V1991" s="25">
        <f>IF(N1991="","",IF(N1991&lt;=30,"Fast (&lt;30m)",IF(N1991&lt;=45,"Moderate (30-45m)","Delayed (&gt;45m)")))</f>
        <v/>
      </c>
      <c r="W1991" s="25">
        <f>IF(AND(I1991&gt;600,P1991="Delivered"),"High Value Delivered","Standard")</f>
        <v/>
      </c>
      <c r="X1991" s="25">
        <f>IF(OR(N1991&gt;50,Q1991&lt;=2),"High Risk / Delayed","Normal")</f>
        <v/>
      </c>
      <c r="Y1991" s="25">
        <f>IF(NOT(P1991="Cancelled"),"Fulfilled","Cancelled")</f>
        <v/>
      </c>
      <c r="Z1991" s="25">
        <f>IFERROR(Q1991,0)</f>
        <v/>
      </c>
    </row>
    <row r="1992">
      <c r="A1992" s="17" t="inlineStr">
        <is>
          <t>ORD2991</t>
        </is>
      </c>
      <c r="B1992" s="17" t="inlineStr">
        <is>
          <t>2025-03-17</t>
        </is>
      </c>
      <c r="C1992" s="17" t="inlineStr">
        <is>
          <t>15:40:15</t>
        </is>
      </c>
      <c r="D1992" s="17" t="n">
        <v>1290</v>
      </c>
      <c r="E1992" s="17" t="n">
        <v>117</v>
      </c>
      <c r="F1992" s="17" t="n">
        <v>229</v>
      </c>
      <c r="G1992" s="17" t="inlineStr">
        <is>
          <t>Mumbai</t>
        </is>
      </c>
      <c r="H1992" s="17" t="inlineStr">
        <is>
          <t>Chinese</t>
        </is>
      </c>
      <c r="I1992" s="22" t="n">
        <v>538</v>
      </c>
      <c r="J1992" s="22" t="n">
        <v>30.61</v>
      </c>
      <c r="K1992" s="22" t="n">
        <v>33.5</v>
      </c>
      <c r="L1992" s="23" t="n">
        <v>0.2</v>
      </c>
      <c r="M1992" s="22" t="n">
        <v>115.98</v>
      </c>
      <c r="N1992" s="24" t="n">
        <v>4.7</v>
      </c>
      <c r="O1992" s="24" t="n">
        <v>31.8</v>
      </c>
      <c r="P1992" s="17" t="inlineStr">
        <is>
          <t>Digital Wallet</t>
        </is>
      </c>
      <c r="Q1992" s="17" t="inlineStr">
        <is>
          <t>Delivered</t>
        </is>
      </c>
      <c r="R1992" s="17" t="n">
        <v>4</v>
      </c>
      <c r="S1992" s="17">
        <f>TEXT(B1992,"yyyy-mm")</f>
        <v/>
      </c>
      <c r="T1992" s="17">
        <f>VLOOKUP(D1992,Customers!A:D,4,FALSE)</f>
        <v/>
      </c>
      <c r="U1992" s="17">
        <f>CONCATENATE(A1992,"-",G1992)</f>
        <v/>
      </c>
      <c r="V1992" s="17">
        <f>IF(N1992="","",IF(N1992&lt;=30,"Fast (&lt;30m)",IF(N1992&lt;=45,"Moderate (30-45m)","Delayed (&gt;45m)")))</f>
        <v/>
      </c>
      <c r="W1992" s="17">
        <f>IF(AND(I1992&gt;600,P1992="Delivered"),"High Value Delivered","Standard")</f>
        <v/>
      </c>
      <c r="X1992" s="17">
        <f>IF(OR(N1992&gt;50,Q1992&lt;=2),"High Risk / Delayed","Normal")</f>
        <v/>
      </c>
      <c r="Y1992" s="17">
        <f>IF(NOT(P1992="Cancelled"),"Fulfilled","Cancelled")</f>
        <v/>
      </c>
      <c r="Z1992" s="17">
        <f>IFERROR(Q1992,0)</f>
        <v/>
      </c>
    </row>
    <row r="1993">
      <c r="A1993" s="25" t="inlineStr">
        <is>
          <t>ORD2992</t>
        </is>
      </c>
      <c r="B1993" s="25" t="inlineStr">
        <is>
          <t>2025-04-13</t>
        </is>
      </c>
      <c r="C1993" s="25" t="inlineStr">
        <is>
          <t>13:35:21</t>
        </is>
      </c>
      <c r="D1993" s="25" t="n">
        <v>1231</v>
      </c>
      <c r="E1993" s="25" t="n">
        <v>115</v>
      </c>
      <c r="F1993" s="25" t="n">
        <v>201</v>
      </c>
      <c r="G1993" s="25" t="inlineStr">
        <is>
          <t>Bangalore</t>
        </is>
      </c>
      <c r="H1993" s="25" t="inlineStr">
        <is>
          <t>Italian</t>
        </is>
      </c>
      <c r="I1993" s="26" t="n">
        <v>465</v>
      </c>
      <c r="J1993" s="26" t="n">
        <v>52.13</v>
      </c>
      <c r="K1993" s="26" t="n">
        <v>34.5</v>
      </c>
      <c r="L1993" s="27" t="n">
        <v>0.2</v>
      </c>
      <c r="M1993" s="26" t="n">
        <v>101.62</v>
      </c>
      <c r="N1993" s="28" t="n">
        <v>4.9</v>
      </c>
      <c r="O1993" s="28" t="n">
        <v>37.9</v>
      </c>
      <c r="P1993" s="25" t="inlineStr">
        <is>
          <t>Debit Card</t>
        </is>
      </c>
      <c r="Q1993" s="25" t="inlineStr">
        <is>
          <t>Delivered</t>
        </is>
      </c>
      <c r="R1993" s="25" t="n">
        <v>4</v>
      </c>
      <c r="S1993" s="25">
        <f>TEXT(B1993,"yyyy-mm")</f>
        <v/>
      </c>
      <c r="T1993" s="25">
        <f>VLOOKUP(D1993,Customers!A:D,4,FALSE)</f>
        <v/>
      </c>
      <c r="U1993" s="25">
        <f>CONCATENATE(A1993,"-",G1993)</f>
        <v/>
      </c>
      <c r="V1993" s="25">
        <f>IF(N1993="","",IF(N1993&lt;=30,"Fast (&lt;30m)",IF(N1993&lt;=45,"Moderate (30-45m)","Delayed (&gt;45m)")))</f>
        <v/>
      </c>
      <c r="W1993" s="25">
        <f>IF(AND(I1993&gt;600,P1993="Delivered"),"High Value Delivered","Standard")</f>
        <v/>
      </c>
      <c r="X1993" s="25">
        <f>IF(OR(N1993&gt;50,Q1993&lt;=2),"High Risk / Delayed","Normal")</f>
        <v/>
      </c>
      <c r="Y1993" s="25">
        <f>IF(NOT(P1993="Cancelled"),"Fulfilled","Cancelled")</f>
        <v/>
      </c>
      <c r="Z1993" s="25">
        <f>IFERROR(Q1993,0)</f>
        <v/>
      </c>
    </row>
    <row r="1994">
      <c r="A1994" s="17" t="inlineStr">
        <is>
          <t>ORD2993</t>
        </is>
      </c>
      <c r="B1994" s="17" t="inlineStr">
        <is>
          <t>2025-12-08</t>
        </is>
      </c>
      <c r="C1994" s="17" t="inlineStr">
        <is>
          <t>19:03:23</t>
        </is>
      </c>
      <c r="D1994" s="17" t="n">
        <v>1249</v>
      </c>
      <c r="E1994" s="17" t="n">
        <v>114</v>
      </c>
      <c r="F1994" s="17" t="n">
        <v>215</v>
      </c>
      <c r="G1994" s="17" t="inlineStr">
        <is>
          <t>Hyderabad</t>
        </is>
      </c>
      <c r="H1994" s="17" t="inlineStr">
        <is>
          <t>Biryani</t>
        </is>
      </c>
      <c r="I1994" s="22" t="n">
        <v>924</v>
      </c>
      <c r="J1994" s="22" t="n">
        <v>113.18</v>
      </c>
      <c r="K1994" s="22" t="n">
        <v>0</v>
      </c>
      <c r="L1994" s="23" t="n">
        <v>0.22</v>
      </c>
      <c r="M1994" s="22" t="n">
        <v>203.28</v>
      </c>
      <c r="N1994" s="24" t="n">
        <v>2.9</v>
      </c>
      <c r="O1994" s="24" t="n">
        <v>28.3</v>
      </c>
      <c r="P1994" s="17" t="inlineStr">
        <is>
          <t>Credit Card</t>
        </is>
      </c>
      <c r="Q1994" s="17" t="inlineStr">
        <is>
          <t>Delivered</t>
        </is>
      </c>
      <c r="R1994" s="17" t="n">
        <v>3</v>
      </c>
      <c r="S1994" s="17">
        <f>TEXT(B1994,"yyyy-mm")</f>
        <v/>
      </c>
      <c r="T1994" s="17">
        <f>VLOOKUP(D1994,Customers!A:D,4,FALSE)</f>
        <v/>
      </c>
      <c r="U1994" s="17">
        <f>CONCATENATE(A1994,"-",G1994)</f>
        <v/>
      </c>
      <c r="V1994" s="17">
        <f>IF(N1994="","",IF(N1994&lt;=30,"Fast (&lt;30m)",IF(N1994&lt;=45,"Moderate (30-45m)","Delayed (&gt;45m)")))</f>
        <v/>
      </c>
      <c r="W1994" s="17">
        <f>IF(AND(I1994&gt;600,P1994="Delivered"),"High Value Delivered","Standard")</f>
        <v/>
      </c>
      <c r="X1994" s="17">
        <f>IF(OR(N1994&gt;50,Q1994&lt;=2),"High Risk / Delayed","Normal")</f>
        <v/>
      </c>
      <c r="Y1994" s="17">
        <f>IF(NOT(P1994="Cancelled"),"Fulfilled","Cancelled")</f>
        <v/>
      </c>
      <c r="Z1994" s="17">
        <f>IFERROR(Q1994,0)</f>
        <v/>
      </c>
    </row>
    <row r="1995">
      <c r="A1995" s="25" t="inlineStr">
        <is>
          <t>ORD2994</t>
        </is>
      </c>
      <c r="B1995" s="25" t="inlineStr">
        <is>
          <t>2025-02-09</t>
        </is>
      </c>
      <c r="C1995" s="25" t="inlineStr">
        <is>
          <t>21:05:45</t>
        </is>
      </c>
      <c r="D1995" s="25" t="n">
        <v>1075</v>
      </c>
      <c r="E1995" s="25" t="n">
        <v>104</v>
      </c>
      <c r="F1995" s="25" t="n">
        <v>230</v>
      </c>
      <c r="G1995" s="25" t="inlineStr">
        <is>
          <t>Delhi NCR</t>
        </is>
      </c>
      <c r="H1995" s="25" t="inlineStr">
        <is>
          <t>Fast Food</t>
        </is>
      </c>
      <c r="I1995" s="26" t="n">
        <v>594</v>
      </c>
      <c r="J1995" s="26" t="n">
        <v>64.97</v>
      </c>
      <c r="K1995" s="26" t="n">
        <v>26.5</v>
      </c>
      <c r="L1995" s="27" t="n">
        <v>0.18</v>
      </c>
      <c r="M1995" s="26" t="n">
        <v>113.54</v>
      </c>
      <c r="N1995" s="28" t="n">
        <v>3.3</v>
      </c>
      <c r="O1995" s="28" t="n">
        <v>38.4</v>
      </c>
      <c r="P1995" s="25" t="inlineStr">
        <is>
          <t>Cash on Delivery</t>
        </is>
      </c>
      <c r="Q1995" s="25" t="inlineStr">
        <is>
          <t>Delivered</t>
        </is>
      </c>
      <c r="R1995" s="25" t="n">
        <v>4</v>
      </c>
      <c r="S1995" s="25">
        <f>TEXT(B1995,"yyyy-mm")</f>
        <v/>
      </c>
      <c r="T1995" s="25">
        <f>VLOOKUP(D1995,Customers!A:D,4,FALSE)</f>
        <v/>
      </c>
      <c r="U1995" s="25">
        <f>CONCATENATE(A1995,"-",G1995)</f>
        <v/>
      </c>
      <c r="V1995" s="25">
        <f>IF(N1995="","",IF(N1995&lt;=30,"Fast (&lt;30m)",IF(N1995&lt;=45,"Moderate (30-45m)","Delayed (&gt;45m)")))</f>
        <v/>
      </c>
      <c r="W1995" s="25">
        <f>IF(AND(I1995&gt;600,P1995="Delivered"),"High Value Delivered","Standard")</f>
        <v/>
      </c>
      <c r="X1995" s="25">
        <f>IF(OR(N1995&gt;50,Q1995&lt;=2),"High Risk / Delayed","Normal")</f>
        <v/>
      </c>
      <c r="Y1995" s="25">
        <f>IF(NOT(P1995="Cancelled"),"Fulfilled","Cancelled")</f>
        <v/>
      </c>
      <c r="Z1995" s="25">
        <f>IFERROR(Q1995,0)</f>
        <v/>
      </c>
    </row>
    <row r="1996">
      <c r="A1996" s="17" t="inlineStr">
        <is>
          <t>ORD2995</t>
        </is>
      </c>
      <c r="B1996" s="17" t="inlineStr">
        <is>
          <t>2025-05-17</t>
        </is>
      </c>
      <c r="C1996" s="17" t="inlineStr">
        <is>
          <t>10:23:55</t>
        </is>
      </c>
      <c r="D1996" s="17" t="n">
        <v>1085</v>
      </c>
      <c r="E1996" s="17" t="n">
        <v>114</v>
      </c>
      <c r="F1996" s="17" t="n">
        <v>216</v>
      </c>
      <c r="G1996" s="17" t="inlineStr">
        <is>
          <t>Hyderabad</t>
        </is>
      </c>
      <c r="H1996" s="17" t="inlineStr">
        <is>
          <t>Biryani</t>
        </is>
      </c>
      <c r="I1996" s="22" t="n">
        <v>698</v>
      </c>
      <c r="J1996" s="22" t="n">
        <v>21.8</v>
      </c>
      <c r="K1996" s="22" t="n">
        <v>25.5</v>
      </c>
      <c r="L1996" s="23" t="n">
        <v>0.22</v>
      </c>
      <c r="M1996" s="22" t="n">
        <v>159.94</v>
      </c>
      <c r="N1996" s="24" t="n">
        <v>3.1</v>
      </c>
      <c r="O1996" s="24" t="n">
        <v>29.6</v>
      </c>
      <c r="P1996" s="17" t="inlineStr">
        <is>
          <t>Debit Card</t>
        </is>
      </c>
      <c r="Q1996" s="17" t="inlineStr">
        <is>
          <t>Delivered</t>
        </is>
      </c>
      <c r="R1996" s="17" t="n">
        <v>5</v>
      </c>
      <c r="S1996" s="17">
        <f>TEXT(B1996,"yyyy-mm")</f>
        <v/>
      </c>
      <c r="T1996" s="17">
        <f>VLOOKUP(D1996,Customers!A:D,4,FALSE)</f>
        <v/>
      </c>
      <c r="U1996" s="17">
        <f>CONCATENATE(A1996,"-",G1996)</f>
        <v/>
      </c>
      <c r="V1996" s="17">
        <f>IF(N1996="","",IF(N1996&lt;=30,"Fast (&lt;30m)",IF(N1996&lt;=45,"Moderate (30-45m)","Delayed (&gt;45m)")))</f>
        <v/>
      </c>
      <c r="W1996" s="17">
        <f>IF(AND(I1996&gt;600,P1996="Delivered"),"High Value Delivered","Standard")</f>
        <v/>
      </c>
      <c r="X1996" s="17">
        <f>IF(OR(N1996&gt;50,Q1996&lt;=2),"High Risk / Delayed","Normal")</f>
        <v/>
      </c>
      <c r="Y1996" s="17">
        <f>IF(NOT(P1996="Cancelled"),"Fulfilled","Cancelled")</f>
        <v/>
      </c>
      <c r="Z1996" s="17">
        <f>IFERROR(Q1996,0)</f>
        <v/>
      </c>
    </row>
    <row r="1997">
      <c r="A1997" s="25" t="inlineStr">
        <is>
          <t>ORD2996</t>
        </is>
      </c>
      <c r="B1997" s="25" t="inlineStr">
        <is>
          <t>2025-07-25</t>
        </is>
      </c>
      <c r="C1997" s="25" t="inlineStr">
        <is>
          <t>12:37:45</t>
        </is>
      </c>
      <c r="D1997" s="25" t="n">
        <v>1060</v>
      </c>
      <c r="E1997" s="25" t="n">
        <v>112</v>
      </c>
      <c r="F1997" s="25" t="n">
        <v>230</v>
      </c>
      <c r="G1997" s="25" t="inlineStr">
        <is>
          <t>Delhi NCR</t>
        </is>
      </c>
      <c r="H1997" s="25" t="inlineStr">
        <is>
          <t>North Indian</t>
        </is>
      </c>
      <c r="I1997" s="26" t="n">
        <v>494</v>
      </c>
      <c r="J1997" s="26" t="n">
        <v>37.26</v>
      </c>
      <c r="K1997" s="26" t="n">
        <v>25</v>
      </c>
      <c r="L1997" s="27" t="n">
        <v>0.22</v>
      </c>
      <c r="M1997" s="26" t="n">
        <v>114.93</v>
      </c>
      <c r="N1997" s="28" t="n">
        <v>2.1</v>
      </c>
      <c r="O1997" s="28" t="n">
        <v>35.9</v>
      </c>
      <c r="P1997" s="25" t="inlineStr">
        <is>
          <t>Debit Card</t>
        </is>
      </c>
      <c r="Q1997" s="25" t="inlineStr">
        <is>
          <t>Delivered</t>
        </is>
      </c>
      <c r="R1997" s="25" t="n">
        <v>4</v>
      </c>
      <c r="S1997" s="25">
        <f>TEXT(B1997,"yyyy-mm")</f>
        <v/>
      </c>
      <c r="T1997" s="25">
        <f>VLOOKUP(D1997,Customers!A:D,4,FALSE)</f>
        <v/>
      </c>
      <c r="U1997" s="25">
        <f>CONCATENATE(A1997,"-",G1997)</f>
        <v/>
      </c>
      <c r="V1997" s="25">
        <f>IF(N1997="","",IF(N1997&lt;=30,"Fast (&lt;30m)",IF(N1997&lt;=45,"Moderate (30-45m)","Delayed (&gt;45m)")))</f>
        <v/>
      </c>
      <c r="W1997" s="25">
        <f>IF(AND(I1997&gt;600,P1997="Delivered"),"High Value Delivered","Standard")</f>
        <v/>
      </c>
      <c r="X1997" s="25">
        <f>IF(OR(N1997&gt;50,Q1997&lt;=2),"High Risk / Delayed","Normal")</f>
        <v/>
      </c>
      <c r="Y1997" s="25">
        <f>IF(NOT(P1997="Cancelled"),"Fulfilled","Cancelled")</f>
        <v/>
      </c>
      <c r="Z1997" s="25">
        <f>IFERROR(Q1997,0)</f>
        <v/>
      </c>
    </row>
    <row r="1998">
      <c r="A1998" s="17" t="inlineStr">
        <is>
          <t>ORD2997</t>
        </is>
      </c>
      <c r="B1998" s="17" t="inlineStr">
        <is>
          <t>2025-05-03</t>
        </is>
      </c>
      <c r="C1998" s="17" t="inlineStr">
        <is>
          <t>20:27:23</t>
        </is>
      </c>
      <c r="D1998" s="17" t="n">
        <v>1297</v>
      </c>
      <c r="E1998" s="17" t="n">
        <v>102</v>
      </c>
      <c r="F1998" s="17" t="n">
        <v>225</v>
      </c>
      <c r="G1998" s="17" t="inlineStr">
        <is>
          <t>Hyderabad</t>
        </is>
      </c>
      <c r="H1998" s="17" t="inlineStr">
        <is>
          <t>Biryani</t>
        </is>
      </c>
      <c r="I1998" s="22" t="n">
        <v>797</v>
      </c>
      <c r="J1998" s="22" t="n">
        <v>66.19</v>
      </c>
      <c r="K1998" s="22" t="n">
        <v>26</v>
      </c>
      <c r="L1998" s="23" t="n">
        <v>0.22</v>
      </c>
      <c r="M1998" s="22" t="n">
        <v>181.84</v>
      </c>
      <c r="N1998" s="24" t="n">
        <v>3.2</v>
      </c>
      <c r="O1998" s="24" t="n">
        <v>36.2</v>
      </c>
      <c r="P1998" s="17" t="inlineStr">
        <is>
          <t>Cash on Delivery</t>
        </is>
      </c>
      <c r="Q1998" s="17" t="inlineStr">
        <is>
          <t>Delivered</t>
        </is>
      </c>
      <c r="R1998" s="17" t="n">
        <v>3</v>
      </c>
      <c r="S1998" s="17">
        <f>TEXT(B1998,"yyyy-mm")</f>
        <v/>
      </c>
      <c r="T1998" s="17">
        <f>VLOOKUP(D1998,Customers!A:D,4,FALSE)</f>
        <v/>
      </c>
      <c r="U1998" s="17">
        <f>CONCATENATE(A1998,"-",G1998)</f>
        <v/>
      </c>
      <c r="V1998" s="17">
        <f>IF(N1998="","",IF(N1998&lt;=30,"Fast (&lt;30m)",IF(N1998&lt;=45,"Moderate (30-45m)","Delayed (&gt;45m)")))</f>
        <v/>
      </c>
      <c r="W1998" s="17">
        <f>IF(AND(I1998&gt;600,P1998="Delivered"),"High Value Delivered","Standard")</f>
        <v/>
      </c>
      <c r="X1998" s="17">
        <f>IF(OR(N1998&gt;50,Q1998&lt;=2),"High Risk / Delayed","Normal")</f>
        <v/>
      </c>
      <c r="Y1998" s="17">
        <f>IF(NOT(P1998="Cancelled"),"Fulfilled","Cancelled")</f>
        <v/>
      </c>
      <c r="Z1998" s="17">
        <f>IFERROR(Q1998,0)</f>
        <v/>
      </c>
    </row>
    <row r="1999">
      <c r="A1999" s="25" t="inlineStr">
        <is>
          <t>ORD2998</t>
        </is>
      </c>
      <c r="B1999" s="25" t="inlineStr">
        <is>
          <t>2025-08-09</t>
        </is>
      </c>
      <c r="C1999" s="25" t="inlineStr">
        <is>
          <t>09:13:57</t>
        </is>
      </c>
      <c r="D1999" s="25" t="n">
        <v>1226</v>
      </c>
      <c r="E1999" s="25" t="n">
        <v>111</v>
      </c>
      <c r="F1999" s="25" t="n">
        <v>218</v>
      </c>
      <c r="G1999" s="25" t="inlineStr">
        <is>
          <t>Bangalore</t>
        </is>
      </c>
      <c r="H1999" s="25" t="inlineStr">
        <is>
          <t>South Indian</t>
        </is>
      </c>
      <c r="I1999" s="26" t="n">
        <v>507</v>
      </c>
      <c r="J1999" s="26" t="n">
        <v>0</v>
      </c>
      <c r="K1999" s="26" t="n">
        <v>27</v>
      </c>
      <c r="L1999" s="27" t="n">
        <v>0.15</v>
      </c>
      <c r="M1999" s="26" t="n">
        <v>82.8</v>
      </c>
      <c r="N1999" s="28" t="n">
        <v>3.4</v>
      </c>
      <c r="O1999" s="28" t="n">
        <v>41.4</v>
      </c>
      <c r="P1999" s="25" t="inlineStr">
        <is>
          <t>Debit Card</t>
        </is>
      </c>
      <c r="Q1999" s="25" t="inlineStr">
        <is>
          <t>Delivered</t>
        </is>
      </c>
      <c r="R1999" s="25" t="n">
        <v>1</v>
      </c>
      <c r="S1999" s="25">
        <f>TEXT(B1999,"yyyy-mm")</f>
        <v/>
      </c>
      <c r="T1999" s="25">
        <f>VLOOKUP(D1999,Customers!A:D,4,FALSE)</f>
        <v/>
      </c>
      <c r="U1999" s="25">
        <f>CONCATENATE(A1999,"-",G1999)</f>
        <v/>
      </c>
      <c r="V1999" s="25">
        <f>IF(N1999="","",IF(N1999&lt;=30,"Fast (&lt;30m)",IF(N1999&lt;=45,"Moderate (30-45m)","Delayed (&gt;45m)")))</f>
        <v/>
      </c>
      <c r="W1999" s="25">
        <f>IF(AND(I1999&gt;600,P1999="Delivered"),"High Value Delivered","Standard")</f>
        <v/>
      </c>
      <c r="X1999" s="25">
        <f>IF(OR(N1999&gt;50,Q1999&lt;=2),"High Risk / Delayed","Normal")</f>
        <v/>
      </c>
      <c r="Y1999" s="25">
        <f>IF(NOT(P1999="Cancelled"),"Fulfilled","Cancelled")</f>
        <v/>
      </c>
      <c r="Z1999" s="25">
        <f>IFERROR(Q1999,0)</f>
        <v/>
      </c>
    </row>
    <row r="2000">
      <c r="A2000" s="17" t="inlineStr">
        <is>
          <t>ORD2999</t>
        </is>
      </c>
      <c r="B2000" s="17" t="inlineStr">
        <is>
          <t>2025-10-21</t>
        </is>
      </c>
      <c r="C2000" s="17" t="inlineStr">
        <is>
          <t>19:21:59</t>
        </is>
      </c>
      <c r="D2000" s="17" t="n">
        <v>1218</v>
      </c>
      <c r="E2000" s="17" t="n">
        <v>112</v>
      </c>
      <c r="F2000" s="17" t="n">
        <v>228</v>
      </c>
      <c r="G2000" s="17" t="inlineStr">
        <is>
          <t>Delhi NCR</t>
        </is>
      </c>
      <c r="H2000" s="17" t="inlineStr">
        <is>
          <t>North Indian</t>
        </is>
      </c>
      <c r="I2000" s="22" t="n">
        <v>853</v>
      </c>
      <c r="J2000" s="22" t="n">
        <v>97.41</v>
      </c>
      <c r="K2000" s="22" t="n">
        <v>25</v>
      </c>
      <c r="L2000" s="23" t="n">
        <v>0.22</v>
      </c>
      <c r="M2000" s="22" t="n">
        <v>193.91</v>
      </c>
      <c r="N2000" s="24" t="n">
        <v>2.2</v>
      </c>
      <c r="O2000" s="24" t="n">
        <v>27.2</v>
      </c>
      <c r="P2000" s="17" t="inlineStr">
        <is>
          <t>UPI</t>
        </is>
      </c>
      <c r="Q2000" s="17" t="inlineStr">
        <is>
          <t>Delivered</t>
        </is>
      </c>
      <c r="R2000" s="17" t="n">
        <v>4</v>
      </c>
      <c r="S2000" s="17">
        <f>TEXT(B2000,"yyyy-mm")</f>
        <v/>
      </c>
      <c r="T2000" s="17">
        <f>VLOOKUP(D2000,Customers!A:D,4,FALSE)</f>
        <v/>
      </c>
      <c r="U2000" s="17">
        <f>CONCATENATE(A2000,"-",G2000)</f>
        <v/>
      </c>
      <c r="V2000" s="17">
        <f>IF(N2000="","",IF(N2000&lt;=30,"Fast (&lt;30m)",IF(N2000&lt;=45,"Moderate (30-45m)","Delayed (&gt;45m)")))</f>
        <v/>
      </c>
      <c r="W2000" s="17">
        <f>IF(AND(I2000&gt;600,P2000="Delivered"),"High Value Delivered","Standard")</f>
        <v/>
      </c>
      <c r="X2000" s="17">
        <f>IF(OR(N2000&gt;50,Q2000&lt;=2),"High Risk / Delayed","Normal")</f>
        <v/>
      </c>
      <c r="Y2000" s="17">
        <f>IF(NOT(P2000="Cancelled"),"Fulfilled","Cancelled")</f>
        <v/>
      </c>
      <c r="Z2000" s="17">
        <f>IFERROR(Q2000,0)</f>
        <v/>
      </c>
    </row>
    <row r="2001">
      <c r="A2001" s="25" t="inlineStr">
        <is>
          <t>ORD3000</t>
        </is>
      </c>
      <c r="B2001" s="25" t="inlineStr">
        <is>
          <t>2025-11-02</t>
        </is>
      </c>
      <c r="C2001" s="25" t="inlineStr">
        <is>
          <t>18:09:20</t>
        </is>
      </c>
      <c r="D2001" s="25" t="n">
        <v>1019</v>
      </c>
      <c r="E2001" s="25" t="n">
        <v>116</v>
      </c>
      <c r="F2001" s="25" t="n">
        <v>204</v>
      </c>
      <c r="G2001" s="25" t="inlineStr">
        <is>
          <t>Pune</t>
        </is>
      </c>
      <c r="H2001" s="25" t="inlineStr">
        <is>
          <t>Desserts</t>
        </is>
      </c>
      <c r="I2001" s="26" t="n">
        <v>600</v>
      </c>
      <c r="J2001" s="26" t="n">
        <v>19.06</v>
      </c>
      <c r="K2001" s="26" t="n">
        <v>26.5</v>
      </c>
      <c r="L2001" s="27" t="n">
        <v>0.25</v>
      </c>
      <c r="M2001" s="26" t="n">
        <v>156.62</v>
      </c>
      <c r="N2001" s="28" t="n">
        <v>3.3</v>
      </c>
      <c r="O2001" s="28" t="n">
        <v/>
      </c>
      <c r="P2001" s="25" t="inlineStr">
        <is>
          <t>Credit Card</t>
        </is>
      </c>
      <c r="Q2001" s="25" t="inlineStr">
        <is>
          <t>Cancelled</t>
        </is>
      </c>
      <c r="R2001" s="25" t="n">
        <v/>
      </c>
      <c r="S2001" s="25">
        <f>TEXT(B2001,"yyyy-mm")</f>
        <v/>
      </c>
      <c r="T2001" s="25">
        <f>VLOOKUP(D2001,Customers!A:D,4,FALSE)</f>
        <v/>
      </c>
      <c r="U2001" s="25">
        <f>CONCATENATE(A2001,"-",G2001)</f>
        <v/>
      </c>
      <c r="V2001" s="25">
        <f>IF(N2001="","",IF(N2001&lt;=30,"Fast (&lt;30m)",IF(N2001&lt;=45,"Moderate (30-45m)","Delayed (&gt;45m)")))</f>
        <v/>
      </c>
      <c r="W2001" s="25">
        <f>IF(AND(I2001&gt;600,P2001="Delivered"),"High Value Delivered","Standard")</f>
        <v/>
      </c>
      <c r="X2001" s="25">
        <f>IF(OR(N2001&gt;50,Q2001&lt;=2),"High Risk / Delayed","Normal")</f>
        <v/>
      </c>
      <c r="Y2001" s="25">
        <f>IF(NOT(P2001="Cancelled"),"Fulfilled","Cancelled")</f>
        <v/>
      </c>
      <c r="Z2001" s="25">
        <f>IFERROR(Q2001,0)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9" t="inlineStr">
        <is>
          <t>order_id</t>
        </is>
      </c>
      <c r="B1" s="29" t="inlineStr">
        <is>
          <t>order_date</t>
        </is>
      </c>
      <c r="C1" s="29" t="inlineStr">
        <is>
          <t>order_time</t>
        </is>
      </c>
      <c r="D1" s="29" t="inlineStr">
        <is>
          <t>customer_id</t>
        </is>
      </c>
      <c r="E1" s="29" t="inlineStr">
        <is>
          <t>restaurant_id</t>
        </is>
      </c>
      <c r="F1" s="29" t="inlineStr">
        <is>
          <t>partner_id</t>
        </is>
      </c>
      <c r="G1" s="29" t="inlineStr">
        <is>
          <t>city</t>
        </is>
      </c>
      <c r="H1" s="29" t="inlineStr">
        <is>
          <t>cuisine_category</t>
        </is>
      </c>
      <c r="I1" s="29" t="inlineStr">
        <is>
          <t>order_value</t>
        </is>
      </c>
      <c r="J1" s="29" t="inlineStr">
        <is>
          <t>discount_amount</t>
        </is>
      </c>
      <c r="K1" s="29" t="inlineStr">
        <is>
          <t>delivery_fee</t>
        </is>
      </c>
      <c r="L1" s="29" t="inlineStr">
        <is>
          <t>platform_commission_pct</t>
        </is>
      </c>
      <c r="M1" s="29" t="inlineStr">
        <is>
          <t>platform_revenue</t>
        </is>
      </c>
      <c r="N1" s="29" t="inlineStr">
        <is>
          <t>delivery_distance_km</t>
        </is>
      </c>
      <c r="O1" s="29" t="inlineStr">
        <is>
          <t>delivery_time_mins</t>
        </is>
      </c>
      <c r="P1" s="29" t="inlineStr">
        <is>
          <t>payment_method</t>
        </is>
      </c>
      <c r="Q1" s="29" t="inlineStr">
        <is>
          <t>order_status</t>
        </is>
      </c>
      <c r="R1" s="29" t="inlineStr">
        <is>
          <t>customer_rating</t>
        </is>
      </c>
    </row>
    <row r="2">
      <c r="A2" t="inlineStr">
        <is>
          <t>ORD1001</t>
        </is>
      </c>
      <c r="B2" t="inlineStr">
        <is>
          <t>2025-07-26</t>
        </is>
      </c>
      <c r="C2" t="inlineStr">
        <is>
          <t>13:55:32</t>
        </is>
      </c>
      <c r="D2" t="n">
        <v>1148</v>
      </c>
      <c r="E2" t="n">
        <v>115</v>
      </c>
      <c r="F2" t="n">
        <v>213</v>
      </c>
      <c r="G2" t="inlineStr">
        <is>
          <t>Bangalore</t>
        </is>
      </c>
      <c r="H2" t="inlineStr">
        <is>
          <t>Italian</t>
        </is>
      </c>
      <c r="I2" t="n">
        <v>221</v>
      </c>
      <c r="J2" t="n">
        <v>9.59</v>
      </c>
      <c r="K2" t="n">
        <v>31.5</v>
      </c>
      <c r="L2" t="n">
        <v>0.2</v>
      </c>
      <c r="M2" t="n">
        <v>52.08</v>
      </c>
      <c r="N2" t="n">
        <v>4.3</v>
      </c>
      <c r="O2" t="n">
        <v>32.5</v>
      </c>
      <c r="P2" t="inlineStr">
        <is>
          <t>Credit Card</t>
        </is>
      </c>
      <c r="Q2" t="inlineStr">
        <is>
          <t>Delivered</t>
        </is>
      </c>
      <c r="R2" t="n">
        <v>3</v>
      </c>
    </row>
    <row r="3">
      <c r="A3" t="inlineStr">
        <is>
          <t>ORD1002</t>
        </is>
      </c>
      <c r="B3" t="inlineStr">
        <is>
          <t>2025-01-27</t>
        </is>
      </c>
      <c r="C3" t="inlineStr">
        <is>
          <t>19:13:17</t>
        </is>
      </c>
      <c r="D3" t="n">
        <v>1137</v>
      </c>
      <c r="E3" t="n">
        <v>106</v>
      </c>
      <c r="F3" t="n">
        <v>208</v>
      </c>
      <c r="G3" t="inlineStr">
        <is>
          <t>Pune</t>
        </is>
      </c>
      <c r="H3" t="inlineStr">
        <is>
          <t>South Indian</t>
        </is>
      </c>
      <c r="I3" t="n">
        <v>782</v>
      </c>
      <c r="J3" t="n">
        <v>0</v>
      </c>
      <c r="K3" t="n">
        <v>43.5</v>
      </c>
      <c r="L3" t="n">
        <v>0.15</v>
      </c>
      <c r="M3" t="n">
        <v>128.18</v>
      </c>
      <c r="N3" t="n">
        <v>6.7</v>
      </c>
      <c r="O3" t="n">
        <v>44.6</v>
      </c>
      <c r="P3" t="inlineStr">
        <is>
          <t>Cash on Delivery</t>
        </is>
      </c>
      <c r="Q3" t="inlineStr">
        <is>
          <t>Delivered</t>
        </is>
      </c>
      <c r="R3" t="n">
        <v>4</v>
      </c>
    </row>
    <row r="4">
      <c r="A4" t="inlineStr">
        <is>
          <t>ORD1003</t>
        </is>
      </c>
      <c r="B4" t="inlineStr">
        <is>
          <t>2025-11-19</t>
        </is>
      </c>
      <c r="C4" t="inlineStr">
        <is>
          <t>22:38:51</t>
        </is>
      </c>
      <c r="D4" t="n">
        <v>1267</v>
      </c>
      <c r="E4" t="n">
        <v>115</v>
      </c>
      <c r="F4" t="n">
        <v>227</v>
      </c>
      <c r="G4" t="inlineStr">
        <is>
          <t>Bangalore</t>
        </is>
      </c>
      <c r="H4" t="inlineStr">
        <is>
          <t>Italian</t>
        </is>
      </c>
      <c r="I4" t="n">
        <v>465</v>
      </c>
      <c r="J4" t="n">
        <v>46.35</v>
      </c>
      <c r="K4" t="n">
        <v>27.5</v>
      </c>
      <c r="L4" t="n">
        <v>0.2</v>
      </c>
      <c r="M4" t="n">
        <v>99.88</v>
      </c>
      <c r="N4" t="n">
        <v>3.5</v>
      </c>
      <c r="O4" t="n">
        <v>29.4</v>
      </c>
      <c r="P4" t="inlineStr">
        <is>
          <t>UPI</t>
        </is>
      </c>
      <c r="Q4" t="inlineStr">
        <is>
          <t>Delivered</t>
        </is>
      </c>
      <c r="R4" t="n">
        <v>4</v>
      </c>
    </row>
    <row r="5">
      <c r="A5" t="inlineStr">
        <is>
          <t>ORD1004</t>
        </is>
      </c>
      <c r="B5" t="inlineStr">
        <is>
          <t>2025-02-28</t>
        </is>
      </c>
      <c r="C5" t="inlineStr">
        <is>
          <t>18:29:07</t>
        </is>
      </c>
      <c r="D5" t="n">
        <v>1001</v>
      </c>
      <c r="E5" t="n">
        <v>119</v>
      </c>
      <c r="F5" t="n">
        <v>225</v>
      </c>
      <c r="G5" t="inlineStr">
        <is>
          <t>Hyderabad</t>
        </is>
      </c>
      <c r="H5" t="inlineStr">
        <is>
          <t>Biryani</t>
        </is>
      </c>
      <c r="I5" t="n">
        <v>883</v>
      </c>
      <c r="J5" t="n">
        <v>35.21</v>
      </c>
      <c r="K5" t="n">
        <v>43</v>
      </c>
      <c r="L5" t="n">
        <v>0.2</v>
      </c>
      <c r="M5" t="n">
        <v>187.35</v>
      </c>
      <c r="N5" t="n">
        <v>6.6</v>
      </c>
      <c r="O5" t="n">
        <v>41</v>
      </c>
      <c r="P5" t="inlineStr">
        <is>
          <t>Digital Wallet</t>
        </is>
      </c>
      <c r="Q5" t="inlineStr">
        <is>
          <t>Delivered</t>
        </is>
      </c>
      <c r="R5" t="n">
        <v>1</v>
      </c>
    </row>
    <row r="6">
      <c r="A6" t="inlineStr">
        <is>
          <t>ORD1005</t>
        </is>
      </c>
      <c r="B6" t="inlineStr">
        <is>
          <t>2025-08-30</t>
        </is>
      </c>
      <c r="C6" t="inlineStr">
        <is>
          <t>18:15:29</t>
        </is>
      </c>
      <c r="D6" t="n">
        <v>1120</v>
      </c>
      <c r="E6" t="n">
        <v>120</v>
      </c>
      <c r="F6" t="n">
        <v>207</v>
      </c>
      <c r="G6" t="inlineStr">
        <is>
          <t>Pune</t>
        </is>
      </c>
      <c r="H6" t="inlineStr">
        <is>
          <t>Fast Food</t>
        </is>
      </c>
      <c r="I6" t="n">
        <v>784</v>
      </c>
      <c r="J6" t="n">
        <v>0</v>
      </c>
      <c r="K6" t="n">
        <v>25.5</v>
      </c>
      <c r="L6" t="n">
        <v>0.18</v>
      </c>
      <c r="M6" t="n">
        <v>147.5</v>
      </c>
      <c r="N6" t="n">
        <v>3.1</v>
      </c>
      <c r="O6" t="n">
        <v>23</v>
      </c>
      <c r="P6" t="inlineStr">
        <is>
          <t>Digital Wallet</t>
        </is>
      </c>
      <c r="Q6" t="inlineStr">
        <is>
          <t>Returned</t>
        </is>
      </c>
      <c r="R6" t="n">
        <v>3</v>
      </c>
    </row>
    <row r="7">
      <c r="A7" t="inlineStr">
        <is>
          <t>ORD1006</t>
        </is>
      </c>
      <c r="B7" t="inlineStr">
        <is>
          <t>2025-08-01</t>
        </is>
      </c>
      <c r="C7" t="inlineStr">
        <is>
          <t>19:21:59</t>
        </is>
      </c>
      <c r="D7" t="n">
        <v>1247</v>
      </c>
      <c r="E7" t="n">
        <v>105</v>
      </c>
      <c r="F7" t="n">
        <v>210</v>
      </c>
      <c r="G7" t="inlineStr">
        <is>
          <t xml:space="preserve">bangalore  </t>
        </is>
      </c>
      <c r="H7" t="inlineStr">
        <is>
          <t>Chinese</t>
        </is>
      </c>
      <c r="I7" t="n">
        <v>739</v>
      </c>
      <c r="J7" t="n">
        <v>0</v>
      </c>
      <c r="K7" t="n">
        <v>29.5</v>
      </c>
      <c r="L7" t="n">
        <v>0.2</v>
      </c>
      <c r="M7" t="n">
        <v>155.18</v>
      </c>
      <c r="N7" t="n">
        <v>3.9</v>
      </c>
      <c r="O7" t="n">
        <v>35.9</v>
      </c>
      <c r="P7" t="inlineStr">
        <is>
          <t>Debit Card</t>
        </is>
      </c>
      <c r="Q7" t="inlineStr">
        <is>
          <t>Delivered</t>
        </is>
      </c>
      <c r="R7" t="n">
        <v>3</v>
      </c>
    </row>
    <row r="8">
      <c r="A8" t="inlineStr">
        <is>
          <t>ORD1007</t>
        </is>
      </c>
      <c r="B8" t="inlineStr">
        <is>
          <t>2025-10-03</t>
        </is>
      </c>
      <c r="C8" t="inlineStr">
        <is>
          <t>11:30:22</t>
        </is>
      </c>
      <c r="D8" t="n">
        <v>1186</v>
      </c>
      <c r="E8" t="n">
        <v>102</v>
      </c>
      <c r="F8" t="n">
        <v>225</v>
      </c>
      <c r="G8" t="inlineStr">
        <is>
          <t>Hyderabad</t>
        </is>
      </c>
      <c r="H8" t="inlineStr">
        <is>
          <t>Biryani</t>
        </is>
      </c>
      <c r="I8" t="n">
        <v>560</v>
      </c>
      <c r="J8" t="n">
        <v>49.64</v>
      </c>
      <c r="K8" t="n">
        <v>28</v>
      </c>
      <c r="L8" t="n">
        <v>0.22</v>
      </c>
      <c r="M8" t="n">
        <v>130.2</v>
      </c>
      <c r="N8" t="n">
        <v>3.6</v>
      </c>
      <c r="O8" t="n">
        <v>28.6</v>
      </c>
      <c r="P8" t="inlineStr">
        <is>
          <t>Cash on Delivery</t>
        </is>
      </c>
      <c r="Q8" t="inlineStr">
        <is>
          <t>Delivered</t>
        </is>
      </c>
      <c r="R8" t="n">
        <v>4</v>
      </c>
    </row>
    <row r="9">
      <c r="A9" t="inlineStr">
        <is>
          <t>ORD1008</t>
        </is>
      </c>
      <c r="B9" t="inlineStr">
        <is>
          <t>2025-10-20</t>
        </is>
      </c>
      <c r="C9" t="inlineStr">
        <is>
          <t>23:24:14</t>
        </is>
      </c>
      <c r="D9" t="n">
        <v>1079</v>
      </c>
      <c r="E9" t="n">
        <v>105</v>
      </c>
      <c r="F9" t="n">
        <v>213</v>
      </c>
      <c r="G9" t="inlineStr">
        <is>
          <t>Bangalore</t>
        </is>
      </c>
      <c r="H9" t="inlineStr">
        <is>
          <t>Chinese</t>
        </is>
      </c>
      <c r="I9" t="n">
        <v>640</v>
      </c>
      <c r="J9" t="n">
        <v>0</v>
      </c>
      <c r="K9" t="n">
        <v>26.5</v>
      </c>
      <c r="L9" t="n">
        <v>0.2</v>
      </c>
      <c r="M9" t="n">
        <v>134.62</v>
      </c>
      <c r="N9" t="n">
        <v>3.3</v>
      </c>
      <c r="O9" t="n">
        <v>28.8</v>
      </c>
      <c r="P9" t="inlineStr">
        <is>
          <t>Cash on Delivery</t>
        </is>
      </c>
      <c r="Q9" t="inlineStr">
        <is>
          <t>Delivered</t>
        </is>
      </c>
      <c r="R9" t="n">
        <v>2</v>
      </c>
    </row>
    <row r="10">
      <c r="A10" t="inlineStr">
        <is>
          <t>ORD1009</t>
        </is>
      </c>
      <c r="B10" t="inlineStr">
        <is>
          <t>2025-01-19</t>
        </is>
      </c>
      <c r="C10" t="inlineStr">
        <is>
          <t>17:08:32</t>
        </is>
      </c>
      <c r="D10" t="n">
        <v>1005</v>
      </c>
      <c r="E10" t="n">
        <v>109</v>
      </c>
      <c r="F10" t="n">
        <v>225</v>
      </c>
      <c r="G10" t="inlineStr">
        <is>
          <t>Hyderabad</t>
        </is>
      </c>
      <c r="H10" t="inlineStr">
        <is>
          <t>Biryani</t>
        </is>
      </c>
      <c r="I10" t="n">
        <v>824</v>
      </c>
      <c r="J10" t="n">
        <v>0</v>
      </c>
      <c r="K10" t="n">
        <v>33</v>
      </c>
      <c r="L10" t="n">
        <v>0.2</v>
      </c>
      <c r="M10" t="n">
        <v>173.05</v>
      </c>
      <c r="N10" t="n">
        <v>4.6</v>
      </c>
      <c r="O10" t="n">
        <v>26.2</v>
      </c>
      <c r="P10" t="inlineStr">
        <is>
          <t>Cash on Delivery</t>
        </is>
      </c>
      <c r="Q10" t="inlineStr">
        <is>
          <t>Delivered</t>
        </is>
      </c>
      <c r="R10" t="n">
        <v>4</v>
      </c>
    </row>
    <row r="11">
      <c r="A11" t="inlineStr">
        <is>
          <t>ORD1010</t>
        </is>
      </c>
      <c r="B11" t="inlineStr">
        <is>
          <t>2025-01-08</t>
        </is>
      </c>
      <c r="C11" t="inlineStr">
        <is>
          <t>09:46:09</t>
        </is>
      </c>
      <c r="D11" t="n">
        <v>1091</v>
      </c>
      <c r="E11" t="n">
        <v>116</v>
      </c>
      <c r="F11" t="n">
        <v>217</v>
      </c>
      <c r="G11" t="inlineStr">
        <is>
          <t>Pune</t>
        </is>
      </c>
      <c r="H11" t="inlineStr">
        <is>
          <t>Desserts</t>
        </is>
      </c>
      <c r="I11" t="n">
        <v>639</v>
      </c>
      <c r="J11" t="n">
        <v>49.58</v>
      </c>
      <c r="K11" t="n">
        <v>28</v>
      </c>
      <c r="L11" t="n">
        <v>0.25</v>
      </c>
      <c r="M11" t="n">
        <v>166.75</v>
      </c>
      <c r="N11" t="n">
        <v>3.6</v>
      </c>
      <c r="O11" t="n">
        <v>23</v>
      </c>
      <c r="P11" t="inlineStr">
        <is>
          <t>Debit Card</t>
        </is>
      </c>
      <c r="Q11" t="inlineStr">
        <is>
          <t>Delivered</t>
        </is>
      </c>
      <c r="R11" t="n">
        <v>4</v>
      </c>
    </row>
    <row r="12">
      <c r="A12" t="inlineStr">
        <is>
          <t>ORD1011</t>
        </is>
      </c>
      <c r="B12" t="inlineStr">
        <is>
          <t>2025-06-18</t>
        </is>
      </c>
      <c r="C12" t="inlineStr">
        <is>
          <t>11:54:43</t>
        </is>
      </c>
      <c r="D12" t="n">
        <v>1275</v>
      </c>
      <c r="E12" t="n">
        <v>106</v>
      </c>
      <c r="F12" t="n">
        <v>214</v>
      </c>
      <c r="G12" t="inlineStr">
        <is>
          <t>Pune</t>
        </is>
      </c>
      <c r="H12" t="inlineStr">
        <is>
          <t>South Indian</t>
        </is>
      </c>
      <c r="I12" t="n">
        <v>766</v>
      </c>
      <c r="J12" t="n">
        <v>0</v>
      </c>
      <c r="K12" t="n">
        <v>34</v>
      </c>
      <c r="L12" t="n">
        <v>0.15</v>
      </c>
      <c r="M12" t="n">
        <v>123.4</v>
      </c>
      <c r="N12" t="n">
        <v>4.8</v>
      </c>
      <c r="O12" t="n">
        <v>32.5</v>
      </c>
      <c r="P12" t="inlineStr">
        <is>
          <t>Cash on Delivery</t>
        </is>
      </c>
      <c r="Q12" t="inlineStr">
        <is>
          <t>Delivered</t>
        </is>
      </c>
      <c r="R12" t="n">
        <v>4</v>
      </c>
    </row>
    <row r="13">
      <c r="A13" t="inlineStr">
        <is>
          <t>ORD1012</t>
        </is>
      </c>
      <c r="B13" t="inlineStr">
        <is>
          <t>2025-11-20</t>
        </is>
      </c>
      <c r="C13" t="inlineStr">
        <is>
          <t>10:43:58</t>
        </is>
      </c>
      <c r="D13" t="n">
        <v>1264</v>
      </c>
      <c r="E13" t="n">
        <v>115</v>
      </c>
      <c r="F13" t="n">
        <v>203</v>
      </c>
      <c r="G13" t="inlineStr">
        <is>
          <t>Bangalore</t>
        </is>
      </c>
      <c r="H13" t="inlineStr">
        <is>
          <t>Italian</t>
        </is>
      </c>
      <c r="I13" t="n">
        <v>514</v>
      </c>
      <c r="J13" t="n">
        <v>30.71</v>
      </c>
      <c r="K13" t="n">
        <v>42</v>
      </c>
      <c r="L13" t="n">
        <v>0.2</v>
      </c>
      <c r="M13" t="n">
        <v>113.3</v>
      </c>
      <c r="N13" t="n">
        <v>6.4</v>
      </c>
      <c r="O13" t="n">
        <v>38.2</v>
      </c>
      <c r="P13" t="inlineStr">
        <is>
          <t>UPI</t>
        </is>
      </c>
      <c r="Q13" t="inlineStr">
        <is>
          <t>Delivered</t>
        </is>
      </c>
      <c r="R13" t="n">
        <v>4</v>
      </c>
    </row>
    <row r="14">
      <c r="A14" t="inlineStr">
        <is>
          <t>ORD1013</t>
        </is>
      </c>
      <c r="B14" t="inlineStr">
        <is>
          <t>2025-12-22</t>
        </is>
      </c>
      <c r="C14" t="inlineStr">
        <is>
          <t>19:19:57</t>
        </is>
      </c>
      <c r="D14" t="n">
        <v>1031</v>
      </c>
      <c r="E14" t="n">
        <v>103</v>
      </c>
      <c r="F14" t="n">
        <v>229</v>
      </c>
      <c r="G14" t="inlineStr">
        <is>
          <t xml:space="preserve">mumbai  </t>
        </is>
      </c>
      <c r="H14" t="inlineStr">
        <is>
          <t>Italian</t>
        </is>
      </c>
      <c r="I14" t="n">
        <v>249</v>
      </c>
      <c r="J14" t="n">
        <v>13.25</v>
      </c>
      <c r="K14" t="n">
        <v>25</v>
      </c>
      <c r="L14" t="n">
        <v>0.18</v>
      </c>
      <c r="M14" t="n">
        <v>51.07</v>
      </c>
      <c r="N14" t="n">
        <v>2</v>
      </c>
      <c r="O14" t="n">
        <v>28.9</v>
      </c>
      <c r="P14" t="inlineStr">
        <is>
          <t>Debit Card</t>
        </is>
      </c>
      <c r="Q14" t="inlineStr">
        <is>
          <t>Delivered</t>
        </is>
      </c>
      <c r="R14" t="n">
        <v>5</v>
      </c>
    </row>
    <row r="15">
      <c r="A15" t="inlineStr">
        <is>
          <t>ORD1014</t>
        </is>
      </c>
      <c r="B15" t="inlineStr">
        <is>
          <t>2025-03-16</t>
        </is>
      </c>
      <c r="C15" t="inlineStr">
        <is>
          <t>00:15:33</t>
        </is>
      </c>
      <c r="D15" t="n">
        <v>1298</v>
      </c>
      <c r="E15" t="n">
        <v>102</v>
      </c>
      <c r="F15" t="n">
        <v>225</v>
      </c>
      <c r="G15" t="inlineStr">
        <is>
          <t>Hyderabad</t>
        </is>
      </c>
      <c r="H15" t="inlineStr">
        <is>
          <t>Biryani</t>
        </is>
      </c>
      <c r="I15" t="n">
        <v>641</v>
      </c>
      <c r="J15" t="n">
        <v>40.64</v>
      </c>
      <c r="K15" t="n">
        <v>25</v>
      </c>
      <c r="L15" t="n">
        <v>0.22</v>
      </c>
      <c r="M15" t="n">
        <v>147.27</v>
      </c>
      <c r="N15" t="n">
        <v>2.7</v>
      </c>
      <c r="O15" t="n">
        <v>24.2</v>
      </c>
      <c r="P15" t="inlineStr">
        <is>
          <t>UPI</t>
        </is>
      </c>
      <c r="Q15" t="inlineStr">
        <is>
          <t>Delivered</t>
        </is>
      </c>
      <c r="R15" t="n">
        <v>4</v>
      </c>
    </row>
    <row r="16">
      <c r="A16" t="inlineStr">
        <is>
          <t>ORD1015</t>
        </is>
      </c>
      <c r="B16" t="inlineStr">
        <is>
          <t>2025-10-26</t>
        </is>
      </c>
      <c r="C16" t="inlineStr">
        <is>
          <t>09:09:14</t>
        </is>
      </c>
      <c r="D16" t="n">
        <v>1152</v>
      </c>
      <c r="E16" t="n">
        <v>119</v>
      </c>
      <c r="F16" t="n">
        <v>216</v>
      </c>
      <c r="G16" t="inlineStr">
        <is>
          <t>Hyderabad</t>
        </is>
      </c>
      <c r="H16" t="inlineStr">
        <is>
          <t>Biryani</t>
        </is>
      </c>
      <c r="I16" t="n">
        <v>692</v>
      </c>
      <c r="J16" t="n">
        <v>25.44</v>
      </c>
      <c r="K16" t="n">
        <v>38</v>
      </c>
      <c r="L16" t="n">
        <v>0.2</v>
      </c>
      <c r="M16" t="n">
        <v>147.9</v>
      </c>
      <c r="N16" t="n">
        <v>5.6</v>
      </c>
      <c r="O16" t="n">
        <v>35.6</v>
      </c>
      <c r="P16" t="inlineStr">
        <is>
          <t>Cash on Delivery</t>
        </is>
      </c>
      <c r="Q16" t="inlineStr">
        <is>
          <t>Delivered</t>
        </is>
      </c>
      <c r="R16" t="n">
        <v>3</v>
      </c>
    </row>
    <row r="17">
      <c r="A17" t="inlineStr">
        <is>
          <t>ORD1016</t>
        </is>
      </c>
      <c r="B17" t="inlineStr">
        <is>
          <t>2025-08-15</t>
        </is>
      </c>
      <c r="C17" t="inlineStr">
        <is>
          <t>13:22:37</t>
        </is>
      </c>
      <c r="D17" t="n">
        <v>1197</v>
      </c>
      <c r="E17" t="n">
        <v>107</v>
      </c>
      <c r="F17" t="n">
        <v>229</v>
      </c>
      <c r="G17" t="inlineStr">
        <is>
          <t>Mumbai</t>
        </is>
      </c>
      <c r="H17" t="inlineStr">
        <is>
          <t>Desserts</t>
        </is>
      </c>
      <c r="I17" t="n">
        <v>526</v>
      </c>
      <c r="J17" t="n">
        <v>49.83</v>
      </c>
      <c r="K17" t="n">
        <v>29</v>
      </c>
      <c r="L17" t="n">
        <v>0.25</v>
      </c>
      <c r="M17" t="n">
        <v>138.75</v>
      </c>
      <c r="N17" t="n">
        <v>3.8</v>
      </c>
      <c r="O17" t="n">
        <v>34.5</v>
      </c>
      <c r="P17" t="inlineStr">
        <is>
          <t>Debit Card</t>
        </is>
      </c>
      <c r="Q17" t="inlineStr">
        <is>
          <t>Delivered</t>
        </is>
      </c>
      <c r="R17" t="n">
        <v>5</v>
      </c>
    </row>
    <row r="18">
      <c r="A18" t="inlineStr">
        <is>
          <t>ORD1017</t>
        </is>
      </c>
      <c r="B18" t="inlineStr">
        <is>
          <t>2025-07-16</t>
        </is>
      </c>
      <c r="C18" t="inlineStr">
        <is>
          <t>19:54:30</t>
        </is>
      </c>
      <c r="D18" t="n">
        <v>1142</v>
      </c>
      <c r="E18" t="n">
        <v>114</v>
      </c>
      <c r="F18" t="n">
        <v>225</v>
      </c>
      <c r="G18" t="inlineStr">
        <is>
          <t>Hyderabad</t>
        </is>
      </c>
      <c r="H18" t="inlineStr">
        <is>
          <t>Biryani</t>
        </is>
      </c>
      <c r="I18" t="n">
        <v>329</v>
      </c>
      <c r="J18" t="n">
        <v>0</v>
      </c>
      <c r="K18" t="n">
        <v>33</v>
      </c>
      <c r="L18" t="n">
        <v>0.22</v>
      </c>
      <c r="M18" t="n">
        <v>80.63</v>
      </c>
      <c r="N18" t="n">
        <v>4.6</v>
      </c>
      <c r="O18" t="n">
        <v>35.6</v>
      </c>
      <c r="P18" t="inlineStr">
        <is>
          <t>Digital Wallet</t>
        </is>
      </c>
      <c r="Q18" t="inlineStr">
        <is>
          <t>Delivered</t>
        </is>
      </c>
      <c r="R18" t="n">
        <v>1</v>
      </c>
    </row>
    <row r="19">
      <c r="A19" t="inlineStr">
        <is>
          <t>ORD1018</t>
        </is>
      </c>
      <c r="B19" t="inlineStr">
        <is>
          <t>2025-12-04</t>
        </is>
      </c>
      <c r="C19" t="inlineStr">
        <is>
          <t>20:25:17</t>
        </is>
      </c>
      <c r="D19" t="n">
        <v>1003</v>
      </c>
      <c r="E19" t="n">
        <v>116</v>
      </c>
      <c r="F19" t="n">
        <v>208</v>
      </c>
      <c r="G19" t="inlineStr">
        <is>
          <t>Pune</t>
        </is>
      </c>
      <c r="H19" t="inlineStr">
        <is>
          <t>Desserts</t>
        </is>
      </c>
      <c r="I19" t="n">
        <v>228</v>
      </c>
      <c r="J19" t="n">
        <v>20.43</v>
      </c>
      <c r="K19" t="n">
        <v>25</v>
      </c>
      <c r="L19" t="n">
        <v>0.25</v>
      </c>
      <c r="M19" t="n">
        <v>63.25</v>
      </c>
      <c r="N19" t="n">
        <v>2.2</v>
      </c>
      <c r="O19" t="n">
        <v/>
      </c>
      <c r="P19" t="inlineStr">
        <is>
          <t>UPI</t>
        </is>
      </c>
      <c r="Q19" t="inlineStr">
        <is>
          <t>Cancelled</t>
        </is>
      </c>
      <c r="R19" t="n">
        <v/>
      </c>
    </row>
    <row r="20">
      <c r="A20" t="inlineStr">
        <is>
          <t>ORD1019</t>
        </is>
      </c>
      <c r="B20" t="inlineStr">
        <is>
          <t>2025-11-07</t>
        </is>
      </c>
      <c r="C20" t="inlineStr">
        <is>
          <t>13:51:22</t>
        </is>
      </c>
      <c r="D20" t="n">
        <v>1120</v>
      </c>
      <c r="E20" t="n">
        <v>106</v>
      </c>
      <c r="F20" t="n">
        <v>208</v>
      </c>
      <c r="G20" t="inlineStr">
        <is>
          <t>Pune</t>
        </is>
      </c>
      <c r="H20" t="inlineStr">
        <is>
          <t>South Indian</t>
        </is>
      </c>
      <c r="I20" t="n">
        <v>444</v>
      </c>
      <c r="J20" t="n">
        <v>22.05</v>
      </c>
      <c r="K20" t="n">
        <v>53</v>
      </c>
      <c r="L20" t="n">
        <v>0.15</v>
      </c>
      <c r="M20" t="n">
        <v>79.84999999999999</v>
      </c>
      <c r="N20" t="n">
        <v>8.6</v>
      </c>
      <c r="O20" t="n">
        <v>57.1</v>
      </c>
      <c r="P20" t="inlineStr">
        <is>
          <t>Credit Card</t>
        </is>
      </c>
      <c r="Q20" t="inlineStr">
        <is>
          <t>Delivered</t>
        </is>
      </c>
      <c r="R20" t="n">
        <v>3</v>
      </c>
    </row>
    <row r="21">
      <c r="A21" t="inlineStr">
        <is>
          <t>ORD1020</t>
        </is>
      </c>
      <c r="B21" t="inlineStr">
        <is>
          <t>2025-08-14</t>
        </is>
      </c>
      <c r="C21" t="inlineStr">
        <is>
          <t>13:02:37</t>
        </is>
      </c>
      <c r="D21" t="n">
        <v>1245</v>
      </c>
      <c r="E21" t="n">
        <v>113</v>
      </c>
      <c r="F21" t="n">
        <v>222</v>
      </c>
      <c r="G21" t="inlineStr">
        <is>
          <t>Mumbai</t>
        </is>
      </c>
      <c r="H21" t="inlineStr">
        <is>
          <t>Fast Food</t>
        </is>
      </c>
      <c r="I21" t="n">
        <v>593</v>
      </c>
      <c r="J21" t="n">
        <v>4.28</v>
      </c>
      <c r="K21" t="n">
        <v>34</v>
      </c>
      <c r="L21" t="n">
        <v>0.18</v>
      </c>
      <c r="M21" t="n">
        <v>115.24</v>
      </c>
      <c r="N21" t="n">
        <v>4.8</v>
      </c>
      <c r="O21" t="n">
        <v>34.9</v>
      </c>
      <c r="P21" t="inlineStr">
        <is>
          <t>Cash on Delivery</t>
        </is>
      </c>
      <c r="Q21" t="inlineStr">
        <is>
          <t>Delivered</t>
        </is>
      </c>
      <c r="R21" t="n">
        <v>3</v>
      </c>
    </row>
    <row r="22">
      <c r="A22" t="inlineStr">
        <is>
          <t>ORD1021</t>
        </is>
      </c>
      <c r="B22" t="inlineStr">
        <is>
          <t>2025-03-09</t>
        </is>
      </c>
      <c r="C22" t="inlineStr">
        <is>
          <t>21:50:34</t>
        </is>
      </c>
      <c r="D22" t="n">
        <v>1163</v>
      </c>
      <c r="E22" t="n">
        <v>117</v>
      </c>
      <c r="F22" t="n">
        <v>202</v>
      </c>
      <c r="G22" t="inlineStr">
        <is>
          <t>Mumbai</t>
        </is>
      </c>
      <c r="H22" t="inlineStr">
        <is>
          <t>Chinese</t>
        </is>
      </c>
      <c r="I22" t="n">
        <v>594</v>
      </c>
      <c r="J22" t="n">
        <v>51.77</v>
      </c>
      <c r="K22" t="n">
        <v>29</v>
      </c>
      <c r="L22" t="n">
        <v>0.2</v>
      </c>
      <c r="M22" t="n">
        <v>126.05</v>
      </c>
      <c r="N22" t="n">
        <v>3.8</v>
      </c>
      <c r="O22" t="n">
        <v>42.3</v>
      </c>
      <c r="P22" t="inlineStr">
        <is>
          <t>Credit Card</t>
        </is>
      </c>
      <c r="Q22" t="inlineStr">
        <is>
          <t>Delivered</t>
        </is>
      </c>
      <c r="R22" t="n">
        <v/>
      </c>
    </row>
    <row r="23">
      <c r="A23" t="inlineStr">
        <is>
          <t>ORD1022</t>
        </is>
      </c>
      <c r="B23" t="inlineStr">
        <is>
          <t>2025-06-23</t>
        </is>
      </c>
      <c r="C23" t="inlineStr">
        <is>
          <t>19:51:07</t>
        </is>
      </c>
      <c r="D23" t="n">
        <v>1022</v>
      </c>
      <c r="E23" t="n">
        <v>108</v>
      </c>
      <c r="F23" t="n">
        <v>228</v>
      </c>
      <c r="G23" t="inlineStr">
        <is>
          <t>Delhi NCR</t>
        </is>
      </c>
      <c r="H23" t="inlineStr">
        <is>
          <t>Fast Food</t>
        </is>
      </c>
      <c r="I23" t="n">
        <v>699</v>
      </c>
      <c r="J23" t="n">
        <v>7.87</v>
      </c>
      <c r="K23" t="n">
        <v>36.5</v>
      </c>
      <c r="L23" t="n">
        <v>0.18</v>
      </c>
      <c r="M23" t="n">
        <v>134.94</v>
      </c>
      <c r="N23" t="n">
        <v>5.3</v>
      </c>
      <c r="O23" t="n">
        <v>46.4</v>
      </c>
      <c r="P23" t="inlineStr">
        <is>
          <t>Cash on Delivery</t>
        </is>
      </c>
      <c r="Q23" t="inlineStr">
        <is>
          <t>Delivered</t>
        </is>
      </c>
      <c r="R23" t="n">
        <v>3</v>
      </c>
    </row>
    <row r="24">
      <c r="A24" t="inlineStr">
        <is>
          <t>ORD1023</t>
        </is>
      </c>
      <c r="B24" t="inlineStr">
        <is>
          <t>2025-01-08</t>
        </is>
      </c>
      <c r="C24" t="inlineStr">
        <is>
          <t>00:16:34</t>
        </is>
      </c>
      <c r="D24" t="n">
        <v>1086</v>
      </c>
      <c r="E24" t="n">
        <v>104</v>
      </c>
      <c r="F24" t="n">
        <v>230</v>
      </c>
      <c r="G24" t="inlineStr">
        <is>
          <t>Delhi NCR</t>
        </is>
      </c>
      <c r="H24" t="inlineStr">
        <is>
          <t>Fast Food</t>
        </is>
      </c>
      <c r="I24" t="n">
        <v>346</v>
      </c>
      <c r="J24" t="n">
        <v>0</v>
      </c>
      <c r="K24" t="n">
        <v>26.5</v>
      </c>
      <c r="L24" t="n">
        <v>0.18</v>
      </c>
      <c r="M24" t="n">
        <v>68.90000000000001</v>
      </c>
      <c r="N24" t="n">
        <v>3.3</v>
      </c>
      <c r="O24" t="n">
        <v>28</v>
      </c>
      <c r="P24" t="inlineStr">
        <is>
          <t>Debit Card</t>
        </is>
      </c>
      <c r="Q24" t="inlineStr">
        <is>
          <t>Delivered</t>
        </is>
      </c>
      <c r="R24" t="n">
        <v>4</v>
      </c>
    </row>
    <row r="25">
      <c r="A25" t="inlineStr">
        <is>
          <t>ORD1024</t>
        </is>
      </c>
      <c r="B25" t="inlineStr">
        <is>
          <t>2025-12-12</t>
        </is>
      </c>
      <c r="C25" t="inlineStr">
        <is>
          <t>11:14:30</t>
        </is>
      </c>
      <c r="D25" t="n">
        <v>1199</v>
      </c>
      <c r="E25" t="n">
        <v>109</v>
      </c>
      <c r="F25" t="n">
        <v>225</v>
      </c>
      <c r="G25" t="inlineStr">
        <is>
          <t>Hyderabad</t>
        </is>
      </c>
      <c r="H25" t="inlineStr">
        <is>
          <t>Biryani</t>
        </is>
      </c>
      <c r="I25" t="n">
        <v>503</v>
      </c>
      <c r="J25" t="n">
        <v>94.78</v>
      </c>
      <c r="K25" t="n">
        <v>0</v>
      </c>
      <c r="L25" t="n">
        <v>0.2</v>
      </c>
      <c r="M25" t="n">
        <v>100.6</v>
      </c>
      <c r="N25" t="n">
        <v>6.2</v>
      </c>
      <c r="O25" t="n">
        <v>35.4</v>
      </c>
      <c r="P25" t="inlineStr">
        <is>
          <t>Digital Wallet</t>
        </is>
      </c>
      <c r="Q25" t="inlineStr">
        <is>
          <t>Delivered</t>
        </is>
      </c>
      <c r="R25" t="n">
        <v>3</v>
      </c>
    </row>
    <row r="26">
      <c r="A26" t="inlineStr">
        <is>
          <t>ORD1025</t>
        </is>
      </c>
      <c r="B26" t="inlineStr">
        <is>
          <t>2025-11-22</t>
        </is>
      </c>
      <c r="C26" t="inlineStr">
        <is>
          <t>19:52:29</t>
        </is>
      </c>
      <c r="D26" t="n">
        <v>1148</v>
      </c>
      <c r="E26" t="n">
        <v>111</v>
      </c>
      <c r="F26" t="n">
        <v>213</v>
      </c>
      <c r="G26" t="inlineStr">
        <is>
          <t>Bangalore</t>
        </is>
      </c>
      <c r="H26" t="inlineStr">
        <is>
          <t>South Indian</t>
        </is>
      </c>
      <c r="I26" t="n">
        <v>937</v>
      </c>
      <c r="J26" t="n">
        <v>0</v>
      </c>
      <c r="K26" t="n">
        <v>25</v>
      </c>
      <c r="L26" t="n">
        <v>0.15</v>
      </c>
      <c r="M26" t="n">
        <v>146.8</v>
      </c>
      <c r="N26" t="n">
        <v>1.6</v>
      </c>
      <c r="O26" t="n">
        <v>30.8</v>
      </c>
      <c r="P26" t="inlineStr">
        <is>
          <t>Credit Card</t>
        </is>
      </c>
      <c r="Q26" t="inlineStr">
        <is>
          <t>Delivered</t>
        </is>
      </c>
      <c r="R26" t="n">
        <v>5</v>
      </c>
    </row>
    <row r="27">
      <c r="A27" t="inlineStr">
        <is>
          <t>ORD1026</t>
        </is>
      </c>
      <c r="B27" t="inlineStr">
        <is>
          <t>2025-06-05</t>
        </is>
      </c>
      <c r="C27" t="inlineStr">
        <is>
          <t>11:31:07</t>
        </is>
      </c>
      <c r="D27" t="n">
        <v>1062</v>
      </c>
      <c r="E27" t="n">
        <v>117</v>
      </c>
      <c r="F27" t="n">
        <v>206</v>
      </c>
      <c r="G27" t="inlineStr">
        <is>
          <t>Mumbai</t>
        </is>
      </c>
      <c r="H27" t="inlineStr">
        <is>
          <t>Chinese</t>
        </is>
      </c>
      <c r="I27" t="n">
        <v>319</v>
      </c>
      <c r="J27" t="n">
        <v>0</v>
      </c>
      <c r="K27" t="n">
        <v>25</v>
      </c>
      <c r="L27" t="n">
        <v>0.2</v>
      </c>
      <c r="M27" t="n">
        <v>70.05</v>
      </c>
      <c r="N27" t="n">
        <v>1.1</v>
      </c>
      <c r="O27" t="n">
        <v>20.6</v>
      </c>
      <c r="P27" t="inlineStr">
        <is>
          <t>Cash on Delivery</t>
        </is>
      </c>
      <c r="Q27" t="inlineStr">
        <is>
          <t>Delivered</t>
        </is>
      </c>
      <c r="R27" t="n">
        <v>5</v>
      </c>
    </row>
    <row r="28">
      <c r="A28" t="inlineStr">
        <is>
          <t>ORD1027</t>
        </is>
      </c>
      <c r="B28" t="inlineStr">
        <is>
          <t>2025-10-28</t>
        </is>
      </c>
      <c r="C28" t="inlineStr">
        <is>
          <t>09:47:46</t>
        </is>
      </c>
      <c r="D28" t="n">
        <v>1246</v>
      </c>
      <c r="E28" t="n">
        <v>120</v>
      </c>
      <c r="F28" t="n">
        <v>214</v>
      </c>
      <c r="G28" t="inlineStr">
        <is>
          <t>Pune</t>
        </is>
      </c>
      <c r="H28" t="inlineStr">
        <is>
          <t>Fast Food</t>
        </is>
      </c>
      <c r="I28" t="n">
        <v>704</v>
      </c>
      <c r="J28" t="n">
        <v>99.61</v>
      </c>
      <c r="K28" t="n">
        <v>0</v>
      </c>
      <c r="L28" t="n">
        <v>0.18</v>
      </c>
      <c r="M28" t="n">
        <v>126.72</v>
      </c>
      <c r="N28" t="n">
        <v>3.5</v>
      </c>
      <c r="O28" t="n">
        <v>30.9</v>
      </c>
      <c r="P28" t="inlineStr">
        <is>
          <t>Cash on Delivery</t>
        </is>
      </c>
      <c r="Q28" t="inlineStr">
        <is>
          <t>Delivered</t>
        </is>
      </c>
      <c r="R28" t="n">
        <v>5</v>
      </c>
    </row>
    <row r="29">
      <c r="A29" t="inlineStr">
        <is>
          <t>ORD1028</t>
        </is>
      </c>
      <c r="B29" t="inlineStr">
        <is>
          <t>2025-12-20</t>
        </is>
      </c>
      <c r="C29" t="inlineStr">
        <is>
          <t>22:23:13</t>
        </is>
      </c>
      <c r="D29" t="n">
        <v>1107</v>
      </c>
      <c r="E29" t="n">
        <v>107</v>
      </c>
      <c r="F29" t="n">
        <v>222</v>
      </c>
      <c r="G29" t="inlineStr">
        <is>
          <t>Mumbai</t>
        </is>
      </c>
      <c r="H29" t="inlineStr">
        <is>
          <t>Desserts</t>
        </is>
      </c>
      <c r="I29" t="n">
        <v>674</v>
      </c>
      <c r="J29" t="n">
        <v>0</v>
      </c>
      <c r="K29" t="n">
        <v>25</v>
      </c>
      <c r="L29" t="n">
        <v>0.25</v>
      </c>
      <c r="M29" t="n">
        <v>174.75</v>
      </c>
      <c r="N29" t="n">
        <v>2.5</v>
      </c>
      <c r="O29" t="n">
        <v>22.7</v>
      </c>
      <c r="P29" t="inlineStr">
        <is>
          <t>Debit Card</t>
        </is>
      </c>
      <c r="Q29" t="inlineStr">
        <is>
          <t>Delivered</t>
        </is>
      </c>
      <c r="R29" t="n">
        <v>3</v>
      </c>
    </row>
    <row r="30">
      <c r="A30" t="inlineStr">
        <is>
          <t>ORD1029</t>
        </is>
      </c>
      <c r="B30" t="inlineStr">
        <is>
          <t>2025-10-06</t>
        </is>
      </c>
      <c r="C30" t="inlineStr">
        <is>
          <t>20:57:41</t>
        </is>
      </c>
      <c r="D30" t="n">
        <v>1223</v>
      </c>
      <c r="E30" t="n">
        <v>102</v>
      </c>
      <c r="F30" t="n">
        <v>225</v>
      </c>
      <c r="G30" t="inlineStr">
        <is>
          <t>Hyderabad</t>
        </is>
      </c>
      <c r="H30" t="inlineStr">
        <is>
          <t>Biryani</t>
        </is>
      </c>
      <c r="I30" t="n">
        <v>587</v>
      </c>
      <c r="J30" t="n">
        <v>0</v>
      </c>
      <c r="K30" t="n">
        <v>30.5</v>
      </c>
      <c r="L30" t="n">
        <v>0.22</v>
      </c>
      <c r="M30" t="n">
        <v>136.77</v>
      </c>
      <c r="N30" t="n">
        <v>4.1</v>
      </c>
      <c r="O30" t="n">
        <v>30.9</v>
      </c>
      <c r="P30" t="inlineStr">
        <is>
          <t>UPI</t>
        </is>
      </c>
      <c r="Q30" t="inlineStr">
        <is>
          <t>Delivered</t>
        </is>
      </c>
      <c r="R30" t="n">
        <v>1</v>
      </c>
    </row>
    <row r="31">
      <c r="A31" t="inlineStr">
        <is>
          <t>ORD1030</t>
        </is>
      </c>
      <c r="B31" t="inlineStr">
        <is>
          <t>2025-11-25</t>
        </is>
      </c>
      <c r="C31" t="inlineStr">
        <is>
          <t>13:40:38</t>
        </is>
      </c>
      <c r="D31" t="n">
        <v>1236</v>
      </c>
      <c r="E31" t="n">
        <v>108</v>
      </c>
      <c r="F31" t="n">
        <v>212</v>
      </c>
      <c r="G31" t="inlineStr">
        <is>
          <t>Delhi NCR</t>
        </is>
      </c>
      <c r="H31" t="inlineStr">
        <is>
          <t>Fast Food</t>
        </is>
      </c>
      <c r="I31" t="n">
        <v>241</v>
      </c>
      <c r="J31" t="n">
        <v>12.9</v>
      </c>
      <c r="K31" t="n">
        <v>25</v>
      </c>
      <c r="L31" t="n">
        <v>0.18</v>
      </c>
      <c r="M31" t="n">
        <v>49.63</v>
      </c>
      <c r="N31" t="n">
        <v>3</v>
      </c>
      <c r="O31" t="n">
        <v>28.4</v>
      </c>
      <c r="P31" t="inlineStr">
        <is>
          <t>Credit Card</t>
        </is>
      </c>
      <c r="Q31" t="inlineStr">
        <is>
          <t>Delivered</t>
        </is>
      </c>
      <c r="R31" t="n">
        <v>4</v>
      </c>
    </row>
    <row r="32">
      <c r="A32" t="inlineStr">
        <is>
          <t>ORD1031</t>
        </is>
      </c>
      <c r="B32" t="inlineStr">
        <is>
          <t>2025-10-28</t>
        </is>
      </c>
      <c r="C32" t="inlineStr">
        <is>
          <t>18:13:52</t>
        </is>
      </c>
      <c r="D32" t="n">
        <v>1165</v>
      </c>
      <c r="E32" t="n">
        <v>117</v>
      </c>
      <c r="F32" t="n">
        <v>229</v>
      </c>
      <c r="G32" t="inlineStr">
        <is>
          <t>Mumbai</t>
        </is>
      </c>
      <c r="H32" t="inlineStr">
        <is>
          <t>Chinese</t>
        </is>
      </c>
      <c r="I32" t="n">
        <v>458</v>
      </c>
      <c r="J32" t="n">
        <v>0</v>
      </c>
      <c r="K32" t="n">
        <v>25</v>
      </c>
      <c r="L32" t="n">
        <v>0.2</v>
      </c>
      <c r="M32" t="n">
        <v>97.84999999999999</v>
      </c>
      <c r="N32" t="n">
        <v>1.6</v>
      </c>
      <c r="O32" t="n">
        <v>18.2</v>
      </c>
      <c r="P32" t="inlineStr">
        <is>
          <t>Digital Wallet</t>
        </is>
      </c>
      <c r="Q32" t="inlineStr">
        <is>
          <t>Delivered</t>
        </is>
      </c>
      <c r="R32" t="n">
        <v>5</v>
      </c>
    </row>
    <row r="33">
      <c r="A33" t="inlineStr">
        <is>
          <t>ORD1032</t>
        </is>
      </c>
      <c r="B33" t="inlineStr">
        <is>
          <t>2025-03-16</t>
        </is>
      </c>
      <c r="C33" t="inlineStr">
        <is>
          <t>12:08:34</t>
        </is>
      </c>
      <c r="D33" t="n">
        <v>1263</v>
      </c>
      <c r="E33" t="n">
        <v>118</v>
      </c>
      <c r="F33" t="n">
        <v>212</v>
      </c>
      <c r="G33" t="inlineStr">
        <is>
          <t>Delhi NCR</t>
        </is>
      </c>
      <c r="H33" t="inlineStr">
        <is>
          <t>North Indian</t>
        </is>
      </c>
      <c r="I33" t="n">
        <v>476</v>
      </c>
      <c r="J33" t="n">
        <v>4.19</v>
      </c>
      <c r="K33" t="n">
        <v>38</v>
      </c>
      <c r="L33" t="n">
        <v>0.2</v>
      </c>
      <c r="M33" t="n">
        <v>104.7</v>
      </c>
      <c r="N33" t="n">
        <v>5.6</v>
      </c>
      <c r="O33" t="n">
        <v>42.3</v>
      </c>
      <c r="P33" t="inlineStr">
        <is>
          <t>Credit Card</t>
        </is>
      </c>
      <c r="Q33" t="inlineStr">
        <is>
          <t>Delivered</t>
        </is>
      </c>
      <c r="R33" t="n">
        <v>3</v>
      </c>
    </row>
    <row r="34">
      <c r="A34" t="inlineStr">
        <is>
          <t>ORD1033</t>
        </is>
      </c>
      <c r="B34" t="inlineStr">
        <is>
          <t>2025-05-02</t>
        </is>
      </c>
      <c r="C34" t="inlineStr">
        <is>
          <t>20:37:20</t>
        </is>
      </c>
      <c r="D34" t="n">
        <v>1157</v>
      </c>
      <c r="E34" t="n">
        <v>102</v>
      </c>
      <c r="F34" t="n">
        <v>215</v>
      </c>
      <c r="G34" t="inlineStr">
        <is>
          <t>Hyderabad</t>
        </is>
      </c>
      <c r="H34" t="inlineStr">
        <is>
          <t>Biryani</t>
        </is>
      </c>
      <c r="I34" t="n">
        <v>236</v>
      </c>
      <c r="J34" t="n">
        <v>14.68</v>
      </c>
      <c r="K34" t="n">
        <v>65</v>
      </c>
      <c r="L34" t="n">
        <v>0.22</v>
      </c>
      <c r="M34" t="n">
        <v>68.17</v>
      </c>
      <c r="N34" t="n">
        <v>11</v>
      </c>
      <c r="O34" t="n">
        <v>54.4</v>
      </c>
      <c r="P34" t="inlineStr">
        <is>
          <t>Cash on Delivery</t>
        </is>
      </c>
      <c r="Q34" t="inlineStr">
        <is>
          <t>Delivered</t>
        </is>
      </c>
      <c r="R34" t="n">
        <v>3</v>
      </c>
    </row>
    <row r="35">
      <c r="A35" t="inlineStr">
        <is>
          <t>ORD1034</t>
        </is>
      </c>
      <c r="B35" t="inlineStr">
        <is>
          <t>2025-08-18</t>
        </is>
      </c>
      <c r="C35" t="inlineStr">
        <is>
          <t>13:49:23</t>
        </is>
      </c>
      <c r="D35" t="n">
        <v>1058</v>
      </c>
      <c r="E35" t="n">
        <v>107</v>
      </c>
      <c r="F35" t="n">
        <v>202</v>
      </c>
      <c r="G35" t="inlineStr">
        <is>
          <t>Mumbai</t>
        </is>
      </c>
      <c r="H35" t="inlineStr">
        <is>
          <t>Desserts</t>
        </is>
      </c>
      <c r="I35" t="n">
        <v>745</v>
      </c>
      <c r="J35" t="n">
        <v>26.94</v>
      </c>
      <c r="K35" t="n">
        <v>35.5</v>
      </c>
      <c r="L35" t="n">
        <v>0.25</v>
      </c>
      <c r="M35" t="n">
        <v>195.12</v>
      </c>
      <c r="N35" t="n">
        <v>5.1</v>
      </c>
      <c r="O35" t="n">
        <v>38.5</v>
      </c>
      <c r="P35" t="inlineStr">
        <is>
          <t>Digital Wallet</t>
        </is>
      </c>
      <c r="Q35" t="inlineStr">
        <is>
          <t>Delivered</t>
        </is>
      </c>
      <c r="R35" t="n">
        <v>4</v>
      </c>
    </row>
    <row r="36">
      <c r="A36" t="inlineStr">
        <is>
          <t>ORD1035</t>
        </is>
      </c>
      <c r="B36" t="inlineStr">
        <is>
          <t>2025-08-23</t>
        </is>
      </c>
      <c r="C36" t="inlineStr">
        <is>
          <t>20:41:01</t>
        </is>
      </c>
      <c r="D36" t="n">
        <v>1159</v>
      </c>
      <c r="E36" t="n">
        <v>118</v>
      </c>
      <c r="F36" t="n">
        <v>221</v>
      </c>
      <c r="G36" t="inlineStr">
        <is>
          <t>Delhi NCR</t>
        </is>
      </c>
      <c r="H36" t="inlineStr">
        <is>
          <t>North Indian</t>
        </is>
      </c>
      <c r="I36" t="n">
        <v>282</v>
      </c>
      <c r="J36" t="n">
        <v>19.12</v>
      </c>
      <c r="K36" t="n">
        <v>32.5</v>
      </c>
      <c r="L36" t="n">
        <v>0.2</v>
      </c>
      <c r="M36" t="n">
        <v>64.53</v>
      </c>
      <c r="N36" t="n">
        <v>4.5</v>
      </c>
      <c r="O36" t="n">
        <v>37.3</v>
      </c>
      <c r="P36" t="inlineStr">
        <is>
          <t>UPI</t>
        </is>
      </c>
      <c r="Q36" t="inlineStr">
        <is>
          <t>Delivered</t>
        </is>
      </c>
      <c r="R36" t="n">
        <v>2</v>
      </c>
    </row>
    <row r="37">
      <c r="A37" t="inlineStr">
        <is>
          <t>ORD1036</t>
        </is>
      </c>
      <c r="B37" t="inlineStr">
        <is>
          <t>2025-02-11</t>
        </is>
      </c>
      <c r="C37" t="inlineStr">
        <is>
          <t>20:20:38</t>
        </is>
      </c>
      <c r="D37" t="n">
        <v>1188</v>
      </c>
      <c r="E37" t="n">
        <v>114</v>
      </c>
      <c r="F37" t="n">
        <v>216</v>
      </c>
      <c r="G37" t="inlineStr">
        <is>
          <t>Hyderabad</t>
        </is>
      </c>
      <c r="H37" t="inlineStr">
        <is>
          <t>Biryani</t>
        </is>
      </c>
      <c r="I37" t="n">
        <v>371</v>
      </c>
      <c r="J37" t="n">
        <v>0</v>
      </c>
      <c r="K37" t="n">
        <v>30</v>
      </c>
      <c r="L37" t="n">
        <v>0.22</v>
      </c>
      <c r="M37" t="n">
        <v>89.12</v>
      </c>
      <c r="N37" t="n">
        <v>4</v>
      </c>
      <c r="O37" t="n">
        <v>30.8</v>
      </c>
      <c r="P37" t="inlineStr">
        <is>
          <t>Digital Wallet</t>
        </is>
      </c>
      <c r="Q37" t="inlineStr">
        <is>
          <t>Delivered</t>
        </is>
      </c>
      <c r="R37" t="n">
        <v>4</v>
      </c>
    </row>
    <row r="38">
      <c r="A38" t="inlineStr">
        <is>
          <t>ORD1037</t>
        </is>
      </c>
      <c r="B38" t="inlineStr">
        <is>
          <t>2025-08-21</t>
        </is>
      </c>
      <c r="C38" t="inlineStr">
        <is>
          <t>12:32:38</t>
        </is>
      </c>
      <c r="D38" t="n">
        <v>1265</v>
      </c>
      <c r="E38" t="n">
        <v>115</v>
      </c>
      <c r="F38" t="n">
        <v>223</v>
      </c>
      <c r="G38" t="inlineStr">
        <is>
          <t>Bangalore</t>
        </is>
      </c>
      <c r="H38" t="inlineStr">
        <is>
          <t>Italian</t>
        </is>
      </c>
      <c r="I38" t="n">
        <v>785</v>
      </c>
      <c r="J38" t="n">
        <v>140.76</v>
      </c>
      <c r="K38" t="n">
        <v>0</v>
      </c>
      <c r="L38" t="n">
        <v>0.2</v>
      </c>
      <c r="M38" t="n">
        <v>157</v>
      </c>
      <c r="N38" t="n">
        <v>1.6</v>
      </c>
      <c r="O38" t="n">
        <v>24.2</v>
      </c>
      <c r="P38" t="inlineStr">
        <is>
          <t>Digital Wallet</t>
        </is>
      </c>
      <c r="Q38" t="inlineStr">
        <is>
          <t>Delivered</t>
        </is>
      </c>
      <c r="R38" t="n">
        <v>4</v>
      </c>
    </row>
    <row r="39">
      <c r="A39" t="inlineStr">
        <is>
          <t>ORD1038</t>
        </is>
      </c>
      <c r="B39" t="inlineStr">
        <is>
          <t>2025-04-27</t>
        </is>
      </c>
      <c r="C39" t="inlineStr">
        <is>
          <t>16:26:21</t>
        </is>
      </c>
      <c r="D39" t="n">
        <v>1069</v>
      </c>
      <c r="E39" t="n">
        <v>115</v>
      </c>
      <c r="F39" t="n">
        <v>227</v>
      </c>
      <c r="G39" t="inlineStr">
        <is>
          <t>Bangalore</t>
        </is>
      </c>
      <c r="H39" t="inlineStr">
        <is>
          <t>Italian</t>
        </is>
      </c>
      <c r="I39" t="n">
        <v>684</v>
      </c>
      <c r="J39" t="n">
        <v>0</v>
      </c>
      <c r="K39" t="n">
        <v>25</v>
      </c>
      <c r="L39" t="n">
        <v>0.2</v>
      </c>
      <c r="M39" t="n">
        <v>143.05</v>
      </c>
      <c r="N39" t="n">
        <v>1.3</v>
      </c>
      <c r="O39" t="n">
        <v>25.2</v>
      </c>
      <c r="P39" t="inlineStr">
        <is>
          <t>Debit Card</t>
        </is>
      </c>
      <c r="Q39" t="inlineStr">
        <is>
          <t>Delivered</t>
        </is>
      </c>
      <c r="R39" t="n">
        <v>5</v>
      </c>
    </row>
    <row r="40">
      <c r="A40" t="inlineStr">
        <is>
          <t>ORD1039</t>
        </is>
      </c>
      <c r="B40" t="inlineStr">
        <is>
          <t>2025-07-11</t>
        </is>
      </c>
      <c r="C40" t="inlineStr">
        <is>
          <t>20:09:43</t>
        </is>
      </c>
      <c r="D40" t="n">
        <v>1090</v>
      </c>
      <c r="E40" t="n">
        <v>111</v>
      </c>
      <c r="F40" t="n">
        <v>210</v>
      </c>
      <c r="G40" t="inlineStr">
        <is>
          <t>Bangalore</t>
        </is>
      </c>
      <c r="H40" t="inlineStr">
        <is>
          <t>South Indian</t>
        </is>
      </c>
      <c r="I40" t="n">
        <v>705</v>
      </c>
      <c r="J40" t="n">
        <v>0</v>
      </c>
      <c r="K40" t="n">
        <v>30</v>
      </c>
      <c r="L40" t="n">
        <v>0.15</v>
      </c>
      <c r="M40" t="n">
        <v>113.25</v>
      </c>
      <c r="N40" t="n">
        <v>4</v>
      </c>
      <c r="O40" t="n">
        <v>42.6</v>
      </c>
      <c r="P40" t="inlineStr">
        <is>
          <t>UPI</t>
        </is>
      </c>
      <c r="Q40" t="inlineStr">
        <is>
          <t>Delivered</t>
        </is>
      </c>
      <c r="R40" t="n">
        <v>3</v>
      </c>
    </row>
    <row r="41">
      <c r="A41" t="inlineStr">
        <is>
          <t>ORD1040</t>
        </is>
      </c>
      <c r="B41" t="inlineStr">
        <is>
          <t>2025-03-08</t>
        </is>
      </c>
      <c r="C41" t="inlineStr">
        <is>
          <t>06:35:03</t>
        </is>
      </c>
      <c r="D41" t="n">
        <v>1201</v>
      </c>
      <c r="E41" t="n">
        <v>115</v>
      </c>
      <c r="F41" t="n">
        <v>201</v>
      </c>
      <c r="G41" t="inlineStr">
        <is>
          <t>Bangalore</t>
        </is>
      </c>
      <c r="H41" t="inlineStr">
        <is>
          <t>Italian</t>
        </is>
      </c>
      <c r="I41" t="n">
        <v>820</v>
      </c>
      <c r="J41" t="n">
        <v>95.91</v>
      </c>
      <c r="K41" t="n">
        <v>25</v>
      </c>
      <c r="L41" t="n">
        <v>0.2</v>
      </c>
      <c r="M41" t="n">
        <v>170.25</v>
      </c>
      <c r="N41" t="n">
        <v>2.5</v>
      </c>
      <c r="O41" t="n">
        <v>27</v>
      </c>
      <c r="P41" t="inlineStr">
        <is>
          <t>UPI</t>
        </is>
      </c>
      <c r="Q41" t="inlineStr">
        <is>
          <t>Delivered</t>
        </is>
      </c>
      <c r="R41" t="n">
        <v>5</v>
      </c>
    </row>
    <row r="42">
      <c r="A42" t="inlineStr">
        <is>
          <t>ORD1041</t>
        </is>
      </c>
      <c r="B42" t="inlineStr">
        <is>
          <t>2025-01-27</t>
        </is>
      </c>
      <c r="C42" t="inlineStr">
        <is>
          <t>19:18:38</t>
        </is>
      </c>
      <c r="D42" t="n">
        <v>1258</v>
      </c>
      <c r="E42" t="n">
        <v>103</v>
      </c>
      <c r="F42" t="n">
        <v>222</v>
      </c>
      <c r="G42" t="inlineStr">
        <is>
          <t>Mumbai</t>
        </is>
      </c>
      <c r="H42" t="inlineStr">
        <is>
          <t>Italian</t>
        </is>
      </c>
      <c r="I42" t="n">
        <v>539</v>
      </c>
      <c r="J42" t="n">
        <v>40.22</v>
      </c>
      <c r="K42" t="n">
        <v>25</v>
      </c>
      <c r="L42" t="n">
        <v>0.18</v>
      </c>
      <c r="M42" t="n">
        <v>103.27</v>
      </c>
      <c r="N42" t="n">
        <v>3</v>
      </c>
      <c r="O42" t="n">
        <v>29.4</v>
      </c>
      <c r="P42" t="inlineStr">
        <is>
          <t>Credit Card</t>
        </is>
      </c>
      <c r="Q42" t="inlineStr">
        <is>
          <t>Returned</t>
        </is>
      </c>
      <c r="R42" t="n">
        <v>5</v>
      </c>
    </row>
    <row r="43">
      <c r="A43" t="inlineStr">
        <is>
          <t>ORD1042</t>
        </is>
      </c>
      <c r="B43" t="inlineStr">
        <is>
          <t>2025-04-25</t>
        </is>
      </c>
      <c r="C43" t="inlineStr">
        <is>
          <t>15:54:06</t>
        </is>
      </c>
      <c r="D43" t="n">
        <v>1095</v>
      </c>
      <c r="E43" t="n">
        <v>108</v>
      </c>
      <c r="F43" t="n">
        <v>230</v>
      </c>
      <c r="G43" t="inlineStr">
        <is>
          <t>Delhi NCR</t>
        </is>
      </c>
      <c r="H43" t="inlineStr">
        <is>
          <t>Fast Food</t>
        </is>
      </c>
      <c r="I43" t="n">
        <v>578</v>
      </c>
      <c r="J43" t="n">
        <v>63.1</v>
      </c>
      <c r="K43" t="n">
        <v>39</v>
      </c>
      <c r="L43" t="n">
        <v>0.18</v>
      </c>
      <c r="M43" t="n">
        <v>113.79</v>
      </c>
      <c r="N43" t="n">
        <v>5.8</v>
      </c>
      <c r="O43" t="n">
        <v>33.2</v>
      </c>
      <c r="P43" t="inlineStr">
        <is>
          <t>Debit Card</t>
        </is>
      </c>
      <c r="Q43" t="inlineStr">
        <is>
          <t>Delivered</t>
        </is>
      </c>
      <c r="R43" t="n">
        <v>4</v>
      </c>
    </row>
    <row r="44">
      <c r="A44" t="inlineStr">
        <is>
          <t>ORD1043</t>
        </is>
      </c>
      <c r="B44" t="inlineStr">
        <is>
          <t>2025-11-08</t>
        </is>
      </c>
      <c r="C44" t="inlineStr">
        <is>
          <t>10:59:42</t>
        </is>
      </c>
      <c r="D44" t="n">
        <v>1200</v>
      </c>
      <c r="E44" t="n">
        <v>103</v>
      </c>
      <c r="F44" t="n">
        <v>206</v>
      </c>
      <c r="G44" t="inlineStr">
        <is>
          <t>Mumbai</t>
        </is>
      </c>
      <c r="H44" t="inlineStr">
        <is>
          <t>Italian</t>
        </is>
      </c>
      <c r="I44" t="n">
        <v>930</v>
      </c>
      <c r="J44" t="n">
        <v>63.91</v>
      </c>
      <c r="K44" t="n">
        <v>28</v>
      </c>
      <c r="L44" t="n">
        <v>0.18</v>
      </c>
      <c r="M44" t="n">
        <v>174.4</v>
      </c>
      <c r="N44" t="n">
        <v>3.6</v>
      </c>
      <c r="O44" t="n">
        <v>25</v>
      </c>
      <c r="P44" t="inlineStr">
        <is>
          <t>Debit Card</t>
        </is>
      </c>
      <c r="Q44" t="inlineStr">
        <is>
          <t>Delivered</t>
        </is>
      </c>
      <c r="R44" t="n">
        <v>5</v>
      </c>
    </row>
    <row r="45">
      <c r="A45" t="inlineStr">
        <is>
          <t>ORD1044</t>
        </is>
      </c>
      <c r="B45" t="inlineStr">
        <is>
          <t>2025-04-03</t>
        </is>
      </c>
      <c r="C45" t="inlineStr">
        <is>
          <t>19:55:09</t>
        </is>
      </c>
      <c r="D45" t="n">
        <v>1012</v>
      </c>
      <c r="E45" t="n">
        <v>120</v>
      </c>
      <c r="F45" t="n">
        <v>224</v>
      </c>
      <c r="G45" t="inlineStr">
        <is>
          <t>Pune</t>
        </is>
      </c>
      <c r="H45" t="inlineStr">
        <is>
          <t>Fast Food</t>
        </is>
      </c>
      <c r="I45" t="n">
        <v>1067</v>
      </c>
      <c r="J45" t="n">
        <v>149.46</v>
      </c>
      <c r="K45" t="n">
        <v>0</v>
      </c>
      <c r="L45" t="n">
        <v>0.18</v>
      </c>
      <c r="M45" t="n">
        <v>192.06</v>
      </c>
      <c r="N45" t="n">
        <v>8</v>
      </c>
      <c r="O45" t="n">
        <v>44.6</v>
      </c>
      <c r="P45" t="inlineStr">
        <is>
          <t>UPI</t>
        </is>
      </c>
      <c r="Q45" t="inlineStr">
        <is>
          <t>Returned</t>
        </is>
      </c>
      <c r="R45" t="n">
        <v>3</v>
      </c>
    </row>
    <row r="46">
      <c r="A46" t="inlineStr">
        <is>
          <t>ORD1045</t>
        </is>
      </c>
      <c r="B46" t="inlineStr">
        <is>
          <t>2025-07-12</t>
        </is>
      </c>
      <c r="C46" t="inlineStr">
        <is>
          <t>18:26:29</t>
        </is>
      </c>
      <c r="D46" t="n">
        <v>1270</v>
      </c>
      <c r="E46" t="n">
        <v>114</v>
      </c>
      <c r="F46" t="n">
        <v>215</v>
      </c>
      <c r="G46" t="inlineStr">
        <is>
          <t>Hyderabad</t>
        </is>
      </c>
      <c r="H46" t="inlineStr">
        <is>
          <t>Biryani</t>
        </is>
      </c>
      <c r="I46" t="n">
        <v>569</v>
      </c>
      <c r="J46" t="n">
        <v>0</v>
      </c>
      <c r="K46" t="n">
        <v>25</v>
      </c>
      <c r="L46" t="n">
        <v>0.22</v>
      </c>
      <c r="M46" t="n">
        <v>131.43</v>
      </c>
      <c r="N46" t="n">
        <v>2.9</v>
      </c>
      <c r="O46" t="n">
        <v>25.2</v>
      </c>
      <c r="P46" t="inlineStr">
        <is>
          <t>Debit Card</t>
        </is>
      </c>
      <c r="Q46" t="inlineStr">
        <is>
          <t>Delivered</t>
        </is>
      </c>
      <c r="R46" t="n">
        <v>2</v>
      </c>
    </row>
    <row r="47">
      <c r="A47" t="inlineStr">
        <is>
          <t>ORD1046</t>
        </is>
      </c>
      <c r="B47" t="inlineStr">
        <is>
          <t>2025-03-22</t>
        </is>
      </c>
      <c r="C47" t="inlineStr">
        <is>
          <t>22:48:39</t>
        </is>
      </c>
      <c r="D47" t="n">
        <v>1272</v>
      </c>
      <c r="E47" t="n">
        <v>104</v>
      </c>
      <c r="F47" t="n">
        <v>219</v>
      </c>
      <c r="G47" t="inlineStr">
        <is>
          <t xml:space="preserve">delhi ncr  </t>
        </is>
      </c>
      <c r="H47" t="inlineStr">
        <is>
          <t>Fast Food</t>
        </is>
      </c>
      <c r="I47" t="n">
        <v>270</v>
      </c>
      <c r="J47" t="n">
        <v>26.24</v>
      </c>
      <c r="K47" t="n">
        <v>32.5</v>
      </c>
      <c r="L47" t="n">
        <v>0.18</v>
      </c>
      <c r="M47" t="n">
        <v>56.72</v>
      </c>
      <c r="N47" t="n">
        <v>4.5</v>
      </c>
      <c r="O47" t="n">
        <v>27.8</v>
      </c>
      <c r="P47" t="inlineStr">
        <is>
          <t>Cash on Delivery</t>
        </is>
      </c>
      <c r="Q47" t="inlineStr">
        <is>
          <t>Delivered</t>
        </is>
      </c>
      <c r="R47" t="n">
        <v>5</v>
      </c>
    </row>
    <row r="48">
      <c r="A48" t="inlineStr">
        <is>
          <t>ORD1047</t>
        </is>
      </c>
      <c r="B48" t="inlineStr">
        <is>
          <t>2025-05-20</t>
        </is>
      </c>
      <c r="C48" t="inlineStr">
        <is>
          <t>18:13:48</t>
        </is>
      </c>
      <c r="D48" t="n">
        <v>1263</v>
      </c>
      <c r="E48" t="n">
        <v>108</v>
      </c>
      <c r="F48" t="n">
        <v>228</v>
      </c>
      <c r="G48" t="inlineStr">
        <is>
          <t>Delhi NCR</t>
        </is>
      </c>
      <c r="H48" t="inlineStr">
        <is>
          <t>Fast Food</t>
        </is>
      </c>
      <c r="I48" t="n">
        <v>744</v>
      </c>
      <c r="J48" t="n">
        <v>0</v>
      </c>
      <c r="K48" t="n">
        <v>44</v>
      </c>
      <c r="L48" t="n">
        <v>0.18</v>
      </c>
      <c r="M48" t="n">
        <v>144.92</v>
      </c>
      <c r="N48" t="n">
        <v>6.8</v>
      </c>
      <c r="O48" t="n">
        <v>41.6</v>
      </c>
      <c r="P48" t="inlineStr">
        <is>
          <t>Debit Card</t>
        </is>
      </c>
      <c r="Q48" t="inlineStr">
        <is>
          <t>Delivered</t>
        </is>
      </c>
      <c r="R48" t="n">
        <v>3</v>
      </c>
    </row>
    <row r="49">
      <c r="A49" t="inlineStr">
        <is>
          <t>ORD1048</t>
        </is>
      </c>
      <c r="B49" t="inlineStr">
        <is>
          <t>2025-04-23</t>
        </is>
      </c>
      <c r="C49" t="inlineStr">
        <is>
          <t>01:25:38</t>
        </is>
      </c>
      <c r="D49" t="n">
        <v>1065</v>
      </c>
      <c r="E49" t="n">
        <v>112</v>
      </c>
      <c r="F49" t="n">
        <v>212</v>
      </c>
      <c r="G49" t="inlineStr">
        <is>
          <t>Delhi NCR</t>
        </is>
      </c>
      <c r="H49" t="inlineStr">
        <is>
          <t>North Indian</t>
        </is>
      </c>
      <c r="I49" t="n">
        <v>276</v>
      </c>
      <c r="J49" t="n">
        <v>0</v>
      </c>
      <c r="K49" t="n">
        <v>36.5</v>
      </c>
      <c r="L49" t="n">
        <v>0.22</v>
      </c>
      <c r="M49" t="n">
        <v>69.84</v>
      </c>
      <c r="N49" t="n">
        <v>5.3</v>
      </c>
      <c r="O49" t="n">
        <v>30.2</v>
      </c>
      <c r="P49" t="inlineStr">
        <is>
          <t>Credit Card</t>
        </is>
      </c>
      <c r="Q49" t="inlineStr">
        <is>
          <t>Delivered</t>
        </is>
      </c>
      <c r="R49" t="n">
        <v>2</v>
      </c>
    </row>
    <row r="50">
      <c r="A50" t="inlineStr">
        <is>
          <t>ORD1049</t>
        </is>
      </c>
      <c r="B50" t="inlineStr">
        <is>
          <t>2025-05-29</t>
        </is>
      </c>
      <c r="C50" t="inlineStr">
        <is>
          <t>22:20:07</t>
        </is>
      </c>
      <c r="D50" t="n">
        <v>1163</v>
      </c>
      <c r="E50" t="n">
        <v>113</v>
      </c>
      <c r="F50" t="n">
        <v>206</v>
      </c>
      <c r="G50" t="inlineStr">
        <is>
          <t>Mumbai</t>
        </is>
      </c>
      <c r="H50" t="inlineStr">
        <is>
          <t>Fast Food</t>
        </is>
      </c>
      <c r="I50" t="n">
        <v>227</v>
      </c>
      <c r="J50" t="n">
        <v>19.25</v>
      </c>
      <c r="K50" t="n">
        <v>28.5</v>
      </c>
      <c r="L50" t="n">
        <v>0.18</v>
      </c>
      <c r="M50" t="n">
        <v>47.98</v>
      </c>
      <c r="N50" t="n">
        <v>3.7</v>
      </c>
      <c r="O50" t="n">
        <v>27.8</v>
      </c>
      <c r="P50" t="inlineStr">
        <is>
          <t>Credit Card</t>
        </is>
      </c>
      <c r="Q50" t="inlineStr">
        <is>
          <t>Delivered</t>
        </is>
      </c>
      <c r="R50" t="n">
        <v>4</v>
      </c>
    </row>
    <row r="51">
      <c r="A51" t="inlineStr">
        <is>
          <t>ORD1050</t>
        </is>
      </c>
      <c r="B51" t="inlineStr">
        <is>
          <t>2025-02-06</t>
        </is>
      </c>
      <c r="C51" t="inlineStr">
        <is>
          <t>14:25:55</t>
        </is>
      </c>
      <c r="D51" t="n">
        <v>1287</v>
      </c>
      <c r="E51" t="n">
        <v>101</v>
      </c>
      <c r="F51" t="n">
        <v>220</v>
      </c>
      <c r="G51" t="inlineStr">
        <is>
          <t>Bangalore</t>
        </is>
      </c>
      <c r="H51" t="inlineStr">
        <is>
          <t>North Indian</t>
        </is>
      </c>
      <c r="I51" t="n">
        <v>263</v>
      </c>
      <c r="J51" t="n">
        <v>0</v>
      </c>
      <c r="K51" t="n">
        <v>27</v>
      </c>
      <c r="L51" t="n">
        <v>0.2</v>
      </c>
      <c r="M51" t="n">
        <v>59.35</v>
      </c>
      <c r="N51" t="n">
        <v>3.4</v>
      </c>
      <c r="O51" t="n">
        <v>34.8</v>
      </c>
      <c r="P51" t="inlineStr">
        <is>
          <t>UPI</t>
        </is>
      </c>
      <c r="Q51" t="inlineStr">
        <is>
          <t>Returned</t>
        </is>
      </c>
      <c r="R51" t="n">
        <v>4</v>
      </c>
    </row>
    <row r="52">
      <c r="A52" t="inlineStr">
        <is>
          <t>ORD1051</t>
        </is>
      </c>
      <c r="B52" t="inlineStr">
        <is>
          <t>2025-12-30</t>
        </is>
      </c>
      <c r="C52" t="inlineStr">
        <is>
          <t>13:40:26</t>
        </is>
      </c>
      <c r="D52" t="n">
        <v>1007</v>
      </c>
      <c r="E52" t="n">
        <v>105</v>
      </c>
      <c r="F52" t="n">
        <v>220</v>
      </c>
      <c r="G52" t="inlineStr">
        <is>
          <t>Bangalore</t>
        </is>
      </c>
      <c r="H52" t="inlineStr">
        <is>
          <t>Chinese</t>
        </is>
      </c>
      <c r="I52" t="n">
        <v>516</v>
      </c>
      <c r="J52" t="n">
        <v>0</v>
      </c>
      <c r="K52" t="n">
        <v>37.5</v>
      </c>
      <c r="L52" t="n">
        <v>0.2</v>
      </c>
      <c r="M52" t="n">
        <v>112.58</v>
      </c>
      <c r="N52" t="n">
        <v>5.5</v>
      </c>
      <c r="O52" t="n">
        <v>33.3</v>
      </c>
      <c r="P52" t="inlineStr">
        <is>
          <t>Debit Card</t>
        </is>
      </c>
      <c r="Q52" t="inlineStr">
        <is>
          <t>Delivered</t>
        </is>
      </c>
      <c r="R52" t="n">
        <v>3</v>
      </c>
    </row>
    <row r="53">
      <c r="A53" t="inlineStr">
        <is>
          <t>ORD1052</t>
        </is>
      </c>
      <c r="B53" t="inlineStr">
        <is>
          <t>2025-12-20</t>
        </is>
      </c>
      <c r="C53" t="inlineStr">
        <is>
          <t>20:58:23</t>
        </is>
      </c>
      <c r="D53" t="n">
        <v>1258</v>
      </c>
      <c r="E53" t="n">
        <v>107</v>
      </c>
      <c r="F53" t="n">
        <v>202</v>
      </c>
      <c r="G53" t="inlineStr">
        <is>
          <t>Mumbai</t>
        </is>
      </c>
      <c r="H53" t="inlineStr">
        <is>
          <t>Desserts</t>
        </is>
      </c>
      <c r="I53" t="n">
        <v>310</v>
      </c>
      <c r="J53" t="n">
        <v>24.98</v>
      </c>
      <c r="K53" t="n">
        <v>28.5</v>
      </c>
      <c r="L53" t="n">
        <v>0.25</v>
      </c>
      <c r="M53" t="n">
        <v>84.62</v>
      </c>
      <c r="N53" t="n">
        <v>3.7</v>
      </c>
      <c r="O53" t="n">
        <v>28.4</v>
      </c>
      <c r="P53" t="inlineStr">
        <is>
          <t>Cash on Delivery</t>
        </is>
      </c>
      <c r="Q53" t="inlineStr">
        <is>
          <t>Delivered</t>
        </is>
      </c>
      <c r="R53" t="n">
        <v>5</v>
      </c>
    </row>
    <row r="54">
      <c r="A54" t="inlineStr">
        <is>
          <t>ORD1053</t>
        </is>
      </c>
      <c r="B54" t="inlineStr">
        <is>
          <t>2025-06-08</t>
        </is>
      </c>
      <c r="C54" t="inlineStr">
        <is>
          <t>07:47:21</t>
        </is>
      </c>
      <c r="D54" t="n">
        <v>1031</v>
      </c>
      <c r="E54" t="n">
        <v>107</v>
      </c>
      <c r="F54" t="n">
        <v>206</v>
      </c>
      <c r="G54" t="inlineStr">
        <is>
          <t>Mumbai</t>
        </is>
      </c>
      <c r="H54" t="inlineStr">
        <is>
          <t>Desserts</t>
        </is>
      </c>
      <c r="I54" t="n">
        <v>446</v>
      </c>
      <c r="J54" t="n">
        <v>32.7</v>
      </c>
      <c r="K54" t="n">
        <v>26</v>
      </c>
      <c r="L54" t="n">
        <v>0.25</v>
      </c>
      <c r="M54" t="n">
        <v>118</v>
      </c>
      <c r="N54" t="n">
        <v>3.2</v>
      </c>
      <c r="O54" t="n">
        <v>23.2</v>
      </c>
      <c r="P54" t="inlineStr">
        <is>
          <t>Digital Wallet</t>
        </is>
      </c>
      <c r="Q54" t="inlineStr">
        <is>
          <t>Delivered</t>
        </is>
      </c>
      <c r="R54" t="n">
        <v>5</v>
      </c>
    </row>
    <row r="55">
      <c r="A55" t="inlineStr">
        <is>
          <t>ORD1054</t>
        </is>
      </c>
      <c r="B55" t="inlineStr">
        <is>
          <t>2025-06-29</t>
        </is>
      </c>
      <c r="C55" t="inlineStr">
        <is>
          <t>21:46:52</t>
        </is>
      </c>
      <c r="D55" t="n">
        <v>1231</v>
      </c>
      <c r="E55" t="n">
        <v>101</v>
      </c>
      <c r="F55" t="n">
        <v>203</v>
      </c>
      <c r="G55" t="inlineStr">
        <is>
          <t>Bangalore</t>
        </is>
      </c>
      <c r="H55" t="inlineStr">
        <is>
          <t>North Indian</t>
        </is>
      </c>
      <c r="I55" t="n">
        <v>880</v>
      </c>
      <c r="J55" t="n">
        <v>94.20999999999999</v>
      </c>
      <c r="K55" t="n">
        <v>25</v>
      </c>
      <c r="L55" t="n">
        <v>0.2</v>
      </c>
      <c r="M55" t="n">
        <v>182.25</v>
      </c>
      <c r="N55" t="n">
        <v>1.9</v>
      </c>
      <c r="O55" t="n">
        <v/>
      </c>
      <c r="P55" t="inlineStr">
        <is>
          <t>Credit Card</t>
        </is>
      </c>
      <c r="Q55" t="inlineStr">
        <is>
          <t>Cancelled</t>
        </is>
      </c>
      <c r="R55" t="n">
        <v/>
      </c>
    </row>
    <row r="56">
      <c r="A56" t="inlineStr">
        <is>
          <t>ORD1055</t>
        </is>
      </c>
      <c r="B56" t="inlineStr">
        <is>
          <t>2025-11-05</t>
        </is>
      </c>
      <c r="C56" t="inlineStr">
        <is>
          <t>20:09:48</t>
        </is>
      </c>
      <c r="D56" t="n">
        <v>1152</v>
      </c>
      <c r="E56" t="n">
        <v>119</v>
      </c>
      <c r="F56" t="n">
        <v>215</v>
      </c>
      <c r="G56" t="inlineStr">
        <is>
          <t>Hyderabad</t>
        </is>
      </c>
      <c r="H56" t="inlineStr">
        <is>
          <t>Biryani</t>
        </is>
      </c>
      <c r="I56" t="n">
        <v>891</v>
      </c>
      <c r="J56" t="n">
        <v>0</v>
      </c>
      <c r="K56" t="n">
        <v>35</v>
      </c>
      <c r="L56" t="n">
        <v>0.2</v>
      </c>
      <c r="M56" t="n">
        <v>186.95</v>
      </c>
      <c r="N56" t="n">
        <v>5</v>
      </c>
      <c r="O56" t="n">
        <v>43.4</v>
      </c>
      <c r="P56" t="inlineStr">
        <is>
          <t>Cash on Delivery</t>
        </is>
      </c>
      <c r="Q56" t="inlineStr">
        <is>
          <t>Delivered</t>
        </is>
      </c>
      <c r="R56" t="n">
        <v>2</v>
      </c>
    </row>
    <row r="57">
      <c r="A57" t="inlineStr">
        <is>
          <t>ORD1056</t>
        </is>
      </c>
      <c r="B57" t="inlineStr">
        <is>
          <t>2025-11-18</t>
        </is>
      </c>
      <c r="C57" t="inlineStr">
        <is>
          <t>14:20:09</t>
        </is>
      </c>
      <c r="D57" t="n">
        <v>1126</v>
      </c>
      <c r="E57" t="n">
        <v>119</v>
      </c>
      <c r="F57" t="n">
        <v>215</v>
      </c>
      <c r="G57" t="inlineStr">
        <is>
          <t>Hyderabad</t>
        </is>
      </c>
      <c r="H57" t="inlineStr">
        <is>
          <t>Biryani</t>
        </is>
      </c>
      <c r="I57" t="n">
        <v>670</v>
      </c>
      <c r="J57" t="n">
        <v>0</v>
      </c>
      <c r="K57" t="n">
        <v>42</v>
      </c>
      <c r="L57" t="n">
        <v>0.2</v>
      </c>
      <c r="M57" t="n">
        <v>144.5</v>
      </c>
      <c r="N57" t="n">
        <v>6.4</v>
      </c>
      <c r="O57" t="n">
        <v>41.2</v>
      </c>
      <c r="P57" t="inlineStr">
        <is>
          <t>Debit Card</t>
        </is>
      </c>
      <c r="Q57" t="inlineStr">
        <is>
          <t>Delivered</t>
        </is>
      </c>
      <c r="R57" t="n">
        <v/>
      </c>
    </row>
    <row r="58">
      <c r="A58" t="inlineStr">
        <is>
          <t>ORD1057</t>
        </is>
      </c>
      <c r="B58" t="inlineStr">
        <is>
          <t>2025-09-17</t>
        </is>
      </c>
      <c r="C58" t="inlineStr">
        <is>
          <t>18:04:19</t>
        </is>
      </c>
      <c r="D58" t="n">
        <v>1153</v>
      </c>
      <c r="E58" t="n">
        <v>105</v>
      </c>
      <c r="F58" t="n">
        <v>218</v>
      </c>
      <c r="G58" t="inlineStr">
        <is>
          <t>Bangalore</t>
        </is>
      </c>
      <c r="H58" t="inlineStr">
        <is>
          <t>Chinese</t>
        </is>
      </c>
      <c r="I58" t="n">
        <v>692</v>
      </c>
      <c r="J58" t="n">
        <v>0</v>
      </c>
      <c r="K58" t="n">
        <v>33.5</v>
      </c>
      <c r="L58" t="n">
        <v>0.2</v>
      </c>
      <c r="M58" t="n">
        <v>146.78</v>
      </c>
      <c r="N58" t="n">
        <v>4.7</v>
      </c>
      <c r="O58" t="n">
        <v>26.5</v>
      </c>
      <c r="P58" t="inlineStr">
        <is>
          <t>Debit Card</t>
        </is>
      </c>
      <c r="Q58" t="inlineStr">
        <is>
          <t>Delivered</t>
        </is>
      </c>
      <c r="R58" t="n">
        <v>5</v>
      </c>
    </row>
    <row r="59">
      <c r="A59" t="inlineStr">
        <is>
          <t>ORD1058</t>
        </is>
      </c>
      <c r="B59" t="inlineStr">
        <is>
          <t>2025-11-11</t>
        </is>
      </c>
      <c r="C59" t="inlineStr">
        <is>
          <t>22:38:32</t>
        </is>
      </c>
      <c r="D59" t="n">
        <v>1085</v>
      </c>
      <c r="E59" t="n">
        <v>119</v>
      </c>
      <c r="F59" t="n">
        <v>215</v>
      </c>
      <c r="G59" t="inlineStr">
        <is>
          <t>Hyderabad</t>
        </is>
      </c>
      <c r="H59" t="inlineStr">
        <is>
          <t>Biryani</t>
        </is>
      </c>
      <c r="I59" t="n">
        <v>613</v>
      </c>
      <c r="J59" t="n">
        <v>0</v>
      </c>
      <c r="K59" t="n">
        <v>29.5</v>
      </c>
      <c r="L59" t="n">
        <v>0.2</v>
      </c>
      <c r="M59" t="n">
        <v>129.98</v>
      </c>
      <c r="N59" t="n">
        <v>3.9</v>
      </c>
      <c r="O59" t="n">
        <v>33.2</v>
      </c>
      <c r="P59" t="inlineStr">
        <is>
          <t>UPI</t>
        </is>
      </c>
      <c r="Q59" t="inlineStr">
        <is>
          <t>Delivered</t>
        </is>
      </c>
      <c r="R59" t="n">
        <v>5</v>
      </c>
    </row>
    <row r="60">
      <c r="A60" t="inlineStr">
        <is>
          <t>ORD1059</t>
        </is>
      </c>
      <c r="B60" t="inlineStr">
        <is>
          <t>2025-11-06</t>
        </is>
      </c>
      <c r="C60" t="inlineStr">
        <is>
          <t>21:30:32</t>
        </is>
      </c>
      <c r="D60" t="n">
        <v>1109</v>
      </c>
      <c r="E60" t="n">
        <v>103</v>
      </c>
      <c r="F60" t="n">
        <v>206</v>
      </c>
      <c r="G60" t="inlineStr">
        <is>
          <t>Mumbai</t>
        </is>
      </c>
      <c r="H60" t="inlineStr">
        <is>
          <t>Italian</t>
        </is>
      </c>
      <c r="I60" t="n">
        <v>374</v>
      </c>
      <c r="J60" t="n">
        <v>13.48</v>
      </c>
      <c r="K60" t="n">
        <v>25</v>
      </c>
      <c r="L60" t="n">
        <v>0.18</v>
      </c>
      <c r="M60" t="n">
        <v>73.56999999999999</v>
      </c>
      <c r="N60" t="n">
        <v>3</v>
      </c>
      <c r="O60" t="n">
        <v>35.8</v>
      </c>
      <c r="P60" t="inlineStr">
        <is>
          <t>Debit Card</t>
        </is>
      </c>
      <c r="Q60" t="inlineStr">
        <is>
          <t>Delivered</t>
        </is>
      </c>
      <c r="R60" t="n">
        <v>4</v>
      </c>
    </row>
    <row r="61">
      <c r="A61" t="inlineStr">
        <is>
          <t>ORD1060</t>
        </is>
      </c>
      <c r="B61" t="inlineStr">
        <is>
          <t>2025-05-07</t>
        </is>
      </c>
      <c r="C61" t="inlineStr">
        <is>
          <t>00:45:28</t>
        </is>
      </c>
      <c r="D61" t="n">
        <v>1211</v>
      </c>
      <c r="E61" t="n">
        <v>118</v>
      </c>
      <c r="F61" t="n">
        <v>228</v>
      </c>
      <c r="G61" t="inlineStr">
        <is>
          <t>Delhi NCR</t>
        </is>
      </c>
      <c r="H61" t="inlineStr">
        <is>
          <t>North Indian</t>
        </is>
      </c>
      <c r="I61" t="n">
        <v>669</v>
      </c>
      <c r="J61" t="n">
        <v>32.64</v>
      </c>
      <c r="K61" t="n">
        <v>25</v>
      </c>
      <c r="L61" t="n">
        <v>0.2</v>
      </c>
      <c r="M61" t="n">
        <v>140.05</v>
      </c>
      <c r="N61" t="n">
        <v>2.8</v>
      </c>
      <c r="O61" t="n">
        <v>24.8</v>
      </c>
      <c r="P61" t="inlineStr">
        <is>
          <t>Debit Card</t>
        </is>
      </c>
      <c r="Q61" t="inlineStr">
        <is>
          <t>Delivered</t>
        </is>
      </c>
      <c r="R61" t="n">
        <v>4</v>
      </c>
    </row>
    <row r="62">
      <c r="A62" t="inlineStr">
        <is>
          <t>ORD1061</t>
        </is>
      </c>
      <c r="B62" t="inlineStr">
        <is>
          <t>2025-12-14</t>
        </is>
      </c>
      <c r="C62" t="inlineStr">
        <is>
          <t>11:38:03</t>
        </is>
      </c>
      <c r="D62" t="n">
        <v>1222</v>
      </c>
      <c r="E62" t="n">
        <v>114</v>
      </c>
      <c r="F62" t="n">
        <v>215</v>
      </c>
      <c r="G62" t="inlineStr">
        <is>
          <t>Hyderabad</t>
        </is>
      </c>
      <c r="H62" t="inlineStr">
        <is>
          <t>Biryani</t>
        </is>
      </c>
      <c r="I62" t="n">
        <v>866</v>
      </c>
      <c r="J62" t="n">
        <v>4.57</v>
      </c>
      <c r="K62" t="n">
        <v>42</v>
      </c>
      <c r="L62" t="n">
        <v>0.22</v>
      </c>
      <c r="M62" t="n">
        <v>201.02</v>
      </c>
      <c r="N62" t="n">
        <v>6.4</v>
      </c>
      <c r="O62" t="n">
        <v>37.8</v>
      </c>
      <c r="P62" t="inlineStr">
        <is>
          <t>Cash on Delivery</t>
        </is>
      </c>
      <c r="Q62" t="inlineStr">
        <is>
          <t>Delivered</t>
        </is>
      </c>
      <c r="R62" t="n">
        <v>3</v>
      </c>
    </row>
    <row r="63">
      <c r="A63" t="inlineStr">
        <is>
          <t>ORD1062</t>
        </is>
      </c>
      <c r="B63" t="inlineStr">
        <is>
          <t>2025-06-20</t>
        </is>
      </c>
      <c r="C63" t="inlineStr">
        <is>
          <t>12:05:37</t>
        </is>
      </c>
      <c r="D63" t="n">
        <v>1128</v>
      </c>
      <c r="E63" t="n">
        <v>102</v>
      </c>
      <c r="F63" t="n">
        <v>216</v>
      </c>
      <c r="G63" t="inlineStr">
        <is>
          <t>Hyderabad</t>
        </is>
      </c>
      <c r="H63" t="inlineStr">
        <is>
          <t>Biryani</t>
        </is>
      </c>
      <c r="I63" t="n">
        <v>1035</v>
      </c>
      <c r="J63" t="n">
        <v>198.38</v>
      </c>
      <c r="K63" t="n">
        <v>0</v>
      </c>
      <c r="L63" t="n">
        <v>0.22</v>
      </c>
      <c r="M63" t="n">
        <v>227.7</v>
      </c>
      <c r="N63" t="n">
        <v>5.4</v>
      </c>
      <c r="O63" t="n">
        <v>36.1</v>
      </c>
      <c r="P63" t="inlineStr">
        <is>
          <t>Cash on Delivery</t>
        </is>
      </c>
      <c r="Q63" t="inlineStr">
        <is>
          <t>Delivered</t>
        </is>
      </c>
      <c r="R63" t="n">
        <v>4</v>
      </c>
    </row>
    <row r="64">
      <c r="A64" t="inlineStr">
        <is>
          <t>ORD1063</t>
        </is>
      </c>
      <c r="B64" t="inlineStr">
        <is>
          <t>2025-06-08</t>
        </is>
      </c>
      <c r="C64" t="inlineStr">
        <is>
          <t>12:35:24</t>
        </is>
      </c>
      <c r="D64" t="n">
        <v>1092</v>
      </c>
      <c r="E64" t="n">
        <v>104</v>
      </c>
      <c r="F64" t="n">
        <v>230</v>
      </c>
      <c r="G64" t="inlineStr">
        <is>
          <t>Delhi NCR</t>
        </is>
      </c>
      <c r="H64" t="inlineStr">
        <is>
          <t>Fast Food</t>
        </is>
      </c>
      <c r="I64" t="n">
        <v>878</v>
      </c>
      <c r="J64" t="n">
        <v>92.56</v>
      </c>
      <c r="K64" t="n">
        <v>25</v>
      </c>
      <c r="L64" t="n">
        <v>0.18</v>
      </c>
      <c r="M64" t="n">
        <v>164.29</v>
      </c>
      <c r="N64" t="n">
        <v>1.8</v>
      </c>
      <c r="O64" t="n">
        <v>33.1</v>
      </c>
      <c r="P64" t="inlineStr">
        <is>
          <t>Digital Wallet</t>
        </is>
      </c>
      <c r="Q64" t="inlineStr">
        <is>
          <t>Delivered</t>
        </is>
      </c>
      <c r="R64" t="n">
        <v>5</v>
      </c>
    </row>
    <row r="65">
      <c r="A65" t="inlineStr">
        <is>
          <t>ORD1064</t>
        </is>
      </c>
      <c r="B65" t="inlineStr">
        <is>
          <t>2025-09-18</t>
        </is>
      </c>
      <c r="C65" t="inlineStr">
        <is>
          <t>06:23:01</t>
        </is>
      </c>
      <c r="D65" t="n">
        <v>1119</v>
      </c>
      <c r="E65" t="n">
        <v>112</v>
      </c>
      <c r="F65" t="n">
        <v>228</v>
      </c>
      <c r="G65" t="inlineStr">
        <is>
          <t>Delhi NCR</t>
        </is>
      </c>
      <c r="H65" t="inlineStr">
        <is>
          <t>North Indian</t>
        </is>
      </c>
      <c r="I65" t="n">
        <v>770</v>
      </c>
      <c r="J65" t="n">
        <v>90.88</v>
      </c>
      <c r="K65" t="n">
        <v>0</v>
      </c>
      <c r="L65" t="n">
        <v>0.22</v>
      </c>
      <c r="M65" t="n">
        <v>169.4</v>
      </c>
      <c r="N65" t="n">
        <v>5.3</v>
      </c>
      <c r="O65" t="n">
        <v>30.9</v>
      </c>
      <c r="P65" t="inlineStr">
        <is>
          <t>Cash on Delivery</t>
        </is>
      </c>
      <c r="Q65" t="inlineStr">
        <is>
          <t>Delivered</t>
        </is>
      </c>
      <c r="R65" t="n">
        <v>4</v>
      </c>
    </row>
    <row r="66">
      <c r="A66" t="inlineStr">
        <is>
          <t>ORD1065</t>
        </is>
      </c>
      <c r="B66" t="inlineStr">
        <is>
          <t>2025-03-12</t>
        </is>
      </c>
      <c r="C66" t="inlineStr">
        <is>
          <t>14:09:04</t>
        </is>
      </c>
      <c r="D66" t="n">
        <v>1209</v>
      </c>
      <c r="E66" t="n">
        <v>110</v>
      </c>
      <c r="F66" t="n">
        <v>214</v>
      </c>
      <c r="G66" t="inlineStr">
        <is>
          <t>Pune</t>
        </is>
      </c>
      <c r="H66" t="inlineStr">
        <is>
          <t>North Indian</t>
        </is>
      </c>
      <c r="I66" t="n">
        <v>522</v>
      </c>
      <c r="J66" t="n">
        <v>4.22</v>
      </c>
      <c r="K66" t="n">
        <v>25</v>
      </c>
      <c r="L66" t="n">
        <v>0.18</v>
      </c>
      <c r="M66" t="n">
        <v>100.21</v>
      </c>
      <c r="N66" t="n">
        <v>3</v>
      </c>
      <c r="O66" t="n">
        <v>36</v>
      </c>
      <c r="P66" t="inlineStr">
        <is>
          <t>Digital Wallet</t>
        </is>
      </c>
      <c r="Q66" t="inlineStr">
        <is>
          <t>Delivered</t>
        </is>
      </c>
      <c r="R66" t="n">
        <v>3</v>
      </c>
    </row>
    <row r="67">
      <c r="A67" t="inlineStr">
        <is>
          <t>ORD1066</t>
        </is>
      </c>
      <c r="B67" t="inlineStr">
        <is>
          <t>2025-11-13</t>
        </is>
      </c>
      <c r="C67" t="inlineStr">
        <is>
          <t>21:08:38</t>
        </is>
      </c>
      <c r="D67" t="n">
        <v>1089</v>
      </c>
      <c r="E67" t="n">
        <v>115</v>
      </c>
      <c r="F67" t="n">
        <v>203</v>
      </c>
      <c r="G67" t="inlineStr">
        <is>
          <t>Bangalore</t>
        </is>
      </c>
      <c r="H67" t="inlineStr">
        <is>
          <t>Italian</t>
        </is>
      </c>
      <c r="I67" t="n">
        <v>744</v>
      </c>
      <c r="J67" t="n">
        <v>86.47</v>
      </c>
      <c r="K67" t="n">
        <v>0</v>
      </c>
      <c r="L67" t="n">
        <v>0.2</v>
      </c>
      <c r="M67" t="n">
        <v>148.8</v>
      </c>
      <c r="N67" t="n">
        <v>8.5</v>
      </c>
      <c r="O67" t="n">
        <v>57.2</v>
      </c>
      <c r="P67" t="inlineStr">
        <is>
          <t>Digital Wallet</t>
        </is>
      </c>
      <c r="Q67" t="inlineStr">
        <is>
          <t>Delivered</t>
        </is>
      </c>
      <c r="R67" t="n">
        <v>1</v>
      </c>
    </row>
    <row r="68">
      <c r="A68" t="inlineStr">
        <is>
          <t>ORD1067</t>
        </is>
      </c>
      <c r="B68" t="inlineStr">
        <is>
          <t>2025-01-23</t>
        </is>
      </c>
      <c r="C68" t="inlineStr">
        <is>
          <t>19:26:23</t>
        </is>
      </c>
      <c r="D68" t="n">
        <v>1065</v>
      </c>
      <c r="E68" t="n">
        <v>112</v>
      </c>
      <c r="F68" t="n">
        <v>219</v>
      </c>
      <c r="G68" t="inlineStr">
        <is>
          <t>Delhi NCR</t>
        </is>
      </c>
      <c r="H68" t="inlineStr">
        <is>
          <t>North Indian</t>
        </is>
      </c>
      <c r="I68" t="n">
        <v>912</v>
      </c>
      <c r="J68" t="n">
        <v>70.73999999999999</v>
      </c>
      <c r="K68" t="n">
        <v>25</v>
      </c>
      <c r="L68" t="n">
        <v>0.22</v>
      </c>
      <c r="M68" t="n">
        <v>206.89</v>
      </c>
      <c r="N68" t="n">
        <v>2.1</v>
      </c>
      <c r="O68" t="n">
        <v>26.4</v>
      </c>
      <c r="P68" t="inlineStr">
        <is>
          <t>Cash on Delivery</t>
        </is>
      </c>
      <c r="Q68" t="inlineStr">
        <is>
          <t>Delivered</t>
        </is>
      </c>
      <c r="R68" t="n">
        <v>5</v>
      </c>
    </row>
    <row r="69">
      <c r="A69" t="inlineStr">
        <is>
          <t>ORD1068</t>
        </is>
      </c>
      <c r="B69" t="inlineStr">
        <is>
          <t>2025-06-08</t>
        </is>
      </c>
      <c r="C69" t="inlineStr">
        <is>
          <t>15:51:50</t>
        </is>
      </c>
      <c r="D69" t="n">
        <v>1022</v>
      </c>
      <c r="E69" t="n">
        <v>118</v>
      </c>
      <c r="F69" t="n">
        <v>221</v>
      </c>
      <c r="G69" t="inlineStr">
        <is>
          <t>Delhi NCR</t>
        </is>
      </c>
      <c r="H69" t="inlineStr">
        <is>
          <t>North Indian</t>
        </is>
      </c>
      <c r="I69" t="n">
        <v>700</v>
      </c>
      <c r="J69" t="n">
        <v>10.86</v>
      </c>
      <c r="K69" t="n">
        <v>25</v>
      </c>
      <c r="L69" t="n">
        <v>0.2</v>
      </c>
      <c r="M69" t="n">
        <v>146.25</v>
      </c>
      <c r="N69" t="n">
        <v>1.9</v>
      </c>
      <c r="O69" t="n">
        <v>24.3</v>
      </c>
      <c r="P69" t="inlineStr">
        <is>
          <t>Digital Wallet</t>
        </is>
      </c>
      <c r="Q69" t="inlineStr">
        <is>
          <t>Delivered</t>
        </is>
      </c>
      <c r="R69" t="n">
        <v>4</v>
      </c>
    </row>
    <row r="70">
      <c r="A70" t="inlineStr">
        <is>
          <t>ORD1069</t>
        </is>
      </c>
      <c r="B70" t="inlineStr">
        <is>
          <t>2025-07-15</t>
        </is>
      </c>
      <c r="C70" t="inlineStr">
        <is>
          <t>11:32:33</t>
        </is>
      </c>
      <c r="D70" t="n">
        <v>1121</v>
      </c>
      <c r="E70" t="n">
        <v>111</v>
      </c>
      <c r="F70" t="n">
        <v>210</v>
      </c>
      <c r="G70" t="inlineStr">
        <is>
          <t>Bangalore</t>
        </is>
      </c>
      <c r="H70" t="inlineStr">
        <is>
          <t>South Indian</t>
        </is>
      </c>
      <c r="I70" t="n">
        <v>648</v>
      </c>
      <c r="J70" t="n">
        <v>76.23</v>
      </c>
      <c r="K70" t="n">
        <v>54</v>
      </c>
      <c r="L70" t="n">
        <v>0.15</v>
      </c>
      <c r="M70" t="n">
        <v>110.7</v>
      </c>
      <c r="N70" t="n">
        <v>8.800000000000001</v>
      </c>
      <c r="O70" t="n">
        <v>48.1</v>
      </c>
      <c r="P70" t="inlineStr">
        <is>
          <t>Digital Wallet</t>
        </is>
      </c>
      <c r="Q70" t="inlineStr">
        <is>
          <t>Delivered</t>
        </is>
      </c>
      <c r="R70" t="n">
        <v>1</v>
      </c>
    </row>
    <row r="71">
      <c r="A71" t="inlineStr">
        <is>
          <t>ORD1070</t>
        </is>
      </c>
      <c r="B71" t="inlineStr">
        <is>
          <t>2025-01-27</t>
        </is>
      </c>
      <c r="C71" t="inlineStr">
        <is>
          <t>11:41:30</t>
        </is>
      </c>
      <c r="D71" t="n">
        <v>1299</v>
      </c>
      <c r="E71" t="n">
        <v>109</v>
      </c>
      <c r="F71" t="n">
        <v>225</v>
      </c>
      <c r="G71" t="inlineStr">
        <is>
          <t>Hyderabad</t>
        </is>
      </c>
      <c r="H71" t="inlineStr">
        <is>
          <t>Biryani</t>
        </is>
      </c>
      <c r="I71" t="n">
        <v>600</v>
      </c>
      <c r="J71" t="n">
        <v>53.29</v>
      </c>
      <c r="K71" t="n">
        <v>32.5</v>
      </c>
      <c r="L71" t="n">
        <v>0.2</v>
      </c>
      <c r="M71" t="n">
        <v>128.12</v>
      </c>
      <c r="N71" t="n">
        <v>4.5</v>
      </c>
      <c r="O71" t="n">
        <v>30.6</v>
      </c>
      <c r="P71" t="inlineStr">
        <is>
          <t>Digital Wallet</t>
        </is>
      </c>
      <c r="Q71" t="inlineStr">
        <is>
          <t>Delivered</t>
        </is>
      </c>
      <c r="R71" t="n">
        <v>4</v>
      </c>
    </row>
    <row r="72">
      <c r="A72" t="inlineStr">
        <is>
          <t>ORD1071</t>
        </is>
      </c>
      <c r="B72" t="inlineStr">
        <is>
          <t>2025-02-12</t>
        </is>
      </c>
      <c r="C72" t="inlineStr">
        <is>
          <t>21:48:10</t>
        </is>
      </c>
      <c r="D72" t="n">
        <v>1275</v>
      </c>
      <c r="E72" t="n">
        <v>116</v>
      </c>
      <c r="F72" t="n">
        <v>224</v>
      </c>
      <c r="G72" t="inlineStr">
        <is>
          <t>Pune</t>
        </is>
      </c>
      <c r="H72" t="inlineStr">
        <is>
          <t>Desserts</t>
        </is>
      </c>
      <c r="I72" t="n">
        <v>499</v>
      </c>
      <c r="J72" t="n">
        <v>0</v>
      </c>
      <c r="K72" t="n">
        <v>28</v>
      </c>
      <c r="L72" t="n">
        <v>0.25</v>
      </c>
      <c r="M72" t="n">
        <v>131.75</v>
      </c>
      <c r="N72" t="n">
        <v>3.6</v>
      </c>
      <c r="O72" t="n">
        <v>36.2</v>
      </c>
      <c r="P72" t="inlineStr">
        <is>
          <t>Cash on Delivery</t>
        </is>
      </c>
      <c r="Q72" t="inlineStr">
        <is>
          <t>Delivered</t>
        </is>
      </c>
      <c r="R72" t="n">
        <v>5</v>
      </c>
    </row>
    <row r="73">
      <c r="A73" t="inlineStr">
        <is>
          <t>ORD1072</t>
        </is>
      </c>
      <c r="B73" t="inlineStr">
        <is>
          <t>2025-08-19</t>
        </is>
      </c>
      <c r="C73" t="inlineStr">
        <is>
          <t>12:56:22</t>
        </is>
      </c>
      <c r="D73" t="n">
        <v>1054</v>
      </c>
      <c r="E73" t="n">
        <v>101</v>
      </c>
      <c r="F73" t="n">
        <v>203</v>
      </c>
      <c r="G73" t="inlineStr">
        <is>
          <t>Bangalore</t>
        </is>
      </c>
      <c r="H73" t="inlineStr">
        <is>
          <t>North Indian</t>
        </is>
      </c>
      <c r="I73" t="n">
        <v>453</v>
      </c>
      <c r="J73" t="n">
        <v>47.71</v>
      </c>
      <c r="K73" t="n">
        <v>25</v>
      </c>
      <c r="L73" t="n">
        <v>0.2</v>
      </c>
      <c r="M73" t="n">
        <v>96.84999999999999</v>
      </c>
      <c r="N73" t="n">
        <v>2.1</v>
      </c>
      <c r="O73" t="n">
        <v>27.4</v>
      </c>
      <c r="P73" t="inlineStr">
        <is>
          <t>Credit Card</t>
        </is>
      </c>
      <c r="Q73" t="inlineStr">
        <is>
          <t>Delivered</t>
        </is>
      </c>
      <c r="R73" t="n">
        <v>5</v>
      </c>
    </row>
    <row r="74">
      <c r="A74" t="inlineStr">
        <is>
          <t>ORD1073</t>
        </is>
      </c>
      <c r="B74" t="inlineStr">
        <is>
          <t>2025-04-25</t>
        </is>
      </c>
      <c r="C74" t="inlineStr">
        <is>
          <t>20:01:20</t>
        </is>
      </c>
      <c r="D74" t="n">
        <v>1064</v>
      </c>
      <c r="E74" t="n">
        <v>116</v>
      </c>
      <c r="F74" t="n">
        <v>224</v>
      </c>
      <c r="G74" t="inlineStr">
        <is>
          <t>Pune</t>
        </is>
      </c>
      <c r="H74" t="inlineStr">
        <is>
          <t>Desserts</t>
        </is>
      </c>
      <c r="I74" t="n">
        <v>321</v>
      </c>
      <c r="J74" t="n">
        <v>16.69</v>
      </c>
      <c r="K74" t="n">
        <v>38.5</v>
      </c>
      <c r="L74" t="n">
        <v>0.25</v>
      </c>
      <c r="M74" t="n">
        <v>89.88</v>
      </c>
      <c r="N74" t="n">
        <v>5.7</v>
      </c>
      <c r="O74" t="n">
        <v>44.4</v>
      </c>
      <c r="P74" t="inlineStr">
        <is>
          <t>Credit Card</t>
        </is>
      </c>
      <c r="Q74" t="inlineStr">
        <is>
          <t>Delivered</t>
        </is>
      </c>
      <c r="R74" t="n">
        <v>3</v>
      </c>
    </row>
    <row r="75">
      <c r="A75" t="inlineStr">
        <is>
          <t>ORD1074</t>
        </is>
      </c>
      <c r="B75" t="inlineStr">
        <is>
          <t>2025-08-30</t>
        </is>
      </c>
      <c r="C75" t="inlineStr">
        <is>
          <t>09:44:53</t>
        </is>
      </c>
      <c r="D75" t="n">
        <v>1022</v>
      </c>
      <c r="E75" t="n">
        <v>112</v>
      </c>
      <c r="F75" t="n">
        <v>211</v>
      </c>
      <c r="G75" t="inlineStr">
        <is>
          <t>Delhi NCR</t>
        </is>
      </c>
      <c r="H75" t="inlineStr">
        <is>
          <t>North Indian</t>
        </is>
      </c>
      <c r="I75" t="n">
        <v>362</v>
      </c>
      <c r="J75" t="n">
        <v>13.59</v>
      </c>
      <c r="K75" t="n">
        <v>28</v>
      </c>
      <c r="L75" t="n">
        <v>0.22</v>
      </c>
      <c r="M75" t="n">
        <v>86.64</v>
      </c>
      <c r="N75" t="n">
        <v>3.6</v>
      </c>
      <c r="O75" t="n">
        <v>28.8</v>
      </c>
      <c r="P75" t="inlineStr">
        <is>
          <t>UPI</t>
        </is>
      </c>
      <c r="Q75" t="inlineStr">
        <is>
          <t>Delivered</t>
        </is>
      </c>
      <c r="R75" t="n">
        <v>5</v>
      </c>
    </row>
    <row r="76">
      <c r="A76" t="inlineStr">
        <is>
          <t>ORD1075</t>
        </is>
      </c>
      <c r="B76" t="inlineStr">
        <is>
          <t>2025-04-21</t>
        </is>
      </c>
      <c r="C76" t="inlineStr">
        <is>
          <t>22:53:09</t>
        </is>
      </c>
      <c r="D76" t="n">
        <v>1037</v>
      </c>
      <c r="E76" t="n">
        <v>111</v>
      </c>
      <c r="F76" t="n">
        <v>220</v>
      </c>
      <c r="G76" t="inlineStr">
        <is>
          <t>Bangalore</t>
        </is>
      </c>
      <c r="H76" t="inlineStr">
        <is>
          <t>South Indian</t>
        </is>
      </c>
      <c r="I76" t="n">
        <v>781</v>
      </c>
      <c r="J76" t="n">
        <v>38.04</v>
      </c>
      <c r="K76" t="n">
        <v>35.5</v>
      </c>
      <c r="L76" t="n">
        <v>0.15</v>
      </c>
      <c r="M76" t="n">
        <v>126.02</v>
      </c>
      <c r="N76" t="n">
        <v>5.1</v>
      </c>
      <c r="O76" t="n">
        <v>33.3</v>
      </c>
      <c r="P76" t="inlineStr">
        <is>
          <t>Debit Card</t>
        </is>
      </c>
      <c r="Q76" t="inlineStr">
        <is>
          <t>Delivered</t>
        </is>
      </c>
      <c r="R76" t="n">
        <v>4</v>
      </c>
    </row>
    <row r="77">
      <c r="A77" t="inlineStr">
        <is>
          <t>ORD1076</t>
        </is>
      </c>
      <c r="B77" t="inlineStr">
        <is>
          <t>2025-03-04</t>
        </is>
      </c>
      <c r="C77" t="inlineStr">
        <is>
          <t>08:03:15</t>
        </is>
      </c>
      <c r="D77" t="n">
        <v>1192</v>
      </c>
      <c r="E77" t="n">
        <v>115</v>
      </c>
      <c r="F77" t="n">
        <v>205</v>
      </c>
      <c r="G77" t="inlineStr">
        <is>
          <t>Bangalore</t>
        </is>
      </c>
      <c r="H77" t="inlineStr">
        <is>
          <t>Italian</t>
        </is>
      </c>
      <c r="I77" t="n">
        <v>912</v>
      </c>
      <c r="J77" t="n">
        <v>163.6</v>
      </c>
      <c r="K77" t="n">
        <v>0</v>
      </c>
      <c r="L77" t="n">
        <v>0.2</v>
      </c>
      <c r="M77" t="n">
        <v>182.4</v>
      </c>
      <c r="N77" t="n">
        <v>4.7</v>
      </c>
      <c r="O77" t="n">
        <v>35.3</v>
      </c>
      <c r="P77" t="inlineStr">
        <is>
          <t>UPI</t>
        </is>
      </c>
      <c r="Q77" t="inlineStr">
        <is>
          <t>Delivered</t>
        </is>
      </c>
      <c r="R77" t="n">
        <v>1</v>
      </c>
    </row>
    <row r="78">
      <c r="A78" t="inlineStr">
        <is>
          <t>ORD1077</t>
        </is>
      </c>
      <c r="B78" t="inlineStr">
        <is>
          <t>2025-03-15</t>
        </is>
      </c>
      <c r="C78" t="inlineStr">
        <is>
          <t>21:18:27</t>
        </is>
      </c>
      <c r="D78" t="n">
        <v>1129</v>
      </c>
      <c r="E78" t="n">
        <v>110</v>
      </c>
      <c r="F78" t="n">
        <v>204</v>
      </c>
      <c r="G78" t="inlineStr">
        <is>
          <t>Pune</t>
        </is>
      </c>
      <c r="H78" t="inlineStr">
        <is>
          <t>North Indian</t>
        </is>
      </c>
      <c r="I78" t="n">
        <v>221</v>
      </c>
      <c r="J78" t="n">
        <v>4.25</v>
      </c>
      <c r="K78" t="n">
        <v>31.5</v>
      </c>
      <c r="L78" t="n">
        <v>0.18</v>
      </c>
      <c r="M78" t="n">
        <v>47.66</v>
      </c>
      <c r="N78" t="n">
        <v>4.3</v>
      </c>
      <c r="O78" t="n">
        <v>40.6</v>
      </c>
      <c r="P78" t="inlineStr">
        <is>
          <t>UPI</t>
        </is>
      </c>
      <c r="Q78" t="inlineStr">
        <is>
          <t>Delivered</t>
        </is>
      </c>
      <c r="R78" t="n">
        <v>4</v>
      </c>
    </row>
    <row r="79">
      <c r="A79" t="inlineStr">
        <is>
          <t>ORD1078</t>
        </is>
      </c>
      <c r="B79" t="inlineStr">
        <is>
          <t>2025-07-19</t>
        </is>
      </c>
      <c r="C79" t="inlineStr">
        <is>
          <t>13:55:30</t>
        </is>
      </c>
      <c r="D79" t="n">
        <v>1269</v>
      </c>
      <c r="E79" t="n">
        <v>103</v>
      </c>
      <c r="F79" t="n">
        <v>222</v>
      </c>
      <c r="G79" t="inlineStr">
        <is>
          <t>Mumbai</t>
        </is>
      </c>
      <c r="H79" t="inlineStr">
        <is>
          <t>Italian</t>
        </is>
      </c>
      <c r="I79" t="n">
        <v>264</v>
      </c>
      <c r="J79" t="n">
        <v>20.72</v>
      </c>
      <c r="K79" t="n">
        <v>25</v>
      </c>
      <c r="L79" t="n">
        <v>0.18</v>
      </c>
      <c r="M79" t="n">
        <v>53.77</v>
      </c>
      <c r="N79" t="n">
        <v>2.1</v>
      </c>
      <c r="O79" t="n">
        <v>37.6</v>
      </c>
      <c r="P79" t="inlineStr">
        <is>
          <t>UPI</t>
        </is>
      </c>
      <c r="Q79" t="inlineStr">
        <is>
          <t>Delivered</t>
        </is>
      </c>
      <c r="R79" t="n">
        <v>4</v>
      </c>
    </row>
    <row r="80">
      <c r="A80" t="inlineStr">
        <is>
          <t>ORD1079</t>
        </is>
      </c>
      <c r="B80" t="inlineStr">
        <is>
          <t>2025-05-04</t>
        </is>
      </c>
      <c r="C80" t="inlineStr">
        <is>
          <t>20:46:42</t>
        </is>
      </c>
      <c r="D80" t="n">
        <v>1014</v>
      </c>
      <c r="E80" t="n">
        <v>108</v>
      </c>
      <c r="F80" t="n">
        <v>221</v>
      </c>
      <c r="G80" t="inlineStr">
        <is>
          <t>Delhi NCR</t>
        </is>
      </c>
      <c r="H80" t="inlineStr">
        <is>
          <t>Fast Food</t>
        </is>
      </c>
      <c r="I80" t="n">
        <v>863</v>
      </c>
      <c r="J80" t="n">
        <v>0</v>
      </c>
      <c r="K80" t="n">
        <v>25</v>
      </c>
      <c r="L80" t="n">
        <v>0.18</v>
      </c>
      <c r="M80" t="n">
        <v>161.59</v>
      </c>
      <c r="N80" t="n">
        <v>2.3</v>
      </c>
      <c r="O80" t="n">
        <v>27.2</v>
      </c>
      <c r="P80" t="inlineStr">
        <is>
          <t>Debit Card</t>
        </is>
      </c>
      <c r="Q80" t="inlineStr">
        <is>
          <t>Delivered</t>
        </is>
      </c>
      <c r="R80" t="n">
        <v>5</v>
      </c>
    </row>
    <row r="81">
      <c r="A81" t="inlineStr">
        <is>
          <t>ORD1080</t>
        </is>
      </c>
      <c r="B81" t="inlineStr">
        <is>
          <t>2025-06-30</t>
        </is>
      </c>
      <c r="C81" t="inlineStr">
        <is>
          <t>10:34:21</t>
        </is>
      </c>
      <c r="D81" t="n">
        <v>1034</v>
      </c>
      <c r="E81" t="n">
        <v>117</v>
      </c>
      <c r="F81" t="n">
        <v>206</v>
      </c>
      <c r="G81" t="inlineStr">
        <is>
          <t>Mumbai</t>
        </is>
      </c>
      <c r="H81" t="inlineStr">
        <is>
          <t>Chinese</t>
        </is>
      </c>
      <c r="I81" t="n">
        <v>1022</v>
      </c>
      <c r="J81" t="n">
        <v>187.07</v>
      </c>
      <c r="K81" t="n">
        <v>0</v>
      </c>
      <c r="L81" t="n">
        <v>0.2</v>
      </c>
      <c r="M81" t="n">
        <v>204.4</v>
      </c>
      <c r="N81" t="n">
        <v>3.6</v>
      </c>
      <c r="O81" t="n">
        <v/>
      </c>
      <c r="P81" t="inlineStr">
        <is>
          <t>Cash on Delivery</t>
        </is>
      </c>
      <c r="Q81" t="inlineStr">
        <is>
          <t>Cancelled</t>
        </is>
      </c>
      <c r="R81" t="n">
        <v/>
      </c>
    </row>
    <row r="82">
      <c r="A82" t="inlineStr">
        <is>
          <t>ORD1081</t>
        </is>
      </c>
      <c r="B82" t="inlineStr">
        <is>
          <t>2025-08-23</t>
        </is>
      </c>
      <c r="C82" t="inlineStr">
        <is>
          <t>21:02:18</t>
        </is>
      </c>
      <c r="D82" t="n">
        <v>1144</v>
      </c>
      <c r="E82" t="n">
        <v>101</v>
      </c>
      <c r="F82" t="n">
        <v>205</v>
      </c>
      <c r="G82" t="inlineStr">
        <is>
          <t>Bangalore</t>
        </is>
      </c>
      <c r="H82" t="inlineStr">
        <is>
          <t>North Indian</t>
        </is>
      </c>
      <c r="I82" t="n">
        <v>426</v>
      </c>
      <c r="J82" t="n">
        <v>0</v>
      </c>
      <c r="K82" t="n">
        <v>25</v>
      </c>
      <c r="L82" t="n">
        <v>0.2</v>
      </c>
      <c r="M82" t="n">
        <v>91.45</v>
      </c>
      <c r="N82" t="n">
        <v>2.7</v>
      </c>
      <c r="O82" t="n">
        <v>28.3</v>
      </c>
      <c r="P82" t="inlineStr">
        <is>
          <t>UPI</t>
        </is>
      </c>
      <c r="Q82" t="inlineStr">
        <is>
          <t>Delivered</t>
        </is>
      </c>
      <c r="R82" t="n">
        <v>3</v>
      </c>
    </row>
    <row r="83">
      <c r="A83" t="inlineStr">
        <is>
          <t>ORD1082</t>
        </is>
      </c>
      <c r="B83" t="inlineStr">
        <is>
          <t>2025-10-06</t>
        </is>
      </c>
      <c r="C83" t="inlineStr">
        <is>
          <t>19:30:16</t>
        </is>
      </c>
      <c r="D83" t="n">
        <v>1171</v>
      </c>
      <c r="E83" t="n">
        <v>102</v>
      </c>
      <c r="F83" t="n">
        <v>216</v>
      </c>
      <c r="G83" t="inlineStr">
        <is>
          <t>Hyderabad</t>
        </is>
      </c>
      <c r="H83" t="inlineStr">
        <is>
          <t>Biryani</t>
        </is>
      </c>
      <c r="I83" t="n">
        <v>257</v>
      </c>
      <c r="J83" t="n">
        <v>26.4</v>
      </c>
      <c r="K83" t="n">
        <v>30.5</v>
      </c>
      <c r="L83" t="n">
        <v>0.22</v>
      </c>
      <c r="M83" t="n">
        <v>64.16</v>
      </c>
      <c r="N83" t="n">
        <v>4.1</v>
      </c>
      <c r="O83" t="n">
        <v>30.5</v>
      </c>
      <c r="P83" t="inlineStr">
        <is>
          <t>Debit Card</t>
        </is>
      </c>
      <c r="Q83" t="inlineStr">
        <is>
          <t>Delivered</t>
        </is>
      </c>
      <c r="R83" t="n">
        <v>5</v>
      </c>
    </row>
    <row r="84">
      <c r="A84" t="inlineStr">
        <is>
          <t>ORD1083</t>
        </is>
      </c>
      <c r="B84" t="inlineStr">
        <is>
          <t>2025-05-20</t>
        </is>
      </c>
      <c r="C84" t="inlineStr">
        <is>
          <t>20:07:51</t>
        </is>
      </c>
      <c r="D84" t="n">
        <v>1053</v>
      </c>
      <c r="E84" t="n">
        <v>102</v>
      </c>
      <c r="F84" t="n">
        <v>216</v>
      </c>
      <c r="G84" t="inlineStr">
        <is>
          <t>Hyderabad</t>
        </is>
      </c>
      <c r="H84" t="inlineStr">
        <is>
          <t>Biryani</t>
        </is>
      </c>
      <c r="I84" t="n">
        <v>807</v>
      </c>
      <c r="J84" t="n">
        <v>152.48</v>
      </c>
      <c r="K84" t="n">
        <v>0</v>
      </c>
      <c r="L84" t="n">
        <v>0.22</v>
      </c>
      <c r="M84" t="n">
        <v>177.54</v>
      </c>
      <c r="N84" t="n">
        <v>1.6</v>
      </c>
      <c r="O84" t="n">
        <v>28.8</v>
      </c>
      <c r="P84" t="inlineStr">
        <is>
          <t>Cash on Delivery</t>
        </is>
      </c>
      <c r="Q84" t="inlineStr">
        <is>
          <t>Delivered</t>
        </is>
      </c>
      <c r="R84" t="n">
        <v>5</v>
      </c>
    </row>
    <row r="85">
      <c r="A85" t="inlineStr">
        <is>
          <t>ORD1084</t>
        </is>
      </c>
      <c r="B85" t="inlineStr">
        <is>
          <t>2025-12-21</t>
        </is>
      </c>
      <c r="C85" t="inlineStr">
        <is>
          <t>14:31:23</t>
        </is>
      </c>
      <c r="D85" t="n">
        <v>1154</v>
      </c>
      <c r="E85" t="n">
        <v>107</v>
      </c>
      <c r="F85" t="n">
        <v>202</v>
      </c>
      <c r="G85" t="inlineStr">
        <is>
          <t>Mumbai</t>
        </is>
      </c>
      <c r="H85" t="inlineStr">
        <is>
          <t>Desserts</t>
        </is>
      </c>
      <c r="I85" t="n">
        <v>751</v>
      </c>
      <c r="J85" t="n">
        <v>0</v>
      </c>
      <c r="K85" t="n">
        <v>28.5</v>
      </c>
      <c r="L85" t="n">
        <v>0.25</v>
      </c>
      <c r="M85" t="n">
        <v>194.88</v>
      </c>
      <c r="N85" t="n">
        <v>3.7</v>
      </c>
      <c r="O85" t="n">
        <v>29.3</v>
      </c>
      <c r="P85" t="inlineStr">
        <is>
          <t>Cash on Delivery</t>
        </is>
      </c>
      <c r="Q85" t="inlineStr">
        <is>
          <t>Delivered</t>
        </is>
      </c>
      <c r="R85" t="n">
        <v>4</v>
      </c>
    </row>
    <row r="86">
      <c r="A86" t="inlineStr">
        <is>
          <t>ORD1085</t>
        </is>
      </c>
      <c r="B86" t="inlineStr">
        <is>
          <t>2025-11-05</t>
        </is>
      </c>
      <c r="C86" t="inlineStr">
        <is>
          <t>12:52:11</t>
        </is>
      </c>
      <c r="D86" t="n">
        <v>1075</v>
      </c>
      <c r="E86" t="n">
        <v>104</v>
      </c>
      <c r="F86" t="n">
        <v>212</v>
      </c>
      <c r="G86" t="inlineStr">
        <is>
          <t>Delhi NCR</t>
        </is>
      </c>
      <c r="H86" t="inlineStr">
        <is>
          <t>Fast Food</t>
        </is>
      </c>
      <c r="I86" t="n">
        <v>778</v>
      </c>
      <c r="J86" t="n">
        <v>54.9</v>
      </c>
      <c r="K86" t="n">
        <v>25</v>
      </c>
      <c r="L86" t="n">
        <v>0.18</v>
      </c>
      <c r="M86" t="n">
        <v>146.29</v>
      </c>
      <c r="N86" t="n">
        <v>2.7</v>
      </c>
      <c r="O86" t="n">
        <v>23.6</v>
      </c>
      <c r="P86" t="inlineStr">
        <is>
          <t>Debit Card</t>
        </is>
      </c>
      <c r="Q86" t="inlineStr">
        <is>
          <t>Delivered</t>
        </is>
      </c>
      <c r="R86" t="n">
        <v>5</v>
      </c>
    </row>
    <row r="87">
      <c r="A87" t="inlineStr">
        <is>
          <t>ORD1086</t>
        </is>
      </c>
      <c r="B87" t="inlineStr">
        <is>
          <t>2025-11-05</t>
        </is>
      </c>
      <c r="C87" t="inlineStr">
        <is>
          <t>21:45:27</t>
        </is>
      </c>
      <c r="D87" t="n">
        <v>1006</v>
      </c>
      <c r="E87" t="n">
        <v>117</v>
      </c>
      <c r="F87" t="n">
        <v>222</v>
      </c>
      <c r="G87" t="inlineStr">
        <is>
          <t>Mumbai</t>
        </is>
      </c>
      <c r="H87" t="inlineStr">
        <is>
          <t>Chinese</t>
        </is>
      </c>
      <c r="I87" t="n">
        <v>390</v>
      </c>
      <c r="J87" t="n">
        <v>10.97</v>
      </c>
      <c r="K87" t="n">
        <v>30</v>
      </c>
      <c r="L87" t="n">
        <v>0.2</v>
      </c>
      <c r="M87" t="n">
        <v>85.5</v>
      </c>
      <c r="N87" t="n">
        <v>4</v>
      </c>
      <c r="O87" t="n">
        <v>31.7</v>
      </c>
      <c r="P87" t="inlineStr">
        <is>
          <t>Debit Card</t>
        </is>
      </c>
      <c r="Q87" t="inlineStr">
        <is>
          <t>Delivered</t>
        </is>
      </c>
      <c r="R87" t="n">
        <v>2</v>
      </c>
    </row>
    <row r="88">
      <c r="A88" t="inlineStr">
        <is>
          <t>ORD1087</t>
        </is>
      </c>
      <c r="B88" t="inlineStr">
        <is>
          <t>2025-02-08</t>
        </is>
      </c>
      <c r="C88" t="inlineStr">
        <is>
          <t>09:42:40</t>
        </is>
      </c>
      <c r="D88" t="n">
        <v>1060</v>
      </c>
      <c r="E88" t="n">
        <v>104</v>
      </c>
      <c r="F88" t="n">
        <v>221</v>
      </c>
      <c r="G88" t="inlineStr">
        <is>
          <t>Delhi NCR</t>
        </is>
      </c>
      <c r="H88" t="inlineStr">
        <is>
          <t>Fast Food</t>
        </is>
      </c>
      <c r="I88" t="n">
        <v>635</v>
      </c>
      <c r="J88" t="n">
        <v>0</v>
      </c>
      <c r="K88" t="n">
        <v>25</v>
      </c>
      <c r="L88" t="n">
        <v>0.18</v>
      </c>
      <c r="M88" t="n">
        <v>120.55</v>
      </c>
      <c r="N88" t="n">
        <v>2</v>
      </c>
      <c r="O88" t="n">
        <v>28.4</v>
      </c>
      <c r="P88" t="inlineStr">
        <is>
          <t>Credit Card</t>
        </is>
      </c>
      <c r="Q88" t="inlineStr">
        <is>
          <t>Delivered</t>
        </is>
      </c>
      <c r="R88" t="n">
        <v>4</v>
      </c>
    </row>
    <row r="89">
      <c r="A89" t="inlineStr">
        <is>
          <t>ORD1088</t>
        </is>
      </c>
      <c r="B89" t="inlineStr">
        <is>
          <t>2025-11-08</t>
        </is>
      </c>
      <c r="C89" t="inlineStr">
        <is>
          <t>21:43:50</t>
        </is>
      </c>
      <c r="D89" t="n">
        <v>1222</v>
      </c>
      <c r="E89" t="n">
        <v>109</v>
      </c>
      <c r="F89" t="n">
        <v>216</v>
      </c>
      <c r="G89" t="inlineStr">
        <is>
          <t>Hyderabad</t>
        </is>
      </c>
      <c r="H89" t="inlineStr">
        <is>
          <t>Biryani</t>
        </is>
      </c>
      <c r="I89" t="n">
        <v>668</v>
      </c>
      <c r="J89" t="n">
        <v>0</v>
      </c>
      <c r="K89" t="n">
        <v>37.5</v>
      </c>
      <c r="L89" t="n">
        <v>0.2</v>
      </c>
      <c r="M89" t="n">
        <v>142.98</v>
      </c>
      <c r="N89" t="n">
        <v>5.5</v>
      </c>
      <c r="O89" t="n">
        <v>34.7</v>
      </c>
      <c r="P89" t="inlineStr">
        <is>
          <t>Debit Card</t>
        </is>
      </c>
      <c r="Q89" t="inlineStr">
        <is>
          <t>Delivered</t>
        </is>
      </c>
      <c r="R89" t="n">
        <v>4</v>
      </c>
    </row>
    <row r="90">
      <c r="A90" t="inlineStr">
        <is>
          <t>ORD1089</t>
        </is>
      </c>
      <c r="B90" t="inlineStr">
        <is>
          <t>2025-11-06</t>
        </is>
      </c>
      <c r="C90" t="inlineStr">
        <is>
          <t>14:09:43</t>
        </is>
      </c>
      <c r="D90" t="n">
        <v>1009</v>
      </c>
      <c r="E90" t="n">
        <v>102</v>
      </c>
      <c r="F90" t="n">
        <v>215</v>
      </c>
      <c r="G90" t="inlineStr">
        <is>
          <t>Hyderabad</t>
        </is>
      </c>
      <c r="H90" t="inlineStr">
        <is>
          <t>Biryani</t>
        </is>
      </c>
      <c r="I90" t="n">
        <v>680</v>
      </c>
      <c r="J90" t="n">
        <v>79.16</v>
      </c>
      <c r="K90" t="n">
        <v>25</v>
      </c>
      <c r="L90" t="n">
        <v>0.22</v>
      </c>
      <c r="M90" t="n">
        <v>155.85</v>
      </c>
      <c r="N90" t="n">
        <v>2.4</v>
      </c>
      <c r="O90" t="n">
        <v>25.5</v>
      </c>
      <c r="P90" t="inlineStr">
        <is>
          <t>UPI</t>
        </is>
      </c>
      <c r="Q90" t="inlineStr">
        <is>
          <t>Delivered</t>
        </is>
      </c>
      <c r="R90" t="n">
        <v>4</v>
      </c>
    </row>
    <row r="91">
      <c r="A91" t="inlineStr">
        <is>
          <t>ORD1090</t>
        </is>
      </c>
      <c r="B91" t="inlineStr">
        <is>
          <t>2025-06-10</t>
        </is>
      </c>
      <c r="C91" t="inlineStr">
        <is>
          <t>21:41:17</t>
        </is>
      </c>
      <c r="D91" t="n">
        <v>1244</v>
      </c>
      <c r="E91" t="n">
        <v>112</v>
      </c>
      <c r="F91" t="n">
        <v>230</v>
      </c>
      <c r="G91" t="inlineStr">
        <is>
          <t>Delhi NCR</t>
        </is>
      </c>
      <c r="H91" t="inlineStr">
        <is>
          <t>North Indian</t>
        </is>
      </c>
      <c r="I91" t="n">
        <v>475</v>
      </c>
      <c r="J91" t="n">
        <v>0.98</v>
      </c>
      <c r="K91" t="n">
        <v>34.5</v>
      </c>
      <c r="L91" t="n">
        <v>0.22</v>
      </c>
      <c r="M91" t="n">
        <v>113.12</v>
      </c>
      <c r="N91" t="n">
        <v>4.9</v>
      </c>
      <c r="O91" t="n">
        <v>32.6</v>
      </c>
      <c r="P91" t="inlineStr">
        <is>
          <t>Digital Wallet</t>
        </is>
      </c>
      <c r="Q91" t="inlineStr">
        <is>
          <t>Delivered</t>
        </is>
      </c>
      <c r="R91" t="n">
        <v>3</v>
      </c>
    </row>
    <row r="92">
      <c r="A92" t="inlineStr">
        <is>
          <t>ORD1091</t>
        </is>
      </c>
      <c r="B92" t="inlineStr">
        <is>
          <t>2025-05-14</t>
        </is>
      </c>
      <c r="C92" t="inlineStr">
        <is>
          <t>18:45:28</t>
        </is>
      </c>
      <c r="D92" t="n">
        <v>1198</v>
      </c>
      <c r="E92" t="n">
        <v>105</v>
      </c>
      <c r="F92" t="n">
        <v>227</v>
      </c>
      <c r="G92" t="inlineStr">
        <is>
          <t xml:space="preserve">bangalore  </t>
        </is>
      </c>
      <c r="H92" t="inlineStr">
        <is>
          <t>Chinese</t>
        </is>
      </c>
      <c r="I92" t="n">
        <v>695</v>
      </c>
      <c r="J92" t="n">
        <v>89.34999999999999</v>
      </c>
      <c r="K92" t="n">
        <v>0</v>
      </c>
      <c r="L92" t="n">
        <v>0.2</v>
      </c>
      <c r="M92" t="n">
        <v>139</v>
      </c>
      <c r="N92" t="n">
        <v>5.5</v>
      </c>
      <c r="O92" t="n">
        <v>38.2</v>
      </c>
      <c r="P92" t="inlineStr">
        <is>
          <t>Cash on Delivery</t>
        </is>
      </c>
      <c r="Q92" t="inlineStr">
        <is>
          <t>Delivered</t>
        </is>
      </c>
      <c r="R92" t="n">
        <v>3</v>
      </c>
    </row>
    <row r="93">
      <c r="A93" t="inlineStr">
        <is>
          <t>ORD1092</t>
        </is>
      </c>
      <c r="B93" t="inlineStr">
        <is>
          <t>2025-03-11</t>
        </is>
      </c>
      <c r="C93" t="inlineStr">
        <is>
          <t>08:54:04</t>
        </is>
      </c>
      <c r="D93" t="n">
        <v>1011</v>
      </c>
      <c r="E93" t="n">
        <v>109</v>
      </c>
      <c r="F93" t="n">
        <v>225</v>
      </c>
      <c r="G93" t="inlineStr">
        <is>
          <t>Hyderabad</t>
        </is>
      </c>
      <c r="H93" t="inlineStr">
        <is>
          <t>Biryani</t>
        </is>
      </c>
      <c r="I93" t="n">
        <v>682</v>
      </c>
      <c r="J93" t="n">
        <v>0</v>
      </c>
      <c r="K93" t="n">
        <v>25.5</v>
      </c>
      <c r="L93" t="n">
        <v>0.2</v>
      </c>
      <c r="M93" t="n">
        <v>142.78</v>
      </c>
      <c r="N93" t="n">
        <v>3.1</v>
      </c>
      <c r="O93" t="n">
        <v>33.8</v>
      </c>
      <c r="P93" t="inlineStr">
        <is>
          <t>UPI</t>
        </is>
      </c>
      <c r="Q93" t="inlineStr">
        <is>
          <t>Delivered</t>
        </is>
      </c>
      <c r="R93" t="n">
        <v>5</v>
      </c>
    </row>
    <row r="94">
      <c r="A94" t="inlineStr">
        <is>
          <t>ORD1093</t>
        </is>
      </c>
      <c r="B94" t="inlineStr">
        <is>
          <t>2025-10-09</t>
        </is>
      </c>
      <c r="C94" t="inlineStr">
        <is>
          <t>14:34:18</t>
        </is>
      </c>
      <c r="D94" t="n">
        <v>1252</v>
      </c>
      <c r="E94" t="n">
        <v>107</v>
      </c>
      <c r="F94" t="n">
        <v>202</v>
      </c>
      <c r="G94" t="inlineStr">
        <is>
          <t>Mumbai</t>
        </is>
      </c>
      <c r="H94" t="inlineStr">
        <is>
          <t>Desserts</t>
        </is>
      </c>
      <c r="I94" t="n">
        <v>527</v>
      </c>
      <c r="J94" t="n">
        <v>30.01</v>
      </c>
      <c r="K94" t="n">
        <v>39.5</v>
      </c>
      <c r="L94" t="n">
        <v>0.25</v>
      </c>
      <c r="M94" t="n">
        <v>141.62</v>
      </c>
      <c r="N94" t="n">
        <v>5.9</v>
      </c>
      <c r="O94" t="n">
        <v>47</v>
      </c>
      <c r="P94" t="inlineStr">
        <is>
          <t>Credit Card</t>
        </is>
      </c>
      <c r="Q94" t="inlineStr">
        <is>
          <t>Delivered</t>
        </is>
      </c>
      <c r="R94" t="n">
        <v>5</v>
      </c>
    </row>
    <row r="95">
      <c r="A95" t="inlineStr">
        <is>
          <t>ORD1094</t>
        </is>
      </c>
      <c r="B95" t="inlineStr">
        <is>
          <t>2025-04-13</t>
        </is>
      </c>
      <c r="C95" t="inlineStr">
        <is>
          <t>17:50:08</t>
        </is>
      </c>
      <c r="D95" t="n">
        <v>1144</v>
      </c>
      <c r="E95" t="n">
        <v>111</v>
      </c>
      <c r="F95" t="n">
        <v>205</v>
      </c>
      <c r="G95" t="inlineStr">
        <is>
          <t>Bangalore</t>
        </is>
      </c>
      <c r="H95" t="inlineStr">
        <is>
          <t>South Indian</t>
        </is>
      </c>
      <c r="I95" t="n">
        <v>462</v>
      </c>
      <c r="J95" t="n">
        <v>0.97</v>
      </c>
      <c r="K95" t="n">
        <v>29.5</v>
      </c>
      <c r="L95" t="n">
        <v>0.15</v>
      </c>
      <c r="M95" t="n">
        <v>76.68000000000001</v>
      </c>
      <c r="N95" t="n">
        <v>3.9</v>
      </c>
      <c r="O95" t="n">
        <v>32</v>
      </c>
      <c r="P95" t="inlineStr">
        <is>
          <t>Debit Card</t>
        </is>
      </c>
      <c r="Q95" t="inlineStr">
        <is>
          <t>Delivered</t>
        </is>
      </c>
      <c r="R95" t="n">
        <v>4</v>
      </c>
    </row>
    <row r="96">
      <c r="A96" t="inlineStr">
        <is>
          <t>ORD1095</t>
        </is>
      </c>
      <c r="B96" t="inlineStr">
        <is>
          <t>2025-02-03</t>
        </is>
      </c>
      <c r="C96" t="inlineStr">
        <is>
          <t>12:19:25</t>
        </is>
      </c>
      <c r="D96" t="n">
        <v>1124</v>
      </c>
      <c r="E96" t="n">
        <v>118</v>
      </c>
      <c r="F96" t="n">
        <v>228</v>
      </c>
      <c r="G96" t="inlineStr">
        <is>
          <t>Delhi NCR</t>
        </is>
      </c>
      <c r="H96" t="inlineStr">
        <is>
          <t>North Indian</t>
        </is>
      </c>
      <c r="I96" t="n">
        <v>710</v>
      </c>
      <c r="J96" t="n">
        <v>43.69</v>
      </c>
      <c r="K96" t="n">
        <v>25</v>
      </c>
      <c r="L96" t="n">
        <v>0.2</v>
      </c>
      <c r="M96" t="n">
        <v>148.25</v>
      </c>
      <c r="N96" t="n">
        <v>2.5</v>
      </c>
      <c r="O96" t="n">
        <v>31.1</v>
      </c>
      <c r="P96" t="inlineStr">
        <is>
          <t>UPI</t>
        </is>
      </c>
      <c r="Q96" t="inlineStr">
        <is>
          <t>Delivered</t>
        </is>
      </c>
      <c r="R96" t="n">
        <v>4</v>
      </c>
    </row>
    <row r="97">
      <c r="A97" t="inlineStr">
        <is>
          <t>ORD1096</t>
        </is>
      </c>
      <c r="B97" t="inlineStr">
        <is>
          <t>2025-11-25</t>
        </is>
      </c>
      <c r="C97" t="inlineStr">
        <is>
          <t>23:04:28</t>
        </is>
      </c>
      <c r="D97" t="n">
        <v>1160</v>
      </c>
      <c r="E97" t="n">
        <v>116</v>
      </c>
      <c r="F97" t="n">
        <v>224</v>
      </c>
      <c r="G97" t="inlineStr">
        <is>
          <t>Pune</t>
        </is>
      </c>
      <c r="H97" t="inlineStr">
        <is>
          <t>Desserts</t>
        </is>
      </c>
      <c r="I97" t="n">
        <v>697</v>
      </c>
      <c r="J97" t="n">
        <v>68.03</v>
      </c>
      <c r="K97" t="n">
        <v>34.5</v>
      </c>
      <c r="L97" t="n">
        <v>0.25</v>
      </c>
      <c r="M97" t="n">
        <v>182.88</v>
      </c>
      <c r="N97" t="n">
        <v>4.9</v>
      </c>
      <c r="O97" t="n">
        <v/>
      </c>
      <c r="P97" t="inlineStr">
        <is>
          <t>Digital Wallet</t>
        </is>
      </c>
      <c r="Q97" t="inlineStr">
        <is>
          <t>Cancelled</t>
        </is>
      </c>
      <c r="R97" t="n">
        <v/>
      </c>
    </row>
    <row r="98">
      <c r="A98" t="inlineStr">
        <is>
          <t>ORD1097</t>
        </is>
      </c>
      <c r="B98" t="inlineStr">
        <is>
          <t>2025-09-15</t>
        </is>
      </c>
      <c r="C98" t="inlineStr">
        <is>
          <t>18:58:55</t>
        </is>
      </c>
      <c r="D98" t="n">
        <v>1063</v>
      </c>
      <c r="E98" t="n">
        <v>101</v>
      </c>
      <c r="F98" t="n">
        <v>203</v>
      </c>
      <c r="G98" t="inlineStr">
        <is>
          <t>Bangalore</t>
        </is>
      </c>
      <c r="H98" t="inlineStr">
        <is>
          <t>North Indian</t>
        </is>
      </c>
      <c r="I98" t="n">
        <v>276</v>
      </c>
      <c r="J98" t="n">
        <v>29.86</v>
      </c>
      <c r="K98" t="n">
        <v>28.5</v>
      </c>
      <c r="L98" t="n">
        <v>0.2</v>
      </c>
      <c r="M98" t="n">
        <v>62.32</v>
      </c>
      <c r="N98" t="n">
        <v>3.7</v>
      </c>
      <c r="O98" t="n">
        <v>33.1</v>
      </c>
      <c r="P98" t="inlineStr">
        <is>
          <t>Debit Card</t>
        </is>
      </c>
      <c r="Q98" t="inlineStr">
        <is>
          <t>Delivered</t>
        </is>
      </c>
      <c r="R98" t="n">
        <v>4</v>
      </c>
    </row>
    <row r="99">
      <c r="A99" t="inlineStr">
        <is>
          <t>ORD1098</t>
        </is>
      </c>
      <c r="B99" t="inlineStr">
        <is>
          <t>2025-06-15</t>
        </is>
      </c>
      <c r="C99" t="inlineStr">
        <is>
          <t>21:59:45</t>
        </is>
      </c>
      <c r="D99" t="n">
        <v>1153</v>
      </c>
      <c r="E99" t="n">
        <v>111</v>
      </c>
      <c r="F99" t="n">
        <v>201</v>
      </c>
      <c r="G99" t="inlineStr">
        <is>
          <t>Bangalore</t>
        </is>
      </c>
      <c r="H99" t="inlineStr">
        <is>
          <t>South Indian</t>
        </is>
      </c>
      <c r="I99" t="n">
        <v>450</v>
      </c>
      <c r="J99" t="n">
        <v>0</v>
      </c>
      <c r="K99" t="n">
        <v>26</v>
      </c>
      <c r="L99" t="n">
        <v>0.15</v>
      </c>
      <c r="M99" t="n">
        <v>74</v>
      </c>
      <c r="N99" t="n">
        <v>3.2</v>
      </c>
      <c r="O99" t="n">
        <v>43.3</v>
      </c>
      <c r="P99" t="inlineStr">
        <is>
          <t>Debit Card</t>
        </is>
      </c>
      <c r="Q99" t="inlineStr">
        <is>
          <t>Delivered</t>
        </is>
      </c>
      <c r="R99" t="n">
        <v>1</v>
      </c>
    </row>
    <row r="100">
      <c r="A100" t="inlineStr">
        <is>
          <t>ORD1099</t>
        </is>
      </c>
      <c r="B100" t="inlineStr">
        <is>
          <t>2025-04-11</t>
        </is>
      </c>
      <c r="C100" t="inlineStr">
        <is>
          <t>13:40:35</t>
        </is>
      </c>
      <c r="D100" t="n">
        <v>1109</v>
      </c>
      <c r="E100" t="n">
        <v>113</v>
      </c>
      <c r="F100" t="n">
        <v>206</v>
      </c>
      <c r="G100" t="inlineStr">
        <is>
          <t>Mumbai</t>
        </is>
      </c>
      <c r="H100" t="inlineStr">
        <is>
          <t>Fast Food</t>
        </is>
      </c>
      <c r="I100" t="n">
        <v>501</v>
      </c>
      <c r="J100" t="n">
        <v>0</v>
      </c>
      <c r="K100" t="n">
        <v>38</v>
      </c>
      <c r="L100" t="n">
        <v>0.18</v>
      </c>
      <c r="M100" t="n">
        <v>99.68000000000001</v>
      </c>
      <c r="N100" t="n">
        <v>5.6</v>
      </c>
      <c r="O100" t="n">
        <v>43.2</v>
      </c>
      <c r="P100" t="inlineStr">
        <is>
          <t>Digital Wallet</t>
        </is>
      </c>
      <c r="Q100" t="inlineStr">
        <is>
          <t>Delivered</t>
        </is>
      </c>
      <c r="R100" t="n">
        <v>3</v>
      </c>
    </row>
    <row r="101">
      <c r="A101" t="inlineStr">
        <is>
          <t>ORD1100</t>
        </is>
      </c>
      <c r="B101" t="inlineStr">
        <is>
          <t>2025-10-31</t>
        </is>
      </c>
      <c r="C101" t="inlineStr">
        <is>
          <t>20:37:09</t>
        </is>
      </c>
      <c r="D101" t="n">
        <v>1024</v>
      </c>
      <c r="E101" t="n">
        <v>113</v>
      </c>
      <c r="F101" t="n">
        <v>229</v>
      </c>
      <c r="G101" t="inlineStr">
        <is>
          <t>Mumbai</t>
        </is>
      </c>
      <c r="H101" t="inlineStr">
        <is>
          <t>Fast Food</t>
        </is>
      </c>
      <c r="I101" t="n">
        <v>395</v>
      </c>
      <c r="J101" t="n">
        <v>22.77</v>
      </c>
      <c r="K101" t="n">
        <v>56.5</v>
      </c>
      <c r="L101" t="n">
        <v>0.18</v>
      </c>
      <c r="M101" t="n">
        <v>85.22</v>
      </c>
      <c r="N101" t="n">
        <v>9.300000000000001</v>
      </c>
      <c r="O101" t="n">
        <v>58</v>
      </c>
      <c r="P101" t="inlineStr">
        <is>
          <t>Digital Wallet</t>
        </is>
      </c>
      <c r="Q101" t="inlineStr">
        <is>
          <t>Delivered</t>
        </is>
      </c>
      <c r="R101" t="n">
        <v>3</v>
      </c>
    </row>
    <row r="102">
      <c r="A102" t="inlineStr">
        <is>
          <t>ORD1101</t>
        </is>
      </c>
      <c r="B102" t="inlineStr">
        <is>
          <t>2025-02-11</t>
        </is>
      </c>
      <c r="C102" t="inlineStr">
        <is>
          <t>19:02:41</t>
        </is>
      </c>
      <c r="D102" t="n">
        <v>1039</v>
      </c>
      <c r="E102" t="n">
        <v>111</v>
      </c>
      <c r="F102" t="n">
        <v>227</v>
      </c>
      <c r="G102" t="inlineStr">
        <is>
          <t>Bangalore</t>
        </is>
      </c>
      <c r="H102" t="inlineStr">
        <is>
          <t>South Indian</t>
        </is>
      </c>
      <c r="I102" t="n">
        <v>810</v>
      </c>
      <c r="J102" t="n">
        <v>55.51</v>
      </c>
      <c r="K102" t="n">
        <v>40</v>
      </c>
      <c r="L102" t="n">
        <v>0.15</v>
      </c>
      <c r="M102" t="n">
        <v>131.5</v>
      </c>
      <c r="N102" t="n">
        <v>6</v>
      </c>
      <c r="O102" t="n">
        <v>42.9</v>
      </c>
      <c r="P102" t="inlineStr">
        <is>
          <t>Digital Wallet</t>
        </is>
      </c>
      <c r="Q102" t="inlineStr">
        <is>
          <t>Delivered</t>
        </is>
      </c>
      <c r="R102" t="n">
        <v>2</v>
      </c>
    </row>
    <row r="103">
      <c r="A103" t="inlineStr">
        <is>
          <t>ORD1102</t>
        </is>
      </c>
      <c r="B103" t="inlineStr">
        <is>
          <t>2025-11-18</t>
        </is>
      </c>
      <c r="C103" t="inlineStr">
        <is>
          <t>22:34:18</t>
        </is>
      </c>
      <c r="D103" t="n">
        <v>1262</v>
      </c>
      <c r="E103" t="n">
        <v>118</v>
      </c>
      <c r="F103" t="n">
        <v>219</v>
      </c>
      <c r="G103" t="inlineStr">
        <is>
          <t>Delhi NCR</t>
        </is>
      </c>
      <c r="H103" t="inlineStr">
        <is>
          <t>North Indian</t>
        </is>
      </c>
      <c r="I103" t="n">
        <v>1221</v>
      </c>
      <c r="J103" t="n">
        <v>158.99</v>
      </c>
      <c r="K103" t="n">
        <v>0</v>
      </c>
      <c r="L103" t="n">
        <v>0.2</v>
      </c>
      <c r="M103" t="n">
        <v>244.2</v>
      </c>
      <c r="N103" t="n">
        <v>15.3</v>
      </c>
      <c r="O103" t="n">
        <v>62.4</v>
      </c>
      <c r="P103" t="inlineStr">
        <is>
          <t>Cash on Delivery</t>
        </is>
      </c>
      <c r="Q103" t="inlineStr">
        <is>
          <t>Delivered</t>
        </is>
      </c>
      <c r="R103" t="n">
        <v>2</v>
      </c>
    </row>
    <row r="104">
      <c r="A104" t="inlineStr">
        <is>
          <t>ORD1103</t>
        </is>
      </c>
      <c r="B104" t="inlineStr">
        <is>
          <t>2025-12-19</t>
        </is>
      </c>
      <c r="C104" t="inlineStr">
        <is>
          <t>06:03:10</t>
        </is>
      </c>
      <c r="D104" t="n">
        <v>1098</v>
      </c>
      <c r="E104" t="n">
        <v>108</v>
      </c>
      <c r="F104" t="n">
        <v>211</v>
      </c>
      <c r="G104" t="inlineStr">
        <is>
          <t>Delhi NCR</t>
        </is>
      </c>
      <c r="H104" t="inlineStr">
        <is>
          <t>Fast Food</t>
        </is>
      </c>
      <c r="I104" t="n">
        <v>670</v>
      </c>
      <c r="J104" t="n">
        <v>0</v>
      </c>
      <c r="K104" t="n">
        <v>25</v>
      </c>
      <c r="L104" t="n">
        <v>0.18</v>
      </c>
      <c r="M104" t="n">
        <v>126.85</v>
      </c>
      <c r="N104" t="n">
        <v>2.7</v>
      </c>
      <c r="O104" t="n">
        <v>24.5</v>
      </c>
      <c r="P104" t="inlineStr">
        <is>
          <t>Debit Card</t>
        </is>
      </c>
      <c r="Q104" t="inlineStr">
        <is>
          <t>Delivered</t>
        </is>
      </c>
      <c r="R104" t="n">
        <v>5</v>
      </c>
    </row>
    <row r="105">
      <c r="A105" t="inlineStr">
        <is>
          <t>ORD1104</t>
        </is>
      </c>
      <c r="B105" t="inlineStr">
        <is>
          <t>2025-06-26</t>
        </is>
      </c>
      <c r="C105" t="inlineStr">
        <is>
          <t>20:25:08</t>
        </is>
      </c>
      <c r="D105" t="n">
        <v>1171</v>
      </c>
      <c r="E105" t="n">
        <v>102</v>
      </c>
      <c r="F105" t="n">
        <v>215</v>
      </c>
      <c r="G105" t="inlineStr">
        <is>
          <t>Hyderabad</t>
        </is>
      </c>
      <c r="H105" t="inlineStr">
        <is>
          <t>Biryani</t>
        </is>
      </c>
      <c r="I105" t="n">
        <v>599</v>
      </c>
      <c r="J105" t="n">
        <v>51.54</v>
      </c>
      <c r="K105" t="n">
        <v>34</v>
      </c>
      <c r="L105" t="n">
        <v>0.22</v>
      </c>
      <c r="M105" t="n">
        <v>140.28</v>
      </c>
      <c r="N105" t="n">
        <v>4.8</v>
      </c>
      <c r="O105" t="n">
        <v>32.9</v>
      </c>
      <c r="P105" t="inlineStr">
        <is>
          <t>Credit Card</t>
        </is>
      </c>
      <c r="Q105" t="inlineStr">
        <is>
          <t>Delivered</t>
        </is>
      </c>
      <c r="R105" t="n">
        <v>5</v>
      </c>
    </row>
    <row r="106">
      <c r="A106" t="inlineStr">
        <is>
          <t>ORD1105</t>
        </is>
      </c>
      <c r="B106" t="inlineStr">
        <is>
          <t>2025-08-19</t>
        </is>
      </c>
      <c r="C106" t="inlineStr">
        <is>
          <t>13:15:09</t>
        </is>
      </c>
      <c r="D106" t="n">
        <v>1079</v>
      </c>
      <c r="E106" t="n">
        <v>105</v>
      </c>
      <c r="F106" t="n">
        <v>223</v>
      </c>
      <c r="G106" t="inlineStr">
        <is>
          <t>Bangalore</t>
        </is>
      </c>
      <c r="H106" t="inlineStr">
        <is>
          <t>Chinese</t>
        </is>
      </c>
      <c r="I106" t="n">
        <v>319</v>
      </c>
      <c r="J106" t="n">
        <v>0</v>
      </c>
      <c r="K106" t="n">
        <v>37.5</v>
      </c>
      <c r="L106" t="n">
        <v>0.2</v>
      </c>
      <c r="M106" t="n">
        <v>73.18000000000001</v>
      </c>
      <c r="N106" t="n">
        <v>5.5</v>
      </c>
      <c r="O106" t="n">
        <v>46.8</v>
      </c>
      <c r="P106" t="inlineStr">
        <is>
          <t>Digital Wallet</t>
        </is>
      </c>
      <c r="Q106" t="inlineStr">
        <is>
          <t>Delivered</t>
        </is>
      </c>
      <c r="R106" t="n">
        <v>2</v>
      </c>
    </row>
    <row r="107">
      <c r="A107" t="inlineStr">
        <is>
          <t>ORD1106</t>
        </is>
      </c>
      <c r="B107" t="inlineStr">
        <is>
          <t>2025-06-17</t>
        </is>
      </c>
      <c r="C107" t="inlineStr">
        <is>
          <t>14:59:36</t>
        </is>
      </c>
      <c r="D107" t="n">
        <v>1271</v>
      </c>
      <c r="E107" t="n">
        <v>108</v>
      </c>
      <c r="F107" t="n">
        <v>219</v>
      </c>
      <c r="G107" t="inlineStr">
        <is>
          <t>Delhi NCR</t>
        </is>
      </c>
      <c r="H107" t="inlineStr">
        <is>
          <t>Fast Food</t>
        </is>
      </c>
      <c r="I107" t="n">
        <v>540</v>
      </c>
      <c r="J107" t="n">
        <v>34.18</v>
      </c>
      <c r="K107" t="n">
        <v>26</v>
      </c>
      <c r="L107" t="n">
        <v>0.18</v>
      </c>
      <c r="M107" t="n">
        <v>103.7</v>
      </c>
      <c r="N107" t="n">
        <v>3.2</v>
      </c>
      <c r="O107" t="n">
        <v>31.6</v>
      </c>
      <c r="P107" t="inlineStr">
        <is>
          <t>Digital Wallet</t>
        </is>
      </c>
      <c r="Q107" t="inlineStr">
        <is>
          <t>Delivered</t>
        </is>
      </c>
      <c r="R107" t="n">
        <v>4</v>
      </c>
    </row>
    <row r="108">
      <c r="A108" t="inlineStr">
        <is>
          <t>ORD1107</t>
        </is>
      </c>
      <c r="B108" t="inlineStr">
        <is>
          <t>2025-09-12</t>
        </is>
      </c>
      <c r="C108" t="inlineStr">
        <is>
          <t>12:01:05</t>
        </is>
      </c>
      <c r="D108" t="n">
        <v>1189</v>
      </c>
      <c r="E108" t="n">
        <v>109</v>
      </c>
      <c r="F108" t="n">
        <v>225</v>
      </c>
      <c r="G108" t="inlineStr">
        <is>
          <t>Hyderabad</t>
        </is>
      </c>
      <c r="H108" t="inlineStr">
        <is>
          <t>Biryani</t>
        </is>
      </c>
      <c r="I108" t="n">
        <v>622</v>
      </c>
      <c r="J108" t="n">
        <v>48.1</v>
      </c>
      <c r="K108" t="n">
        <v>25</v>
      </c>
      <c r="L108" t="n">
        <v>0.2</v>
      </c>
      <c r="M108" t="n">
        <v>130.65</v>
      </c>
      <c r="N108" t="n">
        <v>2.9</v>
      </c>
      <c r="O108" t="n">
        <v>28.4</v>
      </c>
      <c r="P108" t="inlineStr">
        <is>
          <t>Debit Card</t>
        </is>
      </c>
      <c r="Q108" t="inlineStr">
        <is>
          <t>Delivered</t>
        </is>
      </c>
      <c r="R108" t="n">
        <v>2</v>
      </c>
    </row>
    <row r="109">
      <c r="A109" t="inlineStr">
        <is>
          <t>ORD1108</t>
        </is>
      </c>
      <c r="B109" t="inlineStr">
        <is>
          <t>2025-05-25</t>
        </is>
      </c>
      <c r="C109" t="inlineStr">
        <is>
          <t>19:31:38</t>
        </is>
      </c>
      <c r="D109" t="n">
        <v>1095</v>
      </c>
      <c r="E109" t="n">
        <v>112</v>
      </c>
      <c r="F109" t="n">
        <v>221</v>
      </c>
      <c r="G109" t="inlineStr">
        <is>
          <t>Delhi NCR</t>
        </is>
      </c>
      <c r="H109" t="inlineStr">
        <is>
          <t>North Indian</t>
        </is>
      </c>
      <c r="I109" t="n">
        <v>889</v>
      </c>
      <c r="J109" t="n">
        <v>86.3</v>
      </c>
      <c r="K109" t="n">
        <v>27.5</v>
      </c>
      <c r="L109" t="n">
        <v>0.22</v>
      </c>
      <c r="M109" t="n">
        <v>202.46</v>
      </c>
      <c r="N109" t="n">
        <v>3.5</v>
      </c>
      <c r="O109" t="n">
        <v>35.9</v>
      </c>
      <c r="P109" t="inlineStr">
        <is>
          <t>UPI</t>
        </is>
      </c>
      <c r="Q109" t="inlineStr">
        <is>
          <t>Delivered</t>
        </is>
      </c>
      <c r="R109" t="n">
        <v>5</v>
      </c>
    </row>
    <row r="110">
      <c r="A110" t="inlineStr">
        <is>
          <t>ORD1109</t>
        </is>
      </c>
      <c r="B110" t="inlineStr">
        <is>
          <t>2025-03-10</t>
        </is>
      </c>
      <c r="C110" t="inlineStr">
        <is>
          <t>17:56:16</t>
        </is>
      </c>
      <c r="D110" t="n">
        <v>1248</v>
      </c>
      <c r="E110" t="n">
        <v>104</v>
      </c>
      <c r="F110" t="n">
        <v>212</v>
      </c>
      <c r="G110" t="inlineStr">
        <is>
          <t>Delhi NCR</t>
        </is>
      </c>
      <c r="H110" t="inlineStr">
        <is>
          <t>Fast Food</t>
        </is>
      </c>
      <c r="I110" t="n">
        <v>889</v>
      </c>
      <c r="J110" t="n">
        <v>124.75</v>
      </c>
      <c r="K110" t="n">
        <v>0</v>
      </c>
      <c r="L110" t="n">
        <v>0.18</v>
      </c>
      <c r="M110" t="n">
        <v>160.02</v>
      </c>
      <c r="N110" t="n">
        <v>3.9</v>
      </c>
      <c r="O110" t="n">
        <v>29.7</v>
      </c>
      <c r="P110" t="inlineStr">
        <is>
          <t>UPI</t>
        </is>
      </c>
      <c r="Q110" t="inlineStr">
        <is>
          <t>Delivered</t>
        </is>
      </c>
      <c r="R110" t="n">
        <v>3</v>
      </c>
    </row>
    <row r="111">
      <c r="A111" t="inlineStr">
        <is>
          <t>ORD1110</t>
        </is>
      </c>
      <c r="B111" t="inlineStr">
        <is>
          <t>2025-02-07</t>
        </is>
      </c>
      <c r="C111" t="inlineStr">
        <is>
          <t>20:24:32</t>
        </is>
      </c>
      <c r="D111" t="n">
        <v>1082</v>
      </c>
      <c r="E111" t="n">
        <v>110</v>
      </c>
      <c r="F111" t="n">
        <v>224</v>
      </c>
      <c r="G111" t="inlineStr">
        <is>
          <t>Pune</t>
        </is>
      </c>
      <c r="H111" t="inlineStr">
        <is>
          <t>North Indian</t>
        </is>
      </c>
      <c r="I111" t="n">
        <v>681</v>
      </c>
      <c r="J111" t="n">
        <v>70.48999999999999</v>
      </c>
      <c r="K111" t="n">
        <v>25</v>
      </c>
      <c r="L111" t="n">
        <v>0.18</v>
      </c>
      <c r="M111" t="n">
        <v>128.83</v>
      </c>
      <c r="N111" t="n">
        <v>2.9</v>
      </c>
      <c r="O111" t="n">
        <v>27.8</v>
      </c>
      <c r="P111" t="inlineStr">
        <is>
          <t>Digital Wallet</t>
        </is>
      </c>
      <c r="Q111" t="inlineStr">
        <is>
          <t>Delivered</t>
        </is>
      </c>
      <c r="R111" t="n">
        <v>5</v>
      </c>
    </row>
    <row r="112">
      <c r="A112" t="inlineStr">
        <is>
          <t>ORD1111</t>
        </is>
      </c>
      <c r="B112" t="inlineStr">
        <is>
          <t>2025-07-21</t>
        </is>
      </c>
      <c r="C112" t="inlineStr">
        <is>
          <t>10:23:50</t>
        </is>
      </c>
      <c r="D112" t="n">
        <v>1184</v>
      </c>
      <c r="E112" t="n">
        <v>105</v>
      </c>
      <c r="F112" t="n">
        <v>201</v>
      </c>
      <c r="G112" t="inlineStr">
        <is>
          <t>Bangalore</t>
        </is>
      </c>
      <c r="H112" t="inlineStr">
        <is>
          <t>Chinese</t>
        </is>
      </c>
      <c r="I112" t="n">
        <v>809</v>
      </c>
      <c r="J112" t="n">
        <v>156.86</v>
      </c>
      <c r="K112" t="n">
        <v>0</v>
      </c>
      <c r="L112" t="n">
        <v>0.2</v>
      </c>
      <c r="M112" t="n">
        <v>161.8</v>
      </c>
      <c r="N112" t="n">
        <v>3.5</v>
      </c>
      <c r="O112" t="n">
        <v>31</v>
      </c>
      <c r="P112" t="inlineStr">
        <is>
          <t>Credit Card</t>
        </is>
      </c>
      <c r="Q112" t="inlineStr">
        <is>
          <t>Delivered</t>
        </is>
      </c>
      <c r="R112" t="n">
        <v>5</v>
      </c>
    </row>
    <row r="113">
      <c r="A113" t="inlineStr">
        <is>
          <t>ORD1112</t>
        </is>
      </c>
      <c r="B113" t="inlineStr">
        <is>
          <t>2025-01-20</t>
        </is>
      </c>
      <c r="C113" t="inlineStr">
        <is>
          <t>18:08:45</t>
        </is>
      </c>
      <c r="D113" t="n">
        <v>1136</v>
      </c>
      <c r="E113" t="n">
        <v>102</v>
      </c>
      <c r="F113" t="n">
        <v>215</v>
      </c>
      <c r="G113" t="inlineStr">
        <is>
          <t>Hyderabad</t>
        </is>
      </c>
      <c r="H113" t="inlineStr">
        <is>
          <t>Biryani</t>
        </is>
      </c>
      <c r="I113" t="n">
        <v>561</v>
      </c>
      <c r="J113" t="n">
        <v>23.31</v>
      </c>
      <c r="K113" t="n">
        <v>27.5</v>
      </c>
      <c r="L113" t="n">
        <v>0.22</v>
      </c>
      <c r="M113" t="n">
        <v>130.3</v>
      </c>
      <c r="N113" t="n">
        <v>3.5</v>
      </c>
      <c r="O113" t="n">
        <v>26.3</v>
      </c>
      <c r="P113" t="inlineStr">
        <is>
          <t>Digital Wallet</t>
        </is>
      </c>
      <c r="Q113" t="inlineStr">
        <is>
          <t>Delivered</t>
        </is>
      </c>
      <c r="R113" t="n">
        <v>5</v>
      </c>
    </row>
    <row r="114">
      <c r="A114" t="inlineStr">
        <is>
          <t>ORD1113</t>
        </is>
      </c>
      <c r="B114" t="inlineStr">
        <is>
          <t>2025-11-10</t>
        </is>
      </c>
      <c r="C114" t="inlineStr">
        <is>
          <t>17:20:10</t>
        </is>
      </c>
      <c r="D114" t="n">
        <v>1003</v>
      </c>
      <c r="E114" t="n">
        <v>120</v>
      </c>
      <c r="F114" t="n">
        <v>217</v>
      </c>
      <c r="G114" t="inlineStr">
        <is>
          <t>Pune</t>
        </is>
      </c>
      <c r="H114" t="inlineStr">
        <is>
          <t>Fast Food</t>
        </is>
      </c>
      <c r="I114" t="n">
        <v>622</v>
      </c>
      <c r="J114" t="n">
        <v>74.23</v>
      </c>
      <c r="K114" t="n">
        <v>25</v>
      </c>
      <c r="L114" t="n">
        <v>0.18</v>
      </c>
      <c r="M114" t="n">
        <v>118.21</v>
      </c>
      <c r="N114" t="n">
        <v>1.5</v>
      </c>
      <c r="O114" t="n">
        <v>37.7</v>
      </c>
      <c r="P114" t="inlineStr">
        <is>
          <t>Debit Card</t>
        </is>
      </c>
      <c r="Q114" t="inlineStr">
        <is>
          <t>Delivered</t>
        </is>
      </c>
      <c r="R114" t="n">
        <v/>
      </c>
    </row>
    <row r="115">
      <c r="A115" t="inlineStr">
        <is>
          <t>ORD1114</t>
        </is>
      </c>
      <c r="B115" t="inlineStr">
        <is>
          <t>2025-09-01</t>
        </is>
      </c>
      <c r="C115" t="inlineStr">
        <is>
          <t>08:52:01</t>
        </is>
      </c>
      <c r="D115" t="n">
        <v>1252</v>
      </c>
      <c r="E115" t="n">
        <v>107</v>
      </c>
      <c r="F115" t="n">
        <v>206</v>
      </c>
      <c r="G115" t="inlineStr">
        <is>
          <t>Mumbai</t>
        </is>
      </c>
      <c r="H115" t="inlineStr">
        <is>
          <t>Desserts</t>
        </is>
      </c>
      <c r="I115" t="n">
        <v>597</v>
      </c>
      <c r="J115" t="n">
        <v>0</v>
      </c>
      <c r="K115" t="n">
        <v>25</v>
      </c>
      <c r="L115" t="n">
        <v>0.25</v>
      </c>
      <c r="M115" t="n">
        <v>155.5</v>
      </c>
      <c r="N115" t="n">
        <v>1.9</v>
      </c>
      <c r="O115" t="n">
        <v>24.7</v>
      </c>
      <c r="P115" t="inlineStr">
        <is>
          <t>Cash on Delivery</t>
        </is>
      </c>
      <c r="Q115" t="inlineStr">
        <is>
          <t>Delivered</t>
        </is>
      </c>
      <c r="R115" t="n">
        <v>4</v>
      </c>
    </row>
    <row r="116">
      <c r="A116" t="inlineStr">
        <is>
          <t>ORD1115</t>
        </is>
      </c>
      <c r="B116" t="inlineStr">
        <is>
          <t>2025-05-16</t>
        </is>
      </c>
      <c r="C116" t="inlineStr">
        <is>
          <t>10:41:50</t>
        </is>
      </c>
      <c r="D116" t="n">
        <v>1061</v>
      </c>
      <c r="E116" t="n">
        <v>110</v>
      </c>
      <c r="F116" t="n">
        <v>204</v>
      </c>
      <c r="G116" t="inlineStr">
        <is>
          <t>Pune</t>
        </is>
      </c>
      <c r="H116" t="inlineStr">
        <is>
          <t>North Indian</t>
        </is>
      </c>
      <c r="I116" t="n">
        <v>812</v>
      </c>
      <c r="J116" t="n">
        <v>46.86</v>
      </c>
      <c r="K116" t="n">
        <v>27.5</v>
      </c>
      <c r="L116" t="n">
        <v>0.18</v>
      </c>
      <c r="M116" t="n">
        <v>153.04</v>
      </c>
      <c r="N116" t="n">
        <v>3.5</v>
      </c>
      <c r="O116" t="n">
        <v>32.9</v>
      </c>
      <c r="P116" t="inlineStr">
        <is>
          <t>Credit Card</t>
        </is>
      </c>
      <c r="Q116" t="inlineStr">
        <is>
          <t>Delivered</t>
        </is>
      </c>
      <c r="R116" t="n">
        <v>4</v>
      </c>
    </row>
    <row r="117">
      <c r="A117" t="inlineStr">
        <is>
          <t>ORD1116</t>
        </is>
      </c>
      <c r="B117" t="inlineStr">
        <is>
          <t>2025-01-17</t>
        </is>
      </c>
      <c r="C117" t="inlineStr">
        <is>
          <t>12:36:44</t>
        </is>
      </c>
      <c r="D117" t="n">
        <v>1276</v>
      </c>
      <c r="E117" t="n">
        <v>101</v>
      </c>
      <c r="F117" t="n">
        <v>218</v>
      </c>
      <c r="G117" t="inlineStr">
        <is>
          <t>Bangalore</t>
        </is>
      </c>
      <c r="H117" t="inlineStr">
        <is>
          <t>North Indian</t>
        </is>
      </c>
      <c r="I117" t="n">
        <v>332</v>
      </c>
      <c r="J117" t="n">
        <v>0</v>
      </c>
      <c r="K117" t="n">
        <v>31</v>
      </c>
      <c r="L117" t="n">
        <v>0.2</v>
      </c>
      <c r="M117" t="n">
        <v>74.15000000000001</v>
      </c>
      <c r="N117" t="n">
        <v>4.2</v>
      </c>
      <c r="O117" t="n">
        <v>41.3</v>
      </c>
      <c r="P117" t="inlineStr">
        <is>
          <t>Cash on Delivery</t>
        </is>
      </c>
      <c r="Q117" t="inlineStr">
        <is>
          <t>Delivered</t>
        </is>
      </c>
      <c r="R117" t="n">
        <v>2</v>
      </c>
    </row>
    <row r="118">
      <c r="A118" t="inlineStr">
        <is>
          <t>ORD1117</t>
        </is>
      </c>
      <c r="B118" t="inlineStr">
        <is>
          <t>2025-12-20</t>
        </is>
      </c>
      <c r="C118" t="inlineStr">
        <is>
          <t>18:13:26</t>
        </is>
      </c>
      <c r="D118" t="n">
        <v>1066</v>
      </c>
      <c r="E118" t="n">
        <v>106</v>
      </c>
      <c r="F118" t="n">
        <v>207</v>
      </c>
      <c r="G118" t="inlineStr">
        <is>
          <t>Pune</t>
        </is>
      </c>
      <c r="H118" t="inlineStr">
        <is>
          <t>South Indian</t>
        </is>
      </c>
      <c r="I118" t="n">
        <v>733</v>
      </c>
      <c r="J118" t="n">
        <v>53.98</v>
      </c>
      <c r="K118" t="n">
        <v>26</v>
      </c>
      <c r="L118" t="n">
        <v>0.15</v>
      </c>
      <c r="M118" t="n">
        <v>116.45</v>
      </c>
      <c r="N118" t="n">
        <v>3.2</v>
      </c>
      <c r="O118" t="n">
        <v>29.8</v>
      </c>
      <c r="P118" t="inlineStr">
        <is>
          <t>UPI</t>
        </is>
      </c>
      <c r="Q118" t="inlineStr">
        <is>
          <t>Delivered</t>
        </is>
      </c>
      <c r="R118" t="n">
        <v>5</v>
      </c>
    </row>
    <row r="119">
      <c r="A119" t="inlineStr">
        <is>
          <t>ORD1118</t>
        </is>
      </c>
      <c r="B119" t="inlineStr">
        <is>
          <t>2025-12-06</t>
        </is>
      </c>
      <c r="C119" t="inlineStr">
        <is>
          <t>22:30:33</t>
        </is>
      </c>
      <c r="D119" t="n">
        <v>1102</v>
      </c>
      <c r="E119" t="n">
        <v>113</v>
      </c>
      <c r="F119" t="n">
        <v>222</v>
      </c>
      <c r="G119" t="inlineStr">
        <is>
          <t>Mumbai</t>
        </is>
      </c>
      <c r="H119" t="inlineStr">
        <is>
          <t>Fast Food</t>
        </is>
      </c>
      <c r="I119" t="n">
        <v>605</v>
      </c>
      <c r="J119" t="n">
        <v>43.54</v>
      </c>
      <c r="K119" t="n">
        <v>39</v>
      </c>
      <c r="L119" t="n">
        <v>0.18</v>
      </c>
      <c r="M119" t="n">
        <v>118.65</v>
      </c>
      <c r="N119" t="n">
        <v>5.8</v>
      </c>
      <c r="O119" t="n">
        <v>32</v>
      </c>
      <c r="P119" t="inlineStr">
        <is>
          <t>Digital Wallet</t>
        </is>
      </c>
      <c r="Q119" t="inlineStr">
        <is>
          <t>Delivered</t>
        </is>
      </c>
      <c r="R119" t="n">
        <v>5</v>
      </c>
    </row>
    <row r="120">
      <c r="A120" t="inlineStr">
        <is>
          <t>ORD1119</t>
        </is>
      </c>
      <c r="B120" t="inlineStr">
        <is>
          <t>2025-11-09</t>
        </is>
      </c>
      <c r="C120" t="inlineStr">
        <is>
          <t>18:30:12</t>
        </is>
      </c>
      <c r="D120" t="n">
        <v>1030</v>
      </c>
      <c r="E120" t="n">
        <v>119</v>
      </c>
      <c r="F120" t="n">
        <v>216</v>
      </c>
      <c r="G120" t="inlineStr">
        <is>
          <t>Hyderabad</t>
        </is>
      </c>
      <c r="H120" t="inlineStr">
        <is>
          <t>Biryani</t>
        </is>
      </c>
      <c r="I120" t="n">
        <v>472</v>
      </c>
      <c r="J120" t="n">
        <v>0</v>
      </c>
      <c r="K120" t="n">
        <v>39</v>
      </c>
      <c r="L120" t="n">
        <v>0.2</v>
      </c>
      <c r="M120" t="n">
        <v>104.15</v>
      </c>
      <c r="N120" t="n">
        <v>5.8</v>
      </c>
      <c r="O120" t="n">
        <v>33.8</v>
      </c>
      <c r="P120" t="inlineStr">
        <is>
          <t>Debit Card</t>
        </is>
      </c>
      <c r="Q120" t="inlineStr">
        <is>
          <t>Delivered</t>
        </is>
      </c>
      <c r="R120" t="n">
        <v>5</v>
      </c>
    </row>
    <row r="121">
      <c r="A121" t="inlineStr">
        <is>
          <t>ORD1120</t>
        </is>
      </c>
      <c r="B121" t="inlineStr">
        <is>
          <t>2025-06-12</t>
        </is>
      </c>
      <c r="C121" t="inlineStr">
        <is>
          <t>06:30:22</t>
        </is>
      </c>
      <c r="D121" t="n">
        <v>1243</v>
      </c>
      <c r="E121" t="n">
        <v>112</v>
      </c>
      <c r="F121" t="n">
        <v>219</v>
      </c>
      <c r="G121" t="inlineStr">
        <is>
          <t>Delhi NCR</t>
        </is>
      </c>
      <c r="H121" t="inlineStr">
        <is>
          <t>North Indian</t>
        </is>
      </c>
      <c r="I121" t="n">
        <v>1132</v>
      </c>
      <c r="J121" t="n">
        <v>218.98</v>
      </c>
      <c r="K121" t="n">
        <v>0</v>
      </c>
      <c r="L121" t="n">
        <v>0.22</v>
      </c>
      <c r="M121" t="n">
        <v>249.04</v>
      </c>
      <c r="N121" t="n">
        <v>5.8</v>
      </c>
      <c r="O121" t="n">
        <v>40.9</v>
      </c>
      <c r="P121" t="inlineStr">
        <is>
          <t>Debit Card</t>
        </is>
      </c>
      <c r="Q121" t="inlineStr">
        <is>
          <t>Delivered</t>
        </is>
      </c>
      <c r="R121" t="n">
        <v>2</v>
      </c>
    </row>
    <row r="122">
      <c r="A122" t="inlineStr">
        <is>
          <t>ORD1121</t>
        </is>
      </c>
      <c r="B122" t="inlineStr">
        <is>
          <t>2025-07-22</t>
        </is>
      </c>
      <c r="C122" t="inlineStr">
        <is>
          <t>12:52:22</t>
        </is>
      </c>
      <c r="D122" t="n">
        <v>1096</v>
      </c>
      <c r="E122" t="n">
        <v>114</v>
      </c>
      <c r="F122" t="n">
        <v>225</v>
      </c>
      <c r="G122" t="inlineStr">
        <is>
          <t>Hyderabad</t>
        </is>
      </c>
      <c r="H122" t="inlineStr">
        <is>
          <t>Biryani</t>
        </is>
      </c>
      <c r="I122" t="n">
        <v>369</v>
      </c>
      <c r="J122" t="n">
        <v>0</v>
      </c>
      <c r="K122" t="n">
        <v>31</v>
      </c>
      <c r="L122" t="n">
        <v>0.22</v>
      </c>
      <c r="M122" t="n">
        <v>88.93000000000001</v>
      </c>
      <c r="N122" t="n">
        <v>4.2</v>
      </c>
      <c r="O122" t="n">
        <v>31.4</v>
      </c>
      <c r="P122" t="inlineStr">
        <is>
          <t>UPI</t>
        </is>
      </c>
      <c r="Q122" t="inlineStr">
        <is>
          <t>Delivered</t>
        </is>
      </c>
      <c r="R122" t="n">
        <v>5</v>
      </c>
    </row>
    <row r="123">
      <c r="A123" t="inlineStr">
        <is>
          <t>ORD1122</t>
        </is>
      </c>
      <c r="B123" t="inlineStr">
        <is>
          <t>2025-09-03</t>
        </is>
      </c>
      <c r="C123" t="inlineStr">
        <is>
          <t>14:13:12</t>
        </is>
      </c>
      <c r="D123" t="n">
        <v>1215</v>
      </c>
      <c r="E123" t="n">
        <v>120</v>
      </c>
      <c r="F123" t="n">
        <v>207</v>
      </c>
      <c r="G123" t="inlineStr">
        <is>
          <t>Pune</t>
        </is>
      </c>
      <c r="H123" t="inlineStr">
        <is>
          <t>Fast Food</t>
        </is>
      </c>
      <c r="I123" t="n">
        <v>771</v>
      </c>
      <c r="J123" t="n">
        <v>53.18</v>
      </c>
      <c r="K123" t="n">
        <v>29.5</v>
      </c>
      <c r="L123" t="n">
        <v>0.18</v>
      </c>
      <c r="M123" t="n">
        <v>146.16</v>
      </c>
      <c r="N123" t="n">
        <v>3.9</v>
      </c>
      <c r="O123" t="n">
        <v>32.6</v>
      </c>
      <c r="P123" t="inlineStr">
        <is>
          <t>Debit Card</t>
        </is>
      </c>
      <c r="Q123" t="inlineStr">
        <is>
          <t>Delivered</t>
        </is>
      </c>
      <c r="R123" t="n">
        <v>2</v>
      </c>
    </row>
    <row r="124">
      <c r="A124" t="inlineStr">
        <is>
          <t>ORD1123</t>
        </is>
      </c>
      <c r="B124" t="inlineStr">
        <is>
          <t>2025-11-12</t>
        </is>
      </c>
      <c r="C124" t="inlineStr">
        <is>
          <t>19:47:37</t>
        </is>
      </c>
      <c r="D124" t="n">
        <v>1264</v>
      </c>
      <c r="E124" t="n">
        <v>111</v>
      </c>
      <c r="F124" t="n">
        <v>220</v>
      </c>
      <c r="G124" t="inlineStr">
        <is>
          <t>Bangalore</t>
        </is>
      </c>
      <c r="H124" t="inlineStr">
        <is>
          <t>South Indian</t>
        </is>
      </c>
      <c r="I124" t="n">
        <v>465</v>
      </c>
      <c r="J124" t="n">
        <v>0</v>
      </c>
      <c r="K124" t="n">
        <v>25</v>
      </c>
      <c r="L124" t="n">
        <v>0.15</v>
      </c>
      <c r="M124" t="n">
        <v>76</v>
      </c>
      <c r="N124" t="n">
        <v>2.5</v>
      </c>
      <c r="O124" t="n">
        <v>29.3</v>
      </c>
      <c r="P124" t="inlineStr">
        <is>
          <t>Digital Wallet</t>
        </is>
      </c>
      <c r="Q124" t="inlineStr">
        <is>
          <t>Delivered</t>
        </is>
      </c>
      <c r="R124" t="n">
        <v>2</v>
      </c>
    </row>
    <row r="125">
      <c r="A125" t="inlineStr">
        <is>
          <t>ORD1124</t>
        </is>
      </c>
      <c r="B125" t="inlineStr">
        <is>
          <t>2025-01-27</t>
        </is>
      </c>
      <c r="C125" t="inlineStr">
        <is>
          <t>18:06:26</t>
        </is>
      </c>
      <c r="D125" t="n">
        <v>1063</v>
      </c>
      <c r="E125" t="n">
        <v>111</v>
      </c>
      <c r="F125" t="n">
        <v>218</v>
      </c>
      <c r="G125" t="inlineStr">
        <is>
          <t>Bangalore</t>
        </is>
      </c>
      <c r="H125" t="inlineStr">
        <is>
          <t>South Indian</t>
        </is>
      </c>
      <c r="I125" t="n">
        <v>558</v>
      </c>
      <c r="J125" t="n">
        <v>55.92</v>
      </c>
      <c r="K125" t="n">
        <v>25</v>
      </c>
      <c r="L125" t="n">
        <v>0.15</v>
      </c>
      <c r="M125" t="n">
        <v>89.95</v>
      </c>
      <c r="N125" t="n">
        <v>2.4</v>
      </c>
      <c r="O125" t="n">
        <v>36.8</v>
      </c>
      <c r="P125" t="inlineStr">
        <is>
          <t>Credit Card</t>
        </is>
      </c>
      <c r="Q125" t="inlineStr">
        <is>
          <t>Delivered</t>
        </is>
      </c>
      <c r="R125" t="n">
        <v>4</v>
      </c>
    </row>
    <row r="126">
      <c r="A126" t="inlineStr">
        <is>
          <t>ORD1125</t>
        </is>
      </c>
      <c r="B126" t="inlineStr">
        <is>
          <t>2025-07-28</t>
        </is>
      </c>
      <c r="C126" t="inlineStr">
        <is>
          <t>20:41:59</t>
        </is>
      </c>
      <c r="D126" t="n">
        <v>1114</v>
      </c>
      <c r="E126" t="n">
        <v>119</v>
      </c>
      <c r="F126" t="n">
        <v>225</v>
      </c>
      <c r="G126" t="inlineStr">
        <is>
          <t>Hyderabad</t>
        </is>
      </c>
      <c r="H126" t="inlineStr">
        <is>
          <t>Biryani</t>
        </is>
      </c>
      <c r="I126" t="n">
        <v>707</v>
      </c>
      <c r="J126" t="n">
        <v>58.98</v>
      </c>
      <c r="K126" t="n">
        <v>53.5</v>
      </c>
      <c r="L126" t="n">
        <v>0.2</v>
      </c>
      <c r="M126" t="n">
        <v>154.78</v>
      </c>
      <c r="N126" t="n">
        <v>8.699999999999999</v>
      </c>
      <c r="O126" t="n">
        <v>47.9</v>
      </c>
      <c r="P126" t="inlineStr">
        <is>
          <t>Debit Card</t>
        </is>
      </c>
      <c r="Q126" t="inlineStr">
        <is>
          <t>Delivered</t>
        </is>
      </c>
      <c r="R126" t="n">
        <v>3</v>
      </c>
    </row>
    <row r="127">
      <c r="A127" t="inlineStr">
        <is>
          <t>ORD1126</t>
        </is>
      </c>
      <c r="B127" t="inlineStr">
        <is>
          <t>2025-02-15</t>
        </is>
      </c>
      <c r="C127" t="inlineStr">
        <is>
          <t>11:41:36</t>
        </is>
      </c>
      <c r="D127" t="n">
        <v>1059</v>
      </c>
      <c r="E127" t="n">
        <v>102</v>
      </c>
      <c r="F127" t="n">
        <v>215</v>
      </c>
      <c r="G127" t="inlineStr">
        <is>
          <t>Hyderabad</t>
        </is>
      </c>
      <c r="H127" t="inlineStr">
        <is>
          <t>Biryani</t>
        </is>
      </c>
      <c r="I127" t="n">
        <v>457</v>
      </c>
      <c r="J127" t="n">
        <v>26.44</v>
      </c>
      <c r="K127" t="n">
        <v>25</v>
      </c>
      <c r="L127" t="n">
        <v>0.22</v>
      </c>
      <c r="M127" t="n">
        <v>106.79</v>
      </c>
      <c r="N127" t="n">
        <v>2.8</v>
      </c>
      <c r="O127" t="n">
        <v>32.3</v>
      </c>
      <c r="P127" t="inlineStr">
        <is>
          <t>Credit Card</t>
        </is>
      </c>
      <c r="Q127" t="inlineStr">
        <is>
          <t>Delivered</t>
        </is>
      </c>
      <c r="R127" t="n">
        <v>5</v>
      </c>
    </row>
    <row r="128">
      <c r="A128" t="inlineStr">
        <is>
          <t>ORD1127</t>
        </is>
      </c>
      <c r="B128" t="inlineStr">
        <is>
          <t>2025-07-23</t>
        </is>
      </c>
      <c r="C128" t="inlineStr">
        <is>
          <t>08:50:31</t>
        </is>
      </c>
      <c r="D128" t="n">
        <v>1001</v>
      </c>
      <c r="E128" t="n">
        <v>109</v>
      </c>
      <c r="F128" t="n">
        <v>215</v>
      </c>
      <c r="G128" t="inlineStr">
        <is>
          <t>Hyderabad</t>
        </is>
      </c>
      <c r="H128" t="inlineStr">
        <is>
          <t>Biryani</t>
        </is>
      </c>
      <c r="I128" t="n">
        <v>410</v>
      </c>
      <c r="J128" t="n">
        <v>31.56</v>
      </c>
      <c r="K128" t="n">
        <v>60</v>
      </c>
      <c r="L128" t="n">
        <v>0.2</v>
      </c>
      <c r="M128" t="n">
        <v>97</v>
      </c>
      <c r="N128" t="n">
        <v>10</v>
      </c>
      <c r="O128" t="n">
        <v>54</v>
      </c>
      <c r="P128" t="inlineStr">
        <is>
          <t>UPI</t>
        </is>
      </c>
      <c r="Q128" t="inlineStr">
        <is>
          <t>Delivered</t>
        </is>
      </c>
      <c r="R128" t="n">
        <v>2</v>
      </c>
    </row>
    <row r="129">
      <c r="A129" t="inlineStr">
        <is>
          <t>ORD1128</t>
        </is>
      </c>
      <c r="B129" t="inlineStr">
        <is>
          <t>2025-10-18</t>
        </is>
      </c>
      <c r="C129" t="inlineStr">
        <is>
          <t>13:38:06</t>
        </is>
      </c>
      <c r="D129" t="n">
        <v>1220</v>
      </c>
      <c r="E129" t="n">
        <v>109</v>
      </c>
      <c r="F129" t="n">
        <v>215</v>
      </c>
      <c r="G129" t="inlineStr">
        <is>
          <t>Hyderabad</t>
        </is>
      </c>
      <c r="H129" t="inlineStr">
        <is>
          <t>Biryani</t>
        </is>
      </c>
      <c r="I129" t="n">
        <v>563</v>
      </c>
      <c r="J129" t="n">
        <v>39.36</v>
      </c>
      <c r="K129" t="n">
        <v>25</v>
      </c>
      <c r="L129" t="n">
        <v>0.2</v>
      </c>
      <c r="M129" t="n">
        <v>118.85</v>
      </c>
      <c r="N129" t="n">
        <v>2.5</v>
      </c>
      <c r="O129" t="n">
        <v/>
      </c>
      <c r="P129" t="inlineStr">
        <is>
          <t>Digital Wallet</t>
        </is>
      </c>
      <c r="Q129" t="inlineStr">
        <is>
          <t>Cancelled</t>
        </is>
      </c>
      <c r="R129" t="n">
        <v/>
      </c>
    </row>
    <row r="130">
      <c r="A130" t="inlineStr">
        <is>
          <t>ORD1129</t>
        </is>
      </c>
      <c r="B130" t="inlineStr">
        <is>
          <t>2025-05-20</t>
        </is>
      </c>
      <c r="C130" t="inlineStr">
        <is>
          <t>14:12:51</t>
        </is>
      </c>
      <c r="D130" t="n">
        <v>1221</v>
      </c>
      <c r="E130" t="n">
        <v>102</v>
      </c>
      <c r="F130" t="n">
        <v>216</v>
      </c>
      <c r="G130" t="inlineStr">
        <is>
          <t>Hyderabad</t>
        </is>
      </c>
      <c r="H130" t="inlineStr">
        <is>
          <t>Biryani</t>
        </is>
      </c>
      <c r="I130" t="n">
        <v>335</v>
      </c>
      <c r="J130" t="n">
        <v>24.5</v>
      </c>
      <c r="K130" t="n">
        <v>34.5</v>
      </c>
      <c r="L130" t="n">
        <v>0.22</v>
      </c>
      <c r="M130" t="n">
        <v>82.31999999999999</v>
      </c>
      <c r="N130" t="n">
        <v>4.9</v>
      </c>
      <c r="O130" t="n">
        <v>38.4</v>
      </c>
      <c r="P130" t="inlineStr">
        <is>
          <t>Debit Card</t>
        </is>
      </c>
      <c r="Q130" t="inlineStr">
        <is>
          <t>Delivered</t>
        </is>
      </c>
      <c r="R130" t="n">
        <v>4</v>
      </c>
    </row>
    <row r="131">
      <c r="A131" t="inlineStr">
        <is>
          <t>ORD1130</t>
        </is>
      </c>
      <c r="B131" t="inlineStr">
        <is>
          <t>2025-06-01</t>
        </is>
      </c>
      <c r="C131" t="inlineStr">
        <is>
          <t>19:36:43</t>
        </is>
      </c>
      <c r="D131" t="n">
        <v>1118</v>
      </c>
      <c r="E131" t="n">
        <v>118</v>
      </c>
      <c r="F131" t="n">
        <v>219</v>
      </c>
      <c r="G131" t="inlineStr">
        <is>
          <t>Delhi NCR</t>
        </is>
      </c>
      <c r="H131" t="inlineStr">
        <is>
          <t>North Indian</t>
        </is>
      </c>
      <c r="I131" t="n">
        <v>417</v>
      </c>
      <c r="J131" t="n">
        <v>0</v>
      </c>
      <c r="K131" t="n">
        <v>30</v>
      </c>
      <c r="L131" t="n">
        <v>0.2</v>
      </c>
      <c r="M131" t="n">
        <v>90.90000000000001</v>
      </c>
      <c r="N131" t="n">
        <v>4</v>
      </c>
      <c r="O131" t="n">
        <v>37.4</v>
      </c>
      <c r="P131" t="inlineStr">
        <is>
          <t>Cash on Delivery</t>
        </is>
      </c>
      <c r="Q131" t="inlineStr">
        <is>
          <t>Delivered</t>
        </is>
      </c>
      <c r="R131" t="n">
        <v>5</v>
      </c>
    </row>
    <row r="132">
      <c r="A132" t="inlineStr">
        <is>
          <t>ORD1131</t>
        </is>
      </c>
      <c r="B132" t="inlineStr">
        <is>
          <t>2025-07-25</t>
        </is>
      </c>
      <c r="C132" t="inlineStr">
        <is>
          <t>19:42:06</t>
        </is>
      </c>
      <c r="D132" t="n">
        <v>1157</v>
      </c>
      <c r="E132" t="n">
        <v>109</v>
      </c>
      <c r="F132" t="n">
        <v>225</v>
      </c>
      <c r="G132" t="inlineStr">
        <is>
          <t>Hyderabad</t>
        </is>
      </c>
      <c r="H132" t="inlineStr">
        <is>
          <t>Biryani</t>
        </is>
      </c>
      <c r="I132" t="n">
        <v>409</v>
      </c>
      <c r="J132" t="n">
        <v>48.56</v>
      </c>
      <c r="K132" t="n">
        <v>25</v>
      </c>
      <c r="L132" t="n">
        <v>0.2</v>
      </c>
      <c r="M132" t="n">
        <v>88.05</v>
      </c>
      <c r="N132" t="n">
        <v>2.8</v>
      </c>
      <c r="O132" t="n">
        <v>28.8</v>
      </c>
      <c r="P132" t="inlineStr">
        <is>
          <t>Credit Card</t>
        </is>
      </c>
      <c r="Q132" t="inlineStr">
        <is>
          <t>Delivered</t>
        </is>
      </c>
      <c r="R132" t="n">
        <v>3</v>
      </c>
    </row>
    <row r="133">
      <c r="A133" t="inlineStr">
        <is>
          <t>ORD1132</t>
        </is>
      </c>
      <c r="B133" t="inlineStr">
        <is>
          <t>2025-07-16</t>
        </is>
      </c>
      <c r="C133" t="inlineStr">
        <is>
          <t>17:15:28</t>
        </is>
      </c>
      <c r="D133" t="n">
        <v>1002</v>
      </c>
      <c r="E133" t="n">
        <v>108</v>
      </c>
      <c r="F133" t="n">
        <v>212</v>
      </c>
      <c r="G133" t="inlineStr">
        <is>
          <t>Delhi NCR</t>
        </is>
      </c>
      <c r="H133" t="inlineStr">
        <is>
          <t>Fast Food</t>
        </is>
      </c>
      <c r="I133" t="n">
        <v>837</v>
      </c>
      <c r="J133" t="n">
        <v>111.29</v>
      </c>
      <c r="K133" t="n">
        <v>0</v>
      </c>
      <c r="L133" t="n">
        <v>0.18</v>
      </c>
      <c r="M133" t="n">
        <v>150.66</v>
      </c>
      <c r="N133" t="n">
        <v>4.6</v>
      </c>
      <c r="O133" t="n">
        <v>31.2</v>
      </c>
      <c r="P133" t="inlineStr">
        <is>
          <t>Digital Wallet</t>
        </is>
      </c>
      <c r="Q133" t="inlineStr">
        <is>
          <t>Delivered</t>
        </is>
      </c>
      <c r="R133" t="n">
        <v>4</v>
      </c>
    </row>
    <row r="134">
      <c r="A134" t="inlineStr">
        <is>
          <t>ORD1133</t>
        </is>
      </c>
      <c r="B134" t="inlineStr">
        <is>
          <t>2025-12-01</t>
        </is>
      </c>
      <c r="C134" t="inlineStr">
        <is>
          <t>13:23:44</t>
        </is>
      </c>
      <c r="D134" t="n">
        <v>1243</v>
      </c>
      <c r="E134" t="n">
        <v>104</v>
      </c>
      <c r="F134" t="n">
        <v>221</v>
      </c>
      <c r="G134" t="inlineStr">
        <is>
          <t>Delhi NCR</t>
        </is>
      </c>
      <c r="H134" t="inlineStr">
        <is>
          <t>Fast Food</t>
        </is>
      </c>
      <c r="I134" t="n">
        <v>576</v>
      </c>
      <c r="J134" t="n">
        <v>96.06</v>
      </c>
      <c r="K134" t="n">
        <v>0</v>
      </c>
      <c r="L134" t="n">
        <v>0.18</v>
      </c>
      <c r="M134" t="n">
        <v>103.68</v>
      </c>
      <c r="N134" t="n">
        <v>8.1</v>
      </c>
      <c r="O134" t="n">
        <v>52.2</v>
      </c>
      <c r="P134" t="inlineStr">
        <is>
          <t>Credit Card</t>
        </is>
      </c>
      <c r="Q134" t="inlineStr">
        <is>
          <t>Delivered</t>
        </is>
      </c>
      <c r="R134" t="n">
        <v>1</v>
      </c>
    </row>
    <row r="135">
      <c r="A135" t="inlineStr">
        <is>
          <t>ORD1134</t>
        </is>
      </c>
      <c r="B135" t="inlineStr">
        <is>
          <t>2025-11-24</t>
        </is>
      </c>
      <c r="C135" t="inlineStr">
        <is>
          <t>14:58:18</t>
        </is>
      </c>
      <c r="D135" t="n">
        <v>1061</v>
      </c>
      <c r="E135" t="n">
        <v>116</v>
      </c>
      <c r="F135" t="n">
        <v>226</v>
      </c>
      <c r="G135" t="inlineStr">
        <is>
          <t>Pune</t>
        </is>
      </c>
      <c r="H135" t="inlineStr">
        <is>
          <t>Desserts</t>
        </is>
      </c>
      <c r="I135" t="n">
        <v>596</v>
      </c>
      <c r="J135" t="n">
        <v>10.45</v>
      </c>
      <c r="K135" t="n">
        <v>25</v>
      </c>
      <c r="L135" t="n">
        <v>0.25</v>
      </c>
      <c r="M135" t="n">
        <v>155.25</v>
      </c>
      <c r="N135" t="n">
        <v>2.9</v>
      </c>
      <c r="O135" t="n">
        <v>27.2</v>
      </c>
      <c r="P135" t="inlineStr">
        <is>
          <t>Credit Card</t>
        </is>
      </c>
      <c r="Q135" t="inlineStr">
        <is>
          <t>Delivered</t>
        </is>
      </c>
      <c r="R135" t="n">
        <v>4</v>
      </c>
    </row>
    <row r="136">
      <c r="A136" t="inlineStr">
        <is>
          <t>ORD1135</t>
        </is>
      </c>
      <c r="B136" t="inlineStr">
        <is>
          <t>2025-12-26</t>
        </is>
      </c>
      <c r="C136" t="inlineStr">
        <is>
          <t>15:35:58</t>
        </is>
      </c>
      <c r="D136" t="n">
        <v>1217</v>
      </c>
      <c r="E136" t="n">
        <v>109</v>
      </c>
      <c r="F136" t="n">
        <v>215</v>
      </c>
      <c r="G136" t="inlineStr">
        <is>
          <t>Hyderabad</t>
        </is>
      </c>
      <c r="H136" t="inlineStr">
        <is>
          <t>Biryani</t>
        </is>
      </c>
      <c r="I136" t="n">
        <v>702</v>
      </c>
      <c r="J136" t="n">
        <v>45.04</v>
      </c>
      <c r="K136" t="n">
        <v>25</v>
      </c>
      <c r="L136" t="n">
        <v>0.2</v>
      </c>
      <c r="M136" t="n">
        <v>146.65</v>
      </c>
      <c r="N136" t="n">
        <v>3</v>
      </c>
      <c r="O136" t="n">
        <v>35</v>
      </c>
      <c r="P136" t="inlineStr">
        <is>
          <t>Credit Card</t>
        </is>
      </c>
      <c r="Q136" t="inlineStr">
        <is>
          <t>Delivered</t>
        </is>
      </c>
      <c r="R136" t="n">
        <v>5</v>
      </c>
    </row>
    <row r="137">
      <c r="A137" t="inlineStr">
        <is>
          <t>ORD1136</t>
        </is>
      </c>
      <c r="B137" t="inlineStr">
        <is>
          <t>2025-02-09</t>
        </is>
      </c>
      <c r="C137" t="inlineStr">
        <is>
          <t>16:58:36</t>
        </is>
      </c>
      <c r="D137" t="n">
        <v>1189</v>
      </c>
      <c r="E137" t="n">
        <v>119</v>
      </c>
      <c r="F137" t="n">
        <v>215</v>
      </c>
      <c r="G137" t="inlineStr">
        <is>
          <t>Hyderabad</t>
        </is>
      </c>
      <c r="H137" t="inlineStr">
        <is>
          <t>Biryani</t>
        </is>
      </c>
      <c r="I137" t="n">
        <v>334</v>
      </c>
      <c r="J137" t="n">
        <v>0</v>
      </c>
      <c r="K137" t="n">
        <v>28</v>
      </c>
      <c r="L137" t="n">
        <v>0.2</v>
      </c>
      <c r="M137" t="n">
        <v>73.8</v>
      </c>
      <c r="N137" t="n">
        <v>3.6</v>
      </c>
      <c r="O137" t="n">
        <v>32.1</v>
      </c>
      <c r="P137" t="inlineStr">
        <is>
          <t>Digital Wallet</t>
        </is>
      </c>
      <c r="Q137" t="inlineStr">
        <is>
          <t>Delivered</t>
        </is>
      </c>
      <c r="R137" t="n">
        <v>4</v>
      </c>
    </row>
    <row r="138">
      <c r="A138" t="inlineStr">
        <is>
          <t>ORD1137</t>
        </is>
      </c>
      <c r="B138" t="inlineStr">
        <is>
          <t>2025-03-26</t>
        </is>
      </c>
      <c r="C138" t="inlineStr">
        <is>
          <t>18:20:54</t>
        </is>
      </c>
      <c r="D138" t="n">
        <v>1190</v>
      </c>
      <c r="E138" t="n">
        <v>119</v>
      </c>
      <c r="F138" t="n">
        <v>215</v>
      </c>
      <c r="G138" t="inlineStr">
        <is>
          <t>Hyderabad</t>
        </is>
      </c>
      <c r="H138" t="inlineStr">
        <is>
          <t>Biryani</t>
        </is>
      </c>
      <c r="I138" t="n">
        <v>752</v>
      </c>
      <c r="J138" t="n">
        <v>0</v>
      </c>
      <c r="K138" t="n">
        <v>33.5</v>
      </c>
      <c r="L138" t="n">
        <v>0.2</v>
      </c>
      <c r="M138" t="n">
        <v>158.78</v>
      </c>
      <c r="N138" t="n">
        <v>4.7</v>
      </c>
      <c r="O138" t="n">
        <v>35</v>
      </c>
      <c r="P138" t="inlineStr">
        <is>
          <t>Digital Wallet</t>
        </is>
      </c>
      <c r="Q138" t="inlineStr">
        <is>
          <t>Delivered</t>
        </is>
      </c>
      <c r="R138" t="n">
        <v>5</v>
      </c>
    </row>
    <row r="139">
      <c r="A139" t="inlineStr">
        <is>
          <t>ORD1138</t>
        </is>
      </c>
      <c r="B139" t="inlineStr">
        <is>
          <t>2025-01-29</t>
        </is>
      </c>
      <c r="C139" t="inlineStr">
        <is>
          <t>13:29:08</t>
        </is>
      </c>
      <c r="D139" t="n">
        <v>1049</v>
      </c>
      <c r="E139" t="n">
        <v>117</v>
      </c>
      <c r="F139" t="n">
        <v>202</v>
      </c>
      <c r="G139" t="inlineStr">
        <is>
          <t>Mumbai</t>
        </is>
      </c>
      <c r="H139" t="inlineStr">
        <is>
          <t>Chinese</t>
        </is>
      </c>
      <c r="I139" t="n">
        <v>745</v>
      </c>
      <c r="J139" t="n">
        <v>0</v>
      </c>
      <c r="K139" t="n">
        <v>28.5</v>
      </c>
      <c r="L139" t="n">
        <v>0.2</v>
      </c>
      <c r="M139" t="n">
        <v>156.12</v>
      </c>
      <c r="N139" t="n">
        <v>3.7</v>
      </c>
      <c r="O139" t="n">
        <v>39.8</v>
      </c>
      <c r="P139" t="inlineStr">
        <is>
          <t>Digital Wallet</t>
        </is>
      </c>
      <c r="Q139" t="inlineStr">
        <is>
          <t>Delivered</t>
        </is>
      </c>
      <c r="R139" t="n">
        <v>1</v>
      </c>
    </row>
    <row r="140">
      <c r="A140" t="inlineStr">
        <is>
          <t>ORD1139</t>
        </is>
      </c>
      <c r="B140" t="inlineStr">
        <is>
          <t>2025-07-22</t>
        </is>
      </c>
      <c r="C140" t="inlineStr">
        <is>
          <t>19:16:52</t>
        </is>
      </c>
      <c r="D140" t="n">
        <v>1197</v>
      </c>
      <c r="E140" t="n">
        <v>113</v>
      </c>
      <c r="F140" t="n">
        <v>222</v>
      </c>
      <c r="G140" t="inlineStr">
        <is>
          <t>Mumbai</t>
        </is>
      </c>
      <c r="H140" t="inlineStr">
        <is>
          <t>Fast Food</t>
        </is>
      </c>
      <c r="I140" t="n">
        <v>223</v>
      </c>
      <c r="J140" t="n">
        <v>22.79</v>
      </c>
      <c r="K140" t="n">
        <v>41</v>
      </c>
      <c r="L140" t="n">
        <v>0.18</v>
      </c>
      <c r="M140" t="n">
        <v>50.39</v>
      </c>
      <c r="N140" t="n">
        <v>6.2</v>
      </c>
      <c r="O140" t="n">
        <v>51.3</v>
      </c>
      <c r="P140" t="inlineStr">
        <is>
          <t>UPI</t>
        </is>
      </c>
      <c r="Q140" t="inlineStr">
        <is>
          <t>Delivered</t>
        </is>
      </c>
      <c r="R140" t="n">
        <v>3</v>
      </c>
    </row>
    <row r="141">
      <c r="A141" t="inlineStr">
        <is>
          <t>ORD1140</t>
        </is>
      </c>
      <c r="B141" t="inlineStr">
        <is>
          <t>2025-10-05</t>
        </is>
      </c>
      <c r="C141" t="inlineStr">
        <is>
          <t>11:03:59</t>
        </is>
      </c>
      <c r="D141" t="n">
        <v>1081</v>
      </c>
      <c r="E141" t="n">
        <v>101</v>
      </c>
      <c r="F141" t="n">
        <v>218</v>
      </c>
      <c r="G141" t="inlineStr">
        <is>
          <t>Bangalore</t>
        </is>
      </c>
      <c r="H141" t="inlineStr">
        <is>
          <t>North Indian</t>
        </is>
      </c>
      <c r="I141" t="n">
        <v>629</v>
      </c>
      <c r="J141" t="n">
        <v>92.59</v>
      </c>
      <c r="K141" t="n">
        <v>0</v>
      </c>
      <c r="L141" t="n">
        <v>0.2</v>
      </c>
      <c r="M141" t="n">
        <v>125.8</v>
      </c>
      <c r="N141" t="n">
        <v>7.3</v>
      </c>
      <c r="O141" t="n">
        <v>38.3</v>
      </c>
      <c r="P141" t="inlineStr">
        <is>
          <t>Credit Card</t>
        </is>
      </c>
      <c r="Q141" t="inlineStr">
        <is>
          <t>Delivered</t>
        </is>
      </c>
      <c r="R141" t="n">
        <v>4</v>
      </c>
    </row>
    <row r="142">
      <c r="A142" t="inlineStr">
        <is>
          <t>ORD1141</t>
        </is>
      </c>
      <c r="B142" t="inlineStr">
        <is>
          <t>2025-07-11</t>
        </is>
      </c>
      <c r="C142" t="inlineStr">
        <is>
          <t>13:57:24</t>
        </is>
      </c>
      <c r="D142" t="n">
        <v>1088</v>
      </c>
      <c r="E142" t="n">
        <v>116</v>
      </c>
      <c r="F142" t="n">
        <v>209</v>
      </c>
      <c r="G142" t="inlineStr">
        <is>
          <t>Pune</t>
        </is>
      </c>
      <c r="H142" t="inlineStr">
        <is>
          <t>Desserts</t>
        </is>
      </c>
      <c r="I142" t="n">
        <v>679</v>
      </c>
      <c r="J142" t="n">
        <v>75.28</v>
      </c>
      <c r="K142" t="n">
        <v>34.5</v>
      </c>
      <c r="L142" t="n">
        <v>0.25</v>
      </c>
      <c r="M142" t="n">
        <v>178.38</v>
      </c>
      <c r="N142" t="n">
        <v>4.9</v>
      </c>
      <c r="O142" t="n">
        <v>41.5</v>
      </c>
      <c r="P142" t="inlineStr">
        <is>
          <t>Cash on Delivery</t>
        </is>
      </c>
      <c r="Q142" t="inlineStr">
        <is>
          <t>Delivered</t>
        </is>
      </c>
      <c r="R142" t="n">
        <v>5</v>
      </c>
    </row>
    <row r="143">
      <c r="A143" t="inlineStr">
        <is>
          <t>ORD1142</t>
        </is>
      </c>
      <c r="B143" t="inlineStr">
        <is>
          <t>2025-12-01</t>
        </is>
      </c>
      <c r="C143" t="inlineStr">
        <is>
          <t>14:55:22</t>
        </is>
      </c>
      <c r="D143" t="n">
        <v>1225</v>
      </c>
      <c r="E143" t="n">
        <v>116</v>
      </c>
      <c r="F143" t="n">
        <v>208</v>
      </c>
      <c r="G143" t="inlineStr">
        <is>
          <t>Pune</t>
        </is>
      </c>
      <c r="H143" t="inlineStr">
        <is>
          <t>Desserts</t>
        </is>
      </c>
      <c r="I143" t="n">
        <v>341</v>
      </c>
      <c r="J143" t="n">
        <v>0</v>
      </c>
      <c r="K143" t="n">
        <v>25</v>
      </c>
      <c r="L143" t="n">
        <v>0.25</v>
      </c>
      <c r="M143" t="n">
        <v>91.5</v>
      </c>
      <c r="N143" t="n">
        <v>2.7</v>
      </c>
      <c r="O143" t="n">
        <v>81.5</v>
      </c>
      <c r="P143" t="inlineStr">
        <is>
          <t>Credit Card</t>
        </is>
      </c>
      <c r="Q143" t="inlineStr">
        <is>
          <t>Delivered</t>
        </is>
      </c>
      <c r="R143" t="n">
        <v>1</v>
      </c>
    </row>
    <row r="144">
      <c r="A144" t="inlineStr">
        <is>
          <t>ORD1143</t>
        </is>
      </c>
      <c r="B144" t="inlineStr">
        <is>
          <t>2025-06-02</t>
        </is>
      </c>
      <c r="C144" t="inlineStr">
        <is>
          <t>17:29:43</t>
        </is>
      </c>
      <c r="D144" t="n">
        <v>1292</v>
      </c>
      <c r="E144" t="n">
        <v>120</v>
      </c>
      <c r="F144" t="n">
        <v>217</v>
      </c>
      <c r="G144" t="inlineStr">
        <is>
          <t>Pune</t>
        </is>
      </c>
      <c r="H144" t="inlineStr">
        <is>
          <t>Fast Food</t>
        </is>
      </c>
      <c r="I144" t="n">
        <v>777</v>
      </c>
      <c r="J144" t="n">
        <v>0</v>
      </c>
      <c r="K144" t="n">
        <v>52.5</v>
      </c>
      <c r="L144" t="n">
        <v>0.18</v>
      </c>
      <c r="M144" t="n">
        <v>152.98</v>
      </c>
      <c r="N144" t="n">
        <v>8.5</v>
      </c>
      <c r="O144" t="n">
        <v>41.1</v>
      </c>
      <c r="P144" t="inlineStr">
        <is>
          <t>Credit Card</t>
        </is>
      </c>
      <c r="Q144" t="inlineStr">
        <is>
          <t>Delivered</t>
        </is>
      </c>
      <c r="R144" t="n">
        <v>5</v>
      </c>
    </row>
    <row r="145">
      <c r="A145" t="inlineStr">
        <is>
          <t>ORD1144</t>
        </is>
      </c>
      <c r="B145" t="inlineStr">
        <is>
          <t>2025-06-27</t>
        </is>
      </c>
      <c r="C145" t="inlineStr">
        <is>
          <t>17:09:17</t>
        </is>
      </c>
      <c r="D145" t="n">
        <v>1265</v>
      </c>
      <c r="E145" t="n">
        <v>111</v>
      </c>
      <c r="F145" t="n">
        <v>227</v>
      </c>
      <c r="G145" t="inlineStr">
        <is>
          <t>Bangalore</t>
        </is>
      </c>
      <c r="H145" t="inlineStr">
        <is>
          <t>South Indian</t>
        </is>
      </c>
      <c r="I145" t="n">
        <v>752</v>
      </c>
      <c r="J145" t="n">
        <v>141.02</v>
      </c>
      <c r="K145" t="n">
        <v>0</v>
      </c>
      <c r="L145" t="n">
        <v>0.15</v>
      </c>
      <c r="M145" t="n">
        <v>112.8</v>
      </c>
      <c r="N145" t="n">
        <v>2.4</v>
      </c>
      <c r="O145" t="n">
        <v>30</v>
      </c>
      <c r="P145" t="inlineStr">
        <is>
          <t>UPI</t>
        </is>
      </c>
      <c r="Q145" t="inlineStr">
        <is>
          <t>Delivered</t>
        </is>
      </c>
      <c r="R145" t="n">
        <v>5</v>
      </c>
    </row>
    <row r="146">
      <c r="A146" t="inlineStr">
        <is>
          <t>ORD1145</t>
        </is>
      </c>
      <c r="B146" t="inlineStr">
        <is>
          <t>2025-04-16</t>
        </is>
      </c>
      <c r="C146" t="inlineStr">
        <is>
          <t>14:04:06</t>
        </is>
      </c>
      <c r="D146" t="n">
        <v>1018</v>
      </c>
      <c r="E146" t="n">
        <v>112</v>
      </c>
      <c r="F146" t="n">
        <v>212</v>
      </c>
      <c r="G146" t="inlineStr">
        <is>
          <t>Delhi NCR</t>
        </is>
      </c>
      <c r="H146" t="inlineStr">
        <is>
          <t>North Indian</t>
        </is>
      </c>
      <c r="I146" t="n">
        <v>828</v>
      </c>
      <c r="J146" t="n">
        <v>0</v>
      </c>
      <c r="K146" t="n">
        <v>32.5</v>
      </c>
      <c r="L146" t="n">
        <v>0.22</v>
      </c>
      <c r="M146" t="n">
        <v>190.28</v>
      </c>
      <c r="N146" t="n">
        <v>4.5</v>
      </c>
      <c r="O146" t="n">
        <v>37.2</v>
      </c>
      <c r="P146" t="inlineStr">
        <is>
          <t>UPI</t>
        </is>
      </c>
      <c r="Q146" t="inlineStr">
        <is>
          <t>Delivered</t>
        </is>
      </c>
      <c r="R146" t="n">
        <v>4</v>
      </c>
    </row>
    <row r="147">
      <c r="A147" t="inlineStr">
        <is>
          <t>ORD1146</t>
        </is>
      </c>
      <c r="B147" t="inlineStr">
        <is>
          <t>2025-07-25</t>
        </is>
      </c>
      <c r="C147" t="inlineStr">
        <is>
          <t>18:28:14</t>
        </is>
      </c>
      <c r="D147" t="n">
        <v>1235</v>
      </c>
      <c r="E147" t="n">
        <v>114</v>
      </c>
      <c r="F147" t="n">
        <v>215</v>
      </c>
      <c r="G147" t="inlineStr">
        <is>
          <t>Hyderabad</t>
        </is>
      </c>
      <c r="H147" t="inlineStr">
        <is>
          <t>Biryani</t>
        </is>
      </c>
      <c r="I147" t="n">
        <v>772</v>
      </c>
      <c r="J147" t="n">
        <v>0</v>
      </c>
      <c r="K147" t="n">
        <v>25</v>
      </c>
      <c r="L147" t="n">
        <v>0.22</v>
      </c>
      <c r="M147" t="n">
        <v>176.09</v>
      </c>
      <c r="N147" t="n">
        <v>2</v>
      </c>
      <c r="O147" t="n">
        <v>30.8</v>
      </c>
      <c r="P147" t="inlineStr">
        <is>
          <t>UPI</t>
        </is>
      </c>
      <c r="Q147" t="inlineStr">
        <is>
          <t>Delivered</t>
        </is>
      </c>
      <c r="R147" t="n">
        <v>4</v>
      </c>
    </row>
    <row r="148">
      <c r="A148" t="inlineStr">
        <is>
          <t>ORD1147</t>
        </is>
      </c>
      <c r="B148" t="inlineStr">
        <is>
          <t>2025-04-30</t>
        </is>
      </c>
      <c r="C148" t="inlineStr">
        <is>
          <t>17:52:58</t>
        </is>
      </c>
      <c r="D148" t="n">
        <v>1077</v>
      </c>
      <c r="E148" t="n">
        <v>109</v>
      </c>
      <c r="F148" t="n">
        <v>215</v>
      </c>
      <c r="G148" t="inlineStr">
        <is>
          <t>Hyderabad</t>
        </is>
      </c>
      <c r="H148" t="inlineStr">
        <is>
          <t>Biryani</t>
        </is>
      </c>
      <c r="I148" t="n">
        <v>809</v>
      </c>
      <c r="J148" t="n">
        <v>58.51</v>
      </c>
      <c r="K148" t="n">
        <v>36</v>
      </c>
      <c r="L148" t="n">
        <v>0.2</v>
      </c>
      <c r="M148" t="n">
        <v>170.8</v>
      </c>
      <c r="N148" t="n">
        <v>5.2</v>
      </c>
      <c r="O148" t="n">
        <v>38.9</v>
      </c>
      <c r="P148" t="inlineStr">
        <is>
          <t>Debit Card</t>
        </is>
      </c>
      <c r="Q148" t="inlineStr">
        <is>
          <t>Delivered</t>
        </is>
      </c>
      <c r="R148" t="n">
        <v>4</v>
      </c>
    </row>
    <row r="149">
      <c r="A149" t="inlineStr">
        <is>
          <t>ORD1148</t>
        </is>
      </c>
      <c r="B149" t="inlineStr">
        <is>
          <t>2025-03-15</t>
        </is>
      </c>
      <c r="C149" t="inlineStr">
        <is>
          <t>12:42:33</t>
        </is>
      </c>
      <c r="D149" t="n">
        <v>1049</v>
      </c>
      <c r="E149" t="n">
        <v>103</v>
      </c>
      <c r="F149" t="n">
        <v>202</v>
      </c>
      <c r="G149" t="inlineStr">
        <is>
          <t>Mumbai</t>
        </is>
      </c>
      <c r="H149" t="inlineStr">
        <is>
          <t>Italian</t>
        </is>
      </c>
      <c r="I149" t="n">
        <v>446</v>
      </c>
      <c r="J149" t="n">
        <v>0</v>
      </c>
      <c r="K149" t="n">
        <v>31</v>
      </c>
      <c r="L149" t="n">
        <v>0.18</v>
      </c>
      <c r="M149" t="n">
        <v>88.03</v>
      </c>
      <c r="N149" t="n">
        <v>4.2</v>
      </c>
      <c r="O149" t="n">
        <v>31.6</v>
      </c>
      <c r="P149" t="inlineStr">
        <is>
          <t>Digital Wallet</t>
        </is>
      </c>
      <c r="Q149" t="inlineStr">
        <is>
          <t>Delivered</t>
        </is>
      </c>
      <c r="R149" t="n">
        <v>3</v>
      </c>
    </row>
    <row r="150">
      <c r="A150" t="inlineStr">
        <is>
          <t>ORD1149</t>
        </is>
      </c>
      <c r="B150" t="inlineStr">
        <is>
          <t>2025-01-25</t>
        </is>
      </c>
      <c r="C150" t="inlineStr">
        <is>
          <t>20:22:41</t>
        </is>
      </c>
      <c r="D150" t="n">
        <v>1016</v>
      </c>
      <c r="E150" t="n">
        <v>101</v>
      </c>
      <c r="F150" t="n">
        <v>201</v>
      </c>
      <c r="G150" t="inlineStr">
        <is>
          <t>Bangalore</t>
        </is>
      </c>
      <c r="H150" t="inlineStr">
        <is>
          <t>North Indian</t>
        </is>
      </c>
      <c r="I150" t="n">
        <v>907</v>
      </c>
      <c r="J150" t="n">
        <v>0</v>
      </c>
      <c r="K150" t="n">
        <v>25</v>
      </c>
      <c r="L150" t="n">
        <v>0.2</v>
      </c>
      <c r="M150" t="n">
        <v>187.65</v>
      </c>
      <c r="N150" t="n">
        <v>2.4</v>
      </c>
      <c r="O150" t="n">
        <v>30.5</v>
      </c>
      <c r="P150" t="inlineStr">
        <is>
          <t>Cash on Delivery</t>
        </is>
      </c>
      <c r="Q150" t="inlineStr">
        <is>
          <t>Delivered</t>
        </is>
      </c>
      <c r="R150" t="n">
        <v>2</v>
      </c>
    </row>
    <row r="151">
      <c r="A151" t="inlineStr">
        <is>
          <t>ORD1150</t>
        </is>
      </c>
      <c r="B151" t="inlineStr">
        <is>
          <t>2025-07-12</t>
        </is>
      </c>
      <c r="C151" t="inlineStr">
        <is>
          <t>12:11:48</t>
        </is>
      </c>
      <c r="D151" t="n">
        <v>1223</v>
      </c>
      <c r="E151" t="n">
        <v>119</v>
      </c>
      <c r="F151" t="n">
        <v>216</v>
      </c>
      <c r="G151" t="inlineStr">
        <is>
          <t>Hyderabad</t>
        </is>
      </c>
      <c r="H151" t="inlineStr">
        <is>
          <t>Biryani</t>
        </is>
      </c>
      <c r="I151" t="n">
        <v>770</v>
      </c>
      <c r="J151" t="n">
        <v>0</v>
      </c>
      <c r="K151" t="n">
        <v>25</v>
      </c>
      <c r="L151" t="n">
        <v>0.2</v>
      </c>
      <c r="M151" t="n">
        <v>160.25</v>
      </c>
      <c r="N151" t="n">
        <v>2.7</v>
      </c>
      <c r="O151" t="n">
        <v>33.1</v>
      </c>
      <c r="P151" t="inlineStr">
        <is>
          <t>Debit Card</t>
        </is>
      </c>
      <c r="Q151" t="inlineStr">
        <is>
          <t>Delivered</t>
        </is>
      </c>
      <c r="R151" t="n">
        <v>5</v>
      </c>
    </row>
    <row r="152">
      <c r="A152" t="inlineStr">
        <is>
          <t>ORD1151</t>
        </is>
      </c>
      <c r="B152" t="inlineStr">
        <is>
          <t>2025-10-15</t>
        </is>
      </c>
      <c r="C152" t="inlineStr">
        <is>
          <t>22:26:26</t>
        </is>
      </c>
      <c r="D152" t="n">
        <v>1175</v>
      </c>
      <c r="E152" t="n">
        <v>105</v>
      </c>
      <c r="F152" t="n">
        <v>223</v>
      </c>
      <c r="G152" t="inlineStr">
        <is>
          <t xml:space="preserve">bangalore  </t>
        </is>
      </c>
      <c r="H152" t="inlineStr">
        <is>
          <t>Chinese</t>
        </is>
      </c>
      <c r="I152" t="n">
        <v>790</v>
      </c>
      <c r="J152" t="n">
        <v>68.81</v>
      </c>
      <c r="K152" t="n">
        <v>25</v>
      </c>
      <c r="L152" t="n">
        <v>0.2</v>
      </c>
      <c r="M152" t="n">
        <v>164.25</v>
      </c>
      <c r="N152" t="n">
        <v>2.9</v>
      </c>
      <c r="O152" t="n">
        <v>24.4</v>
      </c>
      <c r="P152" t="inlineStr">
        <is>
          <t>Debit Card</t>
        </is>
      </c>
      <c r="Q152" t="inlineStr">
        <is>
          <t>Delivered</t>
        </is>
      </c>
      <c r="R152" t="n">
        <v>3</v>
      </c>
    </row>
    <row r="153">
      <c r="A153" t="inlineStr">
        <is>
          <t>ORD1152</t>
        </is>
      </c>
      <c r="B153" t="inlineStr">
        <is>
          <t>2025-11-28</t>
        </is>
      </c>
      <c r="C153" t="inlineStr">
        <is>
          <t>20:05:59</t>
        </is>
      </c>
      <c r="D153" t="n">
        <v>1193</v>
      </c>
      <c r="E153" t="n">
        <v>118</v>
      </c>
      <c r="F153" t="n">
        <v>219</v>
      </c>
      <c r="G153" t="inlineStr">
        <is>
          <t>Delhi NCR</t>
        </is>
      </c>
      <c r="H153" t="inlineStr">
        <is>
          <t>North Indian</t>
        </is>
      </c>
      <c r="I153" t="n">
        <v>996</v>
      </c>
      <c r="J153" t="n">
        <v>136.56</v>
      </c>
      <c r="K153" t="n">
        <v>0</v>
      </c>
      <c r="L153" t="n">
        <v>0.2</v>
      </c>
      <c r="M153" t="n">
        <v>199.2</v>
      </c>
      <c r="N153" t="n">
        <v>3.8</v>
      </c>
      <c r="O153" t="n">
        <v>35</v>
      </c>
      <c r="P153" t="inlineStr">
        <is>
          <t>Credit Card</t>
        </is>
      </c>
      <c r="Q153" t="inlineStr">
        <is>
          <t>Delivered</t>
        </is>
      </c>
      <c r="R153" t="n">
        <v>3</v>
      </c>
    </row>
    <row r="154">
      <c r="A154" t="inlineStr">
        <is>
          <t>ORD1153</t>
        </is>
      </c>
      <c r="B154" t="inlineStr">
        <is>
          <t>2025-07-13</t>
        </is>
      </c>
      <c r="C154" t="inlineStr">
        <is>
          <t>17:43:38</t>
        </is>
      </c>
      <c r="D154" t="n">
        <v>1033</v>
      </c>
      <c r="E154" t="n">
        <v>119</v>
      </c>
      <c r="F154" t="n">
        <v>216</v>
      </c>
      <c r="G154" t="inlineStr">
        <is>
          <t>Hyderabad</t>
        </is>
      </c>
      <c r="H154" t="inlineStr">
        <is>
          <t>Biryani</t>
        </is>
      </c>
      <c r="I154" t="n">
        <v>837</v>
      </c>
      <c r="J154" t="n">
        <v>0</v>
      </c>
      <c r="K154" t="n">
        <v>40.5</v>
      </c>
      <c r="L154" t="n">
        <v>0.2</v>
      </c>
      <c r="M154" t="n">
        <v>177.52</v>
      </c>
      <c r="N154" t="n">
        <v>6.1</v>
      </c>
      <c r="O154" t="n">
        <v>31</v>
      </c>
      <c r="P154" t="inlineStr">
        <is>
          <t>Digital Wallet</t>
        </is>
      </c>
      <c r="Q154" t="inlineStr">
        <is>
          <t>Delivered</t>
        </is>
      </c>
      <c r="R154" t="n">
        <v>4</v>
      </c>
    </row>
    <row r="155">
      <c r="A155" t="inlineStr">
        <is>
          <t>ORD1154</t>
        </is>
      </c>
      <c r="B155" t="inlineStr">
        <is>
          <t>2025-06-20</t>
        </is>
      </c>
      <c r="C155" t="inlineStr">
        <is>
          <t>13:19:58</t>
        </is>
      </c>
      <c r="D155" t="n">
        <v>1217</v>
      </c>
      <c r="E155" t="n">
        <v>114</v>
      </c>
      <c r="F155" t="n">
        <v>225</v>
      </c>
      <c r="G155" t="inlineStr">
        <is>
          <t>Hyderabad</t>
        </is>
      </c>
      <c r="H155" t="inlineStr">
        <is>
          <t>Biryani</t>
        </is>
      </c>
      <c r="I155" t="n">
        <v>235</v>
      </c>
      <c r="J155" t="n">
        <v>0</v>
      </c>
      <c r="K155" t="n">
        <v>25</v>
      </c>
      <c r="L155" t="n">
        <v>0.22</v>
      </c>
      <c r="M155" t="n">
        <v>57.95</v>
      </c>
      <c r="N155" t="n">
        <v>1.9</v>
      </c>
      <c r="O155" t="n">
        <v>21.5</v>
      </c>
      <c r="P155" t="inlineStr">
        <is>
          <t>UPI</t>
        </is>
      </c>
      <c r="Q155" t="inlineStr">
        <is>
          <t>Delivered</t>
        </is>
      </c>
      <c r="R155" t="n">
        <v>4</v>
      </c>
    </row>
    <row r="156">
      <c r="A156" t="inlineStr">
        <is>
          <t>ORD1155</t>
        </is>
      </c>
      <c r="B156" t="inlineStr">
        <is>
          <t>2025-07-23</t>
        </is>
      </c>
      <c r="C156" t="inlineStr">
        <is>
          <t>12:58:15</t>
        </is>
      </c>
      <c r="D156" t="n">
        <v>1161</v>
      </c>
      <c r="E156" t="n">
        <v>114</v>
      </c>
      <c r="F156" t="n">
        <v>225</v>
      </c>
      <c r="G156" t="inlineStr">
        <is>
          <t>Hyderabad</t>
        </is>
      </c>
      <c r="H156" t="inlineStr">
        <is>
          <t>Biryani</t>
        </is>
      </c>
      <c r="I156" t="n">
        <v>785</v>
      </c>
      <c r="J156" t="n">
        <v>0</v>
      </c>
      <c r="K156" t="n">
        <v>63</v>
      </c>
      <c r="L156" t="n">
        <v>0.22</v>
      </c>
      <c r="M156" t="n">
        <v>188.45</v>
      </c>
      <c r="N156" t="n">
        <v>10.6</v>
      </c>
      <c r="O156" t="n">
        <v>56.4</v>
      </c>
      <c r="P156" t="inlineStr">
        <is>
          <t>Cash on Delivery</t>
        </is>
      </c>
      <c r="Q156" t="inlineStr">
        <is>
          <t>Delivered</t>
        </is>
      </c>
      <c r="R156" t="n">
        <v>1</v>
      </c>
    </row>
    <row r="157">
      <c r="A157" t="inlineStr">
        <is>
          <t>ORD1156</t>
        </is>
      </c>
      <c r="B157" t="inlineStr">
        <is>
          <t>2025-07-04</t>
        </is>
      </c>
      <c r="C157" t="inlineStr">
        <is>
          <t>12:32:56</t>
        </is>
      </c>
      <c r="D157" t="n">
        <v>1251</v>
      </c>
      <c r="E157" t="n">
        <v>119</v>
      </c>
      <c r="F157" t="n">
        <v>215</v>
      </c>
      <c r="G157" t="inlineStr">
        <is>
          <t>Hyderabad</t>
        </is>
      </c>
      <c r="H157" t="inlineStr">
        <is>
          <t>Biryani</t>
        </is>
      </c>
      <c r="I157" t="n">
        <v>729</v>
      </c>
      <c r="J157" t="n">
        <v>0</v>
      </c>
      <c r="K157" t="n">
        <v>25</v>
      </c>
      <c r="L157" t="n">
        <v>0.2</v>
      </c>
      <c r="M157" t="n">
        <v>152.05</v>
      </c>
      <c r="N157" t="n">
        <v>1.8</v>
      </c>
      <c r="O157" t="n">
        <v>27.9</v>
      </c>
      <c r="P157" t="inlineStr">
        <is>
          <t>Cash on Delivery</t>
        </is>
      </c>
      <c r="Q157" t="inlineStr">
        <is>
          <t>Delivered</t>
        </is>
      </c>
      <c r="R157" t="n">
        <v>4</v>
      </c>
    </row>
    <row r="158">
      <c r="A158" t="inlineStr">
        <is>
          <t>ORD1157</t>
        </is>
      </c>
      <c r="B158" t="inlineStr">
        <is>
          <t>2025-06-10</t>
        </is>
      </c>
      <c r="C158" t="inlineStr">
        <is>
          <t>07:26:02</t>
        </is>
      </c>
      <c r="D158" t="n">
        <v>1194</v>
      </c>
      <c r="E158" t="n">
        <v>101</v>
      </c>
      <c r="F158" t="n">
        <v>220</v>
      </c>
      <c r="G158" t="inlineStr">
        <is>
          <t>Bangalore</t>
        </is>
      </c>
      <c r="H158" t="inlineStr">
        <is>
          <t>North Indian</t>
        </is>
      </c>
      <c r="I158" t="n">
        <v>796</v>
      </c>
      <c r="J158" t="n">
        <v>87.95</v>
      </c>
      <c r="K158" t="n">
        <v>34.5</v>
      </c>
      <c r="L158" t="n">
        <v>0.2</v>
      </c>
      <c r="M158" t="n">
        <v>167.82</v>
      </c>
      <c r="N158" t="n">
        <v>4.9</v>
      </c>
      <c r="O158" t="n">
        <v>40.9</v>
      </c>
      <c r="P158" t="inlineStr">
        <is>
          <t>UPI</t>
        </is>
      </c>
      <c r="Q158" t="inlineStr">
        <is>
          <t>Delivered</t>
        </is>
      </c>
      <c r="R158" t="n">
        <v>4</v>
      </c>
    </row>
    <row r="159">
      <c r="A159" t="inlineStr">
        <is>
          <t>ORD1158</t>
        </is>
      </c>
      <c r="B159" t="inlineStr">
        <is>
          <t>2025-03-20</t>
        </is>
      </c>
      <c r="C159" t="inlineStr">
        <is>
          <t>19:12:21</t>
        </is>
      </c>
      <c r="D159" t="n">
        <v>1010</v>
      </c>
      <c r="E159" t="n">
        <v>102</v>
      </c>
      <c r="F159" t="n">
        <v>215</v>
      </c>
      <c r="G159" t="inlineStr">
        <is>
          <t>Hyderabad</t>
        </is>
      </c>
      <c r="H159" t="inlineStr">
        <is>
          <t>Biryani</t>
        </is>
      </c>
      <c r="I159" t="n">
        <v>455</v>
      </c>
      <c r="J159" t="n">
        <v>34.85</v>
      </c>
      <c r="K159" t="n">
        <v>28</v>
      </c>
      <c r="L159" t="n">
        <v>0.22</v>
      </c>
      <c r="M159" t="n">
        <v>107.1</v>
      </c>
      <c r="N159" t="n">
        <v>3.6</v>
      </c>
      <c r="O159" t="n">
        <v>44.8</v>
      </c>
      <c r="P159" t="inlineStr">
        <is>
          <t>Cash on Delivery</t>
        </is>
      </c>
      <c r="Q159" t="inlineStr">
        <is>
          <t>Delivered</t>
        </is>
      </c>
      <c r="R159" t="n">
        <v>1</v>
      </c>
    </row>
    <row r="160">
      <c r="A160" t="inlineStr">
        <is>
          <t>ORD1159</t>
        </is>
      </c>
      <c r="B160" t="inlineStr">
        <is>
          <t>2025-11-25</t>
        </is>
      </c>
      <c r="C160" t="inlineStr">
        <is>
          <t>13:47:31</t>
        </is>
      </c>
      <c r="D160" t="n">
        <v>1125</v>
      </c>
      <c r="E160" t="n">
        <v>120</v>
      </c>
      <c r="F160" t="n">
        <v>224</v>
      </c>
      <c r="G160" t="inlineStr">
        <is>
          <t>Pune</t>
        </is>
      </c>
      <c r="H160" t="inlineStr">
        <is>
          <t>Fast Food</t>
        </is>
      </c>
      <c r="I160" t="n">
        <v>691</v>
      </c>
      <c r="J160" t="n">
        <v>0</v>
      </c>
      <c r="K160" t="n">
        <v>52</v>
      </c>
      <c r="L160" t="n">
        <v>0.18</v>
      </c>
      <c r="M160" t="n">
        <v>137.38</v>
      </c>
      <c r="N160" t="n">
        <v>8.4</v>
      </c>
      <c r="O160" t="n">
        <v>52.8</v>
      </c>
      <c r="P160" t="inlineStr">
        <is>
          <t>Credit Card</t>
        </is>
      </c>
      <c r="Q160" t="inlineStr">
        <is>
          <t>Delivered</t>
        </is>
      </c>
      <c r="R160" t="n">
        <v>2</v>
      </c>
    </row>
    <row r="161">
      <c r="A161" t="inlineStr">
        <is>
          <t>ORD1160</t>
        </is>
      </c>
      <c r="B161" t="inlineStr">
        <is>
          <t>2025-04-05</t>
        </is>
      </c>
      <c r="C161" t="inlineStr">
        <is>
          <t>15:58:56</t>
        </is>
      </c>
      <c r="D161" t="n">
        <v>1125</v>
      </c>
      <c r="E161" t="n">
        <v>120</v>
      </c>
      <c r="F161" t="n">
        <v>224</v>
      </c>
      <c r="G161" t="inlineStr">
        <is>
          <t>Pune</t>
        </is>
      </c>
      <c r="H161" t="inlineStr">
        <is>
          <t>Fast Food</t>
        </is>
      </c>
      <c r="I161" t="n">
        <v>775</v>
      </c>
      <c r="J161" t="n">
        <v>59.35</v>
      </c>
      <c r="K161" t="n">
        <v>40.5</v>
      </c>
      <c r="L161" t="n">
        <v>0.18</v>
      </c>
      <c r="M161" t="n">
        <v>149.62</v>
      </c>
      <c r="N161" t="n">
        <v>6.1</v>
      </c>
      <c r="O161" t="n">
        <v>38.7</v>
      </c>
      <c r="P161" t="inlineStr">
        <is>
          <t>UPI</t>
        </is>
      </c>
      <c r="Q161" t="inlineStr">
        <is>
          <t>Delivered</t>
        </is>
      </c>
      <c r="R161" t="n">
        <v>5</v>
      </c>
    </row>
    <row r="162">
      <c r="A162" t="inlineStr">
        <is>
          <t>ORD1161</t>
        </is>
      </c>
      <c r="B162" t="inlineStr">
        <is>
          <t>2025-03-12</t>
        </is>
      </c>
      <c r="C162" t="inlineStr">
        <is>
          <t>18:53:40</t>
        </is>
      </c>
      <c r="D162" t="n">
        <v>1057</v>
      </c>
      <c r="E162" t="n">
        <v>103</v>
      </c>
      <c r="F162" t="n">
        <v>222</v>
      </c>
      <c r="G162" t="inlineStr">
        <is>
          <t>Mumbai</t>
        </is>
      </c>
      <c r="H162" t="inlineStr">
        <is>
          <t>Italian</t>
        </is>
      </c>
      <c r="I162" t="n">
        <v>456</v>
      </c>
      <c r="J162" t="n">
        <v>0</v>
      </c>
      <c r="K162" t="n">
        <v>31</v>
      </c>
      <c r="L162" t="n">
        <v>0.18</v>
      </c>
      <c r="M162" t="n">
        <v>89.83</v>
      </c>
      <c r="N162" t="n">
        <v>4.2</v>
      </c>
      <c r="O162" t="n">
        <v>27.5</v>
      </c>
      <c r="P162" t="inlineStr">
        <is>
          <t>Credit Card</t>
        </is>
      </c>
      <c r="Q162" t="inlineStr">
        <is>
          <t>Delivered</t>
        </is>
      </c>
      <c r="R162" t="n">
        <v>4</v>
      </c>
    </row>
    <row r="163">
      <c r="A163" t="inlineStr">
        <is>
          <t>ORD1162</t>
        </is>
      </c>
      <c r="B163" t="inlineStr">
        <is>
          <t>2025-11-13</t>
        </is>
      </c>
      <c r="C163" t="inlineStr">
        <is>
          <t>22:40:42</t>
        </is>
      </c>
      <c r="D163" t="n">
        <v>1170</v>
      </c>
      <c r="E163" t="n">
        <v>103</v>
      </c>
      <c r="F163" t="n">
        <v>222</v>
      </c>
      <c r="G163" t="inlineStr">
        <is>
          <t>Mumbai</t>
        </is>
      </c>
      <c r="H163" t="inlineStr">
        <is>
          <t>Italian</t>
        </is>
      </c>
      <c r="I163" t="n">
        <v>851</v>
      </c>
      <c r="J163" t="n">
        <v>44.88</v>
      </c>
      <c r="K163" t="n">
        <v>25</v>
      </c>
      <c r="L163" t="n">
        <v>0.18</v>
      </c>
      <c r="M163" t="n">
        <v>159.43</v>
      </c>
      <c r="N163" t="n">
        <v>2</v>
      </c>
      <c r="O163" t="n">
        <v>18.9</v>
      </c>
      <c r="P163" t="inlineStr">
        <is>
          <t>Digital Wallet</t>
        </is>
      </c>
      <c r="Q163" t="inlineStr">
        <is>
          <t>Delivered</t>
        </is>
      </c>
      <c r="R163" t="n">
        <v>1</v>
      </c>
    </row>
    <row r="164">
      <c r="A164" t="inlineStr">
        <is>
          <t>ORD1163</t>
        </is>
      </c>
      <c r="B164" t="inlineStr">
        <is>
          <t>2025-09-29</t>
        </is>
      </c>
      <c r="C164" t="inlineStr">
        <is>
          <t>21:46:17</t>
        </is>
      </c>
      <c r="D164" t="n">
        <v>1065</v>
      </c>
      <c r="E164" t="n">
        <v>108</v>
      </c>
      <c r="F164" t="n">
        <v>212</v>
      </c>
      <c r="G164" t="inlineStr">
        <is>
          <t>Delhi NCR</t>
        </is>
      </c>
      <c r="H164" t="inlineStr">
        <is>
          <t>Fast Food</t>
        </is>
      </c>
      <c r="I164" t="n">
        <v>768</v>
      </c>
      <c r="J164" t="n">
        <v>1.05</v>
      </c>
      <c r="K164" t="n">
        <v>28</v>
      </c>
      <c r="L164" t="n">
        <v>0.18</v>
      </c>
      <c r="M164" t="n">
        <v>145.24</v>
      </c>
      <c r="N164" t="n">
        <v>3.6</v>
      </c>
      <c r="O164" t="n">
        <v>34</v>
      </c>
      <c r="P164" t="inlineStr">
        <is>
          <t>Cash on Delivery</t>
        </is>
      </c>
      <c r="Q164" t="inlineStr">
        <is>
          <t>Delivered</t>
        </is>
      </c>
      <c r="R164" t="n">
        <v>2</v>
      </c>
    </row>
    <row r="165">
      <c r="A165" t="inlineStr">
        <is>
          <t>ORD1164</t>
        </is>
      </c>
      <c r="B165" t="inlineStr">
        <is>
          <t>2025-02-19</t>
        </is>
      </c>
      <c r="C165" t="inlineStr">
        <is>
          <t>19:33:09</t>
        </is>
      </c>
      <c r="D165" t="n">
        <v>1094</v>
      </c>
      <c r="E165" t="n">
        <v>108</v>
      </c>
      <c r="F165" t="n">
        <v>221</v>
      </c>
      <c r="G165" t="inlineStr">
        <is>
          <t>Delhi NCR</t>
        </is>
      </c>
      <c r="H165" t="inlineStr">
        <is>
          <t>Fast Food</t>
        </is>
      </c>
      <c r="I165" t="n">
        <v>466</v>
      </c>
      <c r="J165" t="n">
        <v>0</v>
      </c>
      <c r="K165" t="n">
        <v>25</v>
      </c>
      <c r="L165" t="n">
        <v>0.18</v>
      </c>
      <c r="M165" t="n">
        <v>90.13</v>
      </c>
      <c r="N165" t="n">
        <v>2.3</v>
      </c>
      <c r="O165" t="n">
        <v>30</v>
      </c>
      <c r="P165" t="inlineStr">
        <is>
          <t>Debit Card</t>
        </is>
      </c>
      <c r="Q165" t="inlineStr">
        <is>
          <t>Delivered</t>
        </is>
      </c>
      <c r="R165" t="n">
        <v>5</v>
      </c>
    </row>
    <row r="166">
      <c r="A166" t="inlineStr">
        <is>
          <t>ORD1165</t>
        </is>
      </c>
      <c r="B166" t="inlineStr">
        <is>
          <t>2025-07-11</t>
        </is>
      </c>
      <c r="C166" t="inlineStr">
        <is>
          <t>22:25:29</t>
        </is>
      </c>
      <c r="D166" t="n">
        <v>1275</v>
      </c>
      <c r="E166" t="n">
        <v>120</v>
      </c>
      <c r="F166" t="n">
        <v>214</v>
      </c>
      <c r="G166" t="inlineStr">
        <is>
          <t>Pune</t>
        </is>
      </c>
      <c r="H166" t="inlineStr">
        <is>
          <t>Fast Food</t>
        </is>
      </c>
      <c r="I166" t="n">
        <v>798</v>
      </c>
      <c r="J166" t="n">
        <v>0</v>
      </c>
      <c r="K166" t="n">
        <v>28</v>
      </c>
      <c r="L166" t="n">
        <v>0.18</v>
      </c>
      <c r="M166" t="n">
        <v>150.64</v>
      </c>
      <c r="N166" t="n">
        <v>3.6</v>
      </c>
      <c r="O166" t="n">
        <v>31.7</v>
      </c>
      <c r="P166" t="inlineStr">
        <is>
          <t>Debit Card</t>
        </is>
      </c>
      <c r="Q166" t="inlineStr">
        <is>
          <t>Delivered</t>
        </is>
      </c>
      <c r="R166" t="n">
        <v>4</v>
      </c>
    </row>
    <row r="167">
      <c r="A167" t="inlineStr">
        <is>
          <t>ORD1166</t>
        </is>
      </c>
      <c r="B167" t="inlineStr">
        <is>
          <t>2025-07-27</t>
        </is>
      </c>
      <c r="C167" t="inlineStr">
        <is>
          <t>20:24:24</t>
        </is>
      </c>
      <c r="D167" t="n">
        <v>1142</v>
      </c>
      <c r="E167" t="n">
        <v>119</v>
      </c>
      <c r="F167" t="n">
        <v>215</v>
      </c>
      <c r="G167" t="inlineStr">
        <is>
          <t>Hyderabad</t>
        </is>
      </c>
      <c r="H167" t="inlineStr">
        <is>
          <t>Biryani</t>
        </is>
      </c>
      <c r="I167" t="n">
        <v>785</v>
      </c>
      <c r="J167" t="n">
        <v>0</v>
      </c>
      <c r="K167" t="n">
        <v>39.5</v>
      </c>
      <c r="L167" t="n">
        <v>0.2</v>
      </c>
      <c r="M167" t="n">
        <v>166.88</v>
      </c>
      <c r="N167" t="n">
        <v>5.9</v>
      </c>
      <c r="O167" t="n">
        <v>41.2</v>
      </c>
      <c r="P167" t="inlineStr">
        <is>
          <t>Credit Card</t>
        </is>
      </c>
      <c r="Q167" t="inlineStr">
        <is>
          <t>Delivered</t>
        </is>
      </c>
      <c r="R167" t="n">
        <v>2</v>
      </c>
    </row>
    <row r="168">
      <c r="A168" t="inlineStr">
        <is>
          <t>ORD1167</t>
        </is>
      </c>
      <c r="B168" t="inlineStr">
        <is>
          <t>2025-08-11</t>
        </is>
      </c>
      <c r="C168" t="inlineStr">
        <is>
          <t>13:41:50</t>
        </is>
      </c>
      <c r="D168" t="n">
        <v>1180</v>
      </c>
      <c r="E168" t="n">
        <v>104</v>
      </c>
      <c r="F168" t="n">
        <v>230</v>
      </c>
      <c r="G168" t="inlineStr">
        <is>
          <t>Delhi NCR</t>
        </is>
      </c>
      <c r="H168" t="inlineStr">
        <is>
          <t>Fast Food</t>
        </is>
      </c>
      <c r="I168" t="n">
        <v>559</v>
      </c>
      <c r="J168" t="n">
        <v>38.37</v>
      </c>
      <c r="K168" t="n">
        <v>25</v>
      </c>
      <c r="L168" t="n">
        <v>0.18</v>
      </c>
      <c r="M168" t="n">
        <v>106.87</v>
      </c>
      <c r="N168" t="n">
        <v>2.9</v>
      </c>
      <c r="O168" t="n">
        <v>36</v>
      </c>
      <c r="P168" t="inlineStr">
        <is>
          <t>Digital Wallet</t>
        </is>
      </c>
      <c r="Q168" t="inlineStr">
        <is>
          <t>Delivered</t>
        </is>
      </c>
      <c r="R168" t="n">
        <v>5</v>
      </c>
    </row>
    <row r="169">
      <c r="A169" t="inlineStr">
        <is>
          <t>ORD1168</t>
        </is>
      </c>
      <c r="B169" t="inlineStr">
        <is>
          <t>2025-04-19</t>
        </is>
      </c>
      <c r="C169" t="inlineStr">
        <is>
          <t>11:57:55</t>
        </is>
      </c>
      <c r="D169" t="n">
        <v>1058</v>
      </c>
      <c r="E169" t="n">
        <v>103</v>
      </c>
      <c r="F169" t="n">
        <v>229</v>
      </c>
      <c r="G169" t="inlineStr">
        <is>
          <t>Mumbai</t>
        </is>
      </c>
      <c r="H169" t="inlineStr">
        <is>
          <t>Italian</t>
        </is>
      </c>
      <c r="I169" t="n">
        <v>928</v>
      </c>
      <c r="J169" t="n">
        <v>35.3</v>
      </c>
      <c r="K169" t="n">
        <v>50</v>
      </c>
      <c r="L169" t="n">
        <v>0.18</v>
      </c>
      <c r="M169" t="n">
        <v>179.54</v>
      </c>
      <c r="N169" t="n">
        <v>8</v>
      </c>
      <c r="O169" t="n">
        <v>37</v>
      </c>
      <c r="P169" t="inlineStr">
        <is>
          <t>UPI</t>
        </is>
      </c>
      <c r="Q169" t="inlineStr">
        <is>
          <t>Delivered</t>
        </is>
      </c>
      <c r="R169" t="n">
        <v>4</v>
      </c>
    </row>
    <row r="170">
      <c r="A170" t="inlineStr">
        <is>
          <t>ORD1169</t>
        </is>
      </c>
      <c r="B170" t="inlineStr">
        <is>
          <t>2025-06-11</t>
        </is>
      </c>
      <c r="C170" t="inlineStr">
        <is>
          <t>12:01:13</t>
        </is>
      </c>
      <c r="D170" t="n">
        <v>1102</v>
      </c>
      <c r="E170" t="n">
        <v>113</v>
      </c>
      <c r="F170" t="n">
        <v>229</v>
      </c>
      <c r="G170" t="inlineStr">
        <is>
          <t>Mumbai</t>
        </is>
      </c>
      <c r="H170" t="inlineStr">
        <is>
          <t>Fast Food</t>
        </is>
      </c>
      <c r="I170" t="n">
        <v>821</v>
      </c>
      <c r="J170" t="n">
        <v>49.34</v>
      </c>
      <c r="K170" t="n">
        <v>35</v>
      </c>
      <c r="L170" t="n">
        <v>0.18</v>
      </c>
      <c r="M170" t="n">
        <v>156.53</v>
      </c>
      <c r="N170" t="n">
        <v>5</v>
      </c>
      <c r="O170" t="n">
        <v>44.4</v>
      </c>
      <c r="P170" t="inlineStr">
        <is>
          <t>Cash on Delivery</t>
        </is>
      </c>
      <c r="Q170" t="inlineStr">
        <is>
          <t>Delivered</t>
        </is>
      </c>
      <c r="R170" t="n">
        <v>5</v>
      </c>
    </row>
    <row r="171">
      <c r="A171" t="inlineStr">
        <is>
          <t>ORD1170</t>
        </is>
      </c>
      <c r="B171" t="inlineStr">
        <is>
          <t>2025-03-25</t>
        </is>
      </c>
      <c r="C171" t="inlineStr">
        <is>
          <t>19:36:15</t>
        </is>
      </c>
      <c r="D171" t="n">
        <v>1106</v>
      </c>
      <c r="E171" t="n">
        <v>105</v>
      </c>
      <c r="F171" t="n">
        <v>218</v>
      </c>
      <c r="G171" t="inlineStr">
        <is>
          <t>Bangalore</t>
        </is>
      </c>
      <c r="H171" t="inlineStr">
        <is>
          <t>Chinese</t>
        </is>
      </c>
      <c r="I171" t="n">
        <v>800</v>
      </c>
      <c r="J171" t="n">
        <v>24.91</v>
      </c>
      <c r="K171" t="n">
        <v>25</v>
      </c>
      <c r="L171" t="n">
        <v>0.2</v>
      </c>
      <c r="M171" t="n">
        <v>166.25</v>
      </c>
      <c r="N171" t="n">
        <v>2.8</v>
      </c>
      <c r="O171" t="n">
        <v>34.1</v>
      </c>
      <c r="P171" t="inlineStr">
        <is>
          <t>Debit Card</t>
        </is>
      </c>
      <c r="Q171" t="inlineStr">
        <is>
          <t>Delivered</t>
        </is>
      </c>
      <c r="R171" t="n">
        <v>3</v>
      </c>
    </row>
    <row r="172">
      <c r="A172" t="inlineStr">
        <is>
          <t>ORD1171</t>
        </is>
      </c>
      <c r="B172" t="inlineStr">
        <is>
          <t>2025-09-14</t>
        </is>
      </c>
      <c r="C172" t="inlineStr">
        <is>
          <t>20:47:22</t>
        </is>
      </c>
      <c r="D172" t="n">
        <v>1034</v>
      </c>
      <c r="E172" t="n">
        <v>107</v>
      </c>
      <c r="F172" t="n">
        <v>206</v>
      </c>
      <c r="G172" t="inlineStr">
        <is>
          <t>Mumbai</t>
        </is>
      </c>
      <c r="H172" t="inlineStr">
        <is>
          <t>Desserts</t>
        </is>
      </c>
      <c r="I172" t="n">
        <v>399</v>
      </c>
      <c r="J172" t="n">
        <v>57.34</v>
      </c>
      <c r="K172" t="n">
        <v>28</v>
      </c>
      <c r="L172" t="n">
        <v>0.25</v>
      </c>
      <c r="M172" t="n">
        <v>106.75</v>
      </c>
      <c r="N172" t="n">
        <v>3.6</v>
      </c>
      <c r="O172" t="n">
        <v>34.1</v>
      </c>
      <c r="P172" t="inlineStr">
        <is>
          <t>Debit Card</t>
        </is>
      </c>
      <c r="Q172" t="inlineStr">
        <is>
          <t>Delivered</t>
        </is>
      </c>
      <c r="R172" t="n">
        <v>4</v>
      </c>
    </row>
    <row r="173">
      <c r="A173" t="inlineStr">
        <is>
          <t>ORD1172</t>
        </is>
      </c>
      <c r="B173" t="inlineStr">
        <is>
          <t>2025-11-21</t>
        </is>
      </c>
      <c r="C173" t="inlineStr">
        <is>
          <t>19:17:50</t>
        </is>
      </c>
      <c r="D173" t="n">
        <v>1224</v>
      </c>
      <c r="E173" t="n">
        <v>112</v>
      </c>
      <c r="F173" t="n">
        <v>212</v>
      </c>
      <c r="G173" t="inlineStr">
        <is>
          <t>Delhi NCR</t>
        </is>
      </c>
      <c r="H173" t="inlineStr">
        <is>
          <t>North Indian</t>
        </is>
      </c>
      <c r="I173" t="n">
        <v>681</v>
      </c>
      <c r="J173" t="n">
        <v>0</v>
      </c>
      <c r="K173" t="n">
        <v>25</v>
      </c>
      <c r="L173" t="n">
        <v>0.22</v>
      </c>
      <c r="M173" t="n">
        <v>156.07</v>
      </c>
      <c r="N173" t="n">
        <v>1.5</v>
      </c>
      <c r="O173" t="n">
        <v>22.4</v>
      </c>
      <c r="P173" t="inlineStr">
        <is>
          <t>Cash on Delivery</t>
        </is>
      </c>
      <c r="Q173" t="inlineStr">
        <is>
          <t>Delivered</t>
        </is>
      </c>
      <c r="R173" t="n">
        <v>2</v>
      </c>
    </row>
    <row r="174">
      <c r="A174" t="inlineStr">
        <is>
          <t>ORD1173</t>
        </is>
      </c>
      <c r="B174" t="inlineStr">
        <is>
          <t>2025-02-13</t>
        </is>
      </c>
      <c r="C174" t="inlineStr">
        <is>
          <t>18:49:39</t>
        </is>
      </c>
      <c r="D174" t="n">
        <v>1043</v>
      </c>
      <c r="E174" t="n">
        <v>102</v>
      </c>
      <c r="F174" t="n">
        <v>215</v>
      </c>
      <c r="G174" t="inlineStr">
        <is>
          <t>Hyderabad</t>
        </is>
      </c>
      <c r="H174" t="inlineStr">
        <is>
          <t>Biryani</t>
        </is>
      </c>
      <c r="I174" t="n">
        <v>522</v>
      </c>
      <c r="J174" t="n">
        <v>29.78</v>
      </c>
      <c r="K174" t="n">
        <v>49</v>
      </c>
      <c r="L174" t="n">
        <v>0.22</v>
      </c>
      <c r="M174" t="n">
        <v>127.09</v>
      </c>
      <c r="N174" t="n">
        <v>7.8</v>
      </c>
      <c r="O174" t="n">
        <v>37</v>
      </c>
      <c r="P174" t="inlineStr">
        <is>
          <t>Credit Card</t>
        </is>
      </c>
      <c r="Q174" t="inlineStr">
        <is>
          <t>Delivered</t>
        </is>
      </c>
      <c r="R174" t="n">
        <v>5</v>
      </c>
    </row>
    <row r="175">
      <c r="A175" t="inlineStr">
        <is>
          <t>ORD1174</t>
        </is>
      </c>
      <c r="B175" t="inlineStr">
        <is>
          <t>2025-06-12</t>
        </is>
      </c>
      <c r="C175" t="inlineStr">
        <is>
          <t>12:23:06</t>
        </is>
      </c>
      <c r="D175" t="n">
        <v>1082</v>
      </c>
      <c r="E175" t="n">
        <v>110</v>
      </c>
      <c r="F175" t="n">
        <v>214</v>
      </c>
      <c r="G175" t="inlineStr">
        <is>
          <t>Pune</t>
        </is>
      </c>
      <c r="H175" t="inlineStr">
        <is>
          <t>North Indian</t>
        </is>
      </c>
      <c r="I175" t="n">
        <v>313</v>
      </c>
      <c r="J175" t="n">
        <v>15.76</v>
      </c>
      <c r="K175" t="n">
        <v>47</v>
      </c>
      <c r="L175" t="n">
        <v>0.18</v>
      </c>
      <c r="M175" t="n">
        <v>68.09</v>
      </c>
      <c r="N175" t="n">
        <v>7.4</v>
      </c>
      <c r="O175" t="n">
        <v>46.9</v>
      </c>
      <c r="P175" t="inlineStr">
        <is>
          <t>Debit Card</t>
        </is>
      </c>
      <c r="Q175" t="inlineStr">
        <is>
          <t>Delivered</t>
        </is>
      </c>
      <c r="R175" t="n">
        <v>5</v>
      </c>
    </row>
    <row r="176">
      <c r="A176" t="inlineStr">
        <is>
          <t>ORD1175</t>
        </is>
      </c>
      <c r="B176" t="inlineStr">
        <is>
          <t>2025-02-14</t>
        </is>
      </c>
      <c r="C176" t="inlineStr">
        <is>
          <t>20:11:27</t>
        </is>
      </c>
      <c r="D176" t="n">
        <v>1071</v>
      </c>
      <c r="E176" t="n">
        <v>116</v>
      </c>
      <c r="F176" t="n">
        <v>204</v>
      </c>
      <c r="G176" t="inlineStr">
        <is>
          <t>Pune</t>
        </is>
      </c>
      <c r="H176" t="inlineStr">
        <is>
          <t>Desserts</t>
        </is>
      </c>
      <c r="I176" t="n">
        <v>679</v>
      </c>
      <c r="J176" t="n">
        <v>60.42</v>
      </c>
      <c r="K176" t="n">
        <v>47</v>
      </c>
      <c r="L176" t="n">
        <v>0.25</v>
      </c>
      <c r="M176" t="n">
        <v>181.5</v>
      </c>
      <c r="N176" t="n">
        <v>7.4</v>
      </c>
      <c r="O176" t="n">
        <v>46.7</v>
      </c>
      <c r="P176" t="inlineStr">
        <is>
          <t>UPI</t>
        </is>
      </c>
      <c r="Q176" t="inlineStr">
        <is>
          <t>Delivered</t>
        </is>
      </c>
      <c r="R176" t="n">
        <v>3</v>
      </c>
    </row>
    <row r="177">
      <c r="A177" t="inlineStr">
        <is>
          <t>ORD1176</t>
        </is>
      </c>
      <c r="B177" t="inlineStr">
        <is>
          <t>2025-07-01</t>
        </is>
      </c>
      <c r="C177" t="inlineStr">
        <is>
          <t>21:35:05</t>
        </is>
      </c>
      <c r="D177" t="n">
        <v>1142</v>
      </c>
      <c r="E177" t="n">
        <v>109</v>
      </c>
      <c r="F177" t="n">
        <v>216</v>
      </c>
      <c r="G177" t="inlineStr">
        <is>
          <t>Hyderabad</t>
        </is>
      </c>
      <c r="H177" t="inlineStr">
        <is>
          <t>Biryani</t>
        </is>
      </c>
      <c r="I177" t="n">
        <v>831</v>
      </c>
      <c r="J177" t="n">
        <v>21.57</v>
      </c>
      <c r="K177" t="n">
        <v>34.5</v>
      </c>
      <c r="L177" t="n">
        <v>0.2</v>
      </c>
      <c r="M177" t="n">
        <v>174.82</v>
      </c>
      <c r="N177" t="n">
        <v>4.9</v>
      </c>
      <c r="O177" t="n">
        <v>36.5</v>
      </c>
      <c r="P177" t="inlineStr">
        <is>
          <t>Debit Card</t>
        </is>
      </c>
      <c r="Q177" t="inlineStr">
        <is>
          <t>Delivered</t>
        </is>
      </c>
      <c r="R177" t="n">
        <v>4</v>
      </c>
    </row>
    <row r="178">
      <c r="A178" t="inlineStr">
        <is>
          <t>ORD1177</t>
        </is>
      </c>
      <c r="B178" t="inlineStr">
        <is>
          <t>2025-10-14</t>
        </is>
      </c>
      <c r="C178" t="inlineStr">
        <is>
          <t>18:57:15</t>
        </is>
      </c>
      <c r="D178" t="n">
        <v>1236</v>
      </c>
      <c r="E178" t="n">
        <v>118</v>
      </c>
      <c r="F178" t="n">
        <v>211</v>
      </c>
      <c r="G178" t="inlineStr">
        <is>
          <t>Delhi NCR</t>
        </is>
      </c>
      <c r="H178" t="inlineStr">
        <is>
          <t>North Indian</t>
        </is>
      </c>
      <c r="I178" t="n">
        <v>805</v>
      </c>
      <c r="J178" t="n">
        <v>69.61</v>
      </c>
      <c r="K178" t="n">
        <v>43.5</v>
      </c>
      <c r="L178" t="n">
        <v>0.2</v>
      </c>
      <c r="M178" t="n">
        <v>171.88</v>
      </c>
      <c r="N178" t="n">
        <v>6.7</v>
      </c>
      <c r="O178" t="n">
        <v/>
      </c>
      <c r="P178" t="inlineStr">
        <is>
          <t>Credit Card</t>
        </is>
      </c>
      <c r="Q178" t="inlineStr">
        <is>
          <t>Cancelled</t>
        </is>
      </c>
      <c r="R178" t="n">
        <v/>
      </c>
    </row>
    <row r="179">
      <c r="A179" t="inlineStr">
        <is>
          <t>ORD1178</t>
        </is>
      </c>
      <c r="B179" t="inlineStr">
        <is>
          <t>2025-06-04</t>
        </is>
      </c>
      <c r="C179" t="inlineStr">
        <is>
          <t>17:17:31</t>
        </is>
      </c>
      <c r="D179" t="n">
        <v>1295</v>
      </c>
      <c r="E179" t="n">
        <v>104</v>
      </c>
      <c r="F179" t="n">
        <v>230</v>
      </c>
      <c r="G179" t="inlineStr">
        <is>
          <t>Delhi NCR</t>
        </is>
      </c>
      <c r="H179" t="inlineStr">
        <is>
          <t>Fast Food</t>
        </is>
      </c>
      <c r="I179" t="n">
        <v>369</v>
      </c>
      <c r="J179" t="n">
        <v>0</v>
      </c>
      <c r="K179" t="n">
        <v>27</v>
      </c>
      <c r="L179" t="n">
        <v>0.18</v>
      </c>
      <c r="M179" t="n">
        <v>73.17</v>
      </c>
      <c r="N179" t="n">
        <v>3.4</v>
      </c>
      <c r="O179" t="n">
        <v>32.3</v>
      </c>
      <c r="P179" t="inlineStr">
        <is>
          <t>Cash on Delivery</t>
        </is>
      </c>
      <c r="Q179" t="inlineStr">
        <is>
          <t>Delivered</t>
        </is>
      </c>
      <c r="R179" t="n">
        <v>5</v>
      </c>
    </row>
    <row r="180">
      <c r="A180" t="inlineStr">
        <is>
          <t>ORD1179</t>
        </is>
      </c>
      <c r="B180" t="inlineStr">
        <is>
          <t>2025-07-04</t>
        </is>
      </c>
      <c r="C180" t="inlineStr">
        <is>
          <t>21:16:15</t>
        </is>
      </c>
      <c r="D180" t="n">
        <v>1151</v>
      </c>
      <c r="E180" t="n">
        <v>107</v>
      </c>
      <c r="F180" t="n">
        <v>206</v>
      </c>
      <c r="G180" t="inlineStr">
        <is>
          <t>Mumbai</t>
        </is>
      </c>
      <c r="H180" t="inlineStr">
        <is>
          <t>Desserts</t>
        </is>
      </c>
      <c r="I180" t="n">
        <v>1086</v>
      </c>
      <c r="J180" t="n">
        <v>173.09</v>
      </c>
      <c r="K180" t="n">
        <v>0</v>
      </c>
      <c r="L180" t="n">
        <v>0.25</v>
      </c>
      <c r="M180" t="n">
        <v>271.5</v>
      </c>
      <c r="N180" t="n">
        <v>3</v>
      </c>
      <c r="O180" t="n">
        <v>25.5</v>
      </c>
      <c r="P180" t="inlineStr">
        <is>
          <t>UPI</t>
        </is>
      </c>
      <c r="Q180" t="inlineStr">
        <is>
          <t>Delivered</t>
        </is>
      </c>
      <c r="R180" t="n">
        <v>5</v>
      </c>
    </row>
    <row r="181">
      <c r="A181" t="inlineStr">
        <is>
          <t>ORD1180</t>
        </is>
      </c>
      <c r="B181" t="inlineStr">
        <is>
          <t>2025-01-04</t>
        </is>
      </c>
      <c r="C181" t="inlineStr">
        <is>
          <t>00:25:21</t>
        </is>
      </c>
      <c r="D181" t="n">
        <v>1219</v>
      </c>
      <c r="E181" t="n">
        <v>118</v>
      </c>
      <c r="F181" t="n">
        <v>221</v>
      </c>
      <c r="G181" t="inlineStr">
        <is>
          <t>Delhi NCR</t>
        </is>
      </c>
      <c r="H181" t="inlineStr">
        <is>
          <t>North Indian</t>
        </is>
      </c>
      <c r="I181" t="n">
        <v>855</v>
      </c>
      <c r="J181" t="n">
        <v>65.48999999999999</v>
      </c>
      <c r="K181" t="n">
        <v>25</v>
      </c>
      <c r="L181" t="n">
        <v>0.2</v>
      </c>
      <c r="M181" t="n">
        <v>177.25</v>
      </c>
      <c r="N181" t="n">
        <v>1.5</v>
      </c>
      <c r="O181" t="n">
        <v>25.6</v>
      </c>
      <c r="P181" t="inlineStr">
        <is>
          <t>Cash on Delivery</t>
        </is>
      </c>
      <c r="Q181" t="inlineStr">
        <is>
          <t>Delivered</t>
        </is>
      </c>
      <c r="R181" t="n">
        <v>4</v>
      </c>
    </row>
    <row r="182">
      <c r="A182" t="inlineStr">
        <is>
          <t>ORD1181</t>
        </is>
      </c>
      <c r="B182" t="inlineStr">
        <is>
          <t>2025-06-03</t>
        </is>
      </c>
      <c r="C182" t="inlineStr">
        <is>
          <t>16:20:38</t>
        </is>
      </c>
      <c r="D182" t="n">
        <v>1219</v>
      </c>
      <c r="E182" t="n">
        <v>104</v>
      </c>
      <c r="F182" t="n">
        <v>211</v>
      </c>
      <c r="G182" t="inlineStr">
        <is>
          <t>Delhi NCR</t>
        </is>
      </c>
      <c r="H182" t="inlineStr">
        <is>
          <t>Fast Food</t>
        </is>
      </c>
      <c r="I182" t="n">
        <v>931</v>
      </c>
      <c r="J182" t="n">
        <v>59.64</v>
      </c>
      <c r="K182" t="n">
        <v>62.5</v>
      </c>
      <c r="L182" t="n">
        <v>0.18</v>
      </c>
      <c r="M182" t="n">
        <v>183.2</v>
      </c>
      <c r="N182" t="n">
        <v>10.5</v>
      </c>
      <c r="O182" t="n">
        <v>46</v>
      </c>
      <c r="P182" t="inlineStr">
        <is>
          <t>Cash on Delivery</t>
        </is>
      </c>
      <c r="Q182" t="inlineStr">
        <is>
          <t>Delivered</t>
        </is>
      </c>
      <c r="R182" t="n">
        <v>3</v>
      </c>
    </row>
    <row r="183">
      <c r="A183" t="inlineStr">
        <is>
          <t>ORD1182</t>
        </is>
      </c>
      <c r="B183" t="inlineStr">
        <is>
          <t>2025-10-22</t>
        </is>
      </c>
      <c r="C183" t="inlineStr">
        <is>
          <t>12:50:15</t>
        </is>
      </c>
      <c r="D183" t="n">
        <v>1132</v>
      </c>
      <c r="E183" t="n">
        <v>101</v>
      </c>
      <c r="F183" t="n">
        <v>227</v>
      </c>
      <c r="G183" t="inlineStr">
        <is>
          <t>Bangalore</t>
        </is>
      </c>
      <c r="H183" t="inlineStr">
        <is>
          <t>North Indian</t>
        </is>
      </c>
      <c r="I183" t="n">
        <v>553</v>
      </c>
      <c r="J183" t="n">
        <v>0</v>
      </c>
      <c r="K183" t="n">
        <v>25</v>
      </c>
      <c r="L183" t="n">
        <v>0.2</v>
      </c>
      <c r="M183" t="n">
        <v>116.85</v>
      </c>
      <c r="N183" t="n">
        <v>1.8</v>
      </c>
      <c r="O183" t="n">
        <v>29.5</v>
      </c>
      <c r="P183" t="inlineStr">
        <is>
          <t>Cash on Delivery</t>
        </is>
      </c>
      <c r="Q183" t="inlineStr">
        <is>
          <t>Delivered</t>
        </is>
      </c>
      <c r="R183" t="n">
        <v>3</v>
      </c>
    </row>
    <row r="184">
      <c r="A184" t="inlineStr">
        <is>
          <t>ORD1183</t>
        </is>
      </c>
      <c r="B184" t="inlineStr">
        <is>
          <t>2025-10-31</t>
        </is>
      </c>
      <c r="C184" t="inlineStr">
        <is>
          <t>20:34:11</t>
        </is>
      </c>
      <c r="D184" t="n">
        <v>1131</v>
      </c>
      <c r="E184" t="n">
        <v>112</v>
      </c>
      <c r="F184" t="n">
        <v>219</v>
      </c>
      <c r="G184" t="inlineStr">
        <is>
          <t>Delhi NCR</t>
        </is>
      </c>
      <c r="H184" t="inlineStr">
        <is>
          <t>North Indian</t>
        </is>
      </c>
      <c r="I184" t="n">
        <v>918</v>
      </c>
      <c r="J184" t="n">
        <v>1.98</v>
      </c>
      <c r="K184" t="n">
        <v>51.5</v>
      </c>
      <c r="L184" t="n">
        <v>0.22</v>
      </c>
      <c r="M184" t="n">
        <v>214.84</v>
      </c>
      <c r="N184" t="n">
        <v>8.300000000000001</v>
      </c>
      <c r="O184" t="n">
        <v>51</v>
      </c>
      <c r="P184" t="inlineStr">
        <is>
          <t>Credit Card</t>
        </is>
      </c>
      <c r="Q184" t="inlineStr">
        <is>
          <t>Delivered</t>
        </is>
      </c>
      <c r="R184" t="n">
        <v>1</v>
      </c>
    </row>
    <row r="185">
      <c r="A185" t="inlineStr">
        <is>
          <t>ORD1184</t>
        </is>
      </c>
      <c r="B185" t="inlineStr">
        <is>
          <t>2025-07-29</t>
        </is>
      </c>
      <c r="C185" t="inlineStr">
        <is>
          <t>14:43:31</t>
        </is>
      </c>
      <c r="D185" t="n">
        <v>1205</v>
      </c>
      <c r="E185" t="n">
        <v>113</v>
      </c>
      <c r="F185" t="n">
        <v>222</v>
      </c>
      <c r="G185" t="inlineStr">
        <is>
          <t>Mumbai</t>
        </is>
      </c>
      <c r="H185" t="inlineStr">
        <is>
          <t>Fast Food</t>
        </is>
      </c>
      <c r="I185" t="n">
        <v>362</v>
      </c>
      <c r="J185" t="n">
        <v>34.15</v>
      </c>
      <c r="K185" t="n">
        <v>31</v>
      </c>
      <c r="L185" t="n">
        <v>0.18</v>
      </c>
      <c r="M185" t="n">
        <v>72.91</v>
      </c>
      <c r="N185" t="n">
        <v>4.2</v>
      </c>
      <c r="O185" t="n">
        <v>40.3</v>
      </c>
      <c r="P185" t="inlineStr">
        <is>
          <t>Credit Card</t>
        </is>
      </c>
      <c r="Q185" t="inlineStr">
        <is>
          <t>Delivered</t>
        </is>
      </c>
      <c r="R185" t="n">
        <v>2</v>
      </c>
    </row>
    <row r="186">
      <c r="A186" t="inlineStr">
        <is>
          <t>ORD1185</t>
        </is>
      </c>
      <c r="B186" t="inlineStr">
        <is>
          <t>2025-08-18</t>
        </is>
      </c>
      <c r="C186" t="inlineStr">
        <is>
          <t>19:38:30</t>
        </is>
      </c>
      <c r="D186" t="n">
        <v>1290</v>
      </c>
      <c r="E186" t="n">
        <v>103</v>
      </c>
      <c r="F186" t="n">
        <v>206</v>
      </c>
      <c r="G186" t="inlineStr">
        <is>
          <t>Mumbai</t>
        </is>
      </c>
      <c r="H186" t="inlineStr">
        <is>
          <t>Italian</t>
        </is>
      </c>
      <c r="I186" t="n">
        <v>816</v>
      </c>
      <c r="J186" t="n">
        <v>0</v>
      </c>
      <c r="K186" t="n">
        <v>29</v>
      </c>
      <c r="L186" t="n">
        <v>0.18</v>
      </c>
      <c r="M186" t="n">
        <v>154.13</v>
      </c>
      <c r="N186" t="n">
        <v>3.8</v>
      </c>
      <c r="O186" t="n">
        <v>36.5</v>
      </c>
      <c r="P186" t="inlineStr">
        <is>
          <t>Cash on Delivery</t>
        </is>
      </c>
      <c r="Q186" t="inlineStr">
        <is>
          <t>Delivered</t>
        </is>
      </c>
      <c r="R186" t="n">
        <v>5</v>
      </c>
    </row>
    <row r="187">
      <c r="A187" t="inlineStr">
        <is>
          <t>ORD1186</t>
        </is>
      </c>
      <c r="B187" t="inlineStr">
        <is>
          <t>2025-02-25</t>
        </is>
      </c>
      <c r="C187" t="inlineStr">
        <is>
          <t>18:49:15</t>
        </is>
      </c>
      <c r="D187" t="n">
        <v>1134</v>
      </c>
      <c r="E187" t="n">
        <v>109</v>
      </c>
      <c r="F187" t="n">
        <v>216</v>
      </c>
      <c r="G187" t="inlineStr">
        <is>
          <t>Hyderabad</t>
        </is>
      </c>
      <c r="H187" t="inlineStr">
        <is>
          <t>Biryani</t>
        </is>
      </c>
      <c r="I187" t="n">
        <v>893</v>
      </c>
      <c r="J187" t="n">
        <v>11.88</v>
      </c>
      <c r="K187" t="n">
        <v>42.5</v>
      </c>
      <c r="L187" t="n">
        <v>0.2</v>
      </c>
      <c r="M187" t="n">
        <v>189.23</v>
      </c>
      <c r="N187" t="n">
        <v>6.5</v>
      </c>
      <c r="O187" t="n">
        <v>37.3</v>
      </c>
      <c r="P187" t="inlineStr">
        <is>
          <t>Digital Wallet</t>
        </is>
      </c>
      <c r="Q187" t="inlineStr">
        <is>
          <t>Delivered</t>
        </is>
      </c>
      <c r="R187" t="n">
        <v>3</v>
      </c>
    </row>
    <row r="188">
      <c r="A188" t="inlineStr">
        <is>
          <t>ORD1187</t>
        </is>
      </c>
      <c r="B188" t="inlineStr">
        <is>
          <t>2025-02-24</t>
        </is>
      </c>
      <c r="C188" t="inlineStr">
        <is>
          <t>14:00:06</t>
        </is>
      </c>
      <c r="D188" t="n">
        <v>1285</v>
      </c>
      <c r="E188" t="n">
        <v>115</v>
      </c>
      <c r="F188" t="n">
        <v>223</v>
      </c>
      <c r="G188" t="inlineStr">
        <is>
          <t>Bangalore</t>
        </is>
      </c>
      <c r="H188" t="inlineStr">
        <is>
          <t>Italian</t>
        </is>
      </c>
      <c r="I188" t="n">
        <v>484</v>
      </c>
      <c r="J188" t="n">
        <v>0</v>
      </c>
      <c r="K188" t="n">
        <v>43.5</v>
      </c>
      <c r="L188" t="n">
        <v>0.2</v>
      </c>
      <c r="M188" t="n">
        <v>107.68</v>
      </c>
      <c r="N188" t="n">
        <v>6.7</v>
      </c>
      <c r="O188" t="n">
        <v>47.2</v>
      </c>
      <c r="P188" t="inlineStr">
        <is>
          <t>Digital Wallet</t>
        </is>
      </c>
      <c r="Q188" t="inlineStr">
        <is>
          <t>Delivered</t>
        </is>
      </c>
      <c r="R188" t="n">
        <v>1</v>
      </c>
    </row>
    <row r="189">
      <c r="A189" t="inlineStr">
        <is>
          <t>ORD1188</t>
        </is>
      </c>
      <c r="B189" t="inlineStr">
        <is>
          <t>2025-07-20</t>
        </is>
      </c>
      <c r="C189" t="inlineStr">
        <is>
          <t>08:29:49</t>
        </is>
      </c>
      <c r="D189" t="n">
        <v>1273</v>
      </c>
      <c r="E189" t="n">
        <v>102</v>
      </c>
      <c r="F189" t="n">
        <v>215</v>
      </c>
      <c r="G189" t="inlineStr">
        <is>
          <t>Hyderabad</t>
        </is>
      </c>
      <c r="H189" t="inlineStr">
        <is>
          <t>Biryani</t>
        </is>
      </c>
      <c r="I189" t="n">
        <v>1165</v>
      </c>
      <c r="J189" t="n">
        <v>196.94</v>
      </c>
      <c r="K189" t="n">
        <v>0</v>
      </c>
      <c r="L189" t="n">
        <v>0.22</v>
      </c>
      <c r="M189" t="n">
        <v>256.3</v>
      </c>
      <c r="N189" t="n">
        <v>11.3</v>
      </c>
      <c r="O189" t="n">
        <v>45.6</v>
      </c>
      <c r="P189" t="inlineStr">
        <is>
          <t>UPI</t>
        </is>
      </c>
      <c r="Q189" t="inlineStr">
        <is>
          <t>Delivered</t>
        </is>
      </c>
      <c r="R189" t="n">
        <v>3</v>
      </c>
    </row>
    <row r="190">
      <c r="A190" t="inlineStr">
        <is>
          <t>ORD1189</t>
        </is>
      </c>
      <c r="B190" t="inlineStr">
        <is>
          <t>2025-08-01</t>
        </is>
      </c>
      <c r="C190" t="inlineStr">
        <is>
          <t>20:58:05</t>
        </is>
      </c>
      <c r="D190" t="n">
        <v>1255</v>
      </c>
      <c r="E190" t="n">
        <v>120</v>
      </c>
      <c r="F190" t="n">
        <v>209</v>
      </c>
      <c r="G190" t="inlineStr">
        <is>
          <t>Pune</t>
        </is>
      </c>
      <c r="H190" t="inlineStr">
        <is>
          <t>Fast Food</t>
        </is>
      </c>
      <c r="I190" t="n">
        <v>338</v>
      </c>
      <c r="J190" t="n">
        <v>19.74</v>
      </c>
      <c r="K190" t="n">
        <v>25</v>
      </c>
      <c r="L190" t="n">
        <v>0.18</v>
      </c>
      <c r="M190" t="n">
        <v>67.09</v>
      </c>
      <c r="N190" t="n">
        <v>2.1</v>
      </c>
      <c r="O190" t="n">
        <v>29.6</v>
      </c>
      <c r="P190" t="inlineStr">
        <is>
          <t>Debit Card</t>
        </is>
      </c>
      <c r="Q190" t="inlineStr">
        <is>
          <t>Delivered</t>
        </is>
      </c>
      <c r="R190" t="n">
        <v>5</v>
      </c>
    </row>
    <row r="191">
      <c r="A191" t="inlineStr">
        <is>
          <t>ORD1190</t>
        </is>
      </c>
      <c r="B191" t="inlineStr">
        <is>
          <t>2025-06-28</t>
        </is>
      </c>
      <c r="C191" t="inlineStr">
        <is>
          <t>10:30:06</t>
        </is>
      </c>
      <c r="D191" t="n">
        <v>1229</v>
      </c>
      <c r="E191" t="n">
        <v>113</v>
      </c>
      <c r="F191" t="n">
        <v>206</v>
      </c>
      <c r="G191" t="inlineStr">
        <is>
          <t>Mumbai</t>
        </is>
      </c>
      <c r="H191" t="inlineStr">
        <is>
          <t>Fast Food</t>
        </is>
      </c>
      <c r="I191" t="n">
        <v>952</v>
      </c>
      <c r="J191" t="n">
        <v>161.53</v>
      </c>
      <c r="K191" t="n">
        <v>0</v>
      </c>
      <c r="L191" t="n">
        <v>0.18</v>
      </c>
      <c r="M191" t="n">
        <v>171.36</v>
      </c>
      <c r="N191" t="n">
        <v>2.1</v>
      </c>
      <c r="O191" t="n">
        <v>26.1</v>
      </c>
      <c r="P191" t="inlineStr">
        <is>
          <t>Debit Card</t>
        </is>
      </c>
      <c r="Q191" t="inlineStr">
        <is>
          <t>Delivered</t>
        </is>
      </c>
      <c r="R191" t="n">
        <v>4</v>
      </c>
    </row>
    <row r="192">
      <c r="A192" t="inlineStr">
        <is>
          <t>ORD1191</t>
        </is>
      </c>
      <c r="B192" t="inlineStr">
        <is>
          <t>2025-01-12</t>
        </is>
      </c>
      <c r="C192" t="inlineStr">
        <is>
          <t>13:54:21</t>
        </is>
      </c>
      <c r="D192" t="n">
        <v>1180</v>
      </c>
      <c r="E192" t="n">
        <v>112</v>
      </c>
      <c r="F192" t="n">
        <v>219</v>
      </c>
      <c r="G192" t="inlineStr">
        <is>
          <t>Delhi NCR</t>
        </is>
      </c>
      <c r="H192" t="inlineStr">
        <is>
          <t>North Indian</t>
        </is>
      </c>
      <c r="I192" t="n">
        <v>883</v>
      </c>
      <c r="J192" t="n">
        <v>0</v>
      </c>
      <c r="K192" t="n">
        <v>41</v>
      </c>
      <c r="L192" t="n">
        <v>0.22</v>
      </c>
      <c r="M192" t="n">
        <v>204.51</v>
      </c>
      <c r="N192" t="n">
        <v>6.2</v>
      </c>
      <c r="O192" t="n">
        <v>44.3</v>
      </c>
      <c r="P192" t="inlineStr">
        <is>
          <t>Credit Card</t>
        </is>
      </c>
      <c r="Q192" t="inlineStr">
        <is>
          <t>Delivered</t>
        </is>
      </c>
      <c r="R192" t="n">
        <v>2</v>
      </c>
    </row>
    <row r="193">
      <c r="A193" t="inlineStr">
        <is>
          <t>ORD1192</t>
        </is>
      </c>
      <c r="B193" t="inlineStr">
        <is>
          <t>2025-10-14</t>
        </is>
      </c>
      <c r="C193" t="inlineStr">
        <is>
          <t>21:27:29</t>
        </is>
      </c>
      <c r="D193" t="n">
        <v>1257</v>
      </c>
      <c r="E193" t="n">
        <v>106</v>
      </c>
      <c r="F193" t="n">
        <v>217</v>
      </c>
      <c r="G193" t="inlineStr">
        <is>
          <t>Pune</t>
        </is>
      </c>
      <c r="H193" t="inlineStr">
        <is>
          <t>South Indian</t>
        </is>
      </c>
      <c r="I193" t="n">
        <v>761</v>
      </c>
      <c r="J193" t="n">
        <v>106.92</v>
      </c>
      <c r="K193" t="n">
        <v>0</v>
      </c>
      <c r="L193" t="n">
        <v>0.15</v>
      </c>
      <c r="M193" t="n">
        <v>114.15</v>
      </c>
      <c r="N193" t="n">
        <v>3.9</v>
      </c>
      <c r="O193" t="n">
        <v>35.5</v>
      </c>
      <c r="P193" t="inlineStr">
        <is>
          <t>Cash on Delivery</t>
        </is>
      </c>
      <c r="Q193" t="inlineStr">
        <is>
          <t>Delivered</t>
        </is>
      </c>
      <c r="R193" t="n">
        <v>4</v>
      </c>
    </row>
    <row r="194">
      <c r="A194" t="inlineStr">
        <is>
          <t>ORD1193</t>
        </is>
      </c>
      <c r="B194" t="inlineStr">
        <is>
          <t>2025-08-19</t>
        </is>
      </c>
      <c r="C194" t="inlineStr">
        <is>
          <t>10:37:27</t>
        </is>
      </c>
      <c r="D194" t="n">
        <v>1093</v>
      </c>
      <c r="E194" t="n">
        <v>108</v>
      </c>
      <c r="F194" t="n">
        <v>211</v>
      </c>
      <c r="G194" t="inlineStr">
        <is>
          <t>Delhi NCR</t>
        </is>
      </c>
      <c r="H194" t="inlineStr">
        <is>
          <t>Fast Food</t>
        </is>
      </c>
      <c r="I194" t="n">
        <v>618</v>
      </c>
      <c r="J194" t="n">
        <v>31.09</v>
      </c>
      <c r="K194" t="n">
        <v>25</v>
      </c>
      <c r="L194" t="n">
        <v>0.18</v>
      </c>
      <c r="M194" t="n">
        <v>117.49</v>
      </c>
      <c r="N194" t="n">
        <v>2.8</v>
      </c>
      <c r="O194" t="n">
        <v>29.6</v>
      </c>
      <c r="P194" t="inlineStr">
        <is>
          <t>Debit Card</t>
        </is>
      </c>
      <c r="Q194" t="inlineStr">
        <is>
          <t>Delivered</t>
        </is>
      </c>
      <c r="R194" t="n">
        <v>3</v>
      </c>
    </row>
    <row r="195">
      <c r="A195" t="inlineStr">
        <is>
          <t>ORD1194</t>
        </is>
      </c>
      <c r="B195" t="inlineStr">
        <is>
          <t>2025-07-07</t>
        </is>
      </c>
      <c r="C195" t="inlineStr">
        <is>
          <t>21:20:12</t>
        </is>
      </c>
      <c r="D195" t="n">
        <v>1236</v>
      </c>
      <c r="E195" t="n">
        <v>104</v>
      </c>
      <c r="F195" t="n">
        <v>228</v>
      </c>
      <c r="G195" t="inlineStr">
        <is>
          <t>Delhi NCR</t>
        </is>
      </c>
      <c r="H195" t="inlineStr">
        <is>
          <t>Fast Food</t>
        </is>
      </c>
      <c r="I195" t="n">
        <v>688</v>
      </c>
      <c r="J195" t="n">
        <v>39.89</v>
      </c>
      <c r="K195" t="n">
        <v>25</v>
      </c>
      <c r="L195" t="n">
        <v>0.18</v>
      </c>
      <c r="M195" t="n">
        <v>130.09</v>
      </c>
      <c r="N195" t="n">
        <v>2.4</v>
      </c>
      <c r="O195" t="n">
        <v>28.7</v>
      </c>
      <c r="P195" t="inlineStr">
        <is>
          <t>Cash on Delivery</t>
        </is>
      </c>
      <c r="Q195" t="inlineStr">
        <is>
          <t>Delivered</t>
        </is>
      </c>
      <c r="R195" t="n">
        <v>2</v>
      </c>
    </row>
    <row r="196">
      <c r="A196" t="inlineStr">
        <is>
          <t>ORD1195</t>
        </is>
      </c>
      <c r="B196" t="inlineStr">
        <is>
          <t>2025-10-28</t>
        </is>
      </c>
      <c r="C196" t="inlineStr">
        <is>
          <t>20:07:22</t>
        </is>
      </c>
      <c r="D196" t="n">
        <v>1182</v>
      </c>
      <c r="E196" t="n">
        <v>114</v>
      </c>
      <c r="F196" t="n">
        <v>215</v>
      </c>
      <c r="G196" t="inlineStr">
        <is>
          <t>Hyderabad</t>
        </is>
      </c>
      <c r="H196" t="inlineStr">
        <is>
          <t>Biryani</t>
        </is>
      </c>
      <c r="I196" t="n">
        <v>580</v>
      </c>
      <c r="J196" t="n">
        <v>28.65</v>
      </c>
      <c r="K196" t="n">
        <v>30.5</v>
      </c>
      <c r="L196" t="n">
        <v>0.22</v>
      </c>
      <c r="M196" t="n">
        <v>135.22</v>
      </c>
      <c r="N196" t="n">
        <v>4.1</v>
      </c>
      <c r="O196" t="n">
        <v>38.5</v>
      </c>
      <c r="P196" t="inlineStr">
        <is>
          <t>Debit Card</t>
        </is>
      </c>
      <c r="Q196" t="inlineStr">
        <is>
          <t>Delivered</t>
        </is>
      </c>
      <c r="R196" t="n">
        <v>4</v>
      </c>
    </row>
    <row r="197">
      <c r="A197" t="inlineStr">
        <is>
          <t>ORD1196</t>
        </is>
      </c>
      <c r="B197" t="inlineStr">
        <is>
          <t>2025-03-02</t>
        </is>
      </c>
      <c r="C197" t="inlineStr">
        <is>
          <t>20:15:19</t>
        </is>
      </c>
      <c r="D197" t="n">
        <v>1155</v>
      </c>
      <c r="E197" t="n">
        <v>120</v>
      </c>
      <c r="F197" t="n">
        <v>208</v>
      </c>
      <c r="G197" t="inlineStr">
        <is>
          <t>Pune</t>
        </is>
      </c>
      <c r="H197" t="inlineStr">
        <is>
          <t>Fast Food</t>
        </is>
      </c>
      <c r="I197" t="n">
        <v>485</v>
      </c>
      <c r="J197" t="n">
        <v>66.61</v>
      </c>
      <c r="K197" t="n">
        <v>26</v>
      </c>
      <c r="L197" t="n">
        <v>0.18</v>
      </c>
      <c r="M197" t="n">
        <v>93.8</v>
      </c>
      <c r="N197" t="n">
        <v>3.2</v>
      </c>
      <c r="O197" t="n">
        <v/>
      </c>
      <c r="P197" t="inlineStr">
        <is>
          <t>Cash on Delivery</t>
        </is>
      </c>
      <c r="Q197" t="inlineStr">
        <is>
          <t>Cancelled</t>
        </is>
      </c>
      <c r="R197" t="n">
        <v/>
      </c>
    </row>
    <row r="198">
      <c r="A198" t="inlineStr">
        <is>
          <t>ORD1197</t>
        </is>
      </c>
      <c r="B198" t="inlineStr">
        <is>
          <t>2025-08-05</t>
        </is>
      </c>
      <c r="C198" t="inlineStr">
        <is>
          <t>12:11:31</t>
        </is>
      </c>
      <c r="D198" t="n">
        <v>1249</v>
      </c>
      <c r="E198" t="n">
        <v>114</v>
      </c>
      <c r="F198" t="n">
        <v>215</v>
      </c>
      <c r="G198" t="inlineStr">
        <is>
          <t>Hyderabad</t>
        </is>
      </c>
      <c r="H198" t="inlineStr">
        <is>
          <t>Biryani</t>
        </is>
      </c>
      <c r="I198" t="n">
        <v>1107</v>
      </c>
      <c r="J198" t="n">
        <v>187.46</v>
      </c>
      <c r="K198" t="n">
        <v>0</v>
      </c>
      <c r="L198" t="n">
        <v>0.22</v>
      </c>
      <c r="M198" t="n">
        <v>243.54</v>
      </c>
      <c r="N198" t="n">
        <v>3.5</v>
      </c>
      <c r="O198" t="n">
        <v>45.4</v>
      </c>
      <c r="P198" t="inlineStr">
        <is>
          <t>Credit Card</t>
        </is>
      </c>
      <c r="Q198" t="inlineStr">
        <is>
          <t>Delivered</t>
        </is>
      </c>
      <c r="R198" t="n">
        <v>3</v>
      </c>
    </row>
    <row r="199">
      <c r="A199" t="inlineStr">
        <is>
          <t>ORD1198</t>
        </is>
      </c>
      <c r="B199" t="inlineStr">
        <is>
          <t>2025-03-13</t>
        </is>
      </c>
      <c r="C199" t="inlineStr">
        <is>
          <t>08:11:20</t>
        </is>
      </c>
      <c r="D199" t="n">
        <v>1137</v>
      </c>
      <c r="E199" t="n">
        <v>116</v>
      </c>
      <c r="F199" t="n">
        <v>217</v>
      </c>
      <c r="G199" t="inlineStr">
        <is>
          <t>Pune</t>
        </is>
      </c>
      <c r="H199" t="inlineStr">
        <is>
          <t>Desserts</t>
        </is>
      </c>
      <c r="I199" t="n">
        <v>681</v>
      </c>
      <c r="J199" t="n">
        <v>47.15</v>
      </c>
      <c r="K199" t="n">
        <v>25</v>
      </c>
      <c r="L199" t="n">
        <v>0.25</v>
      </c>
      <c r="M199" t="n">
        <v>176.5</v>
      </c>
      <c r="N199" t="n">
        <v>2.3</v>
      </c>
      <c r="O199" t="n">
        <v>30.4</v>
      </c>
      <c r="P199" t="inlineStr">
        <is>
          <t>Cash on Delivery</t>
        </is>
      </c>
      <c r="Q199" t="inlineStr">
        <is>
          <t>Delivered</t>
        </is>
      </c>
      <c r="R199" t="n">
        <v>4</v>
      </c>
    </row>
    <row r="200">
      <c r="A200" t="inlineStr">
        <is>
          <t>ORD1199</t>
        </is>
      </c>
      <c r="B200" t="inlineStr">
        <is>
          <t>2025-07-16</t>
        </is>
      </c>
      <c r="C200" t="inlineStr">
        <is>
          <t>19:35:32</t>
        </is>
      </c>
      <c r="D200" t="n">
        <v>1129</v>
      </c>
      <c r="E200" t="n">
        <v>116</v>
      </c>
      <c r="F200" t="n">
        <v>207</v>
      </c>
      <c r="G200" t="inlineStr">
        <is>
          <t>Pune</t>
        </is>
      </c>
      <c r="H200" t="inlineStr">
        <is>
          <t>Desserts</t>
        </is>
      </c>
      <c r="I200" t="n">
        <v>888</v>
      </c>
      <c r="J200" t="n">
        <v>0</v>
      </c>
      <c r="K200" t="n">
        <v>29</v>
      </c>
      <c r="L200" t="n">
        <v>0.25</v>
      </c>
      <c r="M200" t="n">
        <v>229.25</v>
      </c>
      <c r="N200" t="n">
        <v>3.8</v>
      </c>
      <c r="O200" t="n">
        <v>36.4</v>
      </c>
      <c r="P200" t="inlineStr">
        <is>
          <t>Cash on Delivery</t>
        </is>
      </c>
      <c r="Q200" t="inlineStr">
        <is>
          <t>Delivered</t>
        </is>
      </c>
      <c r="R200" t="n">
        <v>3</v>
      </c>
    </row>
    <row r="201">
      <c r="A201" t="inlineStr">
        <is>
          <t>ORD1200</t>
        </is>
      </c>
      <c r="B201" t="inlineStr">
        <is>
          <t>2025-02-12</t>
        </is>
      </c>
      <c r="C201" t="inlineStr">
        <is>
          <t>20:36:01</t>
        </is>
      </c>
      <c r="D201" t="n">
        <v>1155</v>
      </c>
      <c r="E201" t="n">
        <v>120</v>
      </c>
      <c r="F201" t="n">
        <v>204</v>
      </c>
      <c r="G201" t="inlineStr">
        <is>
          <t>Pune</t>
        </is>
      </c>
      <c r="H201" t="inlineStr">
        <is>
          <t>Fast Food</t>
        </is>
      </c>
      <c r="I201" t="n">
        <v>619</v>
      </c>
      <c r="J201" t="n">
        <v>63.92</v>
      </c>
      <c r="K201" t="n">
        <v>0</v>
      </c>
      <c r="L201" t="n">
        <v>0.18</v>
      </c>
      <c r="M201" t="n">
        <v>111.42</v>
      </c>
      <c r="N201" t="n">
        <v>2.5</v>
      </c>
      <c r="O201" t="n">
        <v>29.2</v>
      </c>
      <c r="P201" t="inlineStr">
        <is>
          <t>Debit Card</t>
        </is>
      </c>
      <c r="Q201" t="inlineStr">
        <is>
          <t>Delivered</t>
        </is>
      </c>
      <c r="R201" t="n">
        <v>3</v>
      </c>
    </row>
    <row r="202">
      <c r="A202" t="inlineStr">
        <is>
          <t>ORD1201</t>
        </is>
      </c>
      <c r="B202" t="inlineStr">
        <is>
          <t>2025-10-17</t>
        </is>
      </c>
      <c r="C202" t="inlineStr">
        <is>
          <t>08:47:49</t>
        </is>
      </c>
      <c r="D202" t="n">
        <v>1137</v>
      </c>
      <c r="E202" t="n">
        <v>110</v>
      </c>
      <c r="F202" t="n">
        <v>226</v>
      </c>
      <c r="G202" t="inlineStr">
        <is>
          <t>Pune</t>
        </is>
      </c>
      <c r="H202" t="inlineStr">
        <is>
          <t>North Indian</t>
        </is>
      </c>
      <c r="I202" t="n">
        <v>727</v>
      </c>
      <c r="J202" t="n">
        <v>6.58</v>
      </c>
      <c r="K202" t="n">
        <v>30</v>
      </c>
      <c r="L202" t="n">
        <v>0.18</v>
      </c>
      <c r="M202" t="n">
        <v>138.36</v>
      </c>
      <c r="N202" t="n">
        <v>4</v>
      </c>
      <c r="O202" t="n">
        <v>28.7</v>
      </c>
      <c r="P202" t="inlineStr">
        <is>
          <t>Digital Wallet</t>
        </is>
      </c>
      <c r="Q202" t="inlineStr">
        <is>
          <t>Delivered</t>
        </is>
      </c>
      <c r="R202" t="n">
        <v>5</v>
      </c>
    </row>
    <row r="203">
      <c r="A203" t="inlineStr">
        <is>
          <t>ORD1202</t>
        </is>
      </c>
      <c r="B203" t="inlineStr">
        <is>
          <t>2025-10-07</t>
        </is>
      </c>
      <c r="C203" t="inlineStr">
        <is>
          <t>10:13:27</t>
        </is>
      </c>
      <c r="D203" t="n">
        <v>1065</v>
      </c>
      <c r="E203" t="n">
        <v>112</v>
      </c>
      <c r="F203" t="n">
        <v>221</v>
      </c>
      <c r="G203" t="inlineStr">
        <is>
          <t>Delhi NCR</t>
        </is>
      </c>
      <c r="H203" t="inlineStr">
        <is>
          <t>North Indian</t>
        </is>
      </c>
      <c r="I203" t="n">
        <v>324</v>
      </c>
      <c r="J203" t="n">
        <v>16.94</v>
      </c>
      <c r="K203" t="n">
        <v>37.5</v>
      </c>
      <c r="L203" t="n">
        <v>0.22</v>
      </c>
      <c r="M203" t="n">
        <v>80.66</v>
      </c>
      <c r="N203" t="n">
        <v>5.5</v>
      </c>
      <c r="O203" t="n">
        <v/>
      </c>
      <c r="P203" t="inlineStr">
        <is>
          <t>UPI</t>
        </is>
      </c>
      <c r="Q203" t="inlineStr">
        <is>
          <t>Cancelled</t>
        </is>
      </c>
      <c r="R203" t="n">
        <v/>
      </c>
    </row>
    <row r="204">
      <c r="A204" t="inlineStr">
        <is>
          <t>ORD1203</t>
        </is>
      </c>
      <c r="B204" t="inlineStr">
        <is>
          <t>2025-02-14</t>
        </is>
      </c>
      <c r="C204" t="inlineStr">
        <is>
          <t>20:28:55</t>
        </is>
      </c>
      <c r="D204" t="n">
        <v>1187</v>
      </c>
      <c r="E204" t="n">
        <v>103</v>
      </c>
      <c r="F204" t="n">
        <v>229</v>
      </c>
      <c r="G204" t="inlineStr">
        <is>
          <t>Mumbai</t>
        </is>
      </c>
      <c r="H204" t="inlineStr">
        <is>
          <t>Italian</t>
        </is>
      </c>
      <c r="I204" t="n">
        <v>340</v>
      </c>
      <c r="J204" t="n">
        <v>35.46</v>
      </c>
      <c r="K204" t="n">
        <v>25</v>
      </c>
      <c r="L204" t="n">
        <v>0.18</v>
      </c>
      <c r="M204" t="n">
        <v>67.45</v>
      </c>
      <c r="N204" t="n">
        <v>3</v>
      </c>
      <c r="O204" t="n">
        <v>46.7</v>
      </c>
      <c r="P204" t="inlineStr">
        <is>
          <t>Digital Wallet</t>
        </is>
      </c>
      <c r="Q204" t="inlineStr">
        <is>
          <t>Delivered</t>
        </is>
      </c>
      <c r="R204" t="n">
        <v>2</v>
      </c>
    </row>
    <row r="205">
      <c r="A205" t="inlineStr">
        <is>
          <t>ORD1204</t>
        </is>
      </c>
      <c r="B205" t="inlineStr">
        <is>
          <t>2025-11-12</t>
        </is>
      </c>
      <c r="C205" t="inlineStr">
        <is>
          <t>20:08:50</t>
        </is>
      </c>
      <c r="D205" t="n">
        <v>1040</v>
      </c>
      <c r="E205" t="n">
        <v>106</v>
      </c>
      <c r="F205" t="n">
        <v>208</v>
      </c>
      <c r="G205" t="inlineStr">
        <is>
          <t>Pune</t>
        </is>
      </c>
      <c r="H205" t="inlineStr">
        <is>
          <t>South Indian</t>
        </is>
      </c>
      <c r="I205" t="n">
        <v>431</v>
      </c>
      <c r="J205" t="n">
        <v>27.77</v>
      </c>
      <c r="K205" t="n">
        <v>25</v>
      </c>
      <c r="L205" t="n">
        <v>0.15</v>
      </c>
      <c r="M205" t="n">
        <v>70.90000000000001</v>
      </c>
      <c r="N205" t="n">
        <v>2.9</v>
      </c>
      <c r="O205" t="n">
        <v>29.9</v>
      </c>
      <c r="P205" t="inlineStr">
        <is>
          <t>Digital Wallet</t>
        </is>
      </c>
      <c r="Q205" t="inlineStr">
        <is>
          <t>Delivered</t>
        </is>
      </c>
      <c r="R205" t="n">
        <v>4</v>
      </c>
    </row>
    <row r="206">
      <c r="A206" t="inlineStr">
        <is>
          <t>ORD1205</t>
        </is>
      </c>
      <c r="B206" t="inlineStr">
        <is>
          <t>2025-12-27</t>
        </is>
      </c>
      <c r="C206" t="inlineStr">
        <is>
          <t>20:18:18</t>
        </is>
      </c>
      <c r="D206" t="n">
        <v>1125</v>
      </c>
      <c r="E206" t="n">
        <v>120</v>
      </c>
      <c r="F206" t="n">
        <v>209</v>
      </c>
      <c r="G206" t="inlineStr">
        <is>
          <t>Pune</t>
        </is>
      </c>
      <c r="H206" t="inlineStr">
        <is>
          <t>Fast Food</t>
        </is>
      </c>
      <c r="I206" t="n">
        <v>806</v>
      </c>
      <c r="J206" t="n">
        <v>0</v>
      </c>
      <c r="K206" t="n">
        <v>25.5</v>
      </c>
      <c r="L206" t="n">
        <v>0.18</v>
      </c>
      <c r="M206" t="n">
        <v>151.45</v>
      </c>
      <c r="N206" t="n">
        <v>3.1</v>
      </c>
      <c r="O206" t="n">
        <v>34.1</v>
      </c>
      <c r="P206" t="inlineStr">
        <is>
          <t>UPI</t>
        </is>
      </c>
      <c r="Q206" t="inlineStr">
        <is>
          <t>Delivered</t>
        </is>
      </c>
      <c r="R206" t="n">
        <v>5</v>
      </c>
    </row>
    <row r="207">
      <c r="A207" t="inlineStr">
        <is>
          <t>ORD1206</t>
        </is>
      </c>
      <c r="B207" t="inlineStr">
        <is>
          <t>2025-01-31</t>
        </is>
      </c>
      <c r="C207" t="inlineStr">
        <is>
          <t>19:17:55</t>
        </is>
      </c>
      <c r="D207" t="n">
        <v>1146</v>
      </c>
      <c r="E207" t="n">
        <v>113</v>
      </c>
      <c r="F207" t="n">
        <v>202</v>
      </c>
      <c r="G207" t="inlineStr">
        <is>
          <t>Mumbai</t>
        </is>
      </c>
      <c r="H207" t="inlineStr">
        <is>
          <t>Fast Food</t>
        </is>
      </c>
      <c r="I207" t="n">
        <v>891</v>
      </c>
      <c r="J207" t="n">
        <v>0</v>
      </c>
      <c r="K207" t="n">
        <v>31</v>
      </c>
      <c r="L207" t="n">
        <v>0.18</v>
      </c>
      <c r="M207" t="n">
        <v>168.13</v>
      </c>
      <c r="N207" t="n">
        <v>4.2</v>
      </c>
      <c r="O207" t="n">
        <v>41.9</v>
      </c>
      <c r="P207" t="inlineStr">
        <is>
          <t>Credit Card</t>
        </is>
      </c>
      <c r="Q207" t="inlineStr">
        <is>
          <t>Delivered</t>
        </is>
      </c>
      <c r="R207" t="n">
        <v>3</v>
      </c>
    </row>
    <row r="208">
      <c r="A208" t="inlineStr">
        <is>
          <t>ORD1207</t>
        </is>
      </c>
      <c r="B208" t="inlineStr">
        <is>
          <t>2025-05-07</t>
        </is>
      </c>
      <c r="C208" t="inlineStr">
        <is>
          <t>19:48:53</t>
        </is>
      </c>
      <c r="D208" t="n">
        <v>1188</v>
      </c>
      <c r="E208" t="n">
        <v>114</v>
      </c>
      <c r="F208" t="n">
        <v>215</v>
      </c>
      <c r="G208" t="inlineStr">
        <is>
          <t>Hyderabad</t>
        </is>
      </c>
      <c r="H208" t="inlineStr">
        <is>
          <t>Biryani</t>
        </is>
      </c>
      <c r="I208" t="n">
        <v>912</v>
      </c>
      <c r="J208" t="n">
        <v>0</v>
      </c>
      <c r="K208" t="n">
        <v>27</v>
      </c>
      <c r="L208" t="n">
        <v>0.22</v>
      </c>
      <c r="M208" t="n">
        <v>207.39</v>
      </c>
      <c r="N208" t="n">
        <v>3.4</v>
      </c>
      <c r="O208" t="n">
        <v>26.6</v>
      </c>
      <c r="P208" t="inlineStr">
        <is>
          <t>Debit Card</t>
        </is>
      </c>
      <c r="Q208" t="inlineStr">
        <is>
          <t>Delivered</t>
        </is>
      </c>
      <c r="R208" t="n">
        <v>5</v>
      </c>
    </row>
    <row r="209">
      <c r="A209" t="inlineStr">
        <is>
          <t>ORD1208</t>
        </is>
      </c>
      <c r="B209" t="inlineStr">
        <is>
          <t>2025-02-08</t>
        </is>
      </c>
      <c r="C209" t="inlineStr">
        <is>
          <t>21:40:50</t>
        </is>
      </c>
      <c r="D209" t="n">
        <v>1231</v>
      </c>
      <c r="E209" t="n">
        <v>111</v>
      </c>
      <c r="F209" t="n">
        <v>223</v>
      </c>
      <c r="G209" t="inlineStr">
        <is>
          <t>Bangalore</t>
        </is>
      </c>
      <c r="H209" t="inlineStr">
        <is>
          <t>South Indian</t>
        </is>
      </c>
      <c r="I209" t="n">
        <v>315</v>
      </c>
      <c r="J209" t="n">
        <v>24.63</v>
      </c>
      <c r="K209" t="n">
        <v>33</v>
      </c>
      <c r="L209" t="n">
        <v>0.15</v>
      </c>
      <c r="M209" t="n">
        <v>55.5</v>
      </c>
      <c r="N209" t="n">
        <v>4.6</v>
      </c>
      <c r="O209" t="n">
        <v>38.4</v>
      </c>
      <c r="P209" t="inlineStr">
        <is>
          <t>Debit Card</t>
        </is>
      </c>
      <c r="Q209" t="inlineStr">
        <is>
          <t>Delivered</t>
        </is>
      </c>
      <c r="R209" t="n">
        <v>4</v>
      </c>
    </row>
    <row r="210">
      <c r="A210" t="inlineStr">
        <is>
          <t>ORD1209</t>
        </is>
      </c>
      <c r="B210" t="inlineStr">
        <is>
          <t>2025-10-25</t>
        </is>
      </c>
      <c r="C210" t="inlineStr">
        <is>
          <t>10:00:55</t>
        </is>
      </c>
      <c r="D210" t="n">
        <v>1293</v>
      </c>
      <c r="E210" t="n">
        <v>109</v>
      </c>
      <c r="F210" t="n">
        <v>216</v>
      </c>
      <c r="G210" t="inlineStr">
        <is>
          <t>Hyderabad</t>
        </is>
      </c>
      <c r="H210" t="inlineStr">
        <is>
          <t>Biryani</t>
        </is>
      </c>
      <c r="I210" t="n">
        <v>315</v>
      </c>
      <c r="J210" t="n">
        <v>31.87</v>
      </c>
      <c r="K210" t="n">
        <v>33</v>
      </c>
      <c r="L210" t="n">
        <v>0.2</v>
      </c>
      <c r="M210" t="n">
        <v>71.25</v>
      </c>
      <c r="N210" t="n">
        <v>4.6</v>
      </c>
      <c r="O210" t="n">
        <v>30.7</v>
      </c>
      <c r="P210" t="inlineStr">
        <is>
          <t>Debit Card</t>
        </is>
      </c>
      <c r="Q210" t="inlineStr">
        <is>
          <t>Delivered</t>
        </is>
      </c>
      <c r="R210" t="n">
        <v>3</v>
      </c>
    </row>
    <row r="211">
      <c r="A211" t="inlineStr">
        <is>
          <t>ORD1210</t>
        </is>
      </c>
      <c r="B211" t="inlineStr">
        <is>
          <t>2025-04-22</t>
        </is>
      </c>
      <c r="C211" t="inlineStr">
        <is>
          <t>20:27:52</t>
        </is>
      </c>
      <c r="D211" t="n">
        <v>1236</v>
      </c>
      <c r="E211" t="n">
        <v>104</v>
      </c>
      <c r="F211" t="n">
        <v>228</v>
      </c>
      <c r="G211" t="inlineStr">
        <is>
          <t>Delhi NCR</t>
        </is>
      </c>
      <c r="H211" t="inlineStr">
        <is>
          <t>Fast Food</t>
        </is>
      </c>
      <c r="I211" t="n">
        <v>436</v>
      </c>
      <c r="J211" t="n">
        <v>36.9</v>
      </c>
      <c r="K211" t="n">
        <v>25</v>
      </c>
      <c r="L211" t="n">
        <v>0.18</v>
      </c>
      <c r="M211" t="n">
        <v>84.73</v>
      </c>
      <c r="N211" t="n">
        <v>1.8</v>
      </c>
      <c r="O211" t="n">
        <v>25.3</v>
      </c>
      <c r="P211" t="inlineStr">
        <is>
          <t>Debit Card</t>
        </is>
      </c>
      <c r="Q211" t="inlineStr">
        <is>
          <t>Delivered</t>
        </is>
      </c>
      <c r="R211" t="n">
        <v>5</v>
      </c>
    </row>
    <row r="212">
      <c r="A212" t="inlineStr">
        <is>
          <t>ORD1211</t>
        </is>
      </c>
      <c r="B212" t="inlineStr">
        <is>
          <t>2025-06-25</t>
        </is>
      </c>
      <c r="C212" t="inlineStr">
        <is>
          <t>20:57:43</t>
        </is>
      </c>
      <c r="D212" t="n">
        <v>1064</v>
      </c>
      <c r="E212" t="n">
        <v>106</v>
      </c>
      <c r="F212" t="n">
        <v>208</v>
      </c>
      <c r="G212" t="inlineStr">
        <is>
          <t>Pune</t>
        </is>
      </c>
      <c r="H212" t="inlineStr">
        <is>
          <t>South Indian</t>
        </is>
      </c>
      <c r="I212" t="n">
        <v>269</v>
      </c>
      <c r="J212" t="n">
        <v>0</v>
      </c>
      <c r="K212" t="n">
        <v>33</v>
      </c>
      <c r="L212" t="n">
        <v>0.15</v>
      </c>
      <c r="M212" t="n">
        <v>48.6</v>
      </c>
      <c r="N212" t="n">
        <v>4.6</v>
      </c>
      <c r="O212" t="n">
        <v>37.5</v>
      </c>
      <c r="P212" t="inlineStr">
        <is>
          <t>CASH ON DELIVERY</t>
        </is>
      </c>
      <c r="Q212" t="inlineStr">
        <is>
          <t>Delivered</t>
        </is>
      </c>
      <c r="R212" t="n">
        <v>4</v>
      </c>
    </row>
    <row r="213">
      <c r="A213" t="inlineStr">
        <is>
          <t>ORD1212</t>
        </is>
      </c>
      <c r="B213" t="inlineStr">
        <is>
          <t>2025-03-22</t>
        </is>
      </c>
      <c r="C213" t="inlineStr">
        <is>
          <t>12:28:29</t>
        </is>
      </c>
      <c r="D213" t="n">
        <v>1022</v>
      </c>
      <c r="E213" t="n">
        <v>108</v>
      </c>
      <c r="F213" t="n">
        <v>219</v>
      </c>
      <c r="G213" t="inlineStr">
        <is>
          <t>Delhi NCR</t>
        </is>
      </c>
      <c r="H213" t="inlineStr">
        <is>
          <t>Fast Food</t>
        </is>
      </c>
      <c r="I213" t="n">
        <v>220</v>
      </c>
      <c r="J213" t="n">
        <v>7.53</v>
      </c>
      <c r="K213" t="n">
        <v>52.5</v>
      </c>
      <c r="L213" t="n">
        <v>0.18</v>
      </c>
      <c r="M213" t="n">
        <v>52.72</v>
      </c>
      <c r="N213" t="n">
        <v>8.5</v>
      </c>
      <c r="O213" t="n">
        <v>58.3</v>
      </c>
      <c r="P213" t="inlineStr">
        <is>
          <t>Credit Card</t>
        </is>
      </c>
      <c r="Q213" t="inlineStr">
        <is>
          <t>Delivered</t>
        </is>
      </c>
      <c r="R213" t="n">
        <v>2</v>
      </c>
    </row>
    <row r="214">
      <c r="A214" t="inlineStr">
        <is>
          <t>ORD1213</t>
        </is>
      </c>
      <c r="B214" t="inlineStr">
        <is>
          <t>2025-02-17</t>
        </is>
      </c>
      <c r="C214" t="inlineStr">
        <is>
          <t>11:41:23</t>
        </is>
      </c>
      <c r="D214" t="n">
        <v>1102</v>
      </c>
      <c r="E214" t="n">
        <v>107</v>
      </c>
      <c r="F214" t="n">
        <v>222</v>
      </c>
      <c r="G214" t="inlineStr">
        <is>
          <t>Mumbai</t>
        </is>
      </c>
      <c r="H214" t="inlineStr">
        <is>
          <t>Desserts</t>
        </is>
      </c>
      <c r="I214" t="n">
        <v>476</v>
      </c>
      <c r="J214" t="n">
        <v>26.55</v>
      </c>
      <c r="K214" t="n">
        <v>30</v>
      </c>
      <c r="L214" t="n">
        <v>0.25</v>
      </c>
      <c r="M214" t="n">
        <v>126.5</v>
      </c>
      <c r="N214" t="n">
        <v>4</v>
      </c>
      <c r="O214" t="n">
        <v>37.9</v>
      </c>
      <c r="P214" t="inlineStr">
        <is>
          <t>Credit Card</t>
        </is>
      </c>
      <c r="Q214" t="inlineStr">
        <is>
          <t>Delivered</t>
        </is>
      </c>
      <c r="R214" t="n">
        <v>4</v>
      </c>
    </row>
    <row r="215">
      <c r="A215" t="inlineStr">
        <is>
          <t>ORD1214</t>
        </is>
      </c>
      <c r="B215" t="inlineStr">
        <is>
          <t>2025-11-17</t>
        </is>
      </c>
      <c r="C215" t="inlineStr">
        <is>
          <t>20:19:46</t>
        </is>
      </c>
      <c r="D215" t="n">
        <v>1053</v>
      </c>
      <c r="E215" t="n">
        <v>109</v>
      </c>
      <c r="F215" t="n">
        <v>216</v>
      </c>
      <c r="G215" t="inlineStr">
        <is>
          <t>Hyderabad</t>
        </is>
      </c>
      <c r="H215" t="inlineStr">
        <is>
          <t>Biryani</t>
        </is>
      </c>
      <c r="I215" t="n">
        <v>1229</v>
      </c>
      <c r="J215" t="n">
        <v>151.68</v>
      </c>
      <c r="K215" t="n">
        <v>0</v>
      </c>
      <c r="L215" t="n">
        <v>0.2</v>
      </c>
      <c r="M215" t="n">
        <v>245.8</v>
      </c>
      <c r="N215" t="n">
        <v>2.8</v>
      </c>
      <c r="O215" t="n">
        <v>34</v>
      </c>
      <c r="P215" t="inlineStr">
        <is>
          <t>UPI</t>
        </is>
      </c>
      <c r="Q215" t="inlineStr">
        <is>
          <t>Delivered</t>
        </is>
      </c>
      <c r="R215" t="n">
        <v>4</v>
      </c>
    </row>
    <row r="216">
      <c r="A216" t="inlineStr">
        <is>
          <t>ORD1215</t>
        </is>
      </c>
      <c r="B216" t="inlineStr">
        <is>
          <t>2025-09-02</t>
        </is>
      </c>
      <c r="C216" t="inlineStr">
        <is>
          <t>19:04:08</t>
        </is>
      </c>
      <c r="D216" t="n">
        <v>1160</v>
      </c>
      <c r="E216" t="n">
        <v>106</v>
      </c>
      <c r="F216" t="n">
        <v>224</v>
      </c>
      <c r="G216" t="inlineStr">
        <is>
          <t>Pune</t>
        </is>
      </c>
      <c r="H216" t="inlineStr">
        <is>
          <t>South Indian</t>
        </is>
      </c>
      <c r="I216" t="n">
        <v>827</v>
      </c>
      <c r="J216" t="n">
        <v>54.44</v>
      </c>
      <c r="K216" t="n">
        <v>39</v>
      </c>
      <c r="L216" t="n">
        <v>0.15</v>
      </c>
      <c r="M216" t="n">
        <v>133.8</v>
      </c>
      <c r="N216" t="n">
        <v>5.8</v>
      </c>
      <c r="O216" t="n">
        <v>40.8</v>
      </c>
      <c r="P216" t="inlineStr">
        <is>
          <t>UPI</t>
        </is>
      </c>
      <c r="Q216" t="inlineStr">
        <is>
          <t>Delivered</t>
        </is>
      </c>
      <c r="R216" t="n">
        <v>3</v>
      </c>
    </row>
    <row r="217">
      <c r="A217" t="inlineStr">
        <is>
          <t>ORD1216</t>
        </is>
      </c>
      <c r="B217" t="inlineStr">
        <is>
          <t>2025-03-03</t>
        </is>
      </c>
      <c r="C217" t="inlineStr">
        <is>
          <t>08:55:27</t>
        </is>
      </c>
      <c r="D217" t="n">
        <v>1119</v>
      </c>
      <c r="E217" t="n">
        <v>118</v>
      </c>
      <c r="F217" t="n">
        <v>211</v>
      </c>
      <c r="G217" t="inlineStr">
        <is>
          <t>Delhi NCR</t>
        </is>
      </c>
      <c r="H217" t="inlineStr">
        <is>
          <t>North Indian</t>
        </is>
      </c>
      <c r="I217" t="n">
        <v>1063</v>
      </c>
      <c r="J217" t="n">
        <v>157.08</v>
      </c>
      <c r="K217" t="n">
        <v>0</v>
      </c>
      <c r="L217" t="n">
        <v>0.2</v>
      </c>
      <c r="M217" t="n">
        <v>212.6</v>
      </c>
      <c r="N217" t="n">
        <v>6</v>
      </c>
      <c r="O217" t="n">
        <v>32.6</v>
      </c>
      <c r="P217" t="inlineStr">
        <is>
          <t>UPI</t>
        </is>
      </c>
      <c r="Q217" t="inlineStr">
        <is>
          <t>Delivered</t>
        </is>
      </c>
      <c r="R217" t="n">
        <v>5</v>
      </c>
    </row>
    <row r="218">
      <c r="A218" t="inlineStr">
        <is>
          <t>ORD1217</t>
        </is>
      </c>
      <c r="B218" t="inlineStr">
        <is>
          <t>2025-07-08</t>
        </is>
      </c>
      <c r="C218" t="inlineStr">
        <is>
          <t>21:56:19</t>
        </is>
      </c>
      <c r="D218" t="n">
        <v>1190</v>
      </c>
      <c r="E218" t="n">
        <v>119</v>
      </c>
      <c r="F218" t="n">
        <v>215</v>
      </c>
      <c r="G218" t="inlineStr">
        <is>
          <t>Hyderabad</t>
        </is>
      </c>
      <c r="H218" t="inlineStr">
        <is>
          <t>Biryani</t>
        </is>
      </c>
      <c r="I218" t="n">
        <v>360</v>
      </c>
      <c r="J218" t="n">
        <v>0</v>
      </c>
      <c r="K218" t="n">
        <v>32.5</v>
      </c>
      <c r="L218" t="n">
        <v>0.2</v>
      </c>
      <c r="M218" t="n">
        <v>80.12</v>
      </c>
      <c r="N218" t="n">
        <v>4.5</v>
      </c>
      <c r="O218" t="n">
        <v>43.5</v>
      </c>
      <c r="P218" t="inlineStr">
        <is>
          <t>Credit Card</t>
        </is>
      </c>
      <c r="Q218" t="inlineStr">
        <is>
          <t>Delivered</t>
        </is>
      </c>
      <c r="R218" t="n">
        <v>2</v>
      </c>
    </row>
    <row r="219">
      <c r="A219" t="inlineStr">
        <is>
          <t>ORD1218</t>
        </is>
      </c>
      <c r="B219" t="inlineStr">
        <is>
          <t>2025-11-09</t>
        </is>
      </c>
      <c r="C219" t="inlineStr">
        <is>
          <t>21:41:10</t>
        </is>
      </c>
      <c r="D219" t="n">
        <v>1271</v>
      </c>
      <c r="E219" t="n">
        <v>104</v>
      </c>
      <c r="F219" t="n">
        <v>221</v>
      </c>
      <c r="G219" t="inlineStr">
        <is>
          <t>Delhi NCR</t>
        </is>
      </c>
      <c r="H219" t="inlineStr">
        <is>
          <t>Fast Food</t>
        </is>
      </c>
      <c r="I219" t="n">
        <v>670</v>
      </c>
      <c r="J219" t="n">
        <v>49.97</v>
      </c>
      <c r="K219" t="n">
        <v>27</v>
      </c>
      <c r="L219" t="n">
        <v>0.18</v>
      </c>
      <c r="M219" t="n">
        <v>127.35</v>
      </c>
      <c r="N219" t="n">
        <v>3.4</v>
      </c>
      <c r="O219" t="n">
        <v>38.6</v>
      </c>
      <c r="P219" t="inlineStr">
        <is>
          <t>Credit Card</t>
        </is>
      </c>
      <c r="Q219" t="inlineStr">
        <is>
          <t>Delivered</t>
        </is>
      </c>
      <c r="R219" t="n">
        <v>3</v>
      </c>
    </row>
    <row r="220">
      <c r="A220" t="inlineStr">
        <is>
          <t>ORD1219</t>
        </is>
      </c>
      <c r="B220" t="inlineStr">
        <is>
          <t>2025-02-14</t>
        </is>
      </c>
      <c r="C220" t="inlineStr">
        <is>
          <t>13:57:06</t>
        </is>
      </c>
      <c r="D220" t="n">
        <v>1118</v>
      </c>
      <c r="E220" t="n">
        <v>118</v>
      </c>
      <c r="F220" t="n">
        <v>212</v>
      </c>
      <c r="G220" t="inlineStr">
        <is>
          <t>Delhi NCR</t>
        </is>
      </c>
      <c r="H220" t="inlineStr">
        <is>
          <t>North Indian</t>
        </is>
      </c>
      <c r="I220" t="n">
        <v>363</v>
      </c>
      <c r="J220" t="n">
        <v>17.12</v>
      </c>
      <c r="K220" t="n">
        <v>25</v>
      </c>
      <c r="L220" t="n">
        <v>0.2</v>
      </c>
      <c r="M220" t="n">
        <v>78.84999999999999</v>
      </c>
      <c r="N220" t="n">
        <v>2.3</v>
      </c>
      <c r="O220" t="n">
        <v>24.9</v>
      </c>
      <c r="P220" t="inlineStr">
        <is>
          <t>Cash on Delivery</t>
        </is>
      </c>
      <c r="Q220" t="inlineStr">
        <is>
          <t>Delivered</t>
        </is>
      </c>
      <c r="R220" t="n">
        <v>4</v>
      </c>
    </row>
    <row r="221">
      <c r="A221" t="inlineStr">
        <is>
          <t>ORD1220</t>
        </is>
      </c>
      <c r="B221" t="inlineStr">
        <is>
          <t>2025-05-22</t>
        </is>
      </c>
      <c r="C221" t="inlineStr">
        <is>
          <t>13:41:05</t>
        </is>
      </c>
      <c r="D221" t="n">
        <v>1224</v>
      </c>
      <c r="E221" t="n">
        <v>104</v>
      </c>
      <c r="F221" t="n">
        <v>211</v>
      </c>
      <c r="G221" t="inlineStr">
        <is>
          <t>Delhi NCR</t>
        </is>
      </c>
      <c r="H221" t="inlineStr">
        <is>
          <t>Fast Food</t>
        </is>
      </c>
      <c r="I221" t="n">
        <v>474</v>
      </c>
      <c r="J221" t="n">
        <v>22.75</v>
      </c>
      <c r="K221" t="n">
        <v>31.5</v>
      </c>
      <c r="L221" t="n">
        <v>0.18</v>
      </c>
      <c r="M221" t="n">
        <v>93.2</v>
      </c>
      <c r="N221" t="n">
        <v>4.3</v>
      </c>
      <c r="O221" t="n">
        <v>35.2</v>
      </c>
      <c r="P221" t="inlineStr">
        <is>
          <t>UPI</t>
        </is>
      </c>
      <c r="Q221" t="inlineStr">
        <is>
          <t>Delivered</t>
        </is>
      </c>
      <c r="R221" t="n">
        <v>4</v>
      </c>
    </row>
    <row r="222">
      <c r="A222" t="inlineStr">
        <is>
          <t>ORD1221</t>
        </is>
      </c>
      <c r="B222" t="inlineStr">
        <is>
          <t>2025-07-20</t>
        </is>
      </c>
      <c r="C222" t="inlineStr">
        <is>
          <t>21:18:41</t>
        </is>
      </c>
      <c r="D222" t="n">
        <v>1252</v>
      </c>
      <c r="E222" t="n">
        <v>103</v>
      </c>
      <c r="F222" t="n">
        <v>206</v>
      </c>
      <c r="G222" t="inlineStr">
        <is>
          <t>Mumbai</t>
        </is>
      </c>
      <c r="H222" t="inlineStr">
        <is>
          <t>Italian</t>
        </is>
      </c>
      <c r="I222" t="n">
        <v>275</v>
      </c>
      <c r="J222" t="n">
        <v>17.46</v>
      </c>
      <c r="K222" t="n">
        <v>25</v>
      </c>
      <c r="L222" t="n">
        <v>0.18</v>
      </c>
      <c r="M222" t="n">
        <v>55.75</v>
      </c>
      <c r="N222" t="n">
        <v>3</v>
      </c>
      <c r="O222" t="n">
        <v>26.9</v>
      </c>
      <c r="P222" t="inlineStr">
        <is>
          <t>Cash on Delivery</t>
        </is>
      </c>
      <c r="Q222" t="inlineStr">
        <is>
          <t>Delivered</t>
        </is>
      </c>
      <c r="R222" t="n">
        <v>5</v>
      </c>
    </row>
    <row r="223">
      <c r="A223" t="inlineStr">
        <is>
          <t>ORD1222</t>
        </is>
      </c>
      <c r="B223" t="inlineStr">
        <is>
          <t>2025-09-13</t>
        </is>
      </c>
      <c r="C223" t="inlineStr">
        <is>
          <t>12:40:38</t>
        </is>
      </c>
      <c r="D223" t="n">
        <v>1079</v>
      </c>
      <c r="E223" t="n">
        <v>111</v>
      </c>
      <c r="F223" t="n">
        <v>227</v>
      </c>
      <c r="G223" t="inlineStr">
        <is>
          <t>Bangalore</t>
        </is>
      </c>
      <c r="H223" t="inlineStr">
        <is>
          <t>South Indian</t>
        </is>
      </c>
      <c r="I223" t="n">
        <v>292</v>
      </c>
      <c r="J223" t="n">
        <v>22.84</v>
      </c>
      <c r="K223" t="n">
        <v>25</v>
      </c>
      <c r="L223" t="n">
        <v>0.15</v>
      </c>
      <c r="M223" t="n">
        <v>50.05</v>
      </c>
      <c r="N223" t="n">
        <v>2.3</v>
      </c>
      <c r="O223" t="n">
        <v>40.2</v>
      </c>
      <c r="P223" t="inlineStr">
        <is>
          <t>Debit Card</t>
        </is>
      </c>
      <c r="Q223" t="inlineStr">
        <is>
          <t>Delivered</t>
        </is>
      </c>
      <c r="R223" t="n">
        <v>2</v>
      </c>
    </row>
    <row r="224">
      <c r="A224" t="inlineStr">
        <is>
          <t>ORD1223</t>
        </is>
      </c>
      <c r="B224" t="inlineStr">
        <is>
          <t>2025-10-19</t>
        </is>
      </c>
      <c r="C224" t="inlineStr">
        <is>
          <t>20:26:23</t>
        </is>
      </c>
      <c r="D224" t="n">
        <v>1017</v>
      </c>
      <c r="E224" t="n">
        <v>113</v>
      </c>
      <c r="F224" t="n">
        <v>206</v>
      </c>
      <c r="G224" t="inlineStr">
        <is>
          <t>Mumbai</t>
        </is>
      </c>
      <c r="H224" t="inlineStr">
        <is>
          <t>Fast Food</t>
        </is>
      </c>
      <c r="I224" t="n">
        <v>779</v>
      </c>
      <c r="J224" t="n">
        <v>47.53</v>
      </c>
      <c r="K224" t="n">
        <v>31</v>
      </c>
      <c r="L224" t="n">
        <v>0.18</v>
      </c>
      <c r="M224" t="n">
        <v>147.97</v>
      </c>
      <c r="N224" t="n">
        <v>4.2</v>
      </c>
      <c r="O224" t="n">
        <v>41.9</v>
      </c>
      <c r="P224" t="inlineStr">
        <is>
          <t>UPI</t>
        </is>
      </c>
      <c r="Q224" t="inlineStr">
        <is>
          <t>Delivered</t>
        </is>
      </c>
      <c r="R224" t="n">
        <v>3</v>
      </c>
    </row>
    <row r="225">
      <c r="A225" t="inlineStr">
        <is>
          <t>ORD1224</t>
        </is>
      </c>
      <c r="B225" t="inlineStr">
        <is>
          <t>2025-01-08</t>
        </is>
      </c>
      <c r="C225" t="inlineStr">
        <is>
          <t>19:16:13</t>
        </is>
      </c>
      <c r="D225" t="n">
        <v>1040</v>
      </c>
      <c r="E225" t="n">
        <v>110</v>
      </c>
      <c r="F225" t="n">
        <v>224</v>
      </c>
      <c r="G225" t="inlineStr">
        <is>
          <t>Pune</t>
        </is>
      </c>
      <c r="H225" t="inlineStr">
        <is>
          <t>North Indian</t>
        </is>
      </c>
      <c r="I225" t="n">
        <v>260</v>
      </c>
      <c r="J225" t="n">
        <v>19.73</v>
      </c>
      <c r="K225" t="n">
        <v>56.5</v>
      </c>
      <c r="L225" t="n">
        <v>0.18</v>
      </c>
      <c r="M225" t="n">
        <v>60.92</v>
      </c>
      <c r="N225" t="n">
        <v>9.300000000000001</v>
      </c>
      <c r="O225" t="n">
        <v>58.7</v>
      </c>
      <c r="P225" t="inlineStr">
        <is>
          <t>Debit Card</t>
        </is>
      </c>
      <c r="Q225" t="inlineStr">
        <is>
          <t>Delivered</t>
        </is>
      </c>
      <c r="R225" t="n">
        <v>4</v>
      </c>
    </row>
    <row r="226">
      <c r="A226" t="inlineStr">
        <is>
          <t>ORD1225</t>
        </is>
      </c>
      <c r="B226" t="inlineStr">
        <is>
          <t>2025-02-12</t>
        </is>
      </c>
      <c r="C226" t="inlineStr">
        <is>
          <t>01:40:34</t>
        </is>
      </c>
      <c r="D226" t="n">
        <v>1010</v>
      </c>
      <c r="E226" t="n">
        <v>119</v>
      </c>
      <c r="F226" t="n">
        <v>216</v>
      </c>
      <c r="G226" t="inlineStr">
        <is>
          <t>Hyderabad</t>
        </is>
      </c>
      <c r="H226" t="inlineStr">
        <is>
          <t>Biryani</t>
        </is>
      </c>
      <c r="I226" t="n">
        <v>770</v>
      </c>
      <c r="J226" t="n">
        <v>71.7</v>
      </c>
      <c r="K226" t="n">
        <v>50</v>
      </c>
      <c r="L226" t="n">
        <v>0.2</v>
      </c>
      <c r="M226" t="n">
        <v>166.5</v>
      </c>
      <c r="N226" t="n">
        <v>8</v>
      </c>
      <c r="O226" t="n">
        <v>40.1</v>
      </c>
      <c r="P226" t="inlineStr">
        <is>
          <t>Debit Card</t>
        </is>
      </c>
      <c r="Q226" t="inlineStr">
        <is>
          <t>Delivered</t>
        </is>
      </c>
      <c r="R226" t="n">
        <v>3</v>
      </c>
    </row>
    <row r="227">
      <c r="A227" t="inlineStr">
        <is>
          <t>ORD1226</t>
        </is>
      </c>
      <c r="B227" t="inlineStr">
        <is>
          <t>2025-03-21</t>
        </is>
      </c>
      <c r="C227" t="inlineStr">
        <is>
          <t>12:34:20</t>
        </is>
      </c>
      <c r="D227" t="n">
        <v>1285</v>
      </c>
      <c r="E227" t="n">
        <v>101</v>
      </c>
      <c r="F227" t="n">
        <v>203</v>
      </c>
      <c r="G227" t="inlineStr">
        <is>
          <t>Bangalore</t>
        </is>
      </c>
      <c r="H227" t="inlineStr">
        <is>
          <t>North Indian</t>
        </is>
      </c>
      <c r="I227" t="n">
        <v>620</v>
      </c>
      <c r="J227" t="n">
        <v>37.86</v>
      </c>
      <c r="K227" t="n">
        <v>27</v>
      </c>
      <c r="L227" t="n">
        <v>0.2</v>
      </c>
      <c r="M227" t="n">
        <v>130.75</v>
      </c>
      <c r="N227" t="n">
        <v>3.4</v>
      </c>
      <c r="O227" t="n">
        <v>31.9</v>
      </c>
      <c r="P227" t="inlineStr">
        <is>
          <t>UPI</t>
        </is>
      </c>
      <c r="Q227" t="inlineStr">
        <is>
          <t>Delivered</t>
        </is>
      </c>
      <c r="R227" t="n">
        <v>4</v>
      </c>
    </row>
    <row r="228">
      <c r="A228" t="inlineStr">
        <is>
          <t>ORD1227</t>
        </is>
      </c>
      <c r="B228" t="inlineStr">
        <is>
          <t>2025-01-30</t>
        </is>
      </c>
      <c r="C228" t="inlineStr">
        <is>
          <t>12:15:05</t>
        </is>
      </c>
      <c r="D228" t="n">
        <v>1266</v>
      </c>
      <c r="E228" t="n">
        <v>107</v>
      </c>
      <c r="F228" t="n">
        <v>222</v>
      </c>
      <c r="G228" t="inlineStr">
        <is>
          <t>Mumbai</t>
        </is>
      </c>
      <c r="H228" t="inlineStr">
        <is>
          <t>Desserts</t>
        </is>
      </c>
      <c r="I228" t="n">
        <v>664</v>
      </c>
      <c r="J228" t="n">
        <v>38.59</v>
      </c>
      <c r="K228" t="n">
        <v>25</v>
      </c>
      <c r="L228" t="n">
        <v>0.25</v>
      </c>
      <c r="M228" t="n">
        <v>172.25</v>
      </c>
      <c r="N228" t="n">
        <v>1.7</v>
      </c>
      <c r="O228" t="n">
        <v>25.6</v>
      </c>
      <c r="P228" t="inlineStr">
        <is>
          <t>UPI</t>
        </is>
      </c>
      <c r="Q228" t="inlineStr">
        <is>
          <t>Delivered</t>
        </is>
      </c>
      <c r="R228" t="n">
        <v>4</v>
      </c>
    </row>
    <row r="229">
      <c r="A229" t="inlineStr">
        <is>
          <t>ORD1228</t>
        </is>
      </c>
      <c r="B229" t="inlineStr">
        <is>
          <t>2025-01-07</t>
        </is>
      </c>
      <c r="C229" t="inlineStr">
        <is>
          <t>09:45:08</t>
        </is>
      </c>
      <c r="D229" t="n">
        <v>1083</v>
      </c>
      <c r="E229" t="n">
        <v>112</v>
      </c>
      <c r="F229" t="n">
        <v>230</v>
      </c>
      <c r="G229" t="inlineStr">
        <is>
          <t>Delhi NCR</t>
        </is>
      </c>
      <c r="H229" t="inlineStr">
        <is>
          <t>North Indian</t>
        </is>
      </c>
      <c r="I229" t="n">
        <v>938</v>
      </c>
      <c r="J229" t="n">
        <v>0</v>
      </c>
      <c r="K229" t="n">
        <v>40</v>
      </c>
      <c r="L229" t="n">
        <v>0.22</v>
      </c>
      <c r="M229" t="n">
        <v>216.36</v>
      </c>
      <c r="N229" t="n">
        <v>6</v>
      </c>
      <c r="O229" t="n">
        <v>39.7</v>
      </c>
      <c r="P229" t="inlineStr">
        <is>
          <t>Debit Card</t>
        </is>
      </c>
      <c r="Q229" t="inlineStr">
        <is>
          <t>Delivered</t>
        </is>
      </c>
      <c r="R229" t="n">
        <v>2</v>
      </c>
    </row>
    <row r="230">
      <c r="A230" t="inlineStr">
        <is>
          <t>ORD1229</t>
        </is>
      </c>
      <c r="B230" t="inlineStr">
        <is>
          <t>2025-03-06</t>
        </is>
      </c>
      <c r="C230" t="inlineStr">
        <is>
          <t>21:47:49</t>
        </is>
      </c>
      <c r="D230" t="n">
        <v>1017</v>
      </c>
      <c r="E230" t="n">
        <v>117</v>
      </c>
      <c r="F230" t="n">
        <v>229</v>
      </c>
      <c r="G230" t="inlineStr">
        <is>
          <t>Mumbai</t>
        </is>
      </c>
      <c r="H230" t="inlineStr">
        <is>
          <t>Chinese</t>
        </is>
      </c>
      <c r="I230" t="n">
        <v>495</v>
      </c>
      <c r="J230" t="n">
        <v>4.68</v>
      </c>
      <c r="K230" t="n">
        <v>32.5</v>
      </c>
      <c r="L230" t="n">
        <v>0.2</v>
      </c>
      <c r="M230" t="n">
        <v>107.12</v>
      </c>
      <c r="N230" t="n">
        <v>4.5</v>
      </c>
      <c r="O230" t="n">
        <v>40.1</v>
      </c>
      <c r="P230" t="inlineStr">
        <is>
          <t>Debit Card</t>
        </is>
      </c>
      <c r="Q230" t="inlineStr">
        <is>
          <t>Delivered</t>
        </is>
      </c>
      <c r="R230" t="n">
        <v>3</v>
      </c>
    </row>
    <row r="231">
      <c r="A231" t="inlineStr">
        <is>
          <t>ORD1230</t>
        </is>
      </c>
      <c r="B231" t="inlineStr">
        <is>
          <t>2025-05-15</t>
        </is>
      </c>
      <c r="C231" t="inlineStr">
        <is>
          <t>22:45:36</t>
        </is>
      </c>
      <c r="D231" t="n">
        <v>1007</v>
      </c>
      <c r="E231" t="n">
        <v>115</v>
      </c>
      <c r="F231" t="n">
        <v>223</v>
      </c>
      <c r="G231" t="inlineStr">
        <is>
          <t>Bangalore</t>
        </is>
      </c>
      <c r="H231" t="inlineStr">
        <is>
          <t>Italian</t>
        </is>
      </c>
      <c r="I231" t="n">
        <v>862</v>
      </c>
      <c r="J231" t="n">
        <v>0</v>
      </c>
      <c r="K231" t="n">
        <v>25</v>
      </c>
      <c r="L231" t="n">
        <v>0.2</v>
      </c>
      <c r="M231" t="n">
        <v>178.65</v>
      </c>
      <c r="N231" t="n">
        <v>2.7</v>
      </c>
      <c r="O231" t="n">
        <v>26</v>
      </c>
      <c r="P231" t="inlineStr">
        <is>
          <t>Debit Card</t>
        </is>
      </c>
      <c r="Q231" t="inlineStr">
        <is>
          <t>Delivered</t>
        </is>
      </c>
      <c r="R231" t="n">
        <v>4</v>
      </c>
    </row>
    <row r="232">
      <c r="A232" t="inlineStr">
        <is>
          <t>ORD1231</t>
        </is>
      </c>
      <c r="B232" t="inlineStr">
        <is>
          <t>2025-10-18</t>
        </is>
      </c>
      <c r="C232" t="inlineStr">
        <is>
          <t>08:10:23</t>
        </is>
      </c>
      <c r="D232" t="n">
        <v>1066</v>
      </c>
      <c r="E232" t="n">
        <v>106</v>
      </c>
      <c r="F232" t="n">
        <v>214</v>
      </c>
      <c r="G232" t="inlineStr">
        <is>
          <t>Pune</t>
        </is>
      </c>
      <c r="H232" t="inlineStr">
        <is>
          <t>South Indian</t>
        </is>
      </c>
      <c r="I232" t="n">
        <v>381</v>
      </c>
      <c r="J232" t="n">
        <v>0</v>
      </c>
      <c r="K232" t="n">
        <v>42.5</v>
      </c>
      <c r="L232" t="n">
        <v>0.15</v>
      </c>
      <c r="M232" t="n">
        <v>67.78</v>
      </c>
      <c r="N232" t="n">
        <v>6.5</v>
      </c>
      <c r="O232" t="n">
        <v>33.7</v>
      </c>
      <c r="P232" t="inlineStr">
        <is>
          <t>Digital Wallet</t>
        </is>
      </c>
      <c r="Q232" t="inlineStr">
        <is>
          <t>Delivered</t>
        </is>
      </c>
      <c r="R232" t="n">
        <v>5</v>
      </c>
    </row>
    <row r="233">
      <c r="A233" t="inlineStr">
        <is>
          <t>ORD1232</t>
        </is>
      </c>
      <c r="B233" t="inlineStr">
        <is>
          <t>2025-01-23</t>
        </is>
      </c>
      <c r="C233" t="inlineStr">
        <is>
          <t>12:54:55</t>
        </is>
      </c>
      <c r="D233" t="n">
        <v>1003</v>
      </c>
      <c r="E233" t="n">
        <v>116</v>
      </c>
      <c r="F233" t="n">
        <v>208</v>
      </c>
      <c r="G233" t="inlineStr">
        <is>
          <t>Pune</t>
        </is>
      </c>
      <c r="H233" t="inlineStr">
        <is>
          <t>Desserts</t>
        </is>
      </c>
      <c r="I233" t="n">
        <v>232</v>
      </c>
      <c r="J233" t="n">
        <v>15.57</v>
      </c>
      <c r="K233" t="n">
        <v>31.5</v>
      </c>
      <c r="L233" t="n">
        <v>0.25</v>
      </c>
      <c r="M233" t="n">
        <v>65.88</v>
      </c>
      <c r="N233" t="n">
        <v>4.3</v>
      </c>
      <c r="O233" t="n">
        <v>41.6</v>
      </c>
      <c r="P233" t="inlineStr">
        <is>
          <t>Cash on Delivery</t>
        </is>
      </c>
      <c r="Q233" t="inlineStr">
        <is>
          <t>Delivered</t>
        </is>
      </c>
      <c r="R233" t="n">
        <v>4</v>
      </c>
    </row>
    <row r="234">
      <c r="A234" t="inlineStr">
        <is>
          <t>ORD1233</t>
        </is>
      </c>
      <c r="B234" t="inlineStr">
        <is>
          <t>2025-01-19</t>
        </is>
      </c>
      <c r="C234" t="inlineStr">
        <is>
          <t>20:35:51</t>
        </is>
      </c>
      <c r="D234" t="n">
        <v>1247</v>
      </c>
      <c r="E234" t="n">
        <v>101</v>
      </c>
      <c r="F234" t="n">
        <v>218</v>
      </c>
      <c r="G234" t="inlineStr">
        <is>
          <t>Bangalore</t>
        </is>
      </c>
      <c r="H234" t="inlineStr">
        <is>
          <t>North Indian</t>
        </is>
      </c>
      <c r="I234" t="n">
        <v>891</v>
      </c>
      <c r="J234" t="n">
        <v>0</v>
      </c>
      <c r="K234" t="n">
        <v>25</v>
      </c>
      <c r="L234" t="n">
        <v>0.2</v>
      </c>
      <c r="M234" t="n">
        <v>184.45</v>
      </c>
      <c r="N234" t="n">
        <v>1.9</v>
      </c>
      <c r="O234" t="n">
        <v>22.5</v>
      </c>
      <c r="P234" t="inlineStr">
        <is>
          <t>Cash on Delivery</t>
        </is>
      </c>
      <c r="Q234" t="inlineStr">
        <is>
          <t>Delivered</t>
        </is>
      </c>
      <c r="R234" t="n">
        <v>4</v>
      </c>
    </row>
    <row r="235">
      <c r="A235" t="inlineStr">
        <is>
          <t>ORD1234</t>
        </is>
      </c>
      <c r="B235" t="inlineStr">
        <is>
          <t>2025-10-20</t>
        </is>
      </c>
      <c r="C235" t="inlineStr">
        <is>
          <t>00:23:07</t>
        </is>
      </c>
      <c r="D235" t="n">
        <v>1072</v>
      </c>
      <c r="E235" t="n">
        <v>120</v>
      </c>
      <c r="F235" t="n">
        <v>204</v>
      </c>
      <c r="G235" t="inlineStr">
        <is>
          <t>Pune</t>
        </is>
      </c>
      <c r="H235" t="inlineStr">
        <is>
          <t>Fast Food</t>
        </is>
      </c>
      <c r="I235" t="n">
        <v>734</v>
      </c>
      <c r="J235" t="n">
        <v>3.09</v>
      </c>
      <c r="K235" t="n">
        <v>34</v>
      </c>
      <c r="L235" t="n">
        <v>0.18</v>
      </c>
      <c r="M235" t="n">
        <v>140.62</v>
      </c>
      <c r="N235" t="n">
        <v>4.8</v>
      </c>
      <c r="O235" t="n">
        <v>28.5</v>
      </c>
      <c r="P235" t="inlineStr">
        <is>
          <t>Digital Wallet</t>
        </is>
      </c>
      <c r="Q235" t="inlineStr">
        <is>
          <t>Delivered</t>
        </is>
      </c>
      <c r="R235" t="n">
        <v>4</v>
      </c>
    </row>
    <row r="236">
      <c r="A236" t="inlineStr">
        <is>
          <t>ORD1235</t>
        </is>
      </c>
      <c r="B236" t="inlineStr">
        <is>
          <t>2025-02-05</t>
        </is>
      </c>
      <c r="C236" t="inlineStr">
        <is>
          <t>14:56:29</t>
        </is>
      </c>
      <c r="D236" t="n">
        <v>1105</v>
      </c>
      <c r="E236" t="n">
        <v>101</v>
      </c>
      <c r="F236" t="n">
        <v>213</v>
      </c>
      <c r="G236" t="inlineStr">
        <is>
          <t>Bangalore</t>
        </is>
      </c>
      <c r="H236" t="inlineStr">
        <is>
          <t>North Indian</t>
        </is>
      </c>
      <c r="I236" t="n">
        <v>807</v>
      </c>
      <c r="J236" t="n">
        <v>148.88</v>
      </c>
      <c r="K236" t="n">
        <v>0</v>
      </c>
      <c r="L236" t="n">
        <v>0.2</v>
      </c>
      <c r="M236" t="n">
        <v>161.4</v>
      </c>
      <c r="N236" t="n">
        <v>5.5</v>
      </c>
      <c r="O236" t="n">
        <v>38.3</v>
      </c>
      <c r="P236" t="inlineStr">
        <is>
          <t>Digital Wallet</t>
        </is>
      </c>
      <c r="Q236" t="inlineStr">
        <is>
          <t>Delivered</t>
        </is>
      </c>
      <c r="R236" t="n">
        <v>5</v>
      </c>
    </row>
    <row r="237">
      <c r="A237" t="inlineStr">
        <is>
          <t>ORD1236</t>
        </is>
      </c>
      <c r="B237" t="inlineStr">
        <is>
          <t>2025-04-13</t>
        </is>
      </c>
      <c r="C237" t="inlineStr">
        <is>
          <t>12:18:36</t>
        </is>
      </c>
      <c r="D237" t="n">
        <v>1297</v>
      </c>
      <c r="E237" t="n">
        <v>119</v>
      </c>
      <c r="F237" t="n">
        <v>215</v>
      </c>
      <c r="G237" t="inlineStr">
        <is>
          <t>Hyderabad</t>
        </is>
      </c>
      <c r="H237" t="inlineStr">
        <is>
          <t>Biryani</t>
        </is>
      </c>
      <c r="I237" t="n">
        <v>531</v>
      </c>
      <c r="J237" t="n">
        <v>54.04</v>
      </c>
      <c r="K237" t="n">
        <v>32</v>
      </c>
      <c r="L237" t="n">
        <v>0.2</v>
      </c>
      <c r="M237" t="n">
        <v>114.2</v>
      </c>
      <c r="N237" t="n">
        <v>4.4</v>
      </c>
      <c r="O237" t="n">
        <v>42.8</v>
      </c>
      <c r="P237" t="inlineStr">
        <is>
          <t>Debit Card</t>
        </is>
      </c>
      <c r="Q237" t="inlineStr">
        <is>
          <t>Delivered</t>
        </is>
      </c>
      <c r="R237" t="n">
        <v>3</v>
      </c>
    </row>
    <row r="238">
      <c r="A238" t="inlineStr">
        <is>
          <t>ORD1237</t>
        </is>
      </c>
      <c r="B238" t="inlineStr">
        <is>
          <t>2025-03-19</t>
        </is>
      </c>
      <c r="C238" t="inlineStr">
        <is>
          <t>10:00:59</t>
        </is>
      </c>
      <c r="D238" t="n">
        <v>1021</v>
      </c>
      <c r="E238" t="n">
        <v>116</v>
      </c>
      <c r="F238" t="n">
        <v>207</v>
      </c>
      <c r="G238" t="inlineStr">
        <is>
          <t>Pune</t>
        </is>
      </c>
      <c r="H238" t="inlineStr">
        <is>
          <t>Desserts</t>
        </is>
      </c>
      <c r="I238" t="n">
        <v>639</v>
      </c>
      <c r="J238" t="n">
        <v>33.02</v>
      </c>
      <c r="K238" t="n">
        <v>32</v>
      </c>
      <c r="L238" t="n">
        <v>0.25</v>
      </c>
      <c r="M238" t="n">
        <v>167.75</v>
      </c>
      <c r="N238" t="n">
        <v>4.4</v>
      </c>
      <c r="O238" t="n">
        <v>32.3</v>
      </c>
      <c r="P238" t="inlineStr">
        <is>
          <t>UPI</t>
        </is>
      </c>
      <c r="Q238" t="inlineStr">
        <is>
          <t>Delivered</t>
        </is>
      </c>
      <c r="R238" t="n">
        <v>5</v>
      </c>
    </row>
    <row r="239">
      <c r="A239" t="inlineStr">
        <is>
          <t>ORD1238</t>
        </is>
      </c>
      <c r="B239" t="inlineStr">
        <is>
          <t>2025-06-07</t>
        </is>
      </c>
      <c r="C239" t="inlineStr">
        <is>
          <t>19:06:13</t>
        </is>
      </c>
      <c r="D239" t="n">
        <v>1021</v>
      </c>
      <c r="E239" t="n">
        <v>116</v>
      </c>
      <c r="F239" t="n">
        <v>207</v>
      </c>
      <c r="G239" t="inlineStr">
        <is>
          <t>Pune</t>
        </is>
      </c>
      <c r="H239" t="inlineStr">
        <is>
          <t>Desserts</t>
        </is>
      </c>
      <c r="I239" t="n">
        <v>762</v>
      </c>
      <c r="J239" t="n">
        <v>90.54000000000001</v>
      </c>
      <c r="K239" t="n">
        <v>46</v>
      </c>
      <c r="L239" t="n">
        <v>0.25</v>
      </c>
      <c r="M239" t="n">
        <v>202</v>
      </c>
      <c r="N239" t="n">
        <v>7.2</v>
      </c>
      <c r="O239" t="n">
        <v>46.6</v>
      </c>
      <c r="P239" t="inlineStr">
        <is>
          <t>UPI</t>
        </is>
      </c>
      <c r="Q239" t="inlineStr">
        <is>
          <t>Delivered</t>
        </is>
      </c>
      <c r="R239" t="n">
        <v>3</v>
      </c>
    </row>
    <row r="240">
      <c r="A240" t="inlineStr">
        <is>
          <t>ORD1239</t>
        </is>
      </c>
      <c r="B240" t="inlineStr">
        <is>
          <t>2025-02-17</t>
        </is>
      </c>
      <c r="C240" t="inlineStr">
        <is>
          <t>16:02:58</t>
        </is>
      </c>
      <c r="D240" t="n">
        <v>1269</v>
      </c>
      <c r="E240" t="n">
        <v>103</v>
      </c>
      <c r="F240" t="n">
        <v>202</v>
      </c>
      <c r="G240" t="inlineStr">
        <is>
          <t>Mumbai</t>
        </is>
      </c>
      <c r="H240" t="inlineStr">
        <is>
          <t>Italian</t>
        </is>
      </c>
      <c r="I240" t="n">
        <v>457</v>
      </c>
      <c r="J240" t="n">
        <v>19</v>
      </c>
      <c r="K240" t="n">
        <v>44</v>
      </c>
      <c r="L240" t="n">
        <v>0.18</v>
      </c>
      <c r="M240" t="n">
        <v>93.26000000000001</v>
      </c>
      <c r="N240" t="n">
        <v>6.8</v>
      </c>
      <c r="O240" t="n">
        <v>51.3</v>
      </c>
      <c r="P240" t="inlineStr">
        <is>
          <t>Debit Card</t>
        </is>
      </c>
      <c r="Q240" t="inlineStr">
        <is>
          <t>Delivered</t>
        </is>
      </c>
      <c r="R240" t="n">
        <v>1</v>
      </c>
    </row>
    <row r="241">
      <c r="A241" t="inlineStr">
        <is>
          <t>ORD1240</t>
        </is>
      </c>
      <c r="B241" t="inlineStr">
        <is>
          <t>2025-09-16</t>
        </is>
      </c>
      <c r="C241" t="inlineStr">
        <is>
          <t>21:08:40</t>
        </is>
      </c>
      <c r="D241" t="n">
        <v>1066</v>
      </c>
      <c r="E241" t="n">
        <v>106</v>
      </c>
      <c r="F241" t="n">
        <v>204</v>
      </c>
      <c r="G241" t="inlineStr">
        <is>
          <t>Pune</t>
        </is>
      </c>
      <c r="H241" t="inlineStr">
        <is>
          <t>South Indian</t>
        </is>
      </c>
      <c r="I241" t="n">
        <v>623</v>
      </c>
      <c r="J241" t="n">
        <v>0</v>
      </c>
      <c r="K241" t="n">
        <v>34.5</v>
      </c>
      <c r="L241" t="n">
        <v>0.15</v>
      </c>
      <c r="M241" t="n">
        <v>102.08</v>
      </c>
      <c r="N241" t="n">
        <v>4.9</v>
      </c>
      <c r="O241" t="n">
        <v>52</v>
      </c>
      <c r="P241" t="inlineStr">
        <is>
          <t>Cash on Delivery</t>
        </is>
      </c>
      <c r="Q241" t="inlineStr">
        <is>
          <t>Delivered</t>
        </is>
      </c>
      <c r="R241" t="n">
        <v>1</v>
      </c>
    </row>
    <row r="242">
      <c r="A242" t="inlineStr">
        <is>
          <t>ORD1241</t>
        </is>
      </c>
      <c r="B242" t="inlineStr">
        <is>
          <t>2025-05-14</t>
        </is>
      </c>
      <c r="C242" t="inlineStr">
        <is>
          <t>14:54:20</t>
        </is>
      </c>
      <c r="D242" t="n">
        <v>1068</v>
      </c>
      <c r="E242" t="n">
        <v>120</v>
      </c>
      <c r="F242" t="n">
        <v>209</v>
      </c>
      <c r="G242" t="inlineStr">
        <is>
          <t>Pune</t>
        </is>
      </c>
      <c r="H242" t="inlineStr">
        <is>
          <t>Fast Food</t>
        </is>
      </c>
      <c r="I242" t="n">
        <v>622</v>
      </c>
      <c r="J242" t="n">
        <v>61.61</v>
      </c>
      <c r="K242" t="n">
        <v>25</v>
      </c>
      <c r="L242" t="n">
        <v>0.18</v>
      </c>
      <c r="M242" t="n">
        <v>118.21</v>
      </c>
      <c r="N242" t="n">
        <v>1.6</v>
      </c>
      <c r="O242" t="n">
        <v>26.1</v>
      </c>
      <c r="P242" t="inlineStr">
        <is>
          <t>Debit Card</t>
        </is>
      </c>
      <c r="Q242" t="inlineStr">
        <is>
          <t>Delivered</t>
        </is>
      </c>
      <c r="R242" t="n">
        <v>3</v>
      </c>
    </row>
    <row r="243">
      <c r="A243" t="inlineStr">
        <is>
          <t>ORD1242</t>
        </is>
      </c>
      <c r="B243" t="inlineStr">
        <is>
          <t>2025-02-08</t>
        </is>
      </c>
      <c r="C243" t="inlineStr">
        <is>
          <t>21:12:08</t>
        </is>
      </c>
      <c r="D243" t="n">
        <v>1041</v>
      </c>
      <c r="E243" t="n">
        <v>109</v>
      </c>
      <c r="F243" t="n">
        <v>215</v>
      </c>
      <c r="G243" t="inlineStr">
        <is>
          <t>Hyderabad</t>
        </is>
      </c>
      <c r="H243" t="inlineStr">
        <is>
          <t>Biryani</t>
        </is>
      </c>
      <c r="I243" t="n">
        <v>818</v>
      </c>
      <c r="J243" t="n">
        <v>0</v>
      </c>
      <c r="K243" t="n">
        <v>32.5</v>
      </c>
      <c r="L243" t="n">
        <v>0.2</v>
      </c>
      <c r="M243" t="n">
        <v>171.73</v>
      </c>
      <c r="N243" t="n">
        <v>4.5</v>
      </c>
      <c r="O243" t="n">
        <v>31.5</v>
      </c>
      <c r="P243" t="inlineStr">
        <is>
          <t>Cash on Delivery</t>
        </is>
      </c>
      <c r="Q243" t="inlineStr">
        <is>
          <t>Delivered</t>
        </is>
      </c>
      <c r="R243" t="n">
        <v>4</v>
      </c>
    </row>
    <row r="244">
      <c r="A244" t="inlineStr">
        <is>
          <t>ORD1243</t>
        </is>
      </c>
      <c r="B244" t="inlineStr">
        <is>
          <t>2025-03-03</t>
        </is>
      </c>
      <c r="C244" t="inlineStr">
        <is>
          <t>12:34:22</t>
        </is>
      </c>
      <c r="D244" t="n">
        <v>1051</v>
      </c>
      <c r="E244" t="n">
        <v>102</v>
      </c>
      <c r="F244" t="n">
        <v>216</v>
      </c>
      <c r="G244" t="inlineStr">
        <is>
          <t>Hyderabad</t>
        </is>
      </c>
      <c r="H244" t="inlineStr">
        <is>
          <t>Biryani</t>
        </is>
      </c>
      <c r="I244" t="n">
        <v>647</v>
      </c>
      <c r="J244" t="n">
        <v>84.65000000000001</v>
      </c>
      <c r="K244" t="n">
        <v>0</v>
      </c>
      <c r="L244" t="n">
        <v>0.22</v>
      </c>
      <c r="M244" t="n">
        <v>142.34</v>
      </c>
      <c r="N244" t="n">
        <v>4.6</v>
      </c>
      <c r="O244" t="n">
        <v>42.2</v>
      </c>
      <c r="P244" t="inlineStr">
        <is>
          <t>UPI</t>
        </is>
      </c>
      <c r="Q244" t="inlineStr">
        <is>
          <t>Delivered</t>
        </is>
      </c>
      <c r="R244" t="n">
        <v>2</v>
      </c>
    </row>
    <row r="245">
      <c r="A245" t="inlineStr">
        <is>
          <t>ORD1244</t>
        </is>
      </c>
      <c r="B245" t="inlineStr">
        <is>
          <t>2025-12-18</t>
        </is>
      </c>
      <c r="C245" t="inlineStr">
        <is>
          <t>08:19:52</t>
        </is>
      </c>
      <c r="D245" t="n">
        <v>1019</v>
      </c>
      <c r="E245" t="n">
        <v>110</v>
      </c>
      <c r="F245" t="n">
        <v>224</v>
      </c>
      <c r="G245" t="inlineStr">
        <is>
          <t>Pune</t>
        </is>
      </c>
      <c r="H245" t="inlineStr">
        <is>
          <t>North Indian</t>
        </is>
      </c>
      <c r="I245" t="n">
        <v>941</v>
      </c>
      <c r="J245" t="n">
        <v>3.04</v>
      </c>
      <c r="K245" t="n">
        <v>37</v>
      </c>
      <c r="L245" t="n">
        <v>0.18</v>
      </c>
      <c r="M245" t="n">
        <v>178.63</v>
      </c>
      <c r="N245" t="n">
        <v>5.4</v>
      </c>
      <c r="O245" t="n">
        <v>39.3</v>
      </c>
      <c r="P245" t="inlineStr">
        <is>
          <t>Debit Card</t>
        </is>
      </c>
      <c r="Q245" t="inlineStr">
        <is>
          <t>Delivered</t>
        </is>
      </c>
      <c r="R245" t="n">
        <v>5</v>
      </c>
    </row>
    <row r="246">
      <c r="A246" t="inlineStr">
        <is>
          <t>ORD1245</t>
        </is>
      </c>
      <c r="B246" t="inlineStr">
        <is>
          <t>2025-12-31</t>
        </is>
      </c>
      <c r="C246" t="inlineStr">
        <is>
          <t>19:15:22</t>
        </is>
      </c>
      <c r="D246" t="n">
        <v>1288</v>
      </c>
      <c r="E246" t="n">
        <v>110</v>
      </c>
      <c r="F246" t="n">
        <v>209</v>
      </c>
      <c r="G246" t="inlineStr">
        <is>
          <t>Pune</t>
        </is>
      </c>
      <c r="H246" t="inlineStr">
        <is>
          <t>North Indian</t>
        </is>
      </c>
      <c r="I246" t="n">
        <v>625</v>
      </c>
      <c r="J246" t="n">
        <v>33.86</v>
      </c>
      <c r="K246" t="n">
        <v>25</v>
      </c>
      <c r="L246" t="n">
        <v>0.18</v>
      </c>
      <c r="M246" t="n">
        <v>118.75</v>
      </c>
      <c r="N246" t="n">
        <v>2.5</v>
      </c>
      <c r="O246" t="n">
        <v>27.3</v>
      </c>
      <c r="P246" t="inlineStr">
        <is>
          <t>Credit Card</t>
        </is>
      </c>
      <c r="Q246" t="inlineStr">
        <is>
          <t>Delivered</t>
        </is>
      </c>
      <c r="R246" t="n">
        <v>3</v>
      </c>
    </row>
    <row r="247">
      <c r="A247" t="inlineStr">
        <is>
          <t>ORD1246</t>
        </is>
      </c>
      <c r="B247" t="inlineStr">
        <is>
          <t>2025-08-20</t>
        </is>
      </c>
      <c r="C247" t="inlineStr">
        <is>
          <t>19:35:47</t>
        </is>
      </c>
      <c r="D247" t="n">
        <v>1094</v>
      </c>
      <c r="E247" t="n">
        <v>118</v>
      </c>
      <c r="F247" t="n">
        <v>212</v>
      </c>
      <c r="G247" t="inlineStr">
        <is>
          <t>Delhi NCR</t>
        </is>
      </c>
      <c r="H247" t="inlineStr">
        <is>
          <t>North Indian</t>
        </is>
      </c>
      <c r="I247" t="n">
        <v>783</v>
      </c>
      <c r="J247" t="n">
        <v>0</v>
      </c>
      <c r="K247" t="n">
        <v>39</v>
      </c>
      <c r="L247" t="n">
        <v>0.2</v>
      </c>
      <c r="M247" t="n">
        <v>166.35</v>
      </c>
      <c r="N247" t="n">
        <v>5.8</v>
      </c>
      <c r="O247" t="n">
        <v>40.7</v>
      </c>
      <c r="P247" t="inlineStr">
        <is>
          <t>Credit Card</t>
        </is>
      </c>
      <c r="Q247" t="inlineStr">
        <is>
          <t>Delivered</t>
        </is>
      </c>
      <c r="R247" t="n">
        <v>3</v>
      </c>
    </row>
    <row r="248">
      <c r="A248" t="inlineStr">
        <is>
          <t>ORD1247</t>
        </is>
      </c>
      <c r="B248" t="inlineStr">
        <is>
          <t>2025-02-01</t>
        </is>
      </c>
      <c r="C248" t="inlineStr">
        <is>
          <t>14:53:49</t>
        </is>
      </c>
      <c r="D248" t="n">
        <v>1102</v>
      </c>
      <c r="E248" t="n">
        <v>107</v>
      </c>
      <c r="F248" t="n">
        <v>222</v>
      </c>
      <c r="G248" t="inlineStr">
        <is>
          <t>Mumbai</t>
        </is>
      </c>
      <c r="H248" t="inlineStr">
        <is>
          <t>Desserts</t>
        </is>
      </c>
      <c r="I248" t="n">
        <v>447</v>
      </c>
      <c r="J248" t="n">
        <v>26.44</v>
      </c>
      <c r="K248" t="n">
        <v>25</v>
      </c>
      <c r="L248" t="n">
        <v>0.25</v>
      </c>
      <c r="M248" t="n">
        <v>118</v>
      </c>
      <c r="N248" t="n">
        <v>2.7</v>
      </c>
      <c r="O248" t="n">
        <v>30.5</v>
      </c>
      <c r="P248" t="inlineStr">
        <is>
          <t>Debit Card</t>
        </is>
      </c>
      <c r="Q248" t="inlineStr">
        <is>
          <t>Delivered</t>
        </is>
      </c>
      <c r="R248" t="n">
        <v>4</v>
      </c>
    </row>
    <row r="249">
      <c r="A249" t="inlineStr">
        <is>
          <t>ORD1248</t>
        </is>
      </c>
      <c r="B249" t="inlineStr">
        <is>
          <t>2025-01-12</t>
        </is>
      </c>
      <c r="C249" t="inlineStr">
        <is>
          <t>20:04:12</t>
        </is>
      </c>
      <c r="D249" t="n">
        <v>1093</v>
      </c>
      <c r="E249" t="n">
        <v>112</v>
      </c>
      <c r="F249" t="n">
        <v>211</v>
      </c>
      <c r="G249" t="inlineStr">
        <is>
          <t>Delhi NCR</t>
        </is>
      </c>
      <c r="H249" t="inlineStr">
        <is>
          <t>North Indian</t>
        </is>
      </c>
      <c r="I249" t="n">
        <v>881</v>
      </c>
      <c r="J249" t="n">
        <v>71.40000000000001</v>
      </c>
      <c r="K249" t="n">
        <v>25</v>
      </c>
      <c r="L249" t="n">
        <v>0.22</v>
      </c>
      <c r="M249" t="n">
        <v>200.07</v>
      </c>
      <c r="N249" t="n">
        <v>2.7</v>
      </c>
      <c r="O249" t="n">
        <v>32</v>
      </c>
      <c r="P249" t="inlineStr">
        <is>
          <t>Debit Card</t>
        </is>
      </c>
      <c r="Q249" t="inlineStr">
        <is>
          <t>Delivered</t>
        </is>
      </c>
      <c r="R249" t="n">
        <v>4</v>
      </c>
    </row>
    <row r="250">
      <c r="A250" t="inlineStr">
        <is>
          <t>ORD1249</t>
        </is>
      </c>
      <c r="B250" t="inlineStr">
        <is>
          <t>2025-08-25</t>
        </is>
      </c>
      <c r="C250" t="inlineStr">
        <is>
          <t>14:03:10</t>
        </is>
      </c>
      <c r="D250" t="n">
        <v>1101</v>
      </c>
      <c r="E250" t="n">
        <v>101</v>
      </c>
      <c r="F250" t="n">
        <v>227</v>
      </c>
      <c r="G250" t="inlineStr">
        <is>
          <t>Bangalore</t>
        </is>
      </c>
      <c r="H250" t="inlineStr">
        <is>
          <t>North Indian</t>
        </is>
      </c>
      <c r="I250" t="n">
        <v>807</v>
      </c>
      <c r="J250" t="n">
        <v>0</v>
      </c>
      <c r="K250" t="n">
        <v>30.5</v>
      </c>
      <c r="L250" t="n">
        <v>0.2</v>
      </c>
      <c r="M250" t="n">
        <v>169.02</v>
      </c>
      <c r="N250" t="n">
        <v>4.1</v>
      </c>
      <c r="O250" t="n">
        <v>40.3</v>
      </c>
      <c r="P250" t="inlineStr">
        <is>
          <t>Cash on Delivery</t>
        </is>
      </c>
      <c r="Q250" t="inlineStr">
        <is>
          <t>Delivered</t>
        </is>
      </c>
      <c r="R250" t="n">
        <v>3</v>
      </c>
    </row>
    <row r="251">
      <c r="A251" t="inlineStr">
        <is>
          <t>ORD1250</t>
        </is>
      </c>
      <c r="B251" t="inlineStr">
        <is>
          <t>2025-12-16</t>
        </is>
      </c>
      <c r="C251" t="inlineStr">
        <is>
          <t>07:27:11</t>
        </is>
      </c>
      <c r="D251" t="n">
        <v>1166</v>
      </c>
      <c r="E251" t="n">
        <v>111</v>
      </c>
      <c r="F251" t="n">
        <v>203</v>
      </c>
      <c r="G251" t="inlineStr">
        <is>
          <t>Bangalore</t>
        </is>
      </c>
      <c r="H251" t="inlineStr">
        <is>
          <t>South Indian</t>
        </is>
      </c>
      <c r="I251" t="n">
        <v>582</v>
      </c>
      <c r="J251" t="n">
        <v>37.85</v>
      </c>
      <c r="K251" t="n">
        <v>29.5</v>
      </c>
      <c r="L251" t="n">
        <v>0.15</v>
      </c>
      <c r="M251" t="n">
        <v>94.68000000000001</v>
      </c>
      <c r="N251" t="n">
        <v>3.9</v>
      </c>
      <c r="O251" t="n">
        <v>25.9</v>
      </c>
      <c r="P251" t="inlineStr">
        <is>
          <t>Debit Card</t>
        </is>
      </c>
      <c r="Q251" t="inlineStr">
        <is>
          <t>Delivered</t>
        </is>
      </c>
      <c r="R251" t="n">
        <v>5</v>
      </c>
    </row>
    <row r="252">
      <c r="A252" t="inlineStr">
        <is>
          <t>ORD1251</t>
        </is>
      </c>
      <c r="B252" t="inlineStr">
        <is>
          <t>2025-11-11</t>
        </is>
      </c>
      <c r="C252" t="inlineStr">
        <is>
          <t>22:39:39</t>
        </is>
      </c>
      <c r="D252" t="n">
        <v>1018</v>
      </c>
      <c r="E252" t="n">
        <v>112</v>
      </c>
      <c r="F252" t="n">
        <v>211</v>
      </c>
      <c r="G252" t="inlineStr">
        <is>
          <t>Delhi NCR</t>
        </is>
      </c>
      <c r="H252" t="inlineStr">
        <is>
          <t>North Indian</t>
        </is>
      </c>
      <c r="I252" t="n">
        <v>471</v>
      </c>
      <c r="J252" t="n">
        <v>18.8</v>
      </c>
      <c r="K252" t="n">
        <v>25</v>
      </c>
      <c r="L252" t="n">
        <v>0.22</v>
      </c>
      <c r="M252" t="n">
        <v>109.87</v>
      </c>
      <c r="N252" t="n">
        <v>2.4</v>
      </c>
      <c r="O252" t="n">
        <v>29.8</v>
      </c>
      <c r="P252" t="inlineStr">
        <is>
          <t>Cash on Delivery</t>
        </is>
      </c>
      <c r="Q252" t="inlineStr">
        <is>
          <t>Delivered</t>
        </is>
      </c>
      <c r="R252" t="n">
        <v>3</v>
      </c>
    </row>
    <row r="253">
      <c r="A253" t="inlineStr">
        <is>
          <t>ORD1252</t>
        </is>
      </c>
      <c r="B253" t="inlineStr">
        <is>
          <t>2025-05-24</t>
        </is>
      </c>
      <c r="C253" t="inlineStr">
        <is>
          <t>11:24:08</t>
        </is>
      </c>
      <c r="D253" t="n">
        <v>1179</v>
      </c>
      <c r="E253" t="n">
        <v>103</v>
      </c>
      <c r="F253" t="n">
        <v>229</v>
      </c>
      <c r="G253" t="inlineStr">
        <is>
          <t>Mumbai</t>
        </is>
      </c>
      <c r="H253" t="inlineStr">
        <is>
          <t>Italian</t>
        </is>
      </c>
      <c r="I253" t="n">
        <v>800</v>
      </c>
      <c r="J253" t="n">
        <v>131.41</v>
      </c>
      <c r="K253" t="n">
        <v>0</v>
      </c>
      <c r="L253" t="n">
        <v>0.18</v>
      </c>
      <c r="M253" t="n">
        <v>144</v>
      </c>
      <c r="N253" t="n">
        <v>4.1</v>
      </c>
      <c r="O253" t="n">
        <v>38.7</v>
      </c>
      <c r="P253" t="inlineStr">
        <is>
          <t>Credit Card</t>
        </is>
      </c>
      <c r="Q253" t="inlineStr">
        <is>
          <t>Delivered</t>
        </is>
      </c>
      <c r="R253" t="n">
        <v>5</v>
      </c>
    </row>
    <row r="254">
      <c r="A254" t="inlineStr">
        <is>
          <t>ORD1253</t>
        </is>
      </c>
      <c r="B254" t="inlineStr">
        <is>
          <t>2025-09-03</t>
        </is>
      </c>
      <c r="C254" t="inlineStr">
        <is>
          <t>08:34:50</t>
        </is>
      </c>
      <c r="D254" t="n">
        <v>1195</v>
      </c>
      <c r="E254" t="n">
        <v>107</v>
      </c>
      <c r="F254" t="n">
        <v>206</v>
      </c>
      <c r="G254" t="inlineStr">
        <is>
          <t>Mumbai</t>
        </is>
      </c>
      <c r="H254" t="inlineStr">
        <is>
          <t>Desserts</t>
        </is>
      </c>
      <c r="I254" t="n">
        <v>716</v>
      </c>
      <c r="J254" t="n">
        <v>0</v>
      </c>
      <c r="K254" t="n">
        <v>25.5</v>
      </c>
      <c r="L254" t="n">
        <v>0.25</v>
      </c>
      <c r="M254" t="n">
        <v>185.38</v>
      </c>
      <c r="N254" t="n">
        <v>3.1</v>
      </c>
      <c r="O254" t="n">
        <v>39.6</v>
      </c>
      <c r="P254" t="inlineStr">
        <is>
          <t>Debit Card</t>
        </is>
      </c>
      <c r="Q254" t="inlineStr">
        <is>
          <t>Delivered</t>
        </is>
      </c>
      <c r="R254" t="n">
        <v>4</v>
      </c>
    </row>
    <row r="255">
      <c r="A255" t="inlineStr">
        <is>
          <t>ORD1254</t>
        </is>
      </c>
      <c r="B255" t="inlineStr">
        <is>
          <t>2025-01-14</t>
        </is>
      </c>
      <c r="C255" t="inlineStr">
        <is>
          <t>14:20:38</t>
        </is>
      </c>
      <c r="D255" t="n">
        <v>1035</v>
      </c>
      <c r="E255" t="n">
        <v>105</v>
      </c>
      <c r="F255" t="n">
        <v>201</v>
      </c>
      <c r="G255" t="inlineStr">
        <is>
          <t>Bangalore</t>
        </is>
      </c>
      <c r="H255" t="inlineStr">
        <is>
          <t>Chinese</t>
        </is>
      </c>
      <c r="I255" t="n">
        <v>551</v>
      </c>
      <c r="J255" t="n">
        <v>104.46</v>
      </c>
      <c r="K255" t="n">
        <v>0</v>
      </c>
      <c r="L255" t="n">
        <v>0.2</v>
      </c>
      <c r="M255" t="n">
        <v>110.2</v>
      </c>
      <c r="N255" t="n">
        <v>4.5</v>
      </c>
      <c r="O255" t="n">
        <v>37.5</v>
      </c>
      <c r="P255" t="inlineStr">
        <is>
          <t>UPI</t>
        </is>
      </c>
      <c r="Q255" t="inlineStr">
        <is>
          <t>Delivered</t>
        </is>
      </c>
      <c r="R255" t="n">
        <v>4</v>
      </c>
    </row>
    <row r="256">
      <c r="A256" t="inlineStr">
        <is>
          <t>ORD1255</t>
        </is>
      </c>
      <c r="B256" t="inlineStr">
        <is>
          <t>2025-03-23</t>
        </is>
      </c>
      <c r="C256" t="inlineStr">
        <is>
          <t>07:06:15</t>
        </is>
      </c>
      <c r="D256" t="n">
        <v>1058</v>
      </c>
      <c r="E256" t="n">
        <v>103</v>
      </c>
      <c r="F256" t="n">
        <v>206</v>
      </c>
      <c r="G256" t="inlineStr">
        <is>
          <t>Mumbai</t>
        </is>
      </c>
      <c r="H256" t="inlineStr">
        <is>
          <t>Italian</t>
        </is>
      </c>
      <c r="I256" t="n">
        <v>892</v>
      </c>
      <c r="J256" t="n">
        <v>0</v>
      </c>
      <c r="K256" t="n">
        <v>25</v>
      </c>
      <c r="L256" t="n">
        <v>0.18</v>
      </c>
      <c r="M256" t="n">
        <v>166.81</v>
      </c>
      <c r="N256" t="n">
        <v>2.5</v>
      </c>
      <c r="O256" t="n">
        <v>31.7</v>
      </c>
      <c r="P256" t="inlineStr">
        <is>
          <t>UPI</t>
        </is>
      </c>
      <c r="Q256" t="inlineStr">
        <is>
          <t>Delivered</t>
        </is>
      </c>
      <c r="R256" t="n">
        <v>4</v>
      </c>
    </row>
    <row r="257">
      <c r="A257" t="inlineStr">
        <is>
          <t>ORD1256</t>
        </is>
      </c>
      <c r="B257" t="inlineStr">
        <is>
          <t>2025-07-01</t>
        </is>
      </c>
      <c r="C257" t="inlineStr">
        <is>
          <t>09:59:53</t>
        </is>
      </c>
      <c r="D257" t="n">
        <v>1261</v>
      </c>
      <c r="E257" t="n">
        <v>119</v>
      </c>
      <c r="F257" t="n">
        <v>215</v>
      </c>
      <c r="G257" t="inlineStr">
        <is>
          <t>Hyderabad</t>
        </is>
      </c>
      <c r="H257" t="inlineStr">
        <is>
          <t>Biryani</t>
        </is>
      </c>
      <c r="I257" t="n">
        <v>397</v>
      </c>
      <c r="J257" t="n">
        <v>24.74</v>
      </c>
      <c r="K257" t="n">
        <v>25</v>
      </c>
      <c r="L257" t="n">
        <v>0.2</v>
      </c>
      <c r="M257" t="n">
        <v>85.65000000000001</v>
      </c>
      <c r="N257" t="n">
        <v>2.7</v>
      </c>
      <c r="O257" t="n">
        <v>28.9</v>
      </c>
      <c r="P257" t="inlineStr">
        <is>
          <t>Debit Card</t>
        </is>
      </c>
      <c r="Q257" t="inlineStr">
        <is>
          <t>Delivered</t>
        </is>
      </c>
      <c r="R257" t="n">
        <v>5</v>
      </c>
    </row>
    <row r="258">
      <c r="A258" t="inlineStr">
        <is>
          <t>ORD1257</t>
        </is>
      </c>
      <c r="B258" t="inlineStr">
        <is>
          <t>2025-10-16</t>
        </is>
      </c>
      <c r="C258" t="inlineStr">
        <is>
          <t>19:12:53</t>
        </is>
      </c>
      <c r="D258" t="n">
        <v>1127</v>
      </c>
      <c r="E258" t="n">
        <v>104</v>
      </c>
      <c r="F258" t="n">
        <v>228</v>
      </c>
      <c r="G258" t="inlineStr">
        <is>
          <t>Delhi NCR</t>
        </is>
      </c>
      <c r="H258" t="inlineStr">
        <is>
          <t>Fast Food</t>
        </is>
      </c>
      <c r="I258" t="n">
        <v>724</v>
      </c>
      <c r="J258" t="n">
        <v>63.67</v>
      </c>
      <c r="K258" t="n">
        <v>25</v>
      </c>
      <c r="L258" t="n">
        <v>0.18</v>
      </c>
      <c r="M258" t="n">
        <v>136.57</v>
      </c>
      <c r="N258" t="n">
        <v>2.5</v>
      </c>
      <c r="O258" t="n">
        <v/>
      </c>
      <c r="P258" t="inlineStr">
        <is>
          <t>UPI</t>
        </is>
      </c>
      <c r="Q258" t="inlineStr">
        <is>
          <t>Cancelled</t>
        </is>
      </c>
      <c r="R258" t="n">
        <v/>
      </c>
    </row>
    <row r="259">
      <c r="A259" t="inlineStr">
        <is>
          <t>ORD1258</t>
        </is>
      </c>
      <c r="B259" t="inlineStr">
        <is>
          <t>2025-04-30</t>
        </is>
      </c>
      <c r="C259" t="inlineStr">
        <is>
          <t>21:38:14</t>
        </is>
      </c>
      <c r="D259" t="n">
        <v>1217</v>
      </c>
      <c r="E259" t="n">
        <v>114</v>
      </c>
      <c r="F259" t="n">
        <v>225</v>
      </c>
      <c r="G259" t="inlineStr">
        <is>
          <t>Hyderabad</t>
        </is>
      </c>
      <c r="H259" t="inlineStr">
        <is>
          <t>Biryani</t>
        </is>
      </c>
      <c r="I259" t="n">
        <v>240</v>
      </c>
      <c r="J259" t="n">
        <v>0.01</v>
      </c>
      <c r="K259" t="n">
        <v>37.5</v>
      </c>
      <c r="L259" t="n">
        <v>0.22</v>
      </c>
      <c r="M259" t="n">
        <v>62.18</v>
      </c>
      <c r="N259" t="n">
        <v>5.5</v>
      </c>
      <c r="O259" t="n">
        <v>42.8</v>
      </c>
      <c r="P259" t="inlineStr">
        <is>
          <t>Credit Card</t>
        </is>
      </c>
      <c r="Q259" t="inlineStr">
        <is>
          <t>Delivered</t>
        </is>
      </c>
      <c r="R259" t="n">
        <v>3</v>
      </c>
    </row>
    <row r="260">
      <c r="A260" t="inlineStr">
        <is>
          <t>ORD1259</t>
        </is>
      </c>
      <c r="B260" t="inlineStr">
        <is>
          <t>2025-04-01</t>
        </is>
      </c>
      <c r="C260" t="inlineStr">
        <is>
          <t>14:58:51</t>
        </is>
      </c>
      <c r="D260" t="n">
        <v>1070</v>
      </c>
      <c r="E260" t="n">
        <v>107</v>
      </c>
      <c r="F260" t="n">
        <v>202</v>
      </c>
      <c r="G260" t="inlineStr">
        <is>
          <t>Mumbai</t>
        </is>
      </c>
      <c r="H260" t="inlineStr">
        <is>
          <t>Desserts</t>
        </is>
      </c>
      <c r="I260" t="n">
        <v>666</v>
      </c>
      <c r="J260" t="n">
        <v>68.06</v>
      </c>
      <c r="K260" t="n">
        <v>0</v>
      </c>
      <c r="L260" t="n">
        <v>0.25</v>
      </c>
      <c r="M260" t="n">
        <v>166.5</v>
      </c>
      <c r="N260" t="n">
        <v>4.5</v>
      </c>
      <c r="O260" t="n">
        <v>38.8</v>
      </c>
      <c r="P260" t="inlineStr">
        <is>
          <t>Credit Card</t>
        </is>
      </c>
      <c r="Q260" t="inlineStr">
        <is>
          <t>Delivered</t>
        </is>
      </c>
      <c r="R260" t="n">
        <v>4</v>
      </c>
    </row>
    <row r="261">
      <c r="A261" t="inlineStr">
        <is>
          <t>ORD1260</t>
        </is>
      </c>
      <c r="B261" t="inlineStr">
        <is>
          <t>2025-02-07</t>
        </is>
      </c>
      <c r="C261" t="inlineStr">
        <is>
          <t>20:23:45</t>
        </is>
      </c>
      <c r="D261" t="n">
        <v>1134</v>
      </c>
      <c r="E261" t="n">
        <v>119</v>
      </c>
      <c r="F261" t="n">
        <v>225</v>
      </c>
      <c r="G261" t="inlineStr">
        <is>
          <t>Hyderabad</t>
        </is>
      </c>
      <c r="H261" t="inlineStr">
        <is>
          <t>Biryani</t>
        </is>
      </c>
      <c r="I261" t="n">
        <v>898</v>
      </c>
      <c r="J261" t="n">
        <v>0</v>
      </c>
      <c r="K261" t="n">
        <v>26.5</v>
      </c>
      <c r="L261" t="n">
        <v>0.2</v>
      </c>
      <c r="M261" t="n">
        <v>186.23</v>
      </c>
      <c r="N261" t="n">
        <v>3.3</v>
      </c>
      <c r="O261" t="n">
        <v>31.5</v>
      </c>
      <c r="P261" t="inlineStr">
        <is>
          <t>Debit Card</t>
        </is>
      </c>
      <c r="Q261" t="inlineStr">
        <is>
          <t>Delivered</t>
        </is>
      </c>
      <c r="R261" t="n">
        <v>4</v>
      </c>
    </row>
    <row r="262">
      <c r="A262" t="inlineStr">
        <is>
          <t>ORD1261</t>
        </is>
      </c>
      <c r="B262" t="inlineStr">
        <is>
          <t>2025-08-12</t>
        </is>
      </c>
      <c r="C262" t="inlineStr">
        <is>
          <t>13:50:40</t>
        </is>
      </c>
      <c r="D262" t="n">
        <v>1111</v>
      </c>
      <c r="E262" t="n">
        <v>117</v>
      </c>
      <c r="F262" t="n">
        <v>222</v>
      </c>
      <c r="G262" t="inlineStr">
        <is>
          <t>Mumbai</t>
        </is>
      </c>
      <c r="H262" t="inlineStr">
        <is>
          <t>Chinese</t>
        </is>
      </c>
      <c r="I262" t="n">
        <v>718</v>
      </c>
      <c r="J262" t="n">
        <v>10.01</v>
      </c>
      <c r="K262" t="n">
        <v>41</v>
      </c>
      <c r="L262" t="n">
        <v>0.2</v>
      </c>
      <c r="M262" t="n">
        <v>153.85</v>
      </c>
      <c r="N262" t="n">
        <v>6.2</v>
      </c>
      <c r="O262" t="n">
        <v>60</v>
      </c>
      <c r="P262" t="inlineStr">
        <is>
          <t>Digital Wallet</t>
        </is>
      </c>
      <c r="Q262" t="inlineStr">
        <is>
          <t>Delivered</t>
        </is>
      </c>
      <c r="R262" t="n">
        <v>2</v>
      </c>
    </row>
    <row r="263">
      <c r="A263" t="inlineStr">
        <is>
          <t>ORD1262</t>
        </is>
      </c>
      <c r="B263" t="inlineStr">
        <is>
          <t>2025-07-13</t>
        </is>
      </c>
      <c r="C263" t="inlineStr">
        <is>
          <t>15:19:46</t>
        </is>
      </c>
      <c r="D263" t="n">
        <v>1105</v>
      </c>
      <c r="E263" t="n">
        <v>111</v>
      </c>
      <c r="F263" t="n">
        <v>203</v>
      </c>
      <c r="G263" t="inlineStr">
        <is>
          <t>Bangalore</t>
        </is>
      </c>
      <c r="H263" t="inlineStr">
        <is>
          <t>South Indian</t>
        </is>
      </c>
      <c r="I263" t="n">
        <v>1100</v>
      </c>
      <c r="J263" t="n">
        <v>124.01</v>
      </c>
      <c r="K263" t="n">
        <v>0</v>
      </c>
      <c r="L263" t="n">
        <v>0.15</v>
      </c>
      <c r="M263" t="n">
        <v>165</v>
      </c>
      <c r="N263" t="n">
        <v>7.1</v>
      </c>
      <c r="O263" t="n">
        <v>41.8</v>
      </c>
      <c r="P263" t="inlineStr">
        <is>
          <t>Digital Wallet</t>
        </is>
      </c>
      <c r="Q263" t="inlineStr">
        <is>
          <t>Delivered</t>
        </is>
      </c>
      <c r="R263" t="n">
        <v>4</v>
      </c>
    </row>
    <row r="264">
      <c r="A264" t="inlineStr">
        <is>
          <t>ORD1263</t>
        </is>
      </c>
      <c r="B264" t="inlineStr">
        <is>
          <t>2025-11-05</t>
        </is>
      </c>
      <c r="C264" t="inlineStr">
        <is>
          <t>20:20:58</t>
        </is>
      </c>
      <c r="D264" t="n">
        <v>1053</v>
      </c>
      <c r="E264" t="n">
        <v>102</v>
      </c>
      <c r="F264" t="n">
        <v>215</v>
      </c>
      <c r="G264" t="inlineStr">
        <is>
          <t>Hyderabad</t>
        </is>
      </c>
      <c r="H264" t="inlineStr">
        <is>
          <t>Biryani</t>
        </is>
      </c>
      <c r="I264" t="n">
        <v>1002</v>
      </c>
      <c r="J264" t="n">
        <v>164.29</v>
      </c>
      <c r="K264" t="n">
        <v>0</v>
      </c>
      <c r="L264" t="n">
        <v>0.22</v>
      </c>
      <c r="M264" t="n">
        <v>220.44</v>
      </c>
      <c r="N264" t="n">
        <v>4.4</v>
      </c>
      <c r="O264" t="n">
        <v>34.1</v>
      </c>
      <c r="P264" t="inlineStr">
        <is>
          <t>Cash on Delivery</t>
        </is>
      </c>
      <c r="Q264" t="inlineStr">
        <is>
          <t>Delivered</t>
        </is>
      </c>
      <c r="R264" t="n">
        <v>5</v>
      </c>
    </row>
    <row r="265">
      <c r="A265" t="inlineStr">
        <is>
          <t>ORD1264</t>
        </is>
      </c>
      <c r="B265" t="inlineStr">
        <is>
          <t>2025-02-09</t>
        </is>
      </c>
      <c r="C265" t="inlineStr">
        <is>
          <t>18:15:22</t>
        </is>
      </c>
      <c r="D265" t="n">
        <v>1229</v>
      </c>
      <c r="E265" t="n">
        <v>107</v>
      </c>
      <c r="F265" t="n">
        <v>206</v>
      </c>
      <c r="G265" t="inlineStr">
        <is>
          <t>Mumbai</t>
        </is>
      </c>
      <c r="H265" t="inlineStr">
        <is>
          <t>Desserts</t>
        </is>
      </c>
      <c r="I265" t="n">
        <v>689</v>
      </c>
      <c r="J265" t="n">
        <v>112.73</v>
      </c>
      <c r="K265" t="n">
        <v>0</v>
      </c>
      <c r="L265" t="n">
        <v>0.25</v>
      </c>
      <c r="M265" t="n">
        <v>172.25</v>
      </c>
      <c r="N265" t="n">
        <v>8.1</v>
      </c>
      <c r="O265" t="n">
        <v>45.2</v>
      </c>
      <c r="P265" t="inlineStr">
        <is>
          <t>Debit Card</t>
        </is>
      </c>
      <c r="Q265" t="inlineStr">
        <is>
          <t>Delivered</t>
        </is>
      </c>
      <c r="R265" t="n">
        <v>3</v>
      </c>
    </row>
    <row r="266">
      <c r="A266" t="inlineStr">
        <is>
          <t>ORD1265</t>
        </is>
      </c>
      <c r="B266" t="inlineStr">
        <is>
          <t>2025-04-18</t>
        </is>
      </c>
      <c r="C266" t="inlineStr">
        <is>
          <t>12:15:44</t>
        </is>
      </c>
      <c r="D266" t="n">
        <v>1070</v>
      </c>
      <c r="E266" t="n">
        <v>113</v>
      </c>
      <c r="F266" t="n">
        <v>229</v>
      </c>
      <c r="G266" t="inlineStr">
        <is>
          <t>Mumbai</t>
        </is>
      </c>
      <c r="H266" t="inlineStr">
        <is>
          <t>Fast Food</t>
        </is>
      </c>
      <c r="I266" t="n">
        <v>478</v>
      </c>
      <c r="J266" t="n">
        <v>60.07</v>
      </c>
      <c r="K266" t="n">
        <v>25</v>
      </c>
      <c r="L266" t="n">
        <v>0.18</v>
      </c>
      <c r="M266" t="n">
        <v>92.29000000000001</v>
      </c>
      <c r="N266" t="n">
        <v>1.4</v>
      </c>
      <c r="O266" t="n">
        <v>22</v>
      </c>
      <c r="P266" t="inlineStr">
        <is>
          <t>UPI</t>
        </is>
      </c>
      <c r="Q266" t="inlineStr">
        <is>
          <t>Delivered</t>
        </is>
      </c>
      <c r="R266" t="n">
        <v>5</v>
      </c>
    </row>
    <row r="267">
      <c r="A267" t="inlineStr">
        <is>
          <t>ORD1266</t>
        </is>
      </c>
      <c r="B267" t="inlineStr">
        <is>
          <t>2025-08-13</t>
        </is>
      </c>
      <c r="C267" t="inlineStr">
        <is>
          <t>07:46:26</t>
        </is>
      </c>
      <c r="D267" t="n">
        <v>1275</v>
      </c>
      <c r="E267" t="n">
        <v>106</v>
      </c>
      <c r="F267" t="n">
        <v>209</v>
      </c>
      <c r="G267" t="inlineStr">
        <is>
          <t>Pune</t>
        </is>
      </c>
      <c r="H267" t="inlineStr">
        <is>
          <t>South Indian</t>
        </is>
      </c>
      <c r="I267" t="n">
        <v>390</v>
      </c>
      <c r="J267" t="n">
        <v>15.38</v>
      </c>
      <c r="K267" t="n">
        <v>75</v>
      </c>
      <c r="L267" t="n">
        <v>0.15</v>
      </c>
      <c r="M267" t="n">
        <v>77.25</v>
      </c>
      <c r="N267" t="n">
        <v>13</v>
      </c>
      <c r="O267" t="n">
        <v>57.6</v>
      </c>
      <c r="P267" t="inlineStr">
        <is>
          <t>Digital Wallet</t>
        </is>
      </c>
      <c r="Q267" t="inlineStr">
        <is>
          <t>Delivered</t>
        </is>
      </c>
      <c r="R267" t="n">
        <v>4</v>
      </c>
    </row>
    <row r="268">
      <c r="A268" t="inlineStr">
        <is>
          <t>ORD1267</t>
        </is>
      </c>
      <c r="B268" t="inlineStr">
        <is>
          <t>2025-10-23</t>
        </is>
      </c>
      <c r="C268" t="inlineStr">
        <is>
          <t>11:41:48</t>
        </is>
      </c>
      <c r="D268" t="n">
        <v>1024</v>
      </c>
      <c r="E268" t="n">
        <v>117</v>
      </c>
      <c r="F268" t="n">
        <v>222</v>
      </c>
      <c r="G268" t="inlineStr">
        <is>
          <t>Mumbai</t>
        </is>
      </c>
      <c r="H268" t="inlineStr">
        <is>
          <t>Chinese</t>
        </is>
      </c>
      <c r="I268" t="n">
        <v>923</v>
      </c>
      <c r="J268" t="n">
        <v>0</v>
      </c>
      <c r="K268" t="n">
        <v>25</v>
      </c>
      <c r="L268" t="n">
        <v>0.2</v>
      </c>
      <c r="M268" t="n">
        <v>190.85</v>
      </c>
      <c r="N268" t="n">
        <v>1.4</v>
      </c>
      <c r="O268" t="n">
        <v>28.8</v>
      </c>
      <c r="P268" t="inlineStr">
        <is>
          <t>UPI</t>
        </is>
      </c>
      <c r="Q268" t="inlineStr">
        <is>
          <t>Delivered</t>
        </is>
      </c>
      <c r="R268" t="n">
        <v>4</v>
      </c>
    </row>
    <row r="269">
      <c r="A269" t="inlineStr">
        <is>
          <t>ORD1268</t>
        </is>
      </c>
      <c r="B269" t="inlineStr">
        <is>
          <t>2025-05-14</t>
        </is>
      </c>
      <c r="C269" t="inlineStr">
        <is>
          <t>18:06:04</t>
        </is>
      </c>
      <c r="D269" t="n">
        <v>1256</v>
      </c>
      <c r="E269" t="n">
        <v>101</v>
      </c>
      <c r="F269" t="n">
        <v>210</v>
      </c>
      <c r="G269" t="inlineStr">
        <is>
          <t>Bangalore</t>
        </is>
      </c>
      <c r="H269" t="inlineStr">
        <is>
          <t>North Indian</t>
        </is>
      </c>
      <c r="I269" t="n">
        <v>570</v>
      </c>
      <c r="J269" t="n">
        <v>0</v>
      </c>
      <c r="K269" t="n">
        <v>25</v>
      </c>
      <c r="L269" t="n">
        <v>0.2</v>
      </c>
      <c r="M269" t="n">
        <v>120.25</v>
      </c>
      <c r="N269" t="n">
        <v>2.2</v>
      </c>
      <c r="O269" t="n">
        <v>22.2</v>
      </c>
      <c r="P269" t="inlineStr">
        <is>
          <t>UPI</t>
        </is>
      </c>
      <c r="Q269" t="inlineStr">
        <is>
          <t>Delivered</t>
        </is>
      </c>
      <c r="R269" t="n">
        <v>4</v>
      </c>
    </row>
    <row r="270">
      <c r="A270" t="inlineStr">
        <is>
          <t>ORD1269</t>
        </is>
      </c>
      <c r="B270" t="inlineStr">
        <is>
          <t>2025-12-27</t>
        </is>
      </c>
      <c r="C270" t="inlineStr">
        <is>
          <t>21:01:27</t>
        </is>
      </c>
      <c r="D270" t="n">
        <v>1185</v>
      </c>
      <c r="E270" t="n">
        <v>106</v>
      </c>
      <c r="F270" t="n">
        <v>209</v>
      </c>
      <c r="G270" t="inlineStr">
        <is>
          <t>Pune</t>
        </is>
      </c>
      <c r="H270" t="inlineStr">
        <is>
          <t>South Indian</t>
        </is>
      </c>
      <c r="I270" t="n">
        <v>889</v>
      </c>
      <c r="J270" t="n">
        <v>0</v>
      </c>
      <c r="K270" t="n">
        <v>28</v>
      </c>
      <c r="L270" t="n">
        <v>0.15</v>
      </c>
      <c r="M270" t="n">
        <v>140.35</v>
      </c>
      <c r="N270" t="n">
        <v>3.6</v>
      </c>
      <c r="O270" t="n">
        <v>39.2</v>
      </c>
      <c r="P270" t="inlineStr">
        <is>
          <t>Credit Card</t>
        </is>
      </c>
      <c r="Q270" t="inlineStr">
        <is>
          <t>Delivered</t>
        </is>
      </c>
      <c r="R270" t="n">
        <v>5</v>
      </c>
    </row>
    <row r="271">
      <c r="A271" t="inlineStr">
        <is>
          <t>ORD1270</t>
        </is>
      </c>
      <c r="B271" t="inlineStr">
        <is>
          <t>2025-06-19</t>
        </is>
      </c>
      <c r="C271" t="inlineStr">
        <is>
          <t>22:13:12</t>
        </is>
      </c>
      <c r="D271" t="n">
        <v>1257</v>
      </c>
      <c r="E271" t="n">
        <v>116</v>
      </c>
      <c r="F271" t="n">
        <v>224</v>
      </c>
      <c r="G271" t="inlineStr">
        <is>
          <t>Pune</t>
        </is>
      </c>
      <c r="H271" t="inlineStr">
        <is>
          <t>Desserts</t>
        </is>
      </c>
      <c r="I271" t="n">
        <v>917</v>
      </c>
      <c r="J271" t="n">
        <v>142.51</v>
      </c>
      <c r="K271" t="n">
        <v>0</v>
      </c>
      <c r="L271" t="n">
        <v>0.25</v>
      </c>
      <c r="M271" t="n">
        <v>229.25</v>
      </c>
      <c r="N271" t="n">
        <v>2.6</v>
      </c>
      <c r="O271" t="n">
        <v>30.2</v>
      </c>
      <c r="P271" t="inlineStr">
        <is>
          <t>Digital Wallet</t>
        </is>
      </c>
      <c r="Q271" t="inlineStr">
        <is>
          <t>Delivered</t>
        </is>
      </c>
      <c r="R271" t="n">
        <v>5</v>
      </c>
    </row>
    <row r="272">
      <c r="A272" t="inlineStr">
        <is>
          <t>ORD1271</t>
        </is>
      </c>
      <c r="B272" t="inlineStr">
        <is>
          <t>2025-05-02</t>
        </is>
      </c>
      <c r="C272" t="inlineStr">
        <is>
          <t>20:06:03</t>
        </is>
      </c>
      <c r="D272" t="n">
        <v>1029</v>
      </c>
      <c r="E272" t="n">
        <v>108</v>
      </c>
      <c r="F272" t="n">
        <v>221</v>
      </c>
      <c r="G272" t="inlineStr">
        <is>
          <t>Delhi NCR</t>
        </is>
      </c>
      <c r="H272" t="inlineStr">
        <is>
          <t>Fast Food</t>
        </is>
      </c>
      <c r="I272" t="n">
        <v>622</v>
      </c>
      <c r="J272" t="n">
        <v>41.79</v>
      </c>
      <c r="K272" t="n">
        <v>35</v>
      </c>
      <c r="L272" t="n">
        <v>0.18</v>
      </c>
      <c r="M272" t="n">
        <v>120.71</v>
      </c>
      <c r="N272" t="n">
        <v>5</v>
      </c>
      <c r="O272" t="n">
        <v>33.4</v>
      </c>
      <c r="P272" t="inlineStr">
        <is>
          <t>Debit Card</t>
        </is>
      </c>
      <c r="Q272" t="inlineStr">
        <is>
          <t>Delivered</t>
        </is>
      </c>
      <c r="R272" t="n">
        <v>5</v>
      </c>
    </row>
    <row r="273">
      <c r="A273" t="inlineStr">
        <is>
          <t>ORD1272</t>
        </is>
      </c>
      <c r="B273" t="inlineStr">
        <is>
          <t>2025-02-14</t>
        </is>
      </c>
      <c r="C273" t="inlineStr">
        <is>
          <t>13:18:52</t>
        </is>
      </c>
      <c r="D273" t="n">
        <v>1174</v>
      </c>
      <c r="E273" t="n">
        <v>114</v>
      </c>
      <c r="F273" t="n">
        <v>216</v>
      </c>
      <c r="G273" t="inlineStr">
        <is>
          <t>Hyderabad</t>
        </is>
      </c>
      <c r="H273" t="inlineStr">
        <is>
          <t>Biryani</t>
        </is>
      </c>
      <c r="I273" t="n">
        <v>897</v>
      </c>
      <c r="J273" t="n">
        <v>34.47</v>
      </c>
      <c r="K273" t="n">
        <v>25</v>
      </c>
      <c r="L273" t="n">
        <v>0.22</v>
      </c>
      <c r="M273" t="n">
        <v>203.59</v>
      </c>
      <c r="N273" t="n">
        <v>2.9</v>
      </c>
      <c r="O273" t="n">
        <v>24.6</v>
      </c>
      <c r="P273" t="inlineStr">
        <is>
          <t>Credit Card</t>
        </is>
      </c>
      <c r="Q273" t="inlineStr">
        <is>
          <t>Delivered</t>
        </is>
      </c>
      <c r="R273" t="n">
        <v>5</v>
      </c>
    </row>
    <row r="274">
      <c r="A274" t="inlineStr">
        <is>
          <t>ORD1273</t>
        </is>
      </c>
      <c r="B274" t="inlineStr">
        <is>
          <t>2025-02-11</t>
        </is>
      </c>
      <c r="C274" t="inlineStr">
        <is>
          <t>11:30:54</t>
        </is>
      </c>
      <c r="D274" t="n">
        <v>1294</v>
      </c>
      <c r="E274" t="n">
        <v>108</v>
      </c>
      <c r="F274" t="n">
        <v>219</v>
      </c>
      <c r="G274" t="inlineStr">
        <is>
          <t>Delhi NCR</t>
        </is>
      </c>
      <c r="H274" t="inlineStr">
        <is>
          <t>Fast Food</t>
        </is>
      </c>
      <c r="I274" t="n">
        <v>338</v>
      </c>
      <c r="J274" t="n">
        <v>0</v>
      </c>
      <c r="K274" t="n">
        <v>31</v>
      </c>
      <c r="L274" t="n">
        <v>0.18</v>
      </c>
      <c r="M274" t="n">
        <v>68.59</v>
      </c>
      <c r="N274" t="n">
        <v>4.2</v>
      </c>
      <c r="O274" t="n">
        <v>36.7</v>
      </c>
      <c r="P274" t="inlineStr">
        <is>
          <t>Cash on Delivery</t>
        </is>
      </c>
      <c r="Q274" t="inlineStr">
        <is>
          <t>Delivered</t>
        </is>
      </c>
      <c r="R274" t="n">
        <v>5</v>
      </c>
    </row>
    <row r="275">
      <c r="A275" t="inlineStr">
        <is>
          <t>ORD1274</t>
        </is>
      </c>
      <c r="B275" t="inlineStr">
        <is>
          <t>2025-04-05</t>
        </is>
      </c>
      <c r="C275" t="inlineStr">
        <is>
          <t>19:23:56</t>
        </is>
      </c>
      <c r="D275" t="n">
        <v>1055</v>
      </c>
      <c r="E275" t="n">
        <v>115</v>
      </c>
      <c r="F275" t="n">
        <v>201</v>
      </c>
      <c r="G275" t="inlineStr">
        <is>
          <t>Bangalore</t>
        </is>
      </c>
      <c r="H275" t="inlineStr">
        <is>
          <t>Italian</t>
        </is>
      </c>
      <c r="I275" t="n">
        <v>610</v>
      </c>
      <c r="J275" t="n">
        <v>0</v>
      </c>
      <c r="K275" t="n">
        <v>29</v>
      </c>
      <c r="L275" t="n">
        <v>0.2</v>
      </c>
      <c r="M275" t="n">
        <v>129.25</v>
      </c>
      <c r="N275" t="n">
        <v>3.8</v>
      </c>
      <c r="O275" t="n">
        <v>30.8</v>
      </c>
      <c r="P275" t="inlineStr">
        <is>
          <t>Debit Card</t>
        </is>
      </c>
      <c r="Q275" t="inlineStr">
        <is>
          <t>Delivered</t>
        </is>
      </c>
      <c r="R275" t="n">
        <v>3</v>
      </c>
    </row>
    <row r="276">
      <c r="A276" t="inlineStr">
        <is>
          <t>ORD1275</t>
        </is>
      </c>
      <c r="B276" t="inlineStr">
        <is>
          <t>2025-04-26</t>
        </is>
      </c>
      <c r="C276" t="inlineStr">
        <is>
          <t>19:53:17</t>
        </is>
      </c>
      <c r="D276" t="n">
        <v>1213</v>
      </c>
      <c r="E276" t="n">
        <v>112</v>
      </c>
      <c r="F276" t="n">
        <v>219</v>
      </c>
      <c r="G276" t="inlineStr">
        <is>
          <t>Delhi NCR</t>
        </is>
      </c>
      <c r="H276" t="inlineStr">
        <is>
          <t>North Indian</t>
        </is>
      </c>
      <c r="I276" t="n">
        <v>797</v>
      </c>
      <c r="J276" t="n">
        <v>43.29</v>
      </c>
      <c r="K276" t="n">
        <v>27.5</v>
      </c>
      <c r="L276" t="n">
        <v>0.22</v>
      </c>
      <c r="M276" t="n">
        <v>182.22</v>
      </c>
      <c r="N276" t="n">
        <v>3.5</v>
      </c>
      <c r="O276" t="n">
        <v>33.3</v>
      </c>
      <c r="P276" t="inlineStr">
        <is>
          <t>UPI</t>
        </is>
      </c>
      <c r="Q276" t="inlineStr">
        <is>
          <t>Delivered</t>
        </is>
      </c>
      <c r="R276" t="n">
        <v>5</v>
      </c>
    </row>
    <row r="277">
      <c r="A277" t="inlineStr">
        <is>
          <t>ORD1276</t>
        </is>
      </c>
      <c r="B277" t="inlineStr">
        <is>
          <t>2025-10-05</t>
        </is>
      </c>
      <c r="C277" t="inlineStr">
        <is>
          <t>16:26:48</t>
        </is>
      </c>
      <c r="D277" t="n">
        <v>1057</v>
      </c>
      <c r="E277" t="n">
        <v>107</v>
      </c>
      <c r="F277" t="n">
        <v>202</v>
      </c>
      <c r="G277" t="inlineStr">
        <is>
          <t>Mumbai</t>
        </is>
      </c>
      <c r="H277" t="inlineStr">
        <is>
          <t>Desserts</t>
        </is>
      </c>
      <c r="I277" t="n">
        <v>823</v>
      </c>
      <c r="J277" t="n">
        <v>0</v>
      </c>
      <c r="K277" t="n">
        <v>56.5</v>
      </c>
      <c r="L277" t="n">
        <v>0.25</v>
      </c>
      <c r="M277" t="n">
        <v>219.88</v>
      </c>
      <c r="N277" t="n">
        <v>9.300000000000001</v>
      </c>
      <c r="O277" t="n">
        <v>40.9</v>
      </c>
      <c r="P277" t="inlineStr">
        <is>
          <t>Cash on Delivery</t>
        </is>
      </c>
      <c r="Q277" t="inlineStr">
        <is>
          <t>Delivered</t>
        </is>
      </c>
      <c r="R277" t="n">
        <v>3</v>
      </c>
    </row>
    <row r="278">
      <c r="A278" t="inlineStr">
        <is>
          <t>ORD1277</t>
        </is>
      </c>
      <c r="B278" t="inlineStr">
        <is>
          <t>2025-09-01</t>
        </is>
      </c>
      <c r="C278" t="inlineStr">
        <is>
          <t>13:19:05</t>
        </is>
      </c>
      <c r="D278" t="n">
        <v>1159</v>
      </c>
      <c r="E278" t="n">
        <v>112</v>
      </c>
      <c r="F278" t="n">
        <v>221</v>
      </c>
      <c r="G278" t="inlineStr">
        <is>
          <t>Delhi NCR</t>
        </is>
      </c>
      <c r="H278" t="inlineStr">
        <is>
          <t>North Indian</t>
        </is>
      </c>
      <c r="I278" t="n">
        <v>624</v>
      </c>
      <c r="J278" t="n">
        <v>35.66</v>
      </c>
      <c r="K278" t="n">
        <v>25.5</v>
      </c>
      <c r="L278" t="n">
        <v>0.22</v>
      </c>
      <c r="M278" t="n">
        <v>143.66</v>
      </c>
      <c r="N278" t="n">
        <v>3.1</v>
      </c>
      <c r="O278" t="n">
        <v/>
      </c>
      <c r="P278" t="inlineStr">
        <is>
          <t>Digital Wallet</t>
        </is>
      </c>
      <c r="Q278" t="inlineStr">
        <is>
          <t>Cancelled</t>
        </is>
      </c>
      <c r="R278" t="n">
        <v/>
      </c>
    </row>
    <row r="279">
      <c r="A279" t="inlineStr">
        <is>
          <t>ORD1278</t>
        </is>
      </c>
      <c r="B279" t="inlineStr">
        <is>
          <t>2025-03-30</t>
        </is>
      </c>
      <c r="C279" t="inlineStr">
        <is>
          <t>09:10:13</t>
        </is>
      </c>
      <c r="D279" t="n">
        <v>1167</v>
      </c>
      <c r="E279" t="n">
        <v>108</v>
      </c>
      <c r="F279" t="n">
        <v>211</v>
      </c>
      <c r="G279" t="inlineStr">
        <is>
          <t>Delhi NCR</t>
        </is>
      </c>
      <c r="H279" t="inlineStr">
        <is>
          <t>Fast Food</t>
        </is>
      </c>
      <c r="I279" t="n">
        <v>417</v>
      </c>
      <c r="J279" t="n">
        <v>0</v>
      </c>
      <c r="K279" t="n">
        <v>66.5</v>
      </c>
      <c r="L279" t="n">
        <v>0.18</v>
      </c>
      <c r="M279" t="n">
        <v>91.68000000000001</v>
      </c>
      <c r="N279" t="n">
        <v>11.3</v>
      </c>
      <c r="O279" t="n">
        <v>50.7</v>
      </c>
      <c r="P279" t="inlineStr">
        <is>
          <t>Cash on Delivery</t>
        </is>
      </c>
      <c r="Q279" t="inlineStr">
        <is>
          <t>Delivered</t>
        </is>
      </c>
      <c r="R279" t="n">
        <v>1</v>
      </c>
    </row>
    <row r="280">
      <c r="A280" t="inlineStr">
        <is>
          <t>ORD1279</t>
        </is>
      </c>
      <c r="B280" t="inlineStr">
        <is>
          <t>2025-11-01</t>
        </is>
      </c>
      <c r="C280" t="inlineStr">
        <is>
          <t>13:16:20</t>
        </is>
      </c>
      <c r="D280" t="n">
        <v>1256</v>
      </c>
      <c r="E280" t="n">
        <v>101</v>
      </c>
      <c r="F280" t="n">
        <v>227</v>
      </c>
      <c r="G280" t="inlineStr">
        <is>
          <t>Bangalore</t>
        </is>
      </c>
      <c r="H280" t="inlineStr">
        <is>
          <t>North Indian</t>
        </is>
      </c>
      <c r="I280" t="n">
        <v>288</v>
      </c>
      <c r="J280" t="n">
        <v>0</v>
      </c>
      <c r="K280" t="n">
        <v>32</v>
      </c>
      <c r="L280" t="n">
        <v>0.2</v>
      </c>
      <c r="M280" t="n">
        <v>65.59999999999999</v>
      </c>
      <c r="N280" t="n">
        <v>4.4</v>
      </c>
      <c r="O280" t="n">
        <v>36.7</v>
      </c>
      <c r="P280" t="inlineStr">
        <is>
          <t>Digital Wallet</t>
        </is>
      </c>
      <c r="Q280" t="inlineStr">
        <is>
          <t>Delivered</t>
        </is>
      </c>
      <c r="R280" t="n">
        <v>5</v>
      </c>
    </row>
    <row r="281">
      <c r="A281" t="inlineStr">
        <is>
          <t>ORD1280</t>
        </is>
      </c>
      <c r="B281" t="inlineStr">
        <is>
          <t>2025-01-07</t>
        </is>
      </c>
      <c r="C281" t="inlineStr">
        <is>
          <t>09:50:44</t>
        </is>
      </c>
      <c r="D281" t="n">
        <v>1297</v>
      </c>
      <c r="E281" t="n">
        <v>102</v>
      </c>
      <c r="F281" t="n">
        <v>215</v>
      </c>
      <c r="G281" t="inlineStr">
        <is>
          <t>Hyderabad</t>
        </is>
      </c>
      <c r="H281" t="inlineStr">
        <is>
          <t>Biryani</t>
        </is>
      </c>
      <c r="I281" t="n">
        <v>858</v>
      </c>
      <c r="J281" t="n">
        <v>78.19</v>
      </c>
      <c r="K281" t="n">
        <v>25</v>
      </c>
      <c r="L281" t="n">
        <v>0.22</v>
      </c>
      <c r="M281" t="n">
        <v>195.01</v>
      </c>
      <c r="N281" t="n">
        <v>2.1</v>
      </c>
      <c r="O281" t="n">
        <v>32.3</v>
      </c>
      <c r="P281" t="inlineStr">
        <is>
          <t>UPI</t>
        </is>
      </c>
      <c r="Q281" t="inlineStr">
        <is>
          <t>Delivered</t>
        </is>
      </c>
      <c r="R281" t="n">
        <v>4</v>
      </c>
    </row>
    <row r="282">
      <c r="A282" t="inlineStr">
        <is>
          <t>ORD1281</t>
        </is>
      </c>
      <c r="B282" t="inlineStr">
        <is>
          <t>2025-10-18</t>
        </is>
      </c>
      <c r="C282" t="inlineStr">
        <is>
          <t>09:37:37</t>
        </is>
      </c>
      <c r="D282" t="n">
        <v>1241</v>
      </c>
      <c r="E282" t="n">
        <v>114</v>
      </c>
      <c r="F282" t="n">
        <v>216</v>
      </c>
      <c r="G282" t="inlineStr">
        <is>
          <t>Hyderabad</t>
        </is>
      </c>
      <c r="H282" t="inlineStr">
        <is>
          <t>Biryani</t>
        </is>
      </c>
      <c r="I282" t="n">
        <v>658</v>
      </c>
      <c r="J282" t="n">
        <v>72.75</v>
      </c>
      <c r="K282" t="n">
        <v>0</v>
      </c>
      <c r="L282" t="n">
        <v>0.22</v>
      </c>
      <c r="M282" t="n">
        <v>144.76</v>
      </c>
      <c r="N282" t="n">
        <v>1.7</v>
      </c>
      <c r="O282" t="n">
        <v>30.9</v>
      </c>
      <c r="P282" t="inlineStr">
        <is>
          <t>Debit Card</t>
        </is>
      </c>
      <c r="Q282" t="inlineStr">
        <is>
          <t>Delivered</t>
        </is>
      </c>
      <c r="R282" t="n">
        <v>5</v>
      </c>
    </row>
    <row r="283">
      <c r="A283" t="inlineStr">
        <is>
          <t>ORD1282</t>
        </is>
      </c>
      <c r="B283" t="inlineStr">
        <is>
          <t>2025-07-16</t>
        </is>
      </c>
      <c r="C283" t="inlineStr">
        <is>
          <t>20:41:31</t>
        </is>
      </c>
      <c r="D283" t="n">
        <v>1234</v>
      </c>
      <c r="E283" t="n">
        <v>110</v>
      </c>
      <c r="F283" t="n">
        <v>224</v>
      </c>
      <c r="G283" t="inlineStr">
        <is>
          <t>Pune</t>
        </is>
      </c>
      <c r="H283" t="inlineStr">
        <is>
          <t>North Indian</t>
        </is>
      </c>
      <c r="I283" t="n">
        <v>805</v>
      </c>
      <c r="J283" t="n">
        <v>2.41</v>
      </c>
      <c r="K283" t="n">
        <v>25</v>
      </c>
      <c r="L283" t="n">
        <v>0.18</v>
      </c>
      <c r="M283" t="n">
        <v>151.15</v>
      </c>
      <c r="N283" t="n">
        <v>2.2</v>
      </c>
      <c r="O283" t="n">
        <v>23.5</v>
      </c>
      <c r="P283" t="inlineStr">
        <is>
          <t>Credit Card</t>
        </is>
      </c>
      <c r="Q283" t="inlineStr">
        <is>
          <t>Delivered</t>
        </is>
      </c>
      <c r="R283" t="n">
        <v>3</v>
      </c>
    </row>
    <row r="284">
      <c r="A284" t="inlineStr">
        <is>
          <t>ORD1283</t>
        </is>
      </c>
      <c r="B284" t="inlineStr">
        <is>
          <t>2025-06-19</t>
        </is>
      </c>
      <c r="C284" t="inlineStr">
        <is>
          <t>10:44:15</t>
        </is>
      </c>
      <c r="D284" t="n">
        <v>1292</v>
      </c>
      <c r="E284" t="n">
        <v>106</v>
      </c>
      <c r="F284" t="n">
        <v>204</v>
      </c>
      <c r="G284" t="inlineStr">
        <is>
          <t>Pune</t>
        </is>
      </c>
      <c r="H284" t="inlineStr">
        <is>
          <t>South Indian</t>
        </is>
      </c>
      <c r="I284" t="n">
        <v>270</v>
      </c>
      <c r="J284" t="n">
        <v>19.89</v>
      </c>
      <c r="K284" t="n">
        <v>25</v>
      </c>
      <c r="L284" t="n">
        <v>0.15</v>
      </c>
      <c r="M284" t="n">
        <v>46.75</v>
      </c>
      <c r="N284" t="n">
        <v>2.5</v>
      </c>
      <c r="O284" t="n">
        <v>28.2</v>
      </c>
      <c r="P284" t="inlineStr">
        <is>
          <t>UPI</t>
        </is>
      </c>
      <c r="Q284" t="inlineStr">
        <is>
          <t>Delivered</t>
        </is>
      </c>
      <c r="R284" t="n">
        <v>4</v>
      </c>
    </row>
    <row r="285">
      <c r="A285" t="inlineStr">
        <is>
          <t>ORD1284</t>
        </is>
      </c>
      <c r="B285" t="inlineStr">
        <is>
          <t>2025-05-24</t>
        </is>
      </c>
      <c r="C285" t="inlineStr">
        <is>
          <t>19:53:31</t>
        </is>
      </c>
      <c r="D285" t="n">
        <v>1094</v>
      </c>
      <c r="E285" t="n">
        <v>112</v>
      </c>
      <c r="F285" t="n">
        <v>212</v>
      </c>
      <c r="G285" t="inlineStr">
        <is>
          <t>Delhi NCR</t>
        </is>
      </c>
      <c r="H285" t="inlineStr">
        <is>
          <t>North Indian</t>
        </is>
      </c>
      <c r="I285" t="n">
        <v>932</v>
      </c>
      <c r="J285" t="n">
        <v>72.51000000000001</v>
      </c>
      <c r="K285" t="n">
        <v>25</v>
      </c>
      <c r="L285" t="n">
        <v>0.22</v>
      </c>
      <c r="M285" t="n">
        <v>211.29</v>
      </c>
      <c r="N285" t="n">
        <v>1.7</v>
      </c>
      <c r="O285" t="n">
        <v>22.5</v>
      </c>
      <c r="P285" t="inlineStr">
        <is>
          <t>Debit Card</t>
        </is>
      </c>
      <c r="Q285" t="inlineStr">
        <is>
          <t>Delivered</t>
        </is>
      </c>
      <c r="R285" t="n">
        <v>3</v>
      </c>
    </row>
    <row r="286">
      <c r="A286" t="inlineStr">
        <is>
          <t>ORD1285</t>
        </is>
      </c>
      <c r="B286" t="inlineStr">
        <is>
          <t>2025-08-02</t>
        </is>
      </c>
      <c r="C286" t="inlineStr">
        <is>
          <t>17:38:41</t>
        </is>
      </c>
      <c r="D286" t="n">
        <v>1083</v>
      </c>
      <c r="E286" t="n">
        <v>112</v>
      </c>
      <c r="F286" t="n">
        <v>228</v>
      </c>
      <c r="G286" t="inlineStr">
        <is>
          <t>Delhi NCR</t>
        </is>
      </c>
      <c r="H286" t="inlineStr">
        <is>
          <t>North Indian</t>
        </is>
      </c>
      <c r="I286" t="n">
        <v>311</v>
      </c>
      <c r="J286" t="n">
        <v>0</v>
      </c>
      <c r="K286" t="n">
        <v>33.5</v>
      </c>
      <c r="L286" t="n">
        <v>0.22</v>
      </c>
      <c r="M286" t="n">
        <v>76.8</v>
      </c>
      <c r="N286" t="n">
        <v>4.7</v>
      </c>
      <c r="O286" t="n">
        <v>30.4</v>
      </c>
      <c r="P286" t="inlineStr">
        <is>
          <t>Cash on Delivery</t>
        </is>
      </c>
      <c r="Q286" t="inlineStr">
        <is>
          <t>Delivered</t>
        </is>
      </c>
      <c r="R286" t="n">
        <v>4</v>
      </c>
    </row>
    <row r="287">
      <c r="A287" t="inlineStr">
        <is>
          <t>ORD1286</t>
        </is>
      </c>
      <c r="B287" t="inlineStr">
        <is>
          <t>2025-09-21</t>
        </is>
      </c>
      <c r="C287" t="inlineStr">
        <is>
          <t>20:50:10</t>
        </is>
      </c>
      <c r="D287" t="n">
        <v>1077</v>
      </c>
      <c r="E287" t="n">
        <v>114</v>
      </c>
      <c r="F287" t="n">
        <v>216</v>
      </c>
      <c r="G287" t="inlineStr">
        <is>
          <t>Hyderabad</t>
        </is>
      </c>
      <c r="H287" t="inlineStr">
        <is>
          <t>Biryani</t>
        </is>
      </c>
      <c r="I287" t="n">
        <v>287</v>
      </c>
      <c r="J287" t="n">
        <v>20.6</v>
      </c>
      <c r="K287" t="n">
        <v>38</v>
      </c>
      <c r="L287" t="n">
        <v>0.22</v>
      </c>
      <c r="M287" t="n">
        <v>72.64</v>
      </c>
      <c r="N287" t="n">
        <v>5.6</v>
      </c>
      <c r="O287" t="n">
        <v>42.6</v>
      </c>
      <c r="P287" t="inlineStr">
        <is>
          <t>Credit Card</t>
        </is>
      </c>
      <c r="Q287" t="inlineStr">
        <is>
          <t>Delivered</t>
        </is>
      </c>
      <c r="R287" t="n">
        <v>3</v>
      </c>
    </row>
    <row r="288">
      <c r="A288" t="inlineStr">
        <is>
          <t>ORD1287</t>
        </is>
      </c>
      <c r="B288" t="inlineStr">
        <is>
          <t>2025-04-13</t>
        </is>
      </c>
      <c r="C288" t="inlineStr">
        <is>
          <t>09:53:03</t>
        </is>
      </c>
      <c r="D288" t="n">
        <v>1003</v>
      </c>
      <c r="E288" t="n">
        <v>110</v>
      </c>
      <c r="F288" t="n">
        <v>208</v>
      </c>
      <c r="G288" t="inlineStr">
        <is>
          <t>Pune</t>
        </is>
      </c>
      <c r="H288" t="inlineStr">
        <is>
          <t>North Indian</t>
        </is>
      </c>
      <c r="I288" t="n">
        <v>475</v>
      </c>
      <c r="J288" t="n">
        <v>24.85</v>
      </c>
      <c r="K288" t="n">
        <v>46.5</v>
      </c>
      <c r="L288" t="n">
        <v>0.18</v>
      </c>
      <c r="M288" t="n">
        <v>97.12</v>
      </c>
      <c r="N288" t="n">
        <v>7.3</v>
      </c>
      <c r="O288" t="n">
        <v>34.4</v>
      </c>
      <c r="P288" t="inlineStr">
        <is>
          <t>Debit Card</t>
        </is>
      </c>
      <c r="Q288" t="inlineStr">
        <is>
          <t>Delivered</t>
        </is>
      </c>
      <c r="R288" t="n">
        <v>3</v>
      </c>
    </row>
    <row r="289">
      <c r="A289" t="inlineStr">
        <is>
          <t>ORD1288</t>
        </is>
      </c>
      <c r="B289" t="inlineStr">
        <is>
          <t>2025-08-26</t>
        </is>
      </c>
      <c r="C289" t="inlineStr">
        <is>
          <t>09:32:25</t>
        </is>
      </c>
      <c r="D289" t="n">
        <v>1070</v>
      </c>
      <c r="E289" t="n">
        <v>113</v>
      </c>
      <c r="F289" t="n">
        <v>222</v>
      </c>
      <c r="G289" t="inlineStr">
        <is>
          <t>Mumbai</t>
        </is>
      </c>
      <c r="H289" t="inlineStr">
        <is>
          <t>Fast Food</t>
        </is>
      </c>
      <c r="I289" t="n">
        <v>1206</v>
      </c>
      <c r="J289" t="n">
        <v>135.54</v>
      </c>
      <c r="K289" t="n">
        <v>0</v>
      </c>
      <c r="L289" t="n">
        <v>0.18</v>
      </c>
      <c r="M289" t="n">
        <v>217.08</v>
      </c>
      <c r="N289" t="n">
        <v>3.8</v>
      </c>
      <c r="O289" t="n">
        <v>25.4</v>
      </c>
      <c r="P289" t="inlineStr">
        <is>
          <t>Debit Card</t>
        </is>
      </c>
      <c r="Q289" t="inlineStr">
        <is>
          <t>Delivered</t>
        </is>
      </c>
      <c r="R289" t="n">
        <v>4</v>
      </c>
    </row>
    <row r="290">
      <c r="A290" t="inlineStr">
        <is>
          <t>ORD1289</t>
        </is>
      </c>
      <c r="B290" t="inlineStr">
        <is>
          <t>2025-08-31</t>
        </is>
      </c>
      <c r="C290" t="inlineStr">
        <is>
          <t>18:37:35</t>
        </is>
      </c>
      <c r="D290" t="n">
        <v>1199</v>
      </c>
      <c r="E290" t="n">
        <v>109</v>
      </c>
      <c r="F290" t="n">
        <v>216</v>
      </c>
      <c r="G290" t="inlineStr">
        <is>
          <t>Hyderabad</t>
        </is>
      </c>
      <c r="H290" t="inlineStr">
        <is>
          <t>Biryani</t>
        </is>
      </c>
      <c r="I290" t="n">
        <v>766</v>
      </c>
      <c r="J290" t="n">
        <v>89.13</v>
      </c>
      <c r="K290" t="n">
        <v>0</v>
      </c>
      <c r="L290" t="n">
        <v>0.2</v>
      </c>
      <c r="M290" t="n">
        <v>153.2</v>
      </c>
      <c r="N290" t="n">
        <v>6.1</v>
      </c>
      <c r="O290" t="n">
        <v>38.2</v>
      </c>
      <c r="P290" t="inlineStr">
        <is>
          <t>UPI</t>
        </is>
      </c>
      <c r="Q290" t="inlineStr">
        <is>
          <t>Delivered</t>
        </is>
      </c>
      <c r="R290" t="n">
        <v>4</v>
      </c>
    </row>
    <row r="291">
      <c r="A291" t="inlineStr">
        <is>
          <t>ORD1290</t>
        </is>
      </c>
      <c r="B291" t="inlineStr">
        <is>
          <t>2025-01-26</t>
        </is>
      </c>
      <c r="C291" t="inlineStr">
        <is>
          <t>19:10:54</t>
        </is>
      </c>
      <c r="D291" t="n">
        <v>1287</v>
      </c>
      <c r="E291" t="n">
        <v>105</v>
      </c>
      <c r="F291" t="n">
        <v>201</v>
      </c>
      <c r="G291" t="inlineStr">
        <is>
          <t>Bangalore</t>
        </is>
      </c>
      <c r="H291" t="inlineStr">
        <is>
          <t>Chinese</t>
        </is>
      </c>
      <c r="I291" t="n">
        <v>805</v>
      </c>
      <c r="J291" t="n">
        <v>13.8</v>
      </c>
      <c r="K291" t="n">
        <v>30</v>
      </c>
      <c r="L291" t="n">
        <v>0.2</v>
      </c>
      <c r="M291" t="n">
        <v>168.5</v>
      </c>
      <c r="N291" t="n">
        <v>4</v>
      </c>
      <c r="O291" t="n">
        <v>31.7</v>
      </c>
      <c r="P291" t="inlineStr">
        <is>
          <t>Credit Card</t>
        </is>
      </c>
      <c r="Q291" t="inlineStr">
        <is>
          <t>Delivered</t>
        </is>
      </c>
      <c r="R291" t="n">
        <v>5</v>
      </c>
    </row>
    <row r="292">
      <c r="A292" t="inlineStr">
        <is>
          <t>ORD1291</t>
        </is>
      </c>
      <c r="B292" t="inlineStr">
        <is>
          <t>2025-09-20</t>
        </is>
      </c>
      <c r="C292" t="inlineStr">
        <is>
          <t>08:01:55</t>
        </is>
      </c>
      <c r="D292" t="n">
        <v>1229</v>
      </c>
      <c r="E292" t="n">
        <v>107</v>
      </c>
      <c r="F292" t="n">
        <v>229</v>
      </c>
      <c r="G292" t="inlineStr">
        <is>
          <t>Mumbai</t>
        </is>
      </c>
      <c r="H292" t="inlineStr">
        <is>
          <t>Desserts</t>
        </is>
      </c>
      <c r="I292" t="n">
        <v>1020</v>
      </c>
      <c r="J292" t="n">
        <v>150.36</v>
      </c>
      <c r="K292" t="n">
        <v>0</v>
      </c>
      <c r="L292" t="n">
        <v>0.25</v>
      </c>
      <c r="M292" t="n">
        <v>255</v>
      </c>
      <c r="N292" t="n">
        <v>6.1</v>
      </c>
      <c r="O292" t="n">
        <v>34.5</v>
      </c>
      <c r="P292" t="inlineStr">
        <is>
          <t>Credit Card</t>
        </is>
      </c>
      <c r="Q292" t="inlineStr">
        <is>
          <t>Delivered</t>
        </is>
      </c>
      <c r="R292" t="n">
        <v>3</v>
      </c>
    </row>
    <row r="293">
      <c r="A293" t="inlineStr">
        <is>
          <t>ORD1292</t>
        </is>
      </c>
      <c r="B293" t="inlineStr">
        <is>
          <t>2025-11-08</t>
        </is>
      </c>
      <c r="C293" t="inlineStr">
        <is>
          <t>17:51:19</t>
        </is>
      </c>
      <c r="D293" t="n">
        <v>1222</v>
      </c>
      <c r="E293" t="n">
        <v>119</v>
      </c>
      <c r="F293" t="n">
        <v>225</v>
      </c>
      <c r="G293" t="inlineStr">
        <is>
          <t>Hyderabad</t>
        </is>
      </c>
      <c r="H293" t="inlineStr">
        <is>
          <t>Biryani</t>
        </is>
      </c>
      <c r="I293" t="n">
        <v>949</v>
      </c>
      <c r="J293" t="n">
        <v>48.8</v>
      </c>
      <c r="K293" t="n">
        <v>34.5</v>
      </c>
      <c r="L293" t="n">
        <v>0.2</v>
      </c>
      <c r="M293" t="n">
        <v>198.42</v>
      </c>
      <c r="N293" t="n">
        <v>4.9</v>
      </c>
      <c r="O293" t="n">
        <v>31.7</v>
      </c>
      <c r="P293" t="inlineStr">
        <is>
          <t>Cash on Delivery</t>
        </is>
      </c>
      <c r="Q293" t="inlineStr">
        <is>
          <t>Delivered</t>
        </is>
      </c>
      <c r="R293" t="n">
        <v>5</v>
      </c>
    </row>
    <row r="294">
      <c r="A294" t="inlineStr">
        <is>
          <t>ORD1293</t>
        </is>
      </c>
      <c r="B294" t="inlineStr">
        <is>
          <t>2025-04-22</t>
        </is>
      </c>
      <c r="C294" t="inlineStr">
        <is>
          <t>20:29:19</t>
        </is>
      </c>
      <c r="D294" t="n">
        <v>1215</v>
      </c>
      <c r="E294" t="n">
        <v>120</v>
      </c>
      <c r="F294" t="n">
        <v>224</v>
      </c>
      <c r="G294" t="inlineStr">
        <is>
          <t>Pune</t>
        </is>
      </c>
      <c r="H294" t="inlineStr">
        <is>
          <t>Fast Food</t>
        </is>
      </c>
      <c r="I294" t="n">
        <v>913</v>
      </c>
      <c r="J294" t="n">
        <v>78.92</v>
      </c>
      <c r="K294" t="n">
        <v>29.5</v>
      </c>
      <c r="L294" t="n">
        <v>0.18</v>
      </c>
      <c r="M294" t="n">
        <v>171.72</v>
      </c>
      <c r="N294" t="n">
        <v>3.9</v>
      </c>
      <c r="O294" t="n">
        <v>42.5</v>
      </c>
      <c r="P294" t="inlineStr">
        <is>
          <t>Digital Wallet</t>
        </is>
      </c>
      <c r="Q294" t="inlineStr">
        <is>
          <t>Delivered</t>
        </is>
      </c>
      <c r="R294" t="n">
        <v>4</v>
      </c>
    </row>
    <row r="295">
      <c r="A295" t="inlineStr">
        <is>
          <t>ORD1294</t>
        </is>
      </c>
      <c r="B295" t="inlineStr">
        <is>
          <t>2025-09-19</t>
        </is>
      </c>
      <c r="C295" t="inlineStr">
        <is>
          <t>22:42:53</t>
        </is>
      </c>
      <c r="D295" t="n">
        <v>1062</v>
      </c>
      <c r="E295" t="n">
        <v>103</v>
      </c>
      <c r="F295" t="n">
        <v>202</v>
      </c>
      <c r="G295" t="inlineStr">
        <is>
          <t>Mumbai</t>
        </is>
      </c>
      <c r="H295" t="inlineStr">
        <is>
          <t>Italian</t>
        </is>
      </c>
      <c r="I295" t="n">
        <v>603</v>
      </c>
      <c r="J295" t="n">
        <v>28.64</v>
      </c>
      <c r="K295" t="n">
        <v>25</v>
      </c>
      <c r="L295" t="n">
        <v>0.18</v>
      </c>
      <c r="M295" t="n">
        <v>114.79</v>
      </c>
      <c r="N295" t="n">
        <v>2.1</v>
      </c>
      <c r="O295" t="n">
        <v>24</v>
      </c>
      <c r="P295" t="inlineStr">
        <is>
          <t>UPI</t>
        </is>
      </c>
      <c r="Q295" t="inlineStr">
        <is>
          <t>Delivered</t>
        </is>
      </c>
      <c r="R295" t="n">
        <v>3</v>
      </c>
    </row>
    <row r="296">
      <c r="A296" t="inlineStr">
        <is>
          <t>ORD1295</t>
        </is>
      </c>
      <c r="B296" t="inlineStr">
        <is>
          <t>2025-05-22</t>
        </is>
      </c>
      <c r="C296" t="inlineStr">
        <is>
          <t>20:40:20</t>
        </is>
      </c>
      <c r="D296" t="n">
        <v>1156</v>
      </c>
      <c r="E296" t="n">
        <v>120</v>
      </c>
      <c r="F296" t="n">
        <v>224</v>
      </c>
      <c r="G296" t="inlineStr">
        <is>
          <t>Pune</t>
        </is>
      </c>
      <c r="H296" t="inlineStr">
        <is>
          <t>Fast Food</t>
        </is>
      </c>
      <c r="I296" t="n">
        <v>503</v>
      </c>
      <c r="J296" t="n">
        <v>0</v>
      </c>
      <c r="K296" t="n">
        <v>25</v>
      </c>
      <c r="L296" t="n">
        <v>0.18</v>
      </c>
      <c r="M296" t="n">
        <v>96.79000000000001</v>
      </c>
      <c r="N296" t="n">
        <v>2</v>
      </c>
      <c r="O296" t="n">
        <v>27</v>
      </c>
      <c r="P296" t="inlineStr">
        <is>
          <t>Debit Card</t>
        </is>
      </c>
      <c r="Q296" t="inlineStr">
        <is>
          <t>Delivered</t>
        </is>
      </c>
      <c r="R296" t="n">
        <v>5</v>
      </c>
    </row>
    <row r="297">
      <c r="A297" t="inlineStr">
        <is>
          <t>ORD1296</t>
        </is>
      </c>
      <c r="B297" t="inlineStr">
        <is>
          <t>2025-09-22</t>
        </is>
      </c>
      <c r="C297" t="inlineStr">
        <is>
          <t>20:48:15</t>
        </is>
      </c>
      <c r="D297" t="n">
        <v>1042</v>
      </c>
      <c r="E297" t="n">
        <v>113</v>
      </c>
      <c r="F297" t="n">
        <v>222</v>
      </c>
      <c r="G297" t="inlineStr">
        <is>
          <t>Mumbai</t>
        </is>
      </c>
      <c r="H297" t="inlineStr">
        <is>
          <t>Fast Food</t>
        </is>
      </c>
      <c r="I297" t="n">
        <v>278</v>
      </c>
      <c r="J297" t="n">
        <v>17.84</v>
      </c>
      <c r="K297" t="n">
        <v>34</v>
      </c>
      <c r="L297" t="n">
        <v>0.18</v>
      </c>
      <c r="M297" t="n">
        <v>58.54</v>
      </c>
      <c r="N297" t="n">
        <v>4.8</v>
      </c>
      <c r="O297" t="n">
        <v>37</v>
      </c>
      <c r="P297" t="inlineStr">
        <is>
          <t>Debit Card</t>
        </is>
      </c>
      <c r="Q297" t="inlineStr">
        <is>
          <t>Delivered</t>
        </is>
      </c>
      <c r="R297" t="n">
        <v>2</v>
      </c>
    </row>
    <row r="298">
      <c r="A298" t="inlineStr">
        <is>
          <t>ORD1297</t>
        </is>
      </c>
      <c r="B298" t="inlineStr">
        <is>
          <t>2025-06-01</t>
        </is>
      </c>
      <c r="C298" t="inlineStr">
        <is>
          <t>20:16:58</t>
        </is>
      </c>
      <c r="D298" t="n">
        <v>1042</v>
      </c>
      <c r="E298" t="n">
        <v>107</v>
      </c>
      <c r="F298" t="n">
        <v>229</v>
      </c>
      <c r="G298" t="inlineStr">
        <is>
          <t>Mumbai</t>
        </is>
      </c>
      <c r="H298" t="inlineStr">
        <is>
          <t>Desserts</t>
        </is>
      </c>
      <c r="I298" t="n">
        <v>648</v>
      </c>
      <c r="J298" t="n">
        <v>0</v>
      </c>
      <c r="K298" t="n">
        <v>41.5</v>
      </c>
      <c r="L298" t="n">
        <v>0.25</v>
      </c>
      <c r="M298" t="n">
        <v>172.38</v>
      </c>
      <c r="N298" t="n">
        <v>6.3</v>
      </c>
      <c r="O298" t="n">
        <v>45.3</v>
      </c>
      <c r="P298" t="inlineStr">
        <is>
          <t>Digital Wallet</t>
        </is>
      </c>
      <c r="Q298" t="inlineStr">
        <is>
          <t>Delivered</t>
        </is>
      </c>
      <c r="R298" t="n">
        <v>4</v>
      </c>
    </row>
    <row r="299">
      <c r="A299" t="inlineStr">
        <is>
          <t>ORD1298</t>
        </is>
      </c>
      <c r="B299" t="inlineStr">
        <is>
          <t>2025-12-18</t>
        </is>
      </c>
      <c r="C299" t="inlineStr">
        <is>
          <t>20:34:40</t>
        </is>
      </c>
      <c r="D299" t="n">
        <v>1068</v>
      </c>
      <c r="E299" t="n">
        <v>106</v>
      </c>
      <c r="F299" t="n">
        <v>207</v>
      </c>
      <c r="G299" t="inlineStr">
        <is>
          <t>Pune</t>
        </is>
      </c>
      <c r="H299" t="inlineStr">
        <is>
          <t>South Indian</t>
        </is>
      </c>
      <c r="I299" t="n">
        <v>707</v>
      </c>
      <c r="J299" t="n">
        <v>80.20999999999999</v>
      </c>
      <c r="K299" t="n">
        <v>37.5</v>
      </c>
      <c r="L299" t="n">
        <v>0.15</v>
      </c>
      <c r="M299" t="n">
        <v>115.42</v>
      </c>
      <c r="N299" t="n">
        <v>5.5</v>
      </c>
      <c r="O299" t="n">
        <v>40.9</v>
      </c>
      <c r="P299" t="inlineStr">
        <is>
          <t>Digital Wallet</t>
        </is>
      </c>
      <c r="Q299" t="inlineStr">
        <is>
          <t>Delivered</t>
        </is>
      </c>
      <c r="R299" t="n">
        <v>3</v>
      </c>
    </row>
    <row r="300">
      <c r="A300" t="inlineStr">
        <is>
          <t>ORD1299</t>
        </is>
      </c>
      <c r="B300" t="inlineStr">
        <is>
          <t>2025-05-31</t>
        </is>
      </c>
      <c r="C300" t="inlineStr">
        <is>
          <t>19:06:30</t>
        </is>
      </c>
      <c r="D300" t="n">
        <v>1238</v>
      </c>
      <c r="E300" t="n">
        <v>111</v>
      </c>
      <c r="F300" t="n">
        <v>201</v>
      </c>
      <c r="G300" t="inlineStr">
        <is>
          <t>Bangalore</t>
        </is>
      </c>
      <c r="H300" t="inlineStr">
        <is>
          <t>South Indian</t>
        </is>
      </c>
      <c r="I300" t="n">
        <v>351</v>
      </c>
      <c r="J300" t="n">
        <v>20.36</v>
      </c>
      <c r="K300" t="n">
        <v>64</v>
      </c>
      <c r="L300" t="n">
        <v>0.15</v>
      </c>
      <c r="M300" t="n">
        <v>68.65000000000001</v>
      </c>
      <c r="N300" t="n">
        <v>10.8</v>
      </c>
      <c r="O300" t="n">
        <v>63.6</v>
      </c>
      <c r="P300" t="inlineStr">
        <is>
          <t>Credit Card</t>
        </is>
      </c>
      <c r="Q300" t="inlineStr">
        <is>
          <t>Delivered</t>
        </is>
      </c>
      <c r="R300" t="n">
        <v>1</v>
      </c>
    </row>
    <row r="301">
      <c r="A301" t="inlineStr">
        <is>
          <t>ORD1300</t>
        </is>
      </c>
      <c r="B301" t="inlineStr">
        <is>
          <t>2025-07-01</t>
        </is>
      </c>
      <c r="C301" t="inlineStr">
        <is>
          <t>18:14:47</t>
        </is>
      </c>
      <c r="D301" t="n">
        <v>1008</v>
      </c>
      <c r="E301" t="n">
        <v>117</v>
      </c>
      <c r="F301" t="n">
        <v>206</v>
      </c>
      <c r="G301" t="inlineStr">
        <is>
          <t>Mumbai</t>
        </is>
      </c>
      <c r="H301" t="inlineStr">
        <is>
          <t>Chinese</t>
        </is>
      </c>
      <c r="I301" t="n">
        <v>741</v>
      </c>
      <c r="J301" t="n">
        <v>132.5</v>
      </c>
      <c r="K301" t="n">
        <v>0</v>
      </c>
      <c r="L301" t="n">
        <v>0.2</v>
      </c>
      <c r="M301" t="n">
        <v>148.2</v>
      </c>
      <c r="N301" t="n">
        <v>4.1</v>
      </c>
      <c r="O301" t="n">
        <v>28.3</v>
      </c>
      <c r="P301" t="inlineStr">
        <is>
          <t>Debit Card</t>
        </is>
      </c>
      <c r="Q301" t="inlineStr">
        <is>
          <t>Delivered</t>
        </is>
      </c>
      <c r="R301" t="n">
        <v>4</v>
      </c>
    </row>
    <row r="302">
      <c r="A302" t="inlineStr">
        <is>
          <t>ORD1301</t>
        </is>
      </c>
      <c r="B302" t="inlineStr">
        <is>
          <t>2025-08-29</t>
        </is>
      </c>
      <c r="C302" t="inlineStr">
        <is>
          <t>07:03:55</t>
        </is>
      </c>
      <c r="D302" t="n">
        <v>1183</v>
      </c>
      <c r="E302" t="n">
        <v>107</v>
      </c>
      <c r="F302" t="n">
        <v>222</v>
      </c>
      <c r="G302" t="inlineStr">
        <is>
          <t>Mumbai</t>
        </is>
      </c>
      <c r="H302" t="inlineStr">
        <is>
          <t>Desserts</t>
        </is>
      </c>
      <c r="I302" t="n">
        <v>1118</v>
      </c>
      <c r="J302" t="n">
        <v>176.68</v>
      </c>
      <c r="K302" t="n">
        <v>0</v>
      </c>
      <c r="L302" t="n">
        <v>0.25</v>
      </c>
      <c r="M302" t="n">
        <v>279.5</v>
      </c>
      <c r="N302" t="n">
        <v>9.4</v>
      </c>
      <c r="O302" t="n">
        <v>48.1</v>
      </c>
      <c r="P302" t="inlineStr">
        <is>
          <t>Cash on Delivery</t>
        </is>
      </c>
      <c r="Q302" t="inlineStr">
        <is>
          <t>Delivered</t>
        </is>
      </c>
      <c r="R302" t="n">
        <v>2</v>
      </c>
    </row>
    <row r="303">
      <c r="A303" t="inlineStr">
        <is>
          <t>ORD1302</t>
        </is>
      </c>
      <c r="B303" t="inlineStr">
        <is>
          <t>2025-12-15</t>
        </is>
      </c>
      <c r="C303" t="inlineStr">
        <is>
          <t>22:24:33</t>
        </is>
      </c>
      <c r="D303" t="n">
        <v>1177</v>
      </c>
      <c r="E303" t="n">
        <v>118</v>
      </c>
      <c r="F303" t="n">
        <v>211</v>
      </c>
      <c r="G303" t="inlineStr">
        <is>
          <t>Delhi NCR</t>
        </is>
      </c>
      <c r="H303" t="inlineStr">
        <is>
          <t>North Indian</t>
        </is>
      </c>
      <c r="I303" t="n">
        <v>525</v>
      </c>
      <c r="J303" t="n">
        <v>41.43</v>
      </c>
      <c r="K303" t="n">
        <v>26</v>
      </c>
      <c r="L303" t="n">
        <v>0.2</v>
      </c>
      <c r="M303" t="n">
        <v>111.5</v>
      </c>
      <c r="N303" t="n">
        <v>3.2</v>
      </c>
      <c r="O303" t="n">
        <v>30.9</v>
      </c>
      <c r="P303" t="inlineStr">
        <is>
          <t>Credit Card</t>
        </is>
      </c>
      <c r="Q303" t="inlineStr">
        <is>
          <t>Delivered</t>
        </is>
      </c>
      <c r="R303" t="n">
        <v>4</v>
      </c>
    </row>
    <row r="304">
      <c r="A304" t="inlineStr">
        <is>
          <t>ORD1303</t>
        </is>
      </c>
      <c r="B304" t="inlineStr">
        <is>
          <t>2025-06-25</t>
        </is>
      </c>
      <c r="C304" t="inlineStr">
        <is>
          <t>22:26:36</t>
        </is>
      </c>
      <c r="D304" t="n">
        <v>1054</v>
      </c>
      <c r="E304" t="n">
        <v>111</v>
      </c>
      <c r="F304" t="n">
        <v>210</v>
      </c>
      <c r="G304" t="inlineStr">
        <is>
          <t>Bangalore</t>
        </is>
      </c>
      <c r="H304" t="inlineStr">
        <is>
          <t>South Indian</t>
        </is>
      </c>
      <c r="I304" t="n">
        <v>824</v>
      </c>
      <c r="J304" t="n">
        <v>108.47</v>
      </c>
      <c r="K304" t="n">
        <v>0</v>
      </c>
      <c r="L304" t="n">
        <v>0.15</v>
      </c>
      <c r="M304" t="n">
        <v>123.6</v>
      </c>
      <c r="N304" t="n">
        <v>1.3</v>
      </c>
      <c r="O304" t="n">
        <v>26.5</v>
      </c>
      <c r="P304" t="inlineStr">
        <is>
          <t>UPI</t>
        </is>
      </c>
      <c r="Q304" t="inlineStr">
        <is>
          <t>Delivered</t>
        </is>
      </c>
      <c r="R304" t="n">
        <v>4</v>
      </c>
    </row>
    <row r="305">
      <c r="A305" t="inlineStr">
        <is>
          <t>ORD1304</t>
        </is>
      </c>
      <c r="B305" t="inlineStr">
        <is>
          <t>2025-06-10</t>
        </is>
      </c>
      <c r="C305" t="inlineStr">
        <is>
          <t>22:40:03</t>
        </is>
      </c>
      <c r="D305" t="n">
        <v>1099</v>
      </c>
      <c r="E305" t="n">
        <v>119</v>
      </c>
      <c r="F305" t="n">
        <v>216</v>
      </c>
      <c r="G305" t="inlineStr">
        <is>
          <t>Hyderabad</t>
        </is>
      </c>
      <c r="H305" t="inlineStr">
        <is>
          <t>Biryani</t>
        </is>
      </c>
      <c r="I305" t="n">
        <v>224</v>
      </c>
      <c r="J305" t="n">
        <v>0</v>
      </c>
      <c r="K305" t="n">
        <v>37</v>
      </c>
      <c r="L305" t="n">
        <v>0.2</v>
      </c>
      <c r="M305" t="n">
        <v>54.05</v>
      </c>
      <c r="N305" t="n">
        <v>5.4</v>
      </c>
      <c r="O305" t="n">
        <v>36.2</v>
      </c>
      <c r="P305" t="inlineStr">
        <is>
          <t>Credit Card</t>
        </is>
      </c>
      <c r="Q305" t="inlineStr">
        <is>
          <t>Delivered</t>
        </is>
      </c>
      <c r="R305" t="n">
        <v>5</v>
      </c>
    </row>
    <row r="306">
      <c r="A306" t="inlineStr">
        <is>
          <t>ORD1305</t>
        </is>
      </c>
      <c r="B306" t="inlineStr">
        <is>
          <t>2025-03-08</t>
        </is>
      </c>
      <c r="C306" t="inlineStr">
        <is>
          <t>21:39:27</t>
        </is>
      </c>
      <c r="D306" t="n">
        <v>1104</v>
      </c>
      <c r="E306" t="n">
        <v>113</v>
      </c>
      <c r="F306" t="n">
        <v>202</v>
      </c>
      <c r="G306" t="inlineStr">
        <is>
          <t>Mumbai</t>
        </is>
      </c>
      <c r="H306" t="inlineStr">
        <is>
          <t>Fast Food</t>
        </is>
      </c>
      <c r="I306" t="n">
        <v>868</v>
      </c>
      <c r="J306" t="n">
        <v>0</v>
      </c>
      <c r="K306" t="n">
        <v>49</v>
      </c>
      <c r="L306" t="n">
        <v>0.18</v>
      </c>
      <c r="M306" t="n">
        <v>168.49</v>
      </c>
      <c r="N306" t="n">
        <v>7.8</v>
      </c>
      <c r="O306" t="n">
        <v>49.3</v>
      </c>
      <c r="P306" t="inlineStr">
        <is>
          <t>Cash on Delivery</t>
        </is>
      </c>
      <c r="Q306" t="inlineStr">
        <is>
          <t>Delivered</t>
        </is>
      </c>
      <c r="R306" t="n">
        <v>1</v>
      </c>
    </row>
    <row r="307">
      <c r="A307" t="inlineStr">
        <is>
          <t>ORD1306</t>
        </is>
      </c>
      <c r="B307" t="inlineStr">
        <is>
          <t>2025-10-01</t>
        </is>
      </c>
      <c r="C307" t="inlineStr">
        <is>
          <t>16:12:46</t>
        </is>
      </c>
      <c r="D307" t="n">
        <v>1178</v>
      </c>
      <c r="E307" t="n">
        <v>116</v>
      </c>
      <c r="F307" t="n">
        <v>208</v>
      </c>
      <c r="G307" t="inlineStr">
        <is>
          <t>Pune</t>
        </is>
      </c>
      <c r="H307" t="inlineStr">
        <is>
          <t>Desserts</t>
        </is>
      </c>
      <c r="I307" t="n">
        <v>602</v>
      </c>
      <c r="J307" t="n">
        <v>42.96</v>
      </c>
      <c r="K307" t="n">
        <v>31.5</v>
      </c>
      <c r="L307" t="n">
        <v>0.25</v>
      </c>
      <c r="M307" t="n">
        <v>158.38</v>
      </c>
      <c r="N307" t="n">
        <v>4.3</v>
      </c>
      <c r="O307" t="n">
        <v>40.6</v>
      </c>
      <c r="P307" t="inlineStr">
        <is>
          <t>Digital Wallet</t>
        </is>
      </c>
      <c r="Q307" t="inlineStr">
        <is>
          <t>Delivered</t>
        </is>
      </c>
      <c r="R307" t="n">
        <v/>
      </c>
    </row>
    <row r="308">
      <c r="A308" t="inlineStr">
        <is>
          <t>ORD1307</t>
        </is>
      </c>
      <c r="B308" t="inlineStr">
        <is>
          <t>2025-12-13</t>
        </is>
      </c>
      <c r="C308" t="inlineStr">
        <is>
          <t>14:00:40</t>
        </is>
      </c>
      <c r="D308" t="n">
        <v>1095</v>
      </c>
      <c r="E308" t="n">
        <v>108</v>
      </c>
      <c r="F308" t="n">
        <v>219</v>
      </c>
      <c r="G308" t="inlineStr">
        <is>
          <t>Delhi NCR</t>
        </is>
      </c>
      <c r="H308" t="inlineStr">
        <is>
          <t>Fast Food</t>
        </is>
      </c>
      <c r="I308" t="n">
        <v>474</v>
      </c>
      <c r="J308" t="n">
        <v>31.21</v>
      </c>
      <c r="K308" t="n">
        <v>25</v>
      </c>
      <c r="L308" t="n">
        <v>0.18</v>
      </c>
      <c r="M308" t="n">
        <v>91.56999999999999</v>
      </c>
      <c r="N308" t="n">
        <v>2.6</v>
      </c>
      <c r="O308" t="n">
        <v>33.7</v>
      </c>
      <c r="P308" t="inlineStr">
        <is>
          <t>Debit Card</t>
        </is>
      </c>
      <c r="Q308" t="inlineStr">
        <is>
          <t>Delivered</t>
        </is>
      </c>
      <c r="R308" t="n">
        <v>4</v>
      </c>
    </row>
    <row r="309">
      <c r="A309" t="inlineStr">
        <is>
          <t>ORD1308</t>
        </is>
      </c>
      <c r="B309" t="inlineStr">
        <is>
          <t>2025-07-16</t>
        </is>
      </c>
      <c r="C309" t="inlineStr">
        <is>
          <t>19:32:37</t>
        </is>
      </c>
      <c r="D309" t="n">
        <v>1028</v>
      </c>
      <c r="E309" t="n">
        <v>114</v>
      </c>
      <c r="F309" t="n">
        <v>215</v>
      </c>
      <c r="G309" t="inlineStr">
        <is>
          <t>Hyderabad</t>
        </is>
      </c>
      <c r="H309" t="inlineStr">
        <is>
          <t>Biryani</t>
        </is>
      </c>
      <c r="I309" t="n">
        <v>533</v>
      </c>
      <c r="J309" t="n">
        <v>0</v>
      </c>
      <c r="K309" t="n">
        <v>31</v>
      </c>
      <c r="L309" t="n">
        <v>0.22</v>
      </c>
      <c r="M309" t="n">
        <v>125.01</v>
      </c>
      <c r="N309" t="n">
        <v>4.2</v>
      </c>
      <c r="O309" t="n">
        <v>42</v>
      </c>
      <c r="P309" t="inlineStr">
        <is>
          <t>Debit Card</t>
        </is>
      </c>
      <c r="Q309" t="inlineStr">
        <is>
          <t>Delivered</t>
        </is>
      </c>
      <c r="R309" t="n">
        <v>1</v>
      </c>
    </row>
    <row r="310">
      <c r="A310" t="inlineStr">
        <is>
          <t>ORD1309</t>
        </is>
      </c>
      <c r="B310" t="inlineStr">
        <is>
          <t>2025-08-11</t>
        </is>
      </c>
      <c r="C310" t="inlineStr">
        <is>
          <t>17:56:43</t>
        </is>
      </c>
      <c r="D310" t="n">
        <v>1264</v>
      </c>
      <c r="E310" t="n">
        <v>105</v>
      </c>
      <c r="F310" t="n">
        <v>205</v>
      </c>
      <c r="G310" t="inlineStr">
        <is>
          <t>Bangalore</t>
        </is>
      </c>
      <c r="H310" t="inlineStr">
        <is>
          <t>Chinese</t>
        </is>
      </c>
      <c r="I310" t="n">
        <v>357</v>
      </c>
      <c r="J310" t="n">
        <v>0</v>
      </c>
      <c r="K310" t="n">
        <v>26.5</v>
      </c>
      <c r="L310" t="n">
        <v>0.2</v>
      </c>
      <c r="M310" t="n">
        <v>78.03</v>
      </c>
      <c r="N310" t="n">
        <v>3.3</v>
      </c>
      <c r="O310" t="n">
        <v>31.9</v>
      </c>
      <c r="P310" t="inlineStr">
        <is>
          <t>Debit Card</t>
        </is>
      </c>
      <c r="Q310" t="inlineStr">
        <is>
          <t>Delivered</t>
        </is>
      </c>
      <c r="R310" t="n">
        <v>5</v>
      </c>
    </row>
    <row r="311">
      <c r="A311" t="inlineStr">
        <is>
          <t>ORD1310</t>
        </is>
      </c>
      <c r="B311" t="inlineStr">
        <is>
          <t>2025-07-26</t>
        </is>
      </c>
      <c r="C311" t="inlineStr">
        <is>
          <t>20:01:14</t>
        </is>
      </c>
      <c r="D311" t="n">
        <v>1127</v>
      </c>
      <c r="E311" t="n">
        <v>112</v>
      </c>
      <c r="F311" t="n">
        <v>219</v>
      </c>
      <c r="G311" t="inlineStr">
        <is>
          <t>Delhi NCR</t>
        </is>
      </c>
      <c r="H311" t="inlineStr">
        <is>
          <t>North Indian</t>
        </is>
      </c>
      <c r="I311" t="n">
        <v>449</v>
      </c>
      <c r="J311" t="n">
        <v>45.3</v>
      </c>
      <c r="K311" t="n">
        <v>74.5</v>
      </c>
      <c r="L311" t="n">
        <v>0.22</v>
      </c>
      <c r="M311" t="n">
        <v>117.4</v>
      </c>
      <c r="N311" t="n">
        <v>12.9</v>
      </c>
      <c r="O311" t="n">
        <v>63.1</v>
      </c>
      <c r="P311" t="inlineStr">
        <is>
          <t>UPI</t>
        </is>
      </c>
      <c r="Q311" t="inlineStr">
        <is>
          <t>Delivered</t>
        </is>
      </c>
      <c r="R311" t="n">
        <v>1</v>
      </c>
    </row>
    <row r="312">
      <c r="A312" t="inlineStr">
        <is>
          <t>ORD1311</t>
        </is>
      </c>
      <c r="B312" t="inlineStr">
        <is>
          <t>2025-12-31</t>
        </is>
      </c>
      <c r="C312" t="inlineStr">
        <is>
          <t>18:41:50</t>
        </is>
      </c>
      <c r="D312" t="n">
        <v>1216</v>
      </c>
      <c r="E312" t="n">
        <v>106</v>
      </c>
      <c r="F312" t="n">
        <v>217</v>
      </c>
      <c r="G312" t="inlineStr">
        <is>
          <t>Pune</t>
        </is>
      </c>
      <c r="H312" t="inlineStr">
        <is>
          <t>South Indian</t>
        </is>
      </c>
      <c r="I312" t="n">
        <v>258</v>
      </c>
      <c r="J312" t="n">
        <v>0</v>
      </c>
      <c r="K312" t="n">
        <v>48.5</v>
      </c>
      <c r="L312" t="n">
        <v>0.15</v>
      </c>
      <c r="M312" t="n">
        <v>50.82</v>
      </c>
      <c r="N312" t="n">
        <v>7.7</v>
      </c>
      <c r="O312" t="n">
        <v>42</v>
      </c>
      <c r="P312" t="inlineStr">
        <is>
          <t>Digital Wallet</t>
        </is>
      </c>
      <c r="Q312" t="inlineStr">
        <is>
          <t>Delivered</t>
        </is>
      </c>
      <c r="R312" t="n">
        <v>3</v>
      </c>
    </row>
    <row r="313">
      <c r="A313" t="inlineStr">
        <is>
          <t>ORD1312</t>
        </is>
      </c>
      <c r="B313" t="inlineStr">
        <is>
          <t>2025-12-01</t>
        </is>
      </c>
      <c r="C313" t="inlineStr">
        <is>
          <t>19:53:01</t>
        </is>
      </c>
      <c r="D313" t="n">
        <v>1087</v>
      </c>
      <c r="E313" t="n">
        <v>106</v>
      </c>
      <c r="F313" t="n">
        <v>217</v>
      </c>
      <c r="G313" t="inlineStr">
        <is>
          <t>Pune</t>
        </is>
      </c>
      <c r="H313" t="inlineStr">
        <is>
          <t>South Indian</t>
        </is>
      </c>
      <c r="I313" t="n">
        <v>269</v>
      </c>
      <c r="J313" t="n">
        <v>26.44</v>
      </c>
      <c r="K313" t="n">
        <v>25</v>
      </c>
      <c r="L313" t="n">
        <v>0.15</v>
      </c>
      <c r="M313" t="n">
        <v>46.6</v>
      </c>
      <c r="N313" t="n">
        <v>2.3</v>
      </c>
      <c r="O313" t="n">
        <v>25.7</v>
      </c>
      <c r="P313" t="inlineStr">
        <is>
          <t>Cash on Delivery</t>
        </is>
      </c>
      <c r="Q313" t="inlineStr">
        <is>
          <t>Delivered</t>
        </is>
      </c>
      <c r="R313" t="n">
        <v>4</v>
      </c>
    </row>
    <row r="314">
      <c r="A314" t="inlineStr">
        <is>
          <t>ORD1313</t>
        </is>
      </c>
      <c r="B314" t="inlineStr">
        <is>
          <t>2025-08-31</t>
        </is>
      </c>
      <c r="C314" t="inlineStr">
        <is>
          <t>21:44:09</t>
        </is>
      </c>
      <c r="D314" t="n">
        <v>1023</v>
      </c>
      <c r="E314" t="n">
        <v>115</v>
      </c>
      <c r="F314" t="n">
        <v>203</v>
      </c>
      <c r="G314" t="inlineStr">
        <is>
          <t>Bangalore</t>
        </is>
      </c>
      <c r="H314" t="inlineStr">
        <is>
          <t>Italian</t>
        </is>
      </c>
      <c r="I314" t="n">
        <v>430</v>
      </c>
      <c r="J314" t="n">
        <v>21.68</v>
      </c>
      <c r="K314" t="n">
        <v>35</v>
      </c>
      <c r="L314" t="n">
        <v>0.2</v>
      </c>
      <c r="M314" t="n">
        <v>94.75</v>
      </c>
      <c r="N314" t="n">
        <v>5</v>
      </c>
      <c r="O314" t="n">
        <v>34.8</v>
      </c>
      <c r="P314" t="inlineStr">
        <is>
          <t>UPI</t>
        </is>
      </c>
      <c r="Q314" t="inlineStr">
        <is>
          <t>Delivered</t>
        </is>
      </c>
      <c r="R314" t="n">
        <v>5</v>
      </c>
    </row>
    <row r="315">
      <c r="A315" t="inlineStr">
        <is>
          <t>ORD1314</t>
        </is>
      </c>
      <c r="B315" t="inlineStr">
        <is>
          <t>2025-02-23</t>
        </is>
      </c>
      <c r="C315" t="inlineStr">
        <is>
          <t>10:32:46</t>
        </is>
      </c>
      <c r="D315" t="n">
        <v>1231</v>
      </c>
      <c r="E315" t="n">
        <v>111</v>
      </c>
      <c r="F315" t="n">
        <v>201</v>
      </c>
      <c r="G315" t="inlineStr">
        <is>
          <t>Bangalore</t>
        </is>
      </c>
      <c r="H315" t="inlineStr">
        <is>
          <t>South Indian</t>
        </is>
      </c>
      <c r="I315" t="n">
        <v>852</v>
      </c>
      <c r="J315" t="n">
        <v>49.62</v>
      </c>
      <c r="K315" t="n">
        <v>38</v>
      </c>
      <c r="L315" t="n">
        <v>0.15</v>
      </c>
      <c r="M315" t="n">
        <v>137.3</v>
      </c>
      <c r="N315" t="n">
        <v>5.6</v>
      </c>
      <c r="O315" t="n">
        <v>43.4</v>
      </c>
      <c r="P315" t="inlineStr">
        <is>
          <t>UPI</t>
        </is>
      </c>
      <c r="Q315" t="inlineStr">
        <is>
          <t>Delivered</t>
        </is>
      </c>
      <c r="R315" t="n">
        <v>4</v>
      </c>
    </row>
    <row r="316">
      <c r="A316" t="inlineStr">
        <is>
          <t>ORD1315</t>
        </is>
      </c>
      <c r="B316" t="inlineStr">
        <is>
          <t>2025-05-15</t>
        </is>
      </c>
      <c r="C316" t="inlineStr">
        <is>
          <t>11:53:33</t>
        </is>
      </c>
      <c r="D316" t="n">
        <v>1247</v>
      </c>
      <c r="E316" t="n">
        <v>115</v>
      </c>
      <c r="F316" t="n">
        <v>220</v>
      </c>
      <c r="G316" t="inlineStr">
        <is>
          <t>Bangalore</t>
        </is>
      </c>
      <c r="H316" t="inlineStr">
        <is>
          <t>Italian</t>
        </is>
      </c>
      <c r="I316" t="n">
        <v>426</v>
      </c>
      <c r="J316" t="n">
        <v>0</v>
      </c>
      <c r="K316" t="n">
        <v>25</v>
      </c>
      <c r="L316" t="n">
        <v>0.2</v>
      </c>
      <c r="M316" t="n">
        <v>91.45</v>
      </c>
      <c r="N316" t="n">
        <v>2.1</v>
      </c>
      <c r="O316" t="n">
        <v>22.1</v>
      </c>
      <c r="P316" t="inlineStr">
        <is>
          <t>Credit Card</t>
        </is>
      </c>
      <c r="Q316" t="inlineStr">
        <is>
          <t>Delivered</t>
        </is>
      </c>
      <c r="R316" t="n">
        <v>4</v>
      </c>
    </row>
    <row r="317">
      <c r="A317" t="inlineStr">
        <is>
          <t>ORD1316</t>
        </is>
      </c>
      <c r="B317" t="inlineStr">
        <is>
          <t>2025-04-17</t>
        </is>
      </c>
      <c r="C317" t="inlineStr">
        <is>
          <t>23:44:59</t>
        </is>
      </c>
      <c r="D317" t="n">
        <v>1254</v>
      </c>
      <c r="E317" t="n">
        <v>119</v>
      </c>
      <c r="F317" t="n">
        <v>215</v>
      </c>
      <c r="G317" t="inlineStr">
        <is>
          <t>Hyderabad</t>
        </is>
      </c>
      <c r="H317" t="inlineStr">
        <is>
          <t>Biryani</t>
        </is>
      </c>
      <c r="I317" t="n">
        <v>712</v>
      </c>
      <c r="J317" t="n">
        <v>0</v>
      </c>
      <c r="K317" t="n">
        <v>30</v>
      </c>
      <c r="L317" t="n">
        <v>0.2</v>
      </c>
      <c r="M317" t="n">
        <v>149.9</v>
      </c>
      <c r="N317" t="n">
        <v>4</v>
      </c>
      <c r="O317" t="n">
        <v>24</v>
      </c>
      <c r="P317" t="inlineStr">
        <is>
          <t>UPI</t>
        </is>
      </c>
      <c r="Q317" t="inlineStr">
        <is>
          <t>Delivered</t>
        </is>
      </c>
      <c r="R317" t="n">
        <v>5</v>
      </c>
    </row>
    <row r="318">
      <c r="A318" t="inlineStr">
        <is>
          <t>ORD1317</t>
        </is>
      </c>
      <c r="B318" t="inlineStr">
        <is>
          <t>2025-03-18</t>
        </is>
      </c>
      <c r="C318" t="inlineStr">
        <is>
          <t>12:05:49</t>
        </is>
      </c>
      <c r="D318" t="n">
        <v>1255</v>
      </c>
      <c r="E318" t="n">
        <v>110</v>
      </c>
      <c r="F318" t="n">
        <v>208</v>
      </c>
      <c r="G318" t="inlineStr">
        <is>
          <t>Pune</t>
        </is>
      </c>
      <c r="H318" t="inlineStr">
        <is>
          <t>North Indian</t>
        </is>
      </c>
      <c r="I318" t="n">
        <v>743</v>
      </c>
      <c r="J318" t="n">
        <v>0</v>
      </c>
      <c r="K318" t="n">
        <v>47</v>
      </c>
      <c r="L318" t="n">
        <v>0.18</v>
      </c>
      <c r="M318" t="n">
        <v>145.49</v>
      </c>
      <c r="N318" t="n">
        <v>7.4</v>
      </c>
      <c r="O318" t="n">
        <v>52.5</v>
      </c>
      <c r="P318" t="inlineStr">
        <is>
          <t>Debit Card</t>
        </is>
      </c>
      <c r="Q318" t="inlineStr">
        <is>
          <t>Delivered</t>
        </is>
      </c>
      <c r="R318" t="n">
        <v>2</v>
      </c>
    </row>
    <row r="319">
      <c r="A319" t="inlineStr">
        <is>
          <t>ORD1318</t>
        </is>
      </c>
      <c r="B319" t="inlineStr">
        <is>
          <t>2025-05-16</t>
        </is>
      </c>
      <c r="C319" t="inlineStr">
        <is>
          <t>10:29:03</t>
        </is>
      </c>
      <c r="D319" t="n">
        <v>1089</v>
      </c>
      <c r="E319" t="n">
        <v>111</v>
      </c>
      <c r="F319" t="n">
        <v>223</v>
      </c>
      <c r="G319" t="inlineStr">
        <is>
          <t>Bangalore</t>
        </is>
      </c>
      <c r="H319" t="inlineStr">
        <is>
          <t>South Indian</t>
        </is>
      </c>
      <c r="I319" t="n">
        <v>630</v>
      </c>
      <c r="J319" t="n">
        <v>74.01000000000001</v>
      </c>
      <c r="K319" t="n">
        <v>0</v>
      </c>
      <c r="L319" t="n">
        <v>0.15</v>
      </c>
      <c r="M319" t="n">
        <v>94.5</v>
      </c>
      <c r="N319" t="n">
        <v>5.1</v>
      </c>
      <c r="O319" t="n">
        <v>28.8</v>
      </c>
      <c r="P319" t="inlineStr">
        <is>
          <t>Debit Card</t>
        </is>
      </c>
      <c r="Q319" t="inlineStr">
        <is>
          <t>Delivered</t>
        </is>
      </c>
      <c r="R319" t="n">
        <v>5</v>
      </c>
    </row>
    <row r="320">
      <c r="A320" t="inlineStr">
        <is>
          <t>ORD1319</t>
        </is>
      </c>
      <c r="B320" t="inlineStr">
        <is>
          <t>2025-03-01</t>
        </is>
      </c>
      <c r="C320" t="inlineStr">
        <is>
          <t>19:06:54</t>
        </is>
      </c>
      <c r="D320" t="n">
        <v>1041</v>
      </c>
      <c r="E320" t="n">
        <v>109</v>
      </c>
      <c r="F320" t="n">
        <v>215</v>
      </c>
      <c r="G320" t="inlineStr">
        <is>
          <t>Hyderabad</t>
        </is>
      </c>
      <c r="H320" t="inlineStr">
        <is>
          <t>Biryani</t>
        </is>
      </c>
      <c r="I320" t="n">
        <v>266</v>
      </c>
      <c r="J320" t="n">
        <v>0</v>
      </c>
      <c r="K320" t="n">
        <v>25</v>
      </c>
      <c r="L320" t="n">
        <v>0.2</v>
      </c>
      <c r="M320" t="n">
        <v>59.45</v>
      </c>
      <c r="N320" t="n">
        <v>2.9</v>
      </c>
      <c r="O320" t="n">
        <v>24.9</v>
      </c>
      <c r="P320" t="inlineStr">
        <is>
          <t>Credit Card</t>
        </is>
      </c>
      <c r="Q320" t="inlineStr">
        <is>
          <t>Delivered</t>
        </is>
      </c>
      <c r="R320" t="n">
        <v>5</v>
      </c>
    </row>
    <row r="321">
      <c r="A321" t="inlineStr">
        <is>
          <t>ORD1320</t>
        </is>
      </c>
      <c r="B321" t="inlineStr">
        <is>
          <t>2025-11-15</t>
        </is>
      </c>
      <c r="C321" t="inlineStr">
        <is>
          <t>15:17:56</t>
        </is>
      </c>
      <c r="D321" t="n">
        <v>1295</v>
      </c>
      <c r="E321" t="n">
        <v>104</v>
      </c>
      <c r="F321" t="n">
        <v>221</v>
      </c>
      <c r="G321" t="inlineStr">
        <is>
          <t>Delhi NCR</t>
        </is>
      </c>
      <c r="H321" t="inlineStr">
        <is>
          <t>Fast Food</t>
        </is>
      </c>
      <c r="I321" t="n">
        <v>315</v>
      </c>
      <c r="J321" t="n">
        <v>0</v>
      </c>
      <c r="K321" t="n">
        <v>34.5</v>
      </c>
      <c r="L321" t="n">
        <v>0.18</v>
      </c>
      <c r="M321" t="n">
        <v>65.31999999999999</v>
      </c>
      <c r="N321" t="n">
        <v>4.9</v>
      </c>
      <c r="O321" t="n">
        <v>31.9</v>
      </c>
      <c r="P321" t="inlineStr">
        <is>
          <t>UPI</t>
        </is>
      </c>
      <c r="Q321" t="inlineStr">
        <is>
          <t>Delivered</t>
        </is>
      </c>
      <c r="R321" t="n">
        <v>4</v>
      </c>
    </row>
    <row r="322">
      <c r="A322" t="inlineStr">
        <is>
          <t>ORD1321</t>
        </is>
      </c>
      <c r="B322" t="inlineStr">
        <is>
          <t>2025-05-20</t>
        </is>
      </c>
      <c r="C322" t="inlineStr">
        <is>
          <t>20:53:24</t>
        </is>
      </c>
      <c r="D322" t="n">
        <v>1171</v>
      </c>
      <c r="E322" t="n">
        <v>102</v>
      </c>
      <c r="F322" t="n">
        <v>215</v>
      </c>
      <c r="G322" t="inlineStr">
        <is>
          <t>Hyderabad</t>
        </is>
      </c>
      <c r="H322" t="inlineStr">
        <is>
          <t>Biryani</t>
        </is>
      </c>
      <c r="I322" t="n">
        <v>926</v>
      </c>
      <c r="J322" t="n">
        <v>101.44</v>
      </c>
      <c r="K322" t="n">
        <v>38.5</v>
      </c>
      <c r="L322" t="n">
        <v>0.22</v>
      </c>
      <c r="M322" t="n">
        <v>213.34</v>
      </c>
      <c r="N322" t="n">
        <v>5.7</v>
      </c>
      <c r="O322" t="n">
        <v>41.7</v>
      </c>
      <c r="P322" t="inlineStr">
        <is>
          <t>Credit Card</t>
        </is>
      </c>
      <c r="Q322" t="inlineStr">
        <is>
          <t>Delivered</t>
        </is>
      </c>
      <c r="R322" t="n">
        <v>3</v>
      </c>
    </row>
    <row r="323">
      <c r="A323" t="inlineStr">
        <is>
          <t>ORD1322</t>
        </is>
      </c>
      <c r="B323" t="inlineStr">
        <is>
          <t>2025-12-23</t>
        </is>
      </c>
      <c r="C323" t="inlineStr">
        <is>
          <t>07:46:03</t>
        </is>
      </c>
      <c r="D323" t="n">
        <v>1040</v>
      </c>
      <c r="E323" t="n">
        <v>120</v>
      </c>
      <c r="F323" t="n">
        <v>217</v>
      </c>
      <c r="G323" t="inlineStr">
        <is>
          <t>Pune</t>
        </is>
      </c>
      <c r="H323" t="inlineStr">
        <is>
          <t>Fast Food</t>
        </is>
      </c>
      <c r="I323" t="n">
        <v>383</v>
      </c>
      <c r="J323" t="n">
        <v>0</v>
      </c>
      <c r="K323" t="n">
        <v>35</v>
      </c>
      <c r="L323" t="n">
        <v>0.18</v>
      </c>
      <c r="M323" t="n">
        <v>77.69</v>
      </c>
      <c r="N323" t="n">
        <v>5</v>
      </c>
      <c r="O323" t="n">
        <v>43.2</v>
      </c>
      <c r="P323" t="inlineStr">
        <is>
          <t>Cash on Delivery</t>
        </is>
      </c>
      <c r="Q323" t="inlineStr">
        <is>
          <t>Delivered</t>
        </is>
      </c>
      <c r="R323" t="n">
        <v>1</v>
      </c>
    </row>
    <row r="324">
      <c r="A324" t="inlineStr">
        <is>
          <t>ORD1323</t>
        </is>
      </c>
      <c r="B324" t="inlineStr">
        <is>
          <t>2025-07-03</t>
        </is>
      </c>
      <c r="C324" t="inlineStr">
        <is>
          <t>20:39:01</t>
        </is>
      </c>
      <c r="D324" t="n">
        <v>1056</v>
      </c>
      <c r="E324" t="n">
        <v>114</v>
      </c>
      <c r="F324" t="n">
        <v>215</v>
      </c>
      <c r="G324" t="inlineStr">
        <is>
          <t>Hyderabad</t>
        </is>
      </c>
      <c r="H324" t="inlineStr">
        <is>
          <t>Biryani</t>
        </is>
      </c>
      <c r="I324" t="n">
        <v>1245</v>
      </c>
      <c r="J324" t="n">
        <v>228.9</v>
      </c>
      <c r="K324" t="n">
        <v>0</v>
      </c>
      <c r="L324" t="n">
        <v>0.22</v>
      </c>
      <c r="M324" t="n">
        <v>273.9</v>
      </c>
      <c r="N324" t="n">
        <v>1.1</v>
      </c>
      <c r="O324" t="n">
        <v>27.9</v>
      </c>
      <c r="P324" t="inlineStr">
        <is>
          <t>Credit Card</t>
        </is>
      </c>
      <c r="Q324" t="inlineStr">
        <is>
          <t>Delivered</t>
        </is>
      </c>
      <c r="R324" t="n">
        <v>5</v>
      </c>
    </row>
    <row r="325">
      <c r="A325" t="inlineStr">
        <is>
          <t>ORD1324</t>
        </is>
      </c>
      <c r="B325" t="inlineStr">
        <is>
          <t>2025-07-30</t>
        </is>
      </c>
      <c r="C325" t="inlineStr">
        <is>
          <t>13:28:02</t>
        </is>
      </c>
      <c r="D325" t="n">
        <v>1096</v>
      </c>
      <c r="E325" t="n">
        <v>102</v>
      </c>
      <c r="F325" t="n">
        <v>215</v>
      </c>
      <c r="G325" t="inlineStr">
        <is>
          <t>Hyderabad</t>
        </is>
      </c>
      <c r="H325" t="inlineStr">
        <is>
          <t>Biryani</t>
        </is>
      </c>
      <c r="I325" t="n">
        <v>284</v>
      </c>
      <c r="J325" t="n">
        <v>0</v>
      </c>
      <c r="K325" t="n">
        <v>51.5</v>
      </c>
      <c r="L325" t="n">
        <v>0.22</v>
      </c>
      <c r="M325" t="n">
        <v>75.34999999999999</v>
      </c>
      <c r="N325" t="n">
        <v>8.300000000000001</v>
      </c>
      <c r="O325" t="n">
        <v>54.9</v>
      </c>
      <c r="P325" t="inlineStr">
        <is>
          <t>Digital Wallet</t>
        </is>
      </c>
      <c r="Q325" t="inlineStr">
        <is>
          <t>Delivered</t>
        </is>
      </c>
      <c r="R325" t="n">
        <v>1</v>
      </c>
    </row>
    <row r="326">
      <c r="A326" t="inlineStr">
        <is>
          <t>ORD1325</t>
        </is>
      </c>
      <c r="B326" t="inlineStr">
        <is>
          <t>2025-08-10</t>
        </is>
      </c>
      <c r="C326" t="inlineStr">
        <is>
          <t>11:42:46</t>
        </is>
      </c>
      <c r="D326" t="n">
        <v>1143</v>
      </c>
      <c r="E326" t="n">
        <v>114</v>
      </c>
      <c r="F326" t="n">
        <v>216</v>
      </c>
      <c r="G326" t="inlineStr">
        <is>
          <t>Hyderabad</t>
        </is>
      </c>
      <c r="H326" t="inlineStr">
        <is>
          <t>Biryani</t>
        </is>
      </c>
      <c r="I326" t="n">
        <v>474</v>
      </c>
      <c r="J326" t="n">
        <v>0</v>
      </c>
      <c r="K326" t="n">
        <v>35.5</v>
      </c>
      <c r="L326" t="n">
        <v>0.22</v>
      </c>
      <c r="M326" t="n">
        <v>113.16</v>
      </c>
      <c r="N326" t="n">
        <v>5.1</v>
      </c>
      <c r="O326" t="n">
        <v>36</v>
      </c>
      <c r="P326" t="inlineStr">
        <is>
          <t>Cash on Delivery</t>
        </is>
      </c>
      <c r="Q326" t="inlineStr">
        <is>
          <t>Delivered</t>
        </is>
      </c>
      <c r="R326" t="n">
        <v>5</v>
      </c>
    </row>
    <row r="327">
      <c r="A327" t="inlineStr">
        <is>
          <t>ORD1326</t>
        </is>
      </c>
      <c r="B327" t="inlineStr">
        <is>
          <t>2025-01-06</t>
        </is>
      </c>
      <c r="C327" t="inlineStr">
        <is>
          <t>18:41:59</t>
        </is>
      </c>
      <c r="D327" t="n">
        <v>1190</v>
      </c>
      <c r="E327" t="n">
        <v>109</v>
      </c>
      <c r="F327" t="n">
        <v>215</v>
      </c>
      <c r="G327" t="inlineStr">
        <is>
          <t>Hyderabad</t>
        </is>
      </c>
      <c r="H327" t="inlineStr">
        <is>
          <t>Biryani</t>
        </is>
      </c>
      <c r="I327" t="n">
        <v>380</v>
      </c>
      <c r="J327" t="n">
        <v>14.27</v>
      </c>
      <c r="K327" t="n">
        <v>52.5</v>
      </c>
      <c r="L327" t="n">
        <v>0.2</v>
      </c>
      <c r="M327" t="n">
        <v>89.12</v>
      </c>
      <c r="N327" t="n">
        <v>8.5</v>
      </c>
      <c r="O327" t="n">
        <v>41.4</v>
      </c>
      <c r="P327" t="inlineStr">
        <is>
          <t>Credit Card</t>
        </is>
      </c>
      <c r="Q327" t="inlineStr">
        <is>
          <t>Delivered</t>
        </is>
      </c>
      <c r="R327" t="n">
        <v>2</v>
      </c>
    </row>
    <row r="328">
      <c r="A328" t="inlineStr">
        <is>
          <t>ORD1327</t>
        </is>
      </c>
      <c r="B328" t="inlineStr">
        <is>
          <t>2025-06-14</t>
        </is>
      </c>
      <c r="C328" t="inlineStr">
        <is>
          <t>18:15:21</t>
        </is>
      </c>
      <c r="D328" t="n">
        <v>1098</v>
      </c>
      <c r="E328" t="n">
        <v>118</v>
      </c>
      <c r="F328" t="n">
        <v>211</v>
      </c>
      <c r="G328" t="inlineStr">
        <is>
          <t>Delhi NCR</t>
        </is>
      </c>
      <c r="H328" t="inlineStr">
        <is>
          <t>North Indian</t>
        </is>
      </c>
      <c r="I328" t="n">
        <v>504</v>
      </c>
      <c r="J328" t="n">
        <v>0</v>
      </c>
      <c r="K328" t="n">
        <v>33</v>
      </c>
      <c r="L328" t="n">
        <v>0.2</v>
      </c>
      <c r="M328" t="n">
        <v>109.05</v>
      </c>
      <c r="N328" t="n">
        <v>4.6</v>
      </c>
      <c r="O328" t="n">
        <v>34.8</v>
      </c>
      <c r="P328" t="inlineStr">
        <is>
          <t>Cash on Delivery</t>
        </is>
      </c>
      <c r="Q328" t="inlineStr">
        <is>
          <t>Delivered</t>
        </is>
      </c>
      <c r="R328" t="n">
        <v>3</v>
      </c>
    </row>
    <row r="329">
      <c r="A329" t="inlineStr">
        <is>
          <t>ORD1328</t>
        </is>
      </c>
      <c r="B329" t="inlineStr">
        <is>
          <t>2025-08-24</t>
        </is>
      </c>
      <c r="C329" t="inlineStr">
        <is>
          <t>06:28:51</t>
        </is>
      </c>
      <c r="D329" t="n">
        <v>1102</v>
      </c>
      <c r="E329" t="n">
        <v>107</v>
      </c>
      <c r="F329" t="n">
        <v>202</v>
      </c>
      <c r="G329" t="inlineStr">
        <is>
          <t>Mumbai</t>
        </is>
      </c>
      <c r="H329" t="inlineStr">
        <is>
          <t>Desserts</t>
        </is>
      </c>
      <c r="I329" t="n">
        <v>806</v>
      </c>
      <c r="J329" t="n">
        <v>65.58</v>
      </c>
      <c r="K329" t="n">
        <v>25</v>
      </c>
      <c r="L329" t="n">
        <v>0.25</v>
      </c>
      <c r="M329" t="n">
        <v>207.75</v>
      </c>
      <c r="N329" t="n">
        <v>1.7</v>
      </c>
      <c r="O329" t="n">
        <v>28</v>
      </c>
      <c r="P329" t="inlineStr">
        <is>
          <t>Cash on Delivery</t>
        </is>
      </c>
      <c r="Q329" t="inlineStr">
        <is>
          <t>Delivered</t>
        </is>
      </c>
      <c r="R329" t="n">
        <v>5</v>
      </c>
    </row>
    <row r="330">
      <c r="A330" t="inlineStr">
        <is>
          <t>ORD1329</t>
        </is>
      </c>
      <c r="B330" t="inlineStr">
        <is>
          <t>2025-12-01</t>
        </is>
      </c>
      <c r="C330" t="inlineStr">
        <is>
          <t>12:01:06</t>
        </is>
      </c>
      <c r="D330" t="n">
        <v>1037</v>
      </c>
      <c r="E330" t="n">
        <v>101</v>
      </c>
      <c r="F330" t="n">
        <v>210</v>
      </c>
      <c r="G330" t="inlineStr">
        <is>
          <t>Bangalore</t>
        </is>
      </c>
      <c r="H330" t="inlineStr">
        <is>
          <t>North Indian</t>
        </is>
      </c>
      <c r="I330" t="n">
        <v>633</v>
      </c>
      <c r="J330" t="n">
        <v>0</v>
      </c>
      <c r="K330" t="n">
        <v>47</v>
      </c>
      <c r="L330" t="n">
        <v>0.2</v>
      </c>
      <c r="M330" t="n">
        <v>138.35</v>
      </c>
      <c r="N330" t="n">
        <v>7.4</v>
      </c>
      <c r="O330" t="n">
        <v>48.4</v>
      </c>
      <c r="P330" t="inlineStr">
        <is>
          <t>UPI</t>
        </is>
      </c>
      <c r="Q330" t="inlineStr">
        <is>
          <t>Delivered</t>
        </is>
      </c>
      <c r="R330" t="n">
        <v>2</v>
      </c>
    </row>
    <row r="331">
      <c r="A331" t="inlineStr">
        <is>
          <t>ORD1330</t>
        </is>
      </c>
      <c r="B331" t="inlineStr">
        <is>
          <t>2025-09-18</t>
        </is>
      </c>
      <c r="C331" t="inlineStr">
        <is>
          <t>19:35:13</t>
        </is>
      </c>
      <c r="D331" t="n">
        <v>1234</v>
      </c>
      <c r="E331" t="n">
        <v>120</v>
      </c>
      <c r="F331" t="n">
        <v>208</v>
      </c>
      <c r="G331" t="inlineStr">
        <is>
          <t>Pune</t>
        </is>
      </c>
      <c r="H331" t="inlineStr">
        <is>
          <t>Fast Food</t>
        </is>
      </c>
      <c r="I331" t="n">
        <v>890</v>
      </c>
      <c r="J331" t="n">
        <v>67.67</v>
      </c>
      <c r="K331" t="n">
        <v>29.5</v>
      </c>
      <c r="L331" t="n">
        <v>0.18</v>
      </c>
      <c r="M331" t="n">
        <v>167.58</v>
      </c>
      <c r="N331" t="n">
        <v>3.9</v>
      </c>
      <c r="O331" t="n">
        <v>31.5</v>
      </c>
      <c r="P331" t="inlineStr">
        <is>
          <t>UPI</t>
        </is>
      </c>
      <c r="Q331" t="inlineStr">
        <is>
          <t>Delivered</t>
        </is>
      </c>
      <c r="R331" t="n">
        <v>5</v>
      </c>
    </row>
    <row r="332">
      <c r="A332" t="inlineStr">
        <is>
          <t>ORD1331</t>
        </is>
      </c>
      <c r="B332" t="inlineStr">
        <is>
          <t>2025-06-19</t>
        </is>
      </c>
      <c r="C332" t="inlineStr">
        <is>
          <t>17:35:49</t>
        </is>
      </c>
      <c r="D332" t="n">
        <v>1230</v>
      </c>
      <c r="E332" t="n">
        <v>114</v>
      </c>
      <c r="F332" t="n">
        <v>216</v>
      </c>
      <c r="G332" t="inlineStr">
        <is>
          <t>Hyderabad</t>
        </is>
      </c>
      <c r="H332" t="inlineStr">
        <is>
          <t>Biryani</t>
        </is>
      </c>
      <c r="I332" t="n">
        <v>854</v>
      </c>
      <c r="J332" t="n">
        <v>78.56999999999999</v>
      </c>
      <c r="K332" t="n">
        <v>25</v>
      </c>
      <c r="L332" t="n">
        <v>0.22</v>
      </c>
      <c r="M332" t="n">
        <v>194.13</v>
      </c>
      <c r="N332" t="n">
        <v>2.4</v>
      </c>
      <c r="O332" t="n">
        <v>36.6</v>
      </c>
      <c r="P332" t="inlineStr">
        <is>
          <t>Debit Card</t>
        </is>
      </c>
      <c r="Q332" t="inlineStr">
        <is>
          <t>Delivered</t>
        </is>
      </c>
      <c r="R332" t="n">
        <v>3</v>
      </c>
    </row>
    <row r="333">
      <c r="A333" t="inlineStr">
        <is>
          <t>ORD1332</t>
        </is>
      </c>
      <c r="B333" t="inlineStr">
        <is>
          <t>2025-12-04</t>
        </is>
      </c>
      <c r="C333" t="inlineStr">
        <is>
          <t>17:14:00</t>
        </is>
      </c>
      <c r="D333" t="n">
        <v>1206</v>
      </c>
      <c r="E333" t="n">
        <v>107</v>
      </c>
      <c r="F333" t="n">
        <v>206</v>
      </c>
      <c r="G333" t="inlineStr">
        <is>
          <t>Mumbai</t>
        </is>
      </c>
      <c r="H333" t="inlineStr">
        <is>
          <t>Desserts</t>
        </is>
      </c>
      <c r="I333" t="n">
        <v>569</v>
      </c>
      <c r="J333" t="n">
        <v>0</v>
      </c>
      <c r="K333" t="n">
        <v>28.5</v>
      </c>
      <c r="L333" t="n">
        <v>0.25</v>
      </c>
      <c r="M333" t="n">
        <v>149.38</v>
      </c>
      <c r="N333" t="n">
        <v>3.7</v>
      </c>
      <c r="O333" t="n">
        <v>29.4</v>
      </c>
      <c r="P333" t="inlineStr">
        <is>
          <t>Debit Card</t>
        </is>
      </c>
      <c r="Q333" t="inlineStr">
        <is>
          <t>Delivered</t>
        </is>
      </c>
      <c r="R333" t="n">
        <v>2</v>
      </c>
    </row>
    <row r="334">
      <c r="A334" t="inlineStr">
        <is>
          <t>ORD1333</t>
        </is>
      </c>
      <c r="B334" t="inlineStr">
        <is>
          <t>2025-03-26</t>
        </is>
      </c>
      <c r="C334" t="inlineStr">
        <is>
          <t>22:31:08</t>
        </is>
      </c>
      <c r="D334" t="n">
        <v>1206</v>
      </c>
      <c r="E334" t="n">
        <v>117</v>
      </c>
      <c r="F334" t="n">
        <v>222</v>
      </c>
      <c r="G334" t="inlineStr">
        <is>
          <t>Mumbai</t>
        </is>
      </c>
      <c r="H334" t="inlineStr">
        <is>
          <t>Chinese</t>
        </is>
      </c>
      <c r="I334" t="n">
        <v>639</v>
      </c>
      <c r="J334" t="n">
        <v>0</v>
      </c>
      <c r="K334" t="n">
        <v>29</v>
      </c>
      <c r="L334" t="n">
        <v>0.2</v>
      </c>
      <c r="M334" t="n">
        <v>135.05</v>
      </c>
      <c r="N334" t="n">
        <v>3.8</v>
      </c>
      <c r="O334" t="n">
        <v>30.5</v>
      </c>
      <c r="P334" t="inlineStr">
        <is>
          <t>Credit Card</t>
        </is>
      </c>
      <c r="Q334" t="inlineStr">
        <is>
          <t>Delivered</t>
        </is>
      </c>
      <c r="R334" t="n">
        <v>5</v>
      </c>
    </row>
    <row r="335">
      <c r="A335" t="inlineStr">
        <is>
          <t>ORD1334</t>
        </is>
      </c>
      <c r="B335" t="inlineStr">
        <is>
          <t>2025-04-21</t>
        </is>
      </c>
      <c r="C335" t="inlineStr">
        <is>
          <t>15:29:52</t>
        </is>
      </c>
      <c r="D335" t="n">
        <v>1003</v>
      </c>
      <c r="E335" t="n">
        <v>116</v>
      </c>
      <c r="F335" t="n">
        <v>226</v>
      </c>
      <c r="G335" t="inlineStr">
        <is>
          <t>Pune</t>
        </is>
      </c>
      <c r="H335" t="inlineStr">
        <is>
          <t>Desserts</t>
        </is>
      </c>
      <c r="I335" t="n">
        <v>415</v>
      </c>
      <c r="J335" t="n">
        <v>41.57</v>
      </c>
      <c r="K335" t="n">
        <v>25</v>
      </c>
      <c r="L335" t="n">
        <v>0.25</v>
      </c>
      <c r="M335" t="n">
        <v>110</v>
      </c>
      <c r="N335" t="n">
        <v>1.9</v>
      </c>
      <c r="O335" t="n">
        <v>20</v>
      </c>
      <c r="P335" t="inlineStr">
        <is>
          <t>Cash on Delivery</t>
        </is>
      </c>
      <c r="Q335" t="inlineStr">
        <is>
          <t>Delivered</t>
        </is>
      </c>
      <c r="R335" t="n">
        <v>4</v>
      </c>
    </row>
    <row r="336">
      <c r="A336" t="inlineStr">
        <is>
          <t>ORD1335</t>
        </is>
      </c>
      <c r="B336" t="inlineStr">
        <is>
          <t>2025-08-19</t>
        </is>
      </c>
      <c r="C336" t="inlineStr">
        <is>
          <t>09:29:42</t>
        </is>
      </c>
      <c r="D336" t="n">
        <v>1152</v>
      </c>
      <c r="E336" t="n">
        <v>102</v>
      </c>
      <c r="F336" t="n">
        <v>215</v>
      </c>
      <c r="G336" t="inlineStr">
        <is>
          <t>Hyderabad</t>
        </is>
      </c>
      <c r="H336" t="inlineStr">
        <is>
          <t>Biryani</t>
        </is>
      </c>
      <c r="I336" t="n">
        <v>823</v>
      </c>
      <c r="J336" t="n">
        <v>8.859999999999999</v>
      </c>
      <c r="K336" t="n">
        <v>44.5</v>
      </c>
      <c r="L336" t="n">
        <v>0.22</v>
      </c>
      <c r="M336" t="n">
        <v>192.18</v>
      </c>
      <c r="N336" t="n">
        <v>6.9</v>
      </c>
      <c r="O336" t="n">
        <v>38.2</v>
      </c>
      <c r="P336" t="inlineStr">
        <is>
          <t>Digital Wallet</t>
        </is>
      </c>
      <c r="Q336" t="inlineStr">
        <is>
          <t>Delivered</t>
        </is>
      </c>
      <c r="R336" t="n">
        <v>4</v>
      </c>
    </row>
    <row r="337">
      <c r="A337" t="inlineStr">
        <is>
          <t>ORD1336</t>
        </is>
      </c>
      <c r="B337" t="inlineStr">
        <is>
          <t>2025-09-18</t>
        </is>
      </c>
      <c r="C337" t="inlineStr">
        <is>
          <t>21:49:58</t>
        </is>
      </c>
      <c r="D337" t="n">
        <v>1217</v>
      </c>
      <c r="E337" t="n">
        <v>119</v>
      </c>
      <c r="F337" t="n">
        <v>215</v>
      </c>
      <c r="G337" t="inlineStr">
        <is>
          <t>Hyderabad</t>
        </is>
      </c>
      <c r="H337" t="inlineStr">
        <is>
          <t>Biryani</t>
        </is>
      </c>
      <c r="I337" t="n">
        <v>401</v>
      </c>
      <c r="J337" t="n">
        <v>5.57</v>
      </c>
      <c r="K337" t="n">
        <v>40.5</v>
      </c>
      <c r="L337" t="n">
        <v>0.2</v>
      </c>
      <c r="M337" t="n">
        <v>90.31999999999999</v>
      </c>
      <c r="N337" t="n">
        <v>6.1</v>
      </c>
      <c r="O337" t="n">
        <v>44.5</v>
      </c>
      <c r="P337" t="inlineStr">
        <is>
          <t>UPI</t>
        </is>
      </c>
      <c r="Q337" t="inlineStr">
        <is>
          <t>Delivered</t>
        </is>
      </c>
      <c r="R337" t="n">
        <v>2</v>
      </c>
    </row>
    <row r="338">
      <c r="A338" t="inlineStr">
        <is>
          <t>ORD1337</t>
        </is>
      </c>
      <c r="B338" t="inlineStr">
        <is>
          <t>2025-08-03</t>
        </is>
      </c>
      <c r="C338" t="inlineStr">
        <is>
          <t>17:38:58</t>
        </is>
      </c>
      <c r="D338" t="n">
        <v>1226</v>
      </c>
      <c r="E338" t="n">
        <v>101</v>
      </c>
      <c r="F338" t="n">
        <v>210</v>
      </c>
      <c r="G338" t="inlineStr">
        <is>
          <t>Bangalore</t>
        </is>
      </c>
      <c r="H338" t="inlineStr">
        <is>
          <t>North Indian</t>
        </is>
      </c>
      <c r="I338" t="n">
        <v>929</v>
      </c>
      <c r="J338" t="n">
        <v>20.33</v>
      </c>
      <c r="K338" t="n">
        <v>28</v>
      </c>
      <c r="L338" t="n">
        <v>0.2</v>
      </c>
      <c r="M338" t="n">
        <v>192.8</v>
      </c>
      <c r="N338" t="n">
        <v>3.6</v>
      </c>
      <c r="O338" t="n">
        <v>37.6</v>
      </c>
      <c r="P338" t="inlineStr">
        <is>
          <t>Debit Card</t>
        </is>
      </c>
      <c r="Q338" t="inlineStr">
        <is>
          <t>Delivered</t>
        </is>
      </c>
      <c r="R338" t="n">
        <v>5</v>
      </c>
    </row>
    <row r="339">
      <c r="A339" t="inlineStr">
        <is>
          <t>ORD1338</t>
        </is>
      </c>
      <c r="B339" t="inlineStr">
        <is>
          <t>2025-07-31</t>
        </is>
      </c>
      <c r="C339" t="inlineStr">
        <is>
          <t>19:38:44</t>
        </is>
      </c>
      <c r="D339" t="n">
        <v>1066</v>
      </c>
      <c r="E339" t="n">
        <v>110</v>
      </c>
      <c r="F339" t="n">
        <v>226</v>
      </c>
      <c r="G339" t="inlineStr">
        <is>
          <t>Pune</t>
        </is>
      </c>
      <c r="H339" t="inlineStr">
        <is>
          <t>North Indian</t>
        </is>
      </c>
      <c r="I339" t="n">
        <v>744</v>
      </c>
      <c r="J339" t="n">
        <v>0</v>
      </c>
      <c r="K339" t="n">
        <v>57</v>
      </c>
      <c r="L339" t="n">
        <v>0.18</v>
      </c>
      <c r="M339" t="n">
        <v>148.17</v>
      </c>
      <c r="N339" t="n">
        <v>9.4</v>
      </c>
      <c r="O339" t="n">
        <v>55.2</v>
      </c>
      <c r="P339" t="inlineStr">
        <is>
          <t>Debit Card</t>
        </is>
      </c>
      <c r="Q339" t="inlineStr">
        <is>
          <t>Delivered</t>
        </is>
      </c>
      <c r="R339" t="n">
        <v>3</v>
      </c>
    </row>
    <row r="340">
      <c r="A340" t="inlineStr">
        <is>
          <t>ORD1339</t>
        </is>
      </c>
      <c r="B340" t="inlineStr">
        <is>
          <t>2025-11-16</t>
        </is>
      </c>
      <c r="C340" t="inlineStr">
        <is>
          <t>12:45:18</t>
        </is>
      </c>
      <c r="D340" t="n">
        <v>1195</v>
      </c>
      <c r="E340" t="n">
        <v>113</v>
      </c>
      <c r="F340" t="n">
        <v>229</v>
      </c>
      <c r="G340" t="inlineStr">
        <is>
          <t>Mumbai</t>
        </is>
      </c>
      <c r="H340" t="inlineStr">
        <is>
          <t>Fast Food</t>
        </is>
      </c>
      <c r="I340" t="n">
        <v>923</v>
      </c>
      <c r="J340" t="n">
        <v>0</v>
      </c>
      <c r="K340" t="n">
        <v>25</v>
      </c>
      <c r="L340" t="n">
        <v>0.18</v>
      </c>
      <c r="M340" t="n">
        <v>172.39</v>
      </c>
      <c r="N340" t="n">
        <v>2.7</v>
      </c>
      <c r="O340" t="n">
        <v>31.4</v>
      </c>
      <c r="P340" t="inlineStr">
        <is>
          <t>Credit Card</t>
        </is>
      </c>
      <c r="Q340" t="inlineStr">
        <is>
          <t>Delivered</t>
        </is>
      </c>
      <c r="R340" t="n">
        <v>2</v>
      </c>
    </row>
    <row r="341">
      <c r="A341" t="inlineStr">
        <is>
          <t>ORD1340</t>
        </is>
      </c>
      <c r="B341" t="inlineStr">
        <is>
          <t>2025-10-15</t>
        </is>
      </c>
      <c r="C341" t="inlineStr">
        <is>
          <t>12:30:37</t>
        </is>
      </c>
      <c r="D341" t="n">
        <v>1108</v>
      </c>
      <c r="E341" t="n">
        <v>106</v>
      </c>
      <c r="F341" t="n">
        <v>204</v>
      </c>
      <c r="G341" t="inlineStr">
        <is>
          <t>Pune</t>
        </is>
      </c>
      <c r="H341" t="inlineStr">
        <is>
          <t>South Indian</t>
        </is>
      </c>
      <c r="I341" t="n">
        <v>804</v>
      </c>
      <c r="J341" t="n">
        <v>93.25</v>
      </c>
      <c r="K341" t="n">
        <v>26</v>
      </c>
      <c r="L341" t="n">
        <v>0.15</v>
      </c>
      <c r="M341" t="n">
        <v>127.1</v>
      </c>
      <c r="N341" t="n">
        <v>3.2</v>
      </c>
      <c r="O341" t="n">
        <v>33.8</v>
      </c>
      <c r="P341" t="inlineStr">
        <is>
          <t>Digital Wallet</t>
        </is>
      </c>
      <c r="Q341" t="inlineStr">
        <is>
          <t>Delivered</t>
        </is>
      </c>
      <c r="R341" t="n">
        <v>5</v>
      </c>
    </row>
    <row r="342">
      <c r="A342" t="inlineStr">
        <is>
          <t>ORD1341</t>
        </is>
      </c>
      <c r="B342" t="inlineStr">
        <is>
          <t>2025-09-25</t>
        </is>
      </c>
      <c r="C342" t="inlineStr">
        <is>
          <t>13:06:01</t>
        </is>
      </c>
      <c r="D342" t="n">
        <v>1156</v>
      </c>
      <c r="E342" t="n">
        <v>120</v>
      </c>
      <c r="F342" t="n">
        <v>226</v>
      </c>
      <c r="G342" t="inlineStr">
        <is>
          <t>Pune</t>
        </is>
      </c>
      <c r="H342" t="inlineStr">
        <is>
          <t>Fast Food</t>
        </is>
      </c>
      <c r="I342" t="n">
        <v>610</v>
      </c>
      <c r="J342" t="n">
        <v>0</v>
      </c>
      <c r="K342" t="n">
        <v>28.5</v>
      </c>
      <c r="L342" t="n">
        <v>0.18</v>
      </c>
      <c r="M342" t="n">
        <v>116.92</v>
      </c>
      <c r="N342" t="n">
        <v>3.7</v>
      </c>
      <c r="O342" t="n">
        <v>36.5</v>
      </c>
      <c r="P342" t="inlineStr">
        <is>
          <t>Credit Card</t>
        </is>
      </c>
      <c r="Q342" t="inlineStr">
        <is>
          <t>Delivered</t>
        </is>
      </c>
      <c r="R342" t="n">
        <v>5</v>
      </c>
    </row>
    <row r="343">
      <c r="A343" t="inlineStr">
        <is>
          <t>ORD1342</t>
        </is>
      </c>
      <c r="B343" t="inlineStr">
        <is>
          <t>2025-12-16</t>
        </is>
      </c>
      <c r="C343" t="inlineStr">
        <is>
          <t>21:16:09</t>
        </is>
      </c>
      <c r="D343" t="n">
        <v>1039</v>
      </c>
      <c r="E343" t="n">
        <v>105</v>
      </c>
      <c r="F343" t="n">
        <v>218</v>
      </c>
      <c r="G343" t="inlineStr">
        <is>
          <t>Bangalore</t>
        </is>
      </c>
      <c r="H343" t="inlineStr">
        <is>
          <t>Chinese</t>
        </is>
      </c>
      <c r="I343" t="n">
        <v>283</v>
      </c>
      <c r="J343" t="n">
        <v>27.83</v>
      </c>
      <c r="K343" t="n">
        <v>32.5</v>
      </c>
      <c r="L343" t="n">
        <v>0.2</v>
      </c>
      <c r="M343" t="n">
        <v>64.72</v>
      </c>
      <c r="N343" t="n">
        <v>4.5</v>
      </c>
      <c r="O343" t="n">
        <v>40.4</v>
      </c>
      <c r="P343" t="inlineStr">
        <is>
          <t>Digital Wallet</t>
        </is>
      </c>
      <c r="Q343" t="inlineStr">
        <is>
          <t>Delivered</t>
        </is>
      </c>
      <c r="R343" t="n">
        <v>3</v>
      </c>
    </row>
    <row r="344">
      <c r="A344" t="inlineStr">
        <is>
          <t>ORD1343</t>
        </is>
      </c>
      <c r="B344" t="inlineStr">
        <is>
          <t>2025-08-20</t>
        </is>
      </c>
      <c r="C344" t="inlineStr">
        <is>
          <t>12:06:39</t>
        </is>
      </c>
      <c r="D344" t="n">
        <v>1222</v>
      </c>
      <c r="E344" t="n">
        <v>119</v>
      </c>
      <c r="F344" t="n">
        <v>215</v>
      </c>
      <c r="G344" t="inlineStr">
        <is>
          <t>Hyderabad</t>
        </is>
      </c>
      <c r="H344" t="inlineStr">
        <is>
          <t>Biryani</t>
        </is>
      </c>
      <c r="I344" t="n">
        <v>911</v>
      </c>
      <c r="J344" t="n">
        <v>63.03</v>
      </c>
      <c r="K344" t="n">
        <v>30.5</v>
      </c>
      <c r="L344" t="n">
        <v>0.2</v>
      </c>
      <c r="M344" t="n">
        <v>189.82</v>
      </c>
      <c r="N344" t="n">
        <v>4.1</v>
      </c>
      <c r="O344" t="n">
        <v>39.1</v>
      </c>
      <c r="P344" t="inlineStr">
        <is>
          <t>Digital Wallet</t>
        </is>
      </c>
      <c r="Q344" t="inlineStr">
        <is>
          <t>Delivered</t>
        </is>
      </c>
      <c r="R344" t="n">
        <v>1</v>
      </c>
    </row>
    <row r="345">
      <c r="A345" t="inlineStr">
        <is>
          <t>ORD1344</t>
        </is>
      </c>
      <c r="B345" t="inlineStr">
        <is>
          <t>2025-12-21</t>
        </is>
      </c>
      <c r="C345" t="inlineStr">
        <is>
          <t>13:42:03</t>
        </is>
      </c>
      <c r="D345" t="n">
        <v>1233</v>
      </c>
      <c r="E345" t="n">
        <v>120</v>
      </c>
      <c r="F345" t="n">
        <v>217</v>
      </c>
      <c r="G345" t="inlineStr">
        <is>
          <t>Pune</t>
        </is>
      </c>
      <c r="H345" t="inlineStr">
        <is>
          <t>Fast Food</t>
        </is>
      </c>
      <c r="I345" t="n">
        <v>610</v>
      </c>
      <c r="J345" t="n">
        <v>0</v>
      </c>
      <c r="K345" t="n">
        <v>30.5</v>
      </c>
      <c r="L345" t="n">
        <v>0.18</v>
      </c>
      <c r="M345" t="n">
        <v>117.42</v>
      </c>
      <c r="N345" t="n">
        <v>4.1</v>
      </c>
      <c r="O345" t="n">
        <v>38.2</v>
      </c>
      <c r="P345" t="inlineStr">
        <is>
          <t>Debit Card</t>
        </is>
      </c>
      <c r="Q345" t="inlineStr">
        <is>
          <t>Delivered</t>
        </is>
      </c>
      <c r="R345" t="n">
        <v>4</v>
      </c>
    </row>
    <row r="346">
      <c r="A346" t="inlineStr">
        <is>
          <t>ORD1345</t>
        </is>
      </c>
      <c r="B346" t="inlineStr">
        <is>
          <t>2025-04-14</t>
        </is>
      </c>
      <c r="C346" t="inlineStr">
        <is>
          <t>22:39:55</t>
        </is>
      </c>
      <c r="D346" t="n">
        <v>1252</v>
      </c>
      <c r="E346" t="n">
        <v>107</v>
      </c>
      <c r="F346" t="n">
        <v>202</v>
      </c>
      <c r="G346" t="inlineStr">
        <is>
          <t>Mumbai</t>
        </is>
      </c>
      <c r="H346" t="inlineStr">
        <is>
          <t>Desserts</t>
        </is>
      </c>
      <c r="I346" t="n">
        <v>673</v>
      </c>
      <c r="J346" t="n">
        <v>49.07</v>
      </c>
      <c r="K346" t="n">
        <v>25</v>
      </c>
      <c r="L346" t="n">
        <v>0.25</v>
      </c>
      <c r="M346" t="n">
        <v>174.5</v>
      </c>
      <c r="N346" t="n">
        <v>1.1</v>
      </c>
      <c r="O346" t="n">
        <v>25.5</v>
      </c>
      <c r="P346" t="inlineStr">
        <is>
          <t>Debit Card</t>
        </is>
      </c>
      <c r="Q346" t="inlineStr">
        <is>
          <t>Delivered</t>
        </is>
      </c>
      <c r="R346" t="n">
        <v>5</v>
      </c>
    </row>
    <row r="347">
      <c r="A347" t="inlineStr">
        <is>
          <t>ORD1346</t>
        </is>
      </c>
      <c r="B347" t="inlineStr">
        <is>
          <t>2025-08-18</t>
        </is>
      </c>
      <c r="C347" t="inlineStr">
        <is>
          <t>12:11:43</t>
        </is>
      </c>
      <c r="D347" t="n">
        <v>1200</v>
      </c>
      <c r="E347" t="n">
        <v>117</v>
      </c>
      <c r="F347" t="n">
        <v>202</v>
      </c>
      <c r="G347" t="inlineStr">
        <is>
          <t>Mumbai</t>
        </is>
      </c>
      <c r="H347" t="inlineStr">
        <is>
          <t>Chinese</t>
        </is>
      </c>
      <c r="I347" t="n">
        <v>296</v>
      </c>
      <c r="J347" t="n">
        <v>18.67</v>
      </c>
      <c r="K347" t="n">
        <v>25</v>
      </c>
      <c r="L347" t="n">
        <v>0.2</v>
      </c>
      <c r="M347" t="n">
        <v>65.45</v>
      </c>
      <c r="N347" t="n">
        <v>2.4</v>
      </c>
      <c r="O347" t="n">
        <v>27.2</v>
      </c>
      <c r="P347" t="inlineStr">
        <is>
          <t>Digital Wallet</t>
        </is>
      </c>
      <c r="Q347" t="inlineStr">
        <is>
          <t>Delivered</t>
        </is>
      </c>
      <c r="R347" t="n">
        <v>4</v>
      </c>
    </row>
    <row r="348">
      <c r="A348" t="inlineStr">
        <is>
          <t>ORD1347</t>
        </is>
      </c>
      <c r="B348" t="inlineStr">
        <is>
          <t>2025-01-21</t>
        </is>
      </c>
      <c r="C348" t="inlineStr">
        <is>
          <t>12:27:17</t>
        </is>
      </c>
      <c r="D348" t="n">
        <v>1033</v>
      </c>
      <c r="E348" t="n">
        <v>102</v>
      </c>
      <c r="F348" t="n">
        <v>225</v>
      </c>
      <c r="G348" t="inlineStr">
        <is>
          <t>Hyderabad</t>
        </is>
      </c>
      <c r="H348" t="inlineStr">
        <is>
          <t>Biryani</t>
        </is>
      </c>
      <c r="I348" t="n">
        <v>789</v>
      </c>
      <c r="J348" t="n">
        <v>0</v>
      </c>
      <c r="K348" t="n">
        <v>29</v>
      </c>
      <c r="L348" t="n">
        <v>0.22</v>
      </c>
      <c r="M348" t="n">
        <v>180.83</v>
      </c>
      <c r="N348" t="n">
        <v>3.8</v>
      </c>
      <c r="O348" t="n">
        <v>28.1</v>
      </c>
      <c r="P348" t="inlineStr">
        <is>
          <t>Debit Card</t>
        </is>
      </c>
      <c r="Q348" t="inlineStr">
        <is>
          <t>Delivered</t>
        </is>
      </c>
      <c r="R348" t="n">
        <v>4</v>
      </c>
    </row>
    <row r="349">
      <c r="A349" t="inlineStr">
        <is>
          <t>ORD1348</t>
        </is>
      </c>
      <c r="B349" t="inlineStr">
        <is>
          <t>2025-08-27</t>
        </is>
      </c>
      <c r="C349" t="inlineStr">
        <is>
          <t>15:45:59</t>
        </is>
      </c>
      <c r="D349" t="n">
        <v>1248</v>
      </c>
      <c r="E349" t="n">
        <v>118</v>
      </c>
      <c r="F349" t="n">
        <v>219</v>
      </c>
      <c r="G349" t="inlineStr">
        <is>
          <t>Delhi NCR</t>
        </is>
      </c>
      <c r="H349" t="inlineStr">
        <is>
          <t>North Indian</t>
        </is>
      </c>
      <c r="I349" t="n">
        <v>488</v>
      </c>
      <c r="J349" t="n">
        <v>56.3</v>
      </c>
      <c r="K349" t="n">
        <v>38.5</v>
      </c>
      <c r="L349" t="n">
        <v>0.2</v>
      </c>
      <c r="M349" t="n">
        <v>107.22</v>
      </c>
      <c r="N349" t="n">
        <v>5.7</v>
      </c>
      <c r="O349" t="n">
        <v>33.9</v>
      </c>
      <c r="P349" t="inlineStr">
        <is>
          <t>UPI</t>
        </is>
      </c>
      <c r="Q349" t="inlineStr">
        <is>
          <t>Delivered</t>
        </is>
      </c>
      <c r="R349" t="n">
        <v>4</v>
      </c>
    </row>
    <row r="350">
      <c r="A350" t="inlineStr">
        <is>
          <t>ORD1349</t>
        </is>
      </c>
      <c r="B350" t="inlineStr">
        <is>
          <t>2025-02-07</t>
        </is>
      </c>
      <c r="C350" t="inlineStr">
        <is>
          <t>10:50:45</t>
        </is>
      </c>
      <c r="D350" t="n">
        <v>1093</v>
      </c>
      <c r="E350" t="n">
        <v>104</v>
      </c>
      <c r="F350" t="n">
        <v>212</v>
      </c>
      <c r="G350" t="inlineStr">
        <is>
          <t>Delhi NCR</t>
        </is>
      </c>
      <c r="H350" t="inlineStr">
        <is>
          <t>Fast Food</t>
        </is>
      </c>
      <c r="I350" t="n">
        <v>545</v>
      </c>
      <c r="J350" t="n">
        <v>47.29</v>
      </c>
      <c r="K350" t="n">
        <v>25</v>
      </c>
      <c r="L350" t="n">
        <v>0.18</v>
      </c>
      <c r="M350" t="n">
        <v>104.35</v>
      </c>
      <c r="N350" t="n">
        <v>2.2</v>
      </c>
      <c r="O350" t="n">
        <v>33.1</v>
      </c>
      <c r="P350" t="inlineStr">
        <is>
          <t>Digital Wallet</t>
        </is>
      </c>
      <c r="Q350" t="inlineStr">
        <is>
          <t>Delivered</t>
        </is>
      </c>
      <c r="R350" t="n">
        <v>4</v>
      </c>
    </row>
    <row r="351">
      <c r="A351" t="inlineStr">
        <is>
          <t>ORD1350</t>
        </is>
      </c>
      <c r="B351" t="inlineStr">
        <is>
          <t>2025-08-01</t>
        </is>
      </c>
      <c r="C351" t="inlineStr">
        <is>
          <t>21:34:34</t>
        </is>
      </c>
      <c r="D351" t="n">
        <v>1037</v>
      </c>
      <c r="E351" t="n">
        <v>105</v>
      </c>
      <c r="F351" t="n">
        <v>220</v>
      </c>
      <c r="G351" t="inlineStr">
        <is>
          <t>Bangalore</t>
        </is>
      </c>
      <c r="H351" t="inlineStr">
        <is>
          <t>Chinese</t>
        </is>
      </c>
      <c r="I351" t="n">
        <v>633</v>
      </c>
      <c r="J351" t="n">
        <v>0</v>
      </c>
      <c r="K351" t="n">
        <v>35.5</v>
      </c>
      <c r="L351" t="n">
        <v>0.2</v>
      </c>
      <c r="M351" t="n">
        <v>135.48</v>
      </c>
      <c r="N351" t="n">
        <v>5.1</v>
      </c>
      <c r="O351" t="n">
        <v>38.1</v>
      </c>
      <c r="P351" t="inlineStr">
        <is>
          <t>Credit Card</t>
        </is>
      </c>
      <c r="Q351" t="inlineStr">
        <is>
          <t>Delivered</t>
        </is>
      </c>
      <c r="R351" t="n">
        <v>4</v>
      </c>
    </row>
    <row r="352">
      <c r="A352" t="inlineStr">
        <is>
          <t>ORD1351</t>
        </is>
      </c>
      <c r="B352" t="inlineStr">
        <is>
          <t>2025-05-31</t>
        </is>
      </c>
      <c r="C352" t="inlineStr">
        <is>
          <t>15:13:48</t>
        </is>
      </c>
      <c r="D352" t="n">
        <v>1196</v>
      </c>
      <c r="E352" t="n">
        <v>116</v>
      </c>
      <c r="F352" t="n">
        <v>209</v>
      </c>
      <c r="G352" t="inlineStr">
        <is>
          <t>Pune</t>
        </is>
      </c>
      <c r="H352" t="inlineStr">
        <is>
          <t>Desserts</t>
        </is>
      </c>
      <c r="I352" t="n">
        <v>853</v>
      </c>
      <c r="J352" t="n">
        <v>68.01000000000001</v>
      </c>
      <c r="K352" t="n">
        <v>45</v>
      </c>
      <c r="L352" t="n">
        <v>0.25</v>
      </c>
      <c r="M352" t="n">
        <v>224.5</v>
      </c>
      <c r="N352" t="n">
        <v>7</v>
      </c>
      <c r="O352" t="n">
        <v>46.1</v>
      </c>
      <c r="P352" t="inlineStr">
        <is>
          <t>UPI</t>
        </is>
      </c>
      <c r="Q352" t="inlineStr">
        <is>
          <t>Delivered</t>
        </is>
      </c>
      <c r="R352" t="n">
        <v>3</v>
      </c>
    </row>
    <row r="353">
      <c r="A353" t="inlineStr">
        <is>
          <t>ORD1352</t>
        </is>
      </c>
      <c r="B353" t="inlineStr">
        <is>
          <t>2025-08-17</t>
        </is>
      </c>
      <c r="C353" t="inlineStr">
        <is>
          <t>12:15:57</t>
        </is>
      </c>
      <c r="D353" t="n">
        <v>1003</v>
      </c>
      <c r="E353" t="n">
        <v>110</v>
      </c>
      <c r="F353" t="n">
        <v>208</v>
      </c>
      <c r="G353" t="inlineStr">
        <is>
          <t>Pune</t>
        </is>
      </c>
      <c r="H353" t="inlineStr">
        <is>
          <t>North Indian</t>
        </is>
      </c>
      <c r="I353" t="n">
        <v>877</v>
      </c>
      <c r="J353" t="n">
        <v>81.53</v>
      </c>
      <c r="K353" t="n">
        <v>26.5</v>
      </c>
      <c r="L353" t="n">
        <v>0.18</v>
      </c>
      <c r="M353" t="n">
        <v>164.48</v>
      </c>
      <c r="N353" t="n">
        <v>3.3</v>
      </c>
      <c r="O353" t="n">
        <v>31</v>
      </c>
      <c r="P353" t="inlineStr">
        <is>
          <t>UPI</t>
        </is>
      </c>
      <c r="Q353" t="inlineStr">
        <is>
          <t>Delivered</t>
        </is>
      </c>
      <c r="R353" t="n">
        <v>4</v>
      </c>
    </row>
    <row r="354">
      <c r="A354" t="inlineStr">
        <is>
          <t>ORD1353</t>
        </is>
      </c>
      <c r="B354" t="inlineStr">
        <is>
          <t>2025-07-17</t>
        </is>
      </c>
      <c r="C354" t="inlineStr">
        <is>
          <t>21:16:34</t>
        </is>
      </c>
      <c r="D354" t="n">
        <v>1180</v>
      </c>
      <c r="E354" t="n">
        <v>104</v>
      </c>
      <c r="F354" t="n">
        <v>219</v>
      </c>
      <c r="G354" t="inlineStr">
        <is>
          <t>Delhi NCR</t>
        </is>
      </c>
      <c r="H354" t="inlineStr">
        <is>
          <t>Fast Food</t>
        </is>
      </c>
      <c r="I354" t="n">
        <v>509</v>
      </c>
      <c r="J354" t="n">
        <v>0</v>
      </c>
      <c r="K354" t="n">
        <v>25</v>
      </c>
      <c r="L354" t="n">
        <v>0.18</v>
      </c>
      <c r="M354" t="n">
        <v>97.87</v>
      </c>
      <c r="N354" t="n">
        <v>2.8</v>
      </c>
      <c r="O354" t="n">
        <v>32.6</v>
      </c>
      <c r="P354" t="inlineStr">
        <is>
          <t>Debit Card</t>
        </is>
      </c>
      <c r="Q354" t="inlineStr">
        <is>
          <t>Delivered</t>
        </is>
      </c>
      <c r="R354" t="n">
        <v>4</v>
      </c>
    </row>
    <row r="355">
      <c r="A355" t="inlineStr">
        <is>
          <t>ORD1354</t>
        </is>
      </c>
      <c r="B355" t="inlineStr">
        <is>
          <t>2025-06-01</t>
        </is>
      </c>
      <c r="C355" t="inlineStr">
        <is>
          <t>19:57:41</t>
        </is>
      </c>
      <c r="D355" t="n">
        <v>1228</v>
      </c>
      <c r="E355" t="n">
        <v>109</v>
      </c>
      <c r="F355" t="n">
        <v>225</v>
      </c>
      <c r="G355" t="inlineStr">
        <is>
          <t>Hyderabad</t>
        </is>
      </c>
      <c r="H355" t="inlineStr">
        <is>
          <t>Biryani</t>
        </is>
      </c>
      <c r="I355" t="n">
        <v>417</v>
      </c>
      <c r="J355" t="n">
        <v>0</v>
      </c>
      <c r="K355" t="n">
        <v>40</v>
      </c>
      <c r="L355" t="n">
        <v>0.2</v>
      </c>
      <c r="M355" t="n">
        <v>93.40000000000001</v>
      </c>
      <c r="N355" t="n">
        <v>6</v>
      </c>
      <c r="O355" t="n">
        <v>38.5</v>
      </c>
      <c r="P355" t="inlineStr">
        <is>
          <t>UPI</t>
        </is>
      </c>
      <c r="Q355" t="inlineStr">
        <is>
          <t>Delivered</t>
        </is>
      </c>
      <c r="R355" t="n">
        <v>5</v>
      </c>
    </row>
    <row r="356">
      <c r="A356" t="inlineStr">
        <is>
          <t>ORD1355</t>
        </is>
      </c>
      <c r="B356" t="inlineStr">
        <is>
          <t>2025-11-17</t>
        </is>
      </c>
      <c r="C356" t="inlineStr">
        <is>
          <t>13:04:13</t>
        </is>
      </c>
      <c r="D356" t="n">
        <v>1151</v>
      </c>
      <c r="E356" t="n">
        <v>117</v>
      </c>
      <c r="F356" t="n">
        <v>202</v>
      </c>
      <c r="G356" t="inlineStr">
        <is>
          <t>Mumbai</t>
        </is>
      </c>
      <c r="H356" t="inlineStr">
        <is>
          <t>Chinese</t>
        </is>
      </c>
      <c r="I356" t="n">
        <v>1167</v>
      </c>
      <c r="J356" t="n">
        <v>206.98</v>
      </c>
      <c r="K356" t="n">
        <v>0</v>
      </c>
      <c r="L356" t="n">
        <v>0.2</v>
      </c>
      <c r="M356" t="n">
        <v>233.4</v>
      </c>
      <c r="N356" t="n">
        <v>3.4</v>
      </c>
      <c r="O356" t="n">
        <v>37.4</v>
      </c>
      <c r="P356" t="inlineStr">
        <is>
          <t>Cash on Delivery</t>
        </is>
      </c>
      <c r="Q356" t="inlineStr">
        <is>
          <t>Delivered</t>
        </is>
      </c>
      <c r="R356" t="n">
        <v>5</v>
      </c>
    </row>
    <row r="357">
      <c r="A357" t="inlineStr">
        <is>
          <t>ORD1356</t>
        </is>
      </c>
      <c r="B357" t="inlineStr">
        <is>
          <t>2025-10-03</t>
        </is>
      </c>
      <c r="C357" t="inlineStr">
        <is>
          <t>19:53:44</t>
        </is>
      </c>
      <c r="D357" t="n">
        <v>1079</v>
      </c>
      <c r="E357" t="n">
        <v>101</v>
      </c>
      <c r="F357" t="n">
        <v>220</v>
      </c>
      <c r="G357" t="inlineStr">
        <is>
          <t>Bangalore</t>
        </is>
      </c>
      <c r="H357" t="inlineStr">
        <is>
          <t>North Indian</t>
        </is>
      </c>
      <c r="I357" t="n">
        <v>665</v>
      </c>
      <c r="J357" t="n">
        <v>49.99</v>
      </c>
      <c r="K357" t="n">
        <v>25.5</v>
      </c>
      <c r="L357" t="n">
        <v>0.2</v>
      </c>
      <c r="M357" t="n">
        <v>139.38</v>
      </c>
      <c r="N357" t="n">
        <v>3.1</v>
      </c>
      <c r="O357" t="n">
        <v>32.5</v>
      </c>
      <c r="P357" t="inlineStr">
        <is>
          <t>Credit Card</t>
        </is>
      </c>
      <c r="Q357" t="inlineStr">
        <is>
          <t>Delivered</t>
        </is>
      </c>
      <c r="R357" t="n">
        <v>5</v>
      </c>
    </row>
    <row r="358">
      <c r="A358" t="inlineStr">
        <is>
          <t>ORD1357</t>
        </is>
      </c>
      <c r="B358" t="inlineStr">
        <is>
          <t>2025-06-19</t>
        </is>
      </c>
      <c r="C358" t="inlineStr">
        <is>
          <t>17:02:05</t>
        </is>
      </c>
      <c r="D358" t="n">
        <v>1197</v>
      </c>
      <c r="E358" t="n">
        <v>103</v>
      </c>
      <c r="F358" t="n">
        <v>206</v>
      </c>
      <c r="G358" t="inlineStr">
        <is>
          <t>Mumbai</t>
        </is>
      </c>
      <c r="H358" t="inlineStr">
        <is>
          <t>Italian</t>
        </is>
      </c>
      <c r="I358" t="n">
        <v>295</v>
      </c>
      <c r="J358" t="n">
        <v>15.87</v>
      </c>
      <c r="K358" t="n">
        <v>26.5</v>
      </c>
      <c r="L358" t="n">
        <v>0.18</v>
      </c>
      <c r="M358" t="n">
        <v>59.72</v>
      </c>
      <c r="N358" t="n">
        <v>3.3</v>
      </c>
      <c r="O358" t="n">
        <v>40.2</v>
      </c>
      <c r="P358" t="inlineStr">
        <is>
          <t>Digital Wallet</t>
        </is>
      </c>
      <c r="Q358" t="inlineStr">
        <is>
          <t>Delivered</t>
        </is>
      </c>
      <c r="R358" t="n">
        <v>4</v>
      </c>
    </row>
    <row r="359">
      <c r="A359" t="inlineStr">
        <is>
          <t>ORD1358</t>
        </is>
      </c>
      <c r="B359" t="inlineStr">
        <is>
          <t>2025-05-13</t>
        </is>
      </c>
      <c r="C359" t="inlineStr">
        <is>
          <t>13:26:24</t>
        </is>
      </c>
      <c r="D359" t="n">
        <v>1044</v>
      </c>
      <c r="E359" t="n">
        <v>109</v>
      </c>
      <c r="F359" t="n">
        <v>216</v>
      </c>
      <c r="G359" t="inlineStr">
        <is>
          <t>Hyderabad</t>
        </is>
      </c>
      <c r="H359" t="inlineStr">
        <is>
          <t>Biryani</t>
        </is>
      </c>
      <c r="I359" t="n">
        <v>942</v>
      </c>
      <c r="J359" t="n">
        <v>132.3</v>
      </c>
      <c r="K359" t="n">
        <v>0</v>
      </c>
      <c r="L359" t="n">
        <v>0.2</v>
      </c>
      <c r="M359" t="n">
        <v>188.4</v>
      </c>
      <c r="N359" t="n">
        <v>4.9</v>
      </c>
      <c r="O359" t="n">
        <v/>
      </c>
      <c r="P359" t="inlineStr">
        <is>
          <t>Cash on Delivery</t>
        </is>
      </c>
      <c r="Q359" t="inlineStr">
        <is>
          <t>Cancelled</t>
        </is>
      </c>
      <c r="R359" t="n">
        <v/>
      </c>
    </row>
    <row r="360">
      <c r="A360" t="inlineStr">
        <is>
          <t>ORD1359</t>
        </is>
      </c>
      <c r="B360" t="inlineStr">
        <is>
          <t>2025-10-27</t>
        </is>
      </c>
      <c r="C360" t="inlineStr">
        <is>
          <t>20:02:44</t>
        </is>
      </c>
      <c r="D360" t="n">
        <v>1062</v>
      </c>
      <c r="E360" t="n">
        <v>113</v>
      </c>
      <c r="F360" t="n">
        <v>206</v>
      </c>
      <c r="G360" t="inlineStr">
        <is>
          <t>Mumbai</t>
        </is>
      </c>
      <c r="H360" t="inlineStr">
        <is>
          <t>Fast Food</t>
        </is>
      </c>
      <c r="I360" t="n">
        <v>294</v>
      </c>
      <c r="J360" t="n">
        <v>0</v>
      </c>
      <c r="K360" t="n">
        <v>25.5</v>
      </c>
      <c r="L360" t="n">
        <v>0.18</v>
      </c>
      <c r="M360" t="n">
        <v>59.29</v>
      </c>
      <c r="N360" t="n">
        <v>3.1</v>
      </c>
      <c r="O360" t="n">
        <v>34.6</v>
      </c>
      <c r="P360" t="inlineStr">
        <is>
          <t>Debit Card</t>
        </is>
      </c>
      <c r="Q360" t="inlineStr">
        <is>
          <t>Delivered</t>
        </is>
      </c>
      <c r="R360" t="n">
        <v>3</v>
      </c>
    </row>
    <row r="361">
      <c r="A361" t="inlineStr">
        <is>
          <t>ORD1360</t>
        </is>
      </c>
      <c r="B361" t="inlineStr">
        <is>
          <t>2025-08-13</t>
        </is>
      </c>
      <c r="C361" t="inlineStr">
        <is>
          <t>17:24:25</t>
        </is>
      </c>
      <c r="D361" t="n">
        <v>1214</v>
      </c>
      <c r="E361" t="n">
        <v>113</v>
      </c>
      <c r="F361" t="n">
        <v>206</v>
      </c>
      <c r="G361" t="inlineStr">
        <is>
          <t>Mumbai</t>
        </is>
      </c>
      <c r="H361" t="inlineStr">
        <is>
          <t>Fast Food</t>
        </is>
      </c>
      <c r="I361" t="n">
        <v>896</v>
      </c>
      <c r="J361" t="n">
        <v>0</v>
      </c>
      <c r="K361" t="n">
        <v>40.5</v>
      </c>
      <c r="L361" t="n">
        <v>0.18</v>
      </c>
      <c r="M361" t="n">
        <v>171.4</v>
      </c>
      <c r="N361" t="n">
        <v>6.1</v>
      </c>
      <c r="O361" t="n">
        <v>33.3</v>
      </c>
      <c r="P361" t="inlineStr">
        <is>
          <t>Credit Card</t>
        </is>
      </c>
      <c r="Q361" t="inlineStr">
        <is>
          <t>Delivered</t>
        </is>
      </c>
      <c r="R361" t="n">
        <v>4</v>
      </c>
    </row>
    <row r="362">
      <c r="A362" t="inlineStr">
        <is>
          <t>ORD1361</t>
        </is>
      </c>
      <c r="B362" t="inlineStr">
        <is>
          <t>2025-10-07</t>
        </is>
      </c>
      <c r="C362" t="inlineStr">
        <is>
          <t>22:18:40</t>
        </is>
      </c>
      <c r="D362" t="n">
        <v>1087</v>
      </c>
      <c r="E362" t="n">
        <v>116</v>
      </c>
      <c r="F362" t="n">
        <v>226</v>
      </c>
      <c r="G362" t="inlineStr">
        <is>
          <t>Pune</t>
        </is>
      </c>
      <c r="H362" t="inlineStr">
        <is>
          <t>Desserts</t>
        </is>
      </c>
      <c r="I362" t="n">
        <v>367</v>
      </c>
      <c r="J362" t="n">
        <v>26.01</v>
      </c>
      <c r="K362" t="n">
        <v>25</v>
      </c>
      <c r="L362" t="n">
        <v>0.25</v>
      </c>
      <c r="M362" t="n">
        <v>98</v>
      </c>
      <c r="N362" t="n">
        <v>2.4</v>
      </c>
      <c r="O362" t="n">
        <v>28.6</v>
      </c>
      <c r="P362" t="inlineStr">
        <is>
          <t>Debit Card</t>
        </is>
      </c>
      <c r="Q362" t="inlineStr">
        <is>
          <t>Delivered</t>
        </is>
      </c>
      <c r="R362" t="n">
        <v>4</v>
      </c>
    </row>
    <row r="363">
      <c r="A363" t="inlineStr">
        <is>
          <t>ORD1362</t>
        </is>
      </c>
      <c r="B363" t="inlineStr">
        <is>
          <t>2025-03-05</t>
        </is>
      </c>
      <c r="C363" t="inlineStr">
        <is>
          <t>19:02:00</t>
        </is>
      </c>
      <c r="D363" t="n">
        <v>1131</v>
      </c>
      <c r="E363" t="n">
        <v>118</v>
      </c>
      <c r="F363" t="n">
        <v>221</v>
      </c>
      <c r="G363" t="inlineStr">
        <is>
          <t>Delhi NCR</t>
        </is>
      </c>
      <c r="H363" t="inlineStr">
        <is>
          <t>North Indian</t>
        </is>
      </c>
      <c r="I363" t="n">
        <v>806</v>
      </c>
      <c r="J363" t="n">
        <v>34.64</v>
      </c>
      <c r="K363" t="n">
        <v>31</v>
      </c>
      <c r="L363" t="n">
        <v>0.2</v>
      </c>
      <c r="M363" t="n">
        <v>168.95</v>
      </c>
      <c r="N363" t="n">
        <v>4.2</v>
      </c>
      <c r="O363" t="n">
        <v>42.2</v>
      </c>
      <c r="P363" t="inlineStr">
        <is>
          <t>Debit Card</t>
        </is>
      </c>
      <c r="Q363" t="inlineStr">
        <is>
          <t>Delivered</t>
        </is>
      </c>
      <c r="R363" t="n">
        <v>2</v>
      </c>
    </row>
    <row r="364">
      <c r="A364" t="inlineStr">
        <is>
          <t>ORD1363</t>
        </is>
      </c>
      <c r="B364" t="inlineStr">
        <is>
          <t>2025-04-19</t>
        </is>
      </c>
      <c r="C364" t="inlineStr">
        <is>
          <t>15:26:57</t>
        </is>
      </c>
      <c r="D364" t="n">
        <v>1277</v>
      </c>
      <c r="E364" t="n">
        <v>107</v>
      </c>
      <c r="F364" t="n">
        <v>229</v>
      </c>
      <c r="G364" t="inlineStr">
        <is>
          <t>Mumbai</t>
        </is>
      </c>
      <c r="H364" t="inlineStr">
        <is>
          <t>Desserts</t>
        </is>
      </c>
      <c r="I364" t="n">
        <v>881</v>
      </c>
      <c r="J364" t="n">
        <v>96.56</v>
      </c>
      <c r="K364" t="n">
        <v>25</v>
      </c>
      <c r="L364" t="n">
        <v>0.25</v>
      </c>
      <c r="M364" t="n">
        <v>226.5</v>
      </c>
      <c r="N364" t="n">
        <v>1.9</v>
      </c>
      <c r="O364" t="n">
        <v>22.6</v>
      </c>
      <c r="P364" t="inlineStr">
        <is>
          <t>Credit Card</t>
        </is>
      </c>
      <c r="Q364" t="inlineStr">
        <is>
          <t>Delivered</t>
        </is>
      </c>
      <c r="R364" t="n">
        <v>4</v>
      </c>
    </row>
    <row r="365">
      <c r="A365" t="inlineStr">
        <is>
          <t>ORD1364</t>
        </is>
      </c>
      <c r="B365" t="inlineStr">
        <is>
          <t>2025-04-10</t>
        </is>
      </c>
      <c r="C365" t="inlineStr">
        <is>
          <t>18:07:11</t>
        </is>
      </c>
      <c r="D365" t="n">
        <v>1292</v>
      </c>
      <c r="E365" t="n">
        <v>120</v>
      </c>
      <c r="F365" t="n">
        <v>204</v>
      </c>
      <c r="G365" t="inlineStr">
        <is>
          <t>Pune</t>
        </is>
      </c>
      <c r="H365" t="inlineStr">
        <is>
          <t>Fast Food</t>
        </is>
      </c>
      <c r="I365" t="n">
        <v>907</v>
      </c>
      <c r="J365" t="n">
        <v>61.84</v>
      </c>
      <c r="K365" t="n">
        <v>25</v>
      </c>
      <c r="L365" t="n">
        <v>0.18</v>
      </c>
      <c r="M365" t="n">
        <v>169.51</v>
      </c>
      <c r="N365" t="n">
        <v>2.4</v>
      </c>
      <c r="O365" t="n">
        <v>30.1</v>
      </c>
      <c r="P365" t="inlineStr">
        <is>
          <t>Digital Wallet</t>
        </is>
      </c>
      <c r="Q365" t="inlineStr">
        <is>
          <t>Delivered</t>
        </is>
      </c>
      <c r="R365" t="n">
        <v>5</v>
      </c>
    </row>
    <row r="366">
      <c r="A366" t="inlineStr">
        <is>
          <t>ORD1365</t>
        </is>
      </c>
      <c r="B366" t="inlineStr">
        <is>
          <t>2025-12-10</t>
        </is>
      </c>
      <c r="C366" t="inlineStr">
        <is>
          <t>09:04:16</t>
        </is>
      </c>
      <c r="D366" t="n">
        <v>1183</v>
      </c>
      <c r="E366" t="n">
        <v>117</v>
      </c>
      <c r="F366" t="n">
        <v>202</v>
      </c>
      <c r="G366" t="inlineStr">
        <is>
          <t>Mumbai</t>
        </is>
      </c>
      <c r="H366" t="inlineStr">
        <is>
          <t>Chinese</t>
        </is>
      </c>
      <c r="I366" t="n">
        <v>470</v>
      </c>
      <c r="J366" t="n">
        <v>81.09999999999999</v>
      </c>
      <c r="K366" t="n">
        <v>29</v>
      </c>
      <c r="L366" t="n">
        <v>0.2</v>
      </c>
      <c r="M366" t="n">
        <v>101.25</v>
      </c>
      <c r="N366" t="n">
        <v>3.8</v>
      </c>
      <c r="O366" t="n">
        <v>32.6</v>
      </c>
      <c r="P366" t="inlineStr">
        <is>
          <t>Debit Card</t>
        </is>
      </c>
      <c r="Q366" t="inlineStr">
        <is>
          <t>Delivered</t>
        </is>
      </c>
      <c r="R366" t="n">
        <v>3</v>
      </c>
    </row>
    <row r="367">
      <c r="A367" t="inlineStr">
        <is>
          <t>ORD1366</t>
        </is>
      </c>
      <c r="B367" t="inlineStr">
        <is>
          <t>2025-02-21</t>
        </is>
      </c>
      <c r="C367" t="inlineStr">
        <is>
          <t>08:18:39</t>
        </is>
      </c>
      <c r="D367" t="n">
        <v>1037</v>
      </c>
      <c r="E367" t="n">
        <v>101</v>
      </c>
      <c r="F367" t="n">
        <v>218</v>
      </c>
      <c r="G367" t="inlineStr">
        <is>
          <t>Bangalore</t>
        </is>
      </c>
      <c r="H367" t="inlineStr">
        <is>
          <t>North Indian</t>
        </is>
      </c>
      <c r="I367" t="n">
        <v>291</v>
      </c>
      <c r="J367" t="n">
        <v>7.4</v>
      </c>
      <c r="K367" t="n">
        <v>34.5</v>
      </c>
      <c r="L367" t="n">
        <v>0.2</v>
      </c>
      <c r="M367" t="n">
        <v>66.81999999999999</v>
      </c>
      <c r="N367" t="n">
        <v>4.9</v>
      </c>
      <c r="O367" t="n">
        <v>53.3</v>
      </c>
      <c r="P367" t="inlineStr">
        <is>
          <t>Digital Wallet</t>
        </is>
      </c>
      <c r="Q367" t="inlineStr">
        <is>
          <t>Delivered</t>
        </is>
      </c>
      <c r="R367" t="n">
        <v>1</v>
      </c>
    </row>
    <row r="368">
      <c r="A368" t="inlineStr">
        <is>
          <t>ORD1367</t>
        </is>
      </c>
      <c r="B368" t="inlineStr">
        <is>
          <t>2025-06-11</t>
        </is>
      </c>
      <c r="C368" t="inlineStr">
        <is>
          <t>21:27:10</t>
        </is>
      </c>
      <c r="D368" t="n">
        <v>1140</v>
      </c>
      <c r="E368" t="n">
        <v>106</v>
      </c>
      <c r="F368" t="n">
        <v>217</v>
      </c>
      <c r="G368" t="inlineStr">
        <is>
          <t>Pune</t>
        </is>
      </c>
      <c r="H368" t="inlineStr">
        <is>
          <t>South Indian</t>
        </is>
      </c>
      <c r="I368" t="n">
        <v>404</v>
      </c>
      <c r="J368" t="n">
        <v>50.35</v>
      </c>
      <c r="K368" t="n">
        <v>25</v>
      </c>
      <c r="L368" t="n">
        <v>0.15</v>
      </c>
      <c r="M368" t="n">
        <v>66.84999999999999</v>
      </c>
      <c r="N368" t="n">
        <v>1.9</v>
      </c>
      <c r="O368" t="n">
        <v>22.8</v>
      </c>
      <c r="P368" t="inlineStr">
        <is>
          <t>Cash on Delivery</t>
        </is>
      </c>
      <c r="Q368" t="inlineStr">
        <is>
          <t>Delivered</t>
        </is>
      </c>
      <c r="R368" t="n">
        <v>2</v>
      </c>
    </row>
    <row r="369">
      <c r="A369" t="inlineStr">
        <is>
          <t>ORD1368</t>
        </is>
      </c>
      <c r="B369" t="inlineStr">
        <is>
          <t>2025-12-14</t>
        </is>
      </c>
      <c r="C369" t="inlineStr">
        <is>
          <t>13:46:21</t>
        </is>
      </c>
      <c r="D369" t="n">
        <v>1275</v>
      </c>
      <c r="E369" t="n">
        <v>110</v>
      </c>
      <c r="F369" t="n">
        <v>204</v>
      </c>
      <c r="G369" t="inlineStr">
        <is>
          <t>Pune</t>
        </is>
      </c>
      <c r="H369" t="inlineStr">
        <is>
          <t>North Indian</t>
        </is>
      </c>
      <c r="I369" t="n">
        <v>711</v>
      </c>
      <c r="J369" t="n">
        <v>0</v>
      </c>
      <c r="K369" t="n">
        <v>25</v>
      </c>
      <c r="L369" t="n">
        <v>0.18</v>
      </c>
      <c r="M369" t="n">
        <v>134.23</v>
      </c>
      <c r="N369" t="n">
        <v>2.7</v>
      </c>
      <c r="O369" t="n">
        <v>41.2</v>
      </c>
      <c r="P369" t="inlineStr">
        <is>
          <t>Debit Card</t>
        </is>
      </c>
      <c r="Q369" t="inlineStr">
        <is>
          <t>Delivered</t>
        </is>
      </c>
      <c r="R369" t="n">
        <v>3</v>
      </c>
    </row>
    <row r="370">
      <c r="A370" t="inlineStr">
        <is>
          <t>ORD1369</t>
        </is>
      </c>
      <c r="B370" t="inlineStr">
        <is>
          <t>2025-11-27</t>
        </is>
      </c>
      <c r="C370" t="inlineStr">
        <is>
          <t>14:38:05</t>
        </is>
      </c>
      <c r="D370" t="n">
        <v>1118</v>
      </c>
      <c r="E370" t="n">
        <v>118</v>
      </c>
      <c r="F370" t="n">
        <v>212</v>
      </c>
      <c r="G370" t="inlineStr">
        <is>
          <t>Delhi NCR</t>
        </is>
      </c>
      <c r="H370" t="inlineStr">
        <is>
          <t>North Indian</t>
        </is>
      </c>
      <c r="I370" t="n">
        <v>507</v>
      </c>
      <c r="J370" t="n">
        <v>5.68</v>
      </c>
      <c r="K370" t="n">
        <v>38</v>
      </c>
      <c r="L370" t="n">
        <v>0.2</v>
      </c>
      <c r="M370" t="n">
        <v>110.9</v>
      </c>
      <c r="N370" t="n">
        <v>5.6</v>
      </c>
      <c r="O370" t="n">
        <v>44</v>
      </c>
      <c r="P370" t="inlineStr">
        <is>
          <t>Debit Card</t>
        </is>
      </c>
      <c r="Q370" t="inlineStr">
        <is>
          <t>Delivered</t>
        </is>
      </c>
      <c r="R370" t="n">
        <v>3</v>
      </c>
    </row>
    <row r="371">
      <c r="A371" t="inlineStr">
        <is>
          <t>ORD1370</t>
        </is>
      </c>
      <c r="B371" t="inlineStr">
        <is>
          <t>2025-09-17</t>
        </is>
      </c>
      <c r="C371" t="inlineStr">
        <is>
          <t>22:40:01</t>
        </is>
      </c>
      <c r="D371" t="n">
        <v>1277</v>
      </c>
      <c r="E371" t="n">
        <v>107</v>
      </c>
      <c r="F371" t="n">
        <v>222</v>
      </c>
      <c r="G371" t="inlineStr">
        <is>
          <t>Mumbai</t>
        </is>
      </c>
      <c r="H371" t="inlineStr">
        <is>
          <t>Desserts</t>
        </is>
      </c>
      <c r="I371" t="n">
        <v>815</v>
      </c>
      <c r="J371" t="n">
        <v>73.78</v>
      </c>
      <c r="K371" t="n">
        <v>57</v>
      </c>
      <c r="L371" t="n">
        <v>0.25</v>
      </c>
      <c r="M371" t="n">
        <v>218</v>
      </c>
      <c r="N371" t="n">
        <v>9.4</v>
      </c>
      <c r="O371" t="n">
        <v>48.9</v>
      </c>
      <c r="P371" t="inlineStr">
        <is>
          <t>Credit Card</t>
        </is>
      </c>
      <c r="Q371" t="inlineStr">
        <is>
          <t>Delivered</t>
        </is>
      </c>
      <c r="R371" t="n">
        <v>3</v>
      </c>
    </row>
    <row r="372">
      <c r="A372" t="inlineStr">
        <is>
          <t>ORD1371</t>
        </is>
      </c>
      <c r="B372" t="inlineStr">
        <is>
          <t>2025-10-06</t>
        </is>
      </c>
      <c r="C372" t="inlineStr">
        <is>
          <t>10:57:34</t>
        </is>
      </c>
      <c r="D372" t="n">
        <v>1090</v>
      </c>
      <c r="E372" t="n">
        <v>111</v>
      </c>
      <c r="F372" t="n">
        <v>213</v>
      </c>
      <c r="G372" t="inlineStr">
        <is>
          <t>Bangalore</t>
        </is>
      </c>
      <c r="H372" t="inlineStr">
        <is>
          <t>South Indian</t>
        </is>
      </c>
      <c r="I372" t="n">
        <v>703</v>
      </c>
      <c r="J372" t="n">
        <v>8.359999999999999</v>
      </c>
      <c r="K372" t="n">
        <v>34</v>
      </c>
      <c r="L372" t="n">
        <v>0.15</v>
      </c>
      <c r="M372" t="n">
        <v>113.95</v>
      </c>
      <c r="N372" t="n">
        <v>4.8</v>
      </c>
      <c r="O372" t="n">
        <v>30.4</v>
      </c>
      <c r="P372" t="inlineStr">
        <is>
          <t>Digital Wallet</t>
        </is>
      </c>
      <c r="Q372" t="inlineStr">
        <is>
          <t>Delivered</t>
        </is>
      </c>
      <c r="R372" t="n">
        <v>4</v>
      </c>
    </row>
    <row r="373">
      <c r="A373" t="inlineStr">
        <is>
          <t>ORD1372</t>
        </is>
      </c>
      <c r="B373" t="inlineStr">
        <is>
          <t>2025-09-14</t>
        </is>
      </c>
      <c r="C373" t="inlineStr">
        <is>
          <t>21:32:05</t>
        </is>
      </c>
      <c r="D373" t="n">
        <v>1190</v>
      </c>
      <c r="E373" t="n">
        <v>114</v>
      </c>
      <c r="F373" t="n">
        <v>225</v>
      </c>
      <c r="G373" t="inlineStr">
        <is>
          <t>Hyderabad</t>
        </is>
      </c>
      <c r="H373" t="inlineStr">
        <is>
          <t>Biryani</t>
        </is>
      </c>
      <c r="I373" t="n">
        <v>626</v>
      </c>
      <c r="J373" t="n">
        <v>0</v>
      </c>
      <c r="K373" t="n">
        <v>38</v>
      </c>
      <c r="L373" t="n">
        <v>0.22</v>
      </c>
      <c r="M373" t="n">
        <v>147.22</v>
      </c>
      <c r="N373" t="n">
        <v>5.6</v>
      </c>
      <c r="O373" t="n">
        <v>42.8</v>
      </c>
      <c r="P373" t="inlineStr">
        <is>
          <t>Credit Card</t>
        </is>
      </c>
      <c r="Q373" t="inlineStr">
        <is>
          <t>Delivered</t>
        </is>
      </c>
      <c r="R373" t="n">
        <v>3</v>
      </c>
    </row>
    <row r="374">
      <c r="A374" t="inlineStr">
        <is>
          <t>ORD1373</t>
        </is>
      </c>
      <c r="B374" t="inlineStr">
        <is>
          <t>2025-03-23</t>
        </is>
      </c>
      <c r="C374" t="inlineStr">
        <is>
          <t>10:11:36</t>
        </is>
      </c>
      <c r="D374" t="n">
        <v>1206</v>
      </c>
      <c r="E374" t="n">
        <v>113</v>
      </c>
      <c r="F374" t="n">
        <v>229</v>
      </c>
      <c r="G374" t="inlineStr">
        <is>
          <t>Mumbai</t>
        </is>
      </c>
      <c r="H374" t="inlineStr">
        <is>
          <t>Fast Food</t>
        </is>
      </c>
      <c r="I374" t="n">
        <v>799</v>
      </c>
      <c r="J374" t="n">
        <v>61.86</v>
      </c>
      <c r="K374" t="n">
        <v>26.5</v>
      </c>
      <c r="L374" t="n">
        <v>0.18</v>
      </c>
      <c r="M374" t="n">
        <v>150.44</v>
      </c>
      <c r="N374" t="n">
        <v>3.3</v>
      </c>
      <c r="O374" t="n">
        <v>29.3</v>
      </c>
      <c r="P374" t="inlineStr">
        <is>
          <t>Cash on Delivery</t>
        </is>
      </c>
      <c r="Q374" t="inlineStr">
        <is>
          <t>Delivered</t>
        </is>
      </c>
      <c r="R374" t="n">
        <v>5</v>
      </c>
    </row>
    <row r="375">
      <c r="A375" t="inlineStr">
        <is>
          <t>ORD1374</t>
        </is>
      </c>
      <c r="B375" t="inlineStr">
        <is>
          <t>2025-09-07</t>
        </is>
      </c>
      <c r="C375" t="inlineStr">
        <is>
          <t>14:14:04</t>
        </is>
      </c>
      <c r="D375" t="n">
        <v>1284</v>
      </c>
      <c r="E375" t="n">
        <v>102</v>
      </c>
      <c r="F375" t="n">
        <v>216</v>
      </c>
      <c r="G375" t="inlineStr">
        <is>
          <t>Hyderabad</t>
        </is>
      </c>
      <c r="H375" t="inlineStr">
        <is>
          <t>Biryani</t>
        </is>
      </c>
      <c r="I375" t="n">
        <v>490</v>
      </c>
      <c r="J375" t="n">
        <v>0</v>
      </c>
      <c r="K375" t="n">
        <v>39</v>
      </c>
      <c r="L375" t="n">
        <v>0.22</v>
      </c>
      <c r="M375" t="n">
        <v>117.55</v>
      </c>
      <c r="N375" t="n">
        <v>5.8</v>
      </c>
      <c r="O375" t="n">
        <v>35.3</v>
      </c>
      <c r="P375" t="inlineStr">
        <is>
          <t>Credit Card</t>
        </is>
      </c>
      <c r="Q375" t="inlineStr">
        <is>
          <t>Delivered</t>
        </is>
      </c>
      <c r="R375" t="n">
        <v>1</v>
      </c>
    </row>
    <row r="376">
      <c r="A376" t="inlineStr">
        <is>
          <t>ORD1375</t>
        </is>
      </c>
      <c r="B376" t="inlineStr">
        <is>
          <t>2025-08-21</t>
        </is>
      </c>
      <c r="C376" t="inlineStr">
        <is>
          <t>21:56:02</t>
        </is>
      </c>
      <c r="D376" t="n">
        <v>1034</v>
      </c>
      <c r="E376" t="n">
        <v>107</v>
      </c>
      <c r="F376" t="n">
        <v>206</v>
      </c>
      <c r="G376" t="inlineStr">
        <is>
          <t>Mumbai</t>
        </is>
      </c>
      <c r="H376" t="inlineStr">
        <is>
          <t>Desserts</t>
        </is>
      </c>
      <c r="I376" t="n">
        <v>526</v>
      </c>
      <c r="J376" t="n">
        <v>69.65000000000001</v>
      </c>
      <c r="K376" t="n">
        <v>0</v>
      </c>
      <c r="L376" t="n">
        <v>0.25</v>
      </c>
      <c r="M376" t="n">
        <v>131.5</v>
      </c>
      <c r="N376" t="n">
        <v>2.9</v>
      </c>
      <c r="O376" t="n">
        <v>37.3</v>
      </c>
      <c r="P376" t="inlineStr">
        <is>
          <t>Digital Wallet</t>
        </is>
      </c>
      <c r="Q376" t="inlineStr">
        <is>
          <t>Delivered</t>
        </is>
      </c>
      <c r="R376" t="n">
        <v>4</v>
      </c>
    </row>
    <row r="377">
      <c r="A377" t="inlineStr">
        <is>
          <t>ORD1376</t>
        </is>
      </c>
      <c r="B377" t="inlineStr">
        <is>
          <t>2025-07-12</t>
        </is>
      </c>
      <c r="C377" t="inlineStr">
        <is>
          <t>16:41:24</t>
        </is>
      </c>
      <c r="D377" t="n">
        <v>1084</v>
      </c>
      <c r="E377" t="n">
        <v>108</v>
      </c>
      <c r="F377" t="n">
        <v>219</v>
      </c>
      <c r="G377" t="inlineStr">
        <is>
          <t>Delhi NCR</t>
        </is>
      </c>
      <c r="H377" t="inlineStr">
        <is>
          <t>Fast Food</t>
        </is>
      </c>
      <c r="I377" t="n">
        <v>594</v>
      </c>
      <c r="J377" t="n">
        <v>42.68</v>
      </c>
      <c r="K377" t="n">
        <v>33</v>
      </c>
      <c r="L377" t="n">
        <v>0.18</v>
      </c>
      <c r="M377" t="n">
        <v>115.17</v>
      </c>
      <c r="N377" t="n">
        <v>4.6</v>
      </c>
      <c r="O377" t="n">
        <v>25.9</v>
      </c>
      <c r="P377" t="inlineStr">
        <is>
          <t>Debit Card</t>
        </is>
      </c>
      <c r="Q377" t="inlineStr">
        <is>
          <t>Delivered</t>
        </is>
      </c>
      <c r="R377" t="n">
        <v>4</v>
      </c>
    </row>
    <row r="378">
      <c r="A378" t="inlineStr">
        <is>
          <t>ORD1377</t>
        </is>
      </c>
      <c r="B378" t="inlineStr">
        <is>
          <t>2025-06-30</t>
        </is>
      </c>
      <c r="C378" t="inlineStr">
        <is>
          <t>20:52:55</t>
        </is>
      </c>
      <c r="D378" t="n">
        <v>1080</v>
      </c>
      <c r="E378" t="n">
        <v>120</v>
      </c>
      <c r="F378" t="n">
        <v>217</v>
      </c>
      <c r="G378" t="inlineStr">
        <is>
          <t>Pune</t>
        </is>
      </c>
      <c r="H378" t="inlineStr">
        <is>
          <t>Fast Food</t>
        </is>
      </c>
      <c r="I378" t="n">
        <v>573</v>
      </c>
      <c r="J378" t="n">
        <v>0</v>
      </c>
      <c r="K378" t="n">
        <v>35.5</v>
      </c>
      <c r="L378" t="n">
        <v>0.18</v>
      </c>
      <c r="M378" t="n">
        <v>112.02</v>
      </c>
      <c r="N378" t="n">
        <v>5.1</v>
      </c>
      <c r="O378" t="n">
        <v/>
      </c>
      <c r="P378" t="inlineStr">
        <is>
          <t>Digital Wallet</t>
        </is>
      </c>
      <c r="Q378" t="inlineStr">
        <is>
          <t>Cancelled</t>
        </is>
      </c>
      <c r="R378" t="n">
        <v/>
      </c>
    </row>
    <row r="379">
      <c r="A379" t="inlineStr">
        <is>
          <t>ORD1378</t>
        </is>
      </c>
      <c r="B379" t="inlineStr">
        <is>
          <t>2025-08-14</t>
        </is>
      </c>
      <c r="C379" t="inlineStr">
        <is>
          <t>08:10:14</t>
        </is>
      </c>
      <c r="D379" t="n">
        <v>1142</v>
      </c>
      <c r="E379" t="n">
        <v>114</v>
      </c>
      <c r="F379" t="n">
        <v>225</v>
      </c>
      <c r="G379" t="inlineStr">
        <is>
          <t>Hyderabad</t>
        </is>
      </c>
      <c r="H379" t="inlineStr">
        <is>
          <t>Biryani</t>
        </is>
      </c>
      <c r="I379" t="n">
        <v>298</v>
      </c>
      <c r="J379" t="n">
        <v>6.69</v>
      </c>
      <c r="K379" t="n">
        <v>28.5</v>
      </c>
      <c r="L379" t="n">
        <v>0.22</v>
      </c>
      <c r="M379" t="n">
        <v>72.68000000000001</v>
      </c>
      <c r="N379" t="n">
        <v>3.7</v>
      </c>
      <c r="O379" t="n">
        <v>25</v>
      </c>
      <c r="P379" t="inlineStr">
        <is>
          <t>Credit Card</t>
        </is>
      </c>
      <c r="Q379" t="inlineStr">
        <is>
          <t>Delivered</t>
        </is>
      </c>
      <c r="R379" t="n">
        <v>4</v>
      </c>
    </row>
    <row r="380">
      <c r="A380" t="inlineStr">
        <is>
          <t>ORD1379</t>
        </is>
      </c>
      <c r="B380" t="inlineStr">
        <is>
          <t>2025-08-01</t>
        </is>
      </c>
      <c r="C380" t="inlineStr">
        <is>
          <t>10:51:21</t>
        </is>
      </c>
      <c r="D380" t="n">
        <v>1112</v>
      </c>
      <c r="E380" t="n">
        <v>103</v>
      </c>
      <c r="F380" t="n">
        <v>229</v>
      </c>
      <c r="G380" t="inlineStr">
        <is>
          <t>Mumbai</t>
        </is>
      </c>
      <c r="H380" t="inlineStr">
        <is>
          <t>Italian</t>
        </is>
      </c>
      <c r="I380" t="n">
        <v>336</v>
      </c>
      <c r="J380" t="n">
        <v>0</v>
      </c>
      <c r="K380" t="n">
        <v>26</v>
      </c>
      <c r="L380" t="n">
        <v>0.18</v>
      </c>
      <c r="M380" t="n">
        <v>66.98</v>
      </c>
      <c r="N380" t="n">
        <v>3.2</v>
      </c>
      <c r="O380" t="n">
        <v>26.4</v>
      </c>
      <c r="P380" t="inlineStr">
        <is>
          <t>Credit Card</t>
        </is>
      </c>
      <c r="Q380" t="inlineStr">
        <is>
          <t>Delivered</t>
        </is>
      </c>
      <c r="R380" t="n">
        <v>4</v>
      </c>
    </row>
    <row r="381">
      <c r="A381" t="inlineStr">
        <is>
          <t>ORD1380</t>
        </is>
      </c>
      <c r="B381" t="inlineStr">
        <is>
          <t>2025-05-05</t>
        </is>
      </c>
      <c r="C381" t="inlineStr">
        <is>
          <t>18:02:08</t>
        </is>
      </c>
      <c r="D381" t="n">
        <v>1073</v>
      </c>
      <c r="E381" t="n">
        <v>111</v>
      </c>
      <c r="F381" t="n">
        <v>205</v>
      </c>
      <c r="G381" t="inlineStr">
        <is>
          <t>Bangalore</t>
        </is>
      </c>
      <c r="H381" t="inlineStr">
        <is>
          <t>South Indian</t>
        </is>
      </c>
      <c r="I381" t="n">
        <v>807</v>
      </c>
      <c r="J381" t="n">
        <v>8.699999999999999</v>
      </c>
      <c r="K381" t="n">
        <v>30</v>
      </c>
      <c r="L381" t="n">
        <v>0.15</v>
      </c>
      <c r="M381" t="n">
        <v>128.55</v>
      </c>
      <c r="N381" t="n">
        <v>4</v>
      </c>
      <c r="O381" t="n">
        <v>31.1</v>
      </c>
      <c r="P381" t="inlineStr">
        <is>
          <t>Digital Wallet</t>
        </is>
      </c>
      <c r="Q381" t="inlineStr">
        <is>
          <t>Delivered</t>
        </is>
      </c>
      <c r="R381" t="n">
        <v>3</v>
      </c>
    </row>
    <row r="382">
      <c r="A382" t="inlineStr">
        <is>
          <t>ORD1381</t>
        </is>
      </c>
      <c r="B382" t="inlineStr">
        <is>
          <t>2025-03-27</t>
        </is>
      </c>
      <c r="C382" t="inlineStr">
        <is>
          <t>07:16:59</t>
        </is>
      </c>
      <c r="D382" t="n">
        <v>1266</v>
      </c>
      <c r="E382" t="n">
        <v>107</v>
      </c>
      <c r="F382" t="n">
        <v>229</v>
      </c>
      <c r="G382" t="inlineStr">
        <is>
          <t>Mumbai</t>
        </is>
      </c>
      <c r="H382" t="inlineStr">
        <is>
          <t>Desserts</t>
        </is>
      </c>
      <c r="I382" t="n">
        <v>404</v>
      </c>
      <c r="J382" t="n">
        <v>34.81</v>
      </c>
      <c r="K382" t="n">
        <v>31</v>
      </c>
      <c r="L382" t="n">
        <v>0.25</v>
      </c>
      <c r="M382" t="n">
        <v>108.75</v>
      </c>
      <c r="N382" t="n">
        <v>4.2</v>
      </c>
      <c r="O382" t="n">
        <v>34.1</v>
      </c>
      <c r="P382" t="inlineStr">
        <is>
          <t>Digital Wallet</t>
        </is>
      </c>
      <c r="Q382" t="inlineStr">
        <is>
          <t>Delivered</t>
        </is>
      </c>
      <c r="R382" t="n">
        <v>4</v>
      </c>
    </row>
    <row r="383">
      <c r="A383" t="inlineStr">
        <is>
          <t>ORD1382</t>
        </is>
      </c>
      <c r="B383" t="inlineStr">
        <is>
          <t>2025-04-21</t>
        </is>
      </c>
      <c r="C383" t="inlineStr">
        <is>
          <t>21:28:38</t>
        </is>
      </c>
      <c r="D383" t="n">
        <v>1130</v>
      </c>
      <c r="E383" t="n">
        <v>102</v>
      </c>
      <c r="F383" t="n">
        <v>216</v>
      </c>
      <c r="G383" t="inlineStr">
        <is>
          <t>Hyderabad</t>
        </is>
      </c>
      <c r="H383" t="inlineStr">
        <is>
          <t>Biryani</t>
        </is>
      </c>
      <c r="I383" t="n">
        <v>702</v>
      </c>
      <c r="J383" t="n">
        <v>9.58</v>
      </c>
      <c r="K383" t="n">
        <v>29.5</v>
      </c>
      <c r="L383" t="n">
        <v>0.22</v>
      </c>
      <c r="M383" t="n">
        <v>161.82</v>
      </c>
      <c r="N383" t="n">
        <v>3.9</v>
      </c>
      <c r="O383" t="n">
        <v>40.8</v>
      </c>
      <c r="P383" t="inlineStr">
        <is>
          <t>Digital Wallet</t>
        </is>
      </c>
      <c r="Q383" t="inlineStr">
        <is>
          <t>Delivered</t>
        </is>
      </c>
      <c r="R383" t="n">
        <v>4</v>
      </c>
    </row>
    <row r="384">
      <c r="A384" t="inlineStr">
        <is>
          <t>ORD1383</t>
        </is>
      </c>
      <c r="B384" t="inlineStr">
        <is>
          <t>2025-11-16</t>
        </is>
      </c>
      <c r="C384" t="inlineStr">
        <is>
          <t>11:42:32</t>
        </is>
      </c>
      <c r="D384" t="n">
        <v>1295</v>
      </c>
      <c r="E384" t="n">
        <v>108</v>
      </c>
      <c r="F384" t="n">
        <v>219</v>
      </c>
      <c r="G384" t="inlineStr">
        <is>
          <t>Delhi NCR</t>
        </is>
      </c>
      <c r="H384" t="inlineStr">
        <is>
          <t>Fast Food</t>
        </is>
      </c>
      <c r="I384" t="n">
        <v>490</v>
      </c>
      <c r="J384" t="n">
        <v>0</v>
      </c>
      <c r="K384" t="n">
        <v>25</v>
      </c>
      <c r="L384" t="n">
        <v>0.18</v>
      </c>
      <c r="M384" t="n">
        <v>94.45</v>
      </c>
      <c r="N384" t="n">
        <v>3</v>
      </c>
      <c r="O384" t="n">
        <v>32.8</v>
      </c>
      <c r="P384" t="inlineStr">
        <is>
          <t>Cash on Delivery</t>
        </is>
      </c>
      <c r="Q384" t="inlineStr">
        <is>
          <t>Delivered</t>
        </is>
      </c>
      <c r="R384" t="n">
        <v>2</v>
      </c>
    </row>
    <row r="385">
      <c r="A385" t="inlineStr">
        <is>
          <t>ORD1384</t>
        </is>
      </c>
      <c r="B385" t="inlineStr">
        <is>
          <t>2025-07-17</t>
        </is>
      </c>
      <c r="C385" t="inlineStr">
        <is>
          <t>13:08:06</t>
        </is>
      </c>
      <c r="D385" t="n">
        <v>1017</v>
      </c>
      <c r="E385" t="n">
        <v>113</v>
      </c>
      <c r="F385" t="n">
        <v>222</v>
      </c>
      <c r="G385" t="inlineStr">
        <is>
          <t>Mumbai</t>
        </is>
      </c>
      <c r="H385" t="inlineStr">
        <is>
          <t>Fast Food</t>
        </is>
      </c>
      <c r="I385" t="n">
        <v>236</v>
      </c>
      <c r="J385" t="n">
        <v>0</v>
      </c>
      <c r="K385" t="n">
        <v>31</v>
      </c>
      <c r="L385" t="n">
        <v>0.18</v>
      </c>
      <c r="M385" t="n">
        <v>50.23</v>
      </c>
      <c r="N385" t="n">
        <v>4.2</v>
      </c>
      <c r="O385" t="n">
        <v>37.9</v>
      </c>
      <c r="P385" t="inlineStr">
        <is>
          <t>Digital Wallet</t>
        </is>
      </c>
      <c r="Q385" t="inlineStr">
        <is>
          <t>Delivered</t>
        </is>
      </c>
      <c r="R385" t="n">
        <v>3</v>
      </c>
    </row>
    <row r="386">
      <c r="A386" t="inlineStr">
        <is>
          <t>ORD1385</t>
        </is>
      </c>
      <c r="B386" t="inlineStr">
        <is>
          <t>2025-04-01</t>
        </is>
      </c>
      <c r="C386" t="inlineStr">
        <is>
          <t>18:30:57</t>
        </is>
      </c>
      <c r="D386" t="n">
        <v>1092</v>
      </c>
      <c r="E386" t="n">
        <v>112</v>
      </c>
      <c r="F386" t="n">
        <v>230</v>
      </c>
      <c r="G386" t="inlineStr">
        <is>
          <t>Delhi NCR</t>
        </is>
      </c>
      <c r="H386" t="inlineStr">
        <is>
          <t>North Indian</t>
        </is>
      </c>
      <c r="I386" t="n">
        <v>849</v>
      </c>
      <c r="J386" t="n">
        <v>78.09999999999999</v>
      </c>
      <c r="K386" t="n">
        <v>25</v>
      </c>
      <c r="L386" t="n">
        <v>0.22</v>
      </c>
      <c r="M386" t="n">
        <v>193.03</v>
      </c>
      <c r="N386" t="n">
        <v>2.9</v>
      </c>
      <c r="O386" t="n">
        <v>34.2</v>
      </c>
      <c r="P386" t="inlineStr">
        <is>
          <t>Digital Wallet</t>
        </is>
      </c>
      <c r="Q386" t="inlineStr">
        <is>
          <t>Delivered</t>
        </is>
      </c>
      <c r="R386" t="n">
        <v>4</v>
      </c>
    </row>
    <row r="387">
      <c r="A387" t="inlineStr">
        <is>
          <t>ORD1386</t>
        </is>
      </c>
      <c r="B387" t="inlineStr">
        <is>
          <t>2025-12-04</t>
        </is>
      </c>
      <c r="C387" t="inlineStr">
        <is>
          <t>13:08:57</t>
        </is>
      </c>
      <c r="D387" t="n">
        <v>1096</v>
      </c>
      <c r="E387" t="n">
        <v>109</v>
      </c>
      <c r="F387" t="n">
        <v>216</v>
      </c>
      <c r="G387" t="inlineStr">
        <is>
          <t>Hyderabad</t>
        </is>
      </c>
      <c r="H387" t="inlineStr">
        <is>
          <t>Biryani</t>
        </is>
      </c>
      <c r="I387" t="n">
        <v>837</v>
      </c>
      <c r="J387" t="n">
        <v>0.08</v>
      </c>
      <c r="K387" t="n">
        <v>25.5</v>
      </c>
      <c r="L387" t="n">
        <v>0.2</v>
      </c>
      <c r="M387" t="n">
        <v>173.78</v>
      </c>
      <c r="N387" t="n">
        <v>3.1</v>
      </c>
      <c r="O387" t="n">
        <v>33.9</v>
      </c>
      <c r="P387" t="inlineStr">
        <is>
          <t>Cash on Delivery</t>
        </is>
      </c>
      <c r="Q387" t="inlineStr">
        <is>
          <t>Delivered</t>
        </is>
      </c>
      <c r="R387" t="n">
        <v>4</v>
      </c>
    </row>
    <row r="388">
      <c r="A388" t="inlineStr">
        <is>
          <t>ORD1387</t>
        </is>
      </c>
      <c r="B388" t="inlineStr">
        <is>
          <t>2025-12-24</t>
        </is>
      </c>
      <c r="C388" t="inlineStr">
        <is>
          <t>06:33:27</t>
        </is>
      </c>
      <c r="D388" t="n">
        <v>1294</v>
      </c>
      <c r="E388" t="n">
        <v>112</v>
      </c>
      <c r="F388" t="n">
        <v>221</v>
      </c>
      <c r="G388" t="inlineStr">
        <is>
          <t>Delhi NCR</t>
        </is>
      </c>
      <c r="H388" t="inlineStr">
        <is>
          <t>North Indian</t>
        </is>
      </c>
      <c r="I388" t="n">
        <v>454</v>
      </c>
      <c r="J388" t="n">
        <v>17.51</v>
      </c>
      <c r="K388" t="n">
        <v>41</v>
      </c>
      <c r="L388" t="n">
        <v>0.22</v>
      </c>
      <c r="M388" t="n">
        <v>110.13</v>
      </c>
      <c r="N388" t="n">
        <v>6.2</v>
      </c>
      <c r="O388" t="n">
        <v>38.9</v>
      </c>
      <c r="P388" t="inlineStr">
        <is>
          <t>Debit Card</t>
        </is>
      </c>
      <c r="Q388" t="inlineStr">
        <is>
          <t>Delivered</t>
        </is>
      </c>
      <c r="R388" t="n">
        <v>5</v>
      </c>
    </row>
    <row r="389">
      <c r="A389" t="inlineStr">
        <is>
          <t>ORD1388</t>
        </is>
      </c>
      <c r="B389" t="inlineStr">
        <is>
          <t>2025-05-11</t>
        </is>
      </c>
      <c r="C389" t="inlineStr">
        <is>
          <t>19:30:49</t>
        </is>
      </c>
      <c r="D389" t="n">
        <v>1196</v>
      </c>
      <c r="E389" t="n">
        <v>106</v>
      </c>
      <c r="F389" t="n">
        <v>217</v>
      </c>
      <c r="G389" t="inlineStr">
        <is>
          <t>Pune</t>
        </is>
      </c>
      <c r="H389" t="inlineStr">
        <is>
          <t>South Indian</t>
        </is>
      </c>
      <c r="I389" t="n">
        <v>458</v>
      </c>
      <c r="J389" t="n">
        <v>3.07</v>
      </c>
      <c r="K389" t="n">
        <v>45</v>
      </c>
      <c r="L389" t="n">
        <v>0.15</v>
      </c>
      <c r="M389" t="n">
        <v>79.95</v>
      </c>
      <c r="N389" t="n">
        <v>7</v>
      </c>
      <c r="O389" t="n">
        <v>49.3</v>
      </c>
      <c r="P389" t="inlineStr">
        <is>
          <t>Digital Wallet</t>
        </is>
      </c>
      <c r="Q389" t="inlineStr">
        <is>
          <t>Delivered</t>
        </is>
      </c>
      <c r="R389" t="n">
        <v>2</v>
      </c>
    </row>
    <row r="390">
      <c r="A390" t="inlineStr">
        <is>
          <t>ORD1389</t>
        </is>
      </c>
      <c r="B390" t="inlineStr">
        <is>
          <t>2025-01-03</t>
        </is>
      </c>
      <c r="C390" t="inlineStr">
        <is>
          <t>13:45:47</t>
        </is>
      </c>
      <c r="D390" t="n">
        <v>1230</v>
      </c>
      <c r="E390" t="n">
        <v>114</v>
      </c>
      <c r="F390" t="n">
        <v>215</v>
      </c>
      <c r="G390" t="inlineStr">
        <is>
          <t>Hyderabad</t>
        </is>
      </c>
      <c r="H390" t="inlineStr">
        <is>
          <t>Biryani</t>
        </is>
      </c>
      <c r="I390" t="n">
        <v>227</v>
      </c>
      <c r="J390" t="n">
        <v>20.53</v>
      </c>
      <c r="K390" t="n">
        <v>25</v>
      </c>
      <c r="L390" t="n">
        <v>0.22</v>
      </c>
      <c r="M390" t="n">
        <v>56.19</v>
      </c>
      <c r="N390" t="n">
        <v>1.7</v>
      </c>
      <c r="O390" t="n">
        <v>64.3</v>
      </c>
      <c r="P390" t="inlineStr">
        <is>
          <t>Credit Card</t>
        </is>
      </c>
      <c r="Q390" t="inlineStr">
        <is>
          <t>Delivered</t>
        </is>
      </c>
      <c r="R390" t="n">
        <v>2</v>
      </c>
    </row>
    <row r="391">
      <c r="A391" t="inlineStr">
        <is>
          <t>ORD1390</t>
        </is>
      </c>
      <c r="B391" t="inlineStr">
        <is>
          <t>2025-02-24</t>
        </is>
      </c>
      <c r="C391" t="inlineStr">
        <is>
          <t>21:09:27</t>
        </is>
      </c>
      <c r="D391" t="n">
        <v>1186</v>
      </c>
      <c r="E391" t="n">
        <v>102</v>
      </c>
      <c r="F391" t="n">
        <v>225</v>
      </c>
      <c r="G391" t="inlineStr">
        <is>
          <t>Hyderabad</t>
        </is>
      </c>
      <c r="H391" t="inlineStr">
        <is>
          <t>Biryani</t>
        </is>
      </c>
      <c r="I391" t="n">
        <v>887</v>
      </c>
      <c r="J391" t="n">
        <v>80.7</v>
      </c>
      <c r="K391" t="n">
        <v>25</v>
      </c>
      <c r="L391" t="n">
        <v>0.22</v>
      </c>
      <c r="M391" t="n">
        <v>201.39</v>
      </c>
      <c r="N391" t="n">
        <v>1.9</v>
      </c>
      <c r="O391" t="n">
        <v>26</v>
      </c>
      <c r="P391" t="inlineStr">
        <is>
          <t>Digital Wallet</t>
        </is>
      </c>
      <c r="Q391" t="inlineStr">
        <is>
          <t>Delivered</t>
        </is>
      </c>
      <c r="R391" t="n">
        <v>4</v>
      </c>
    </row>
    <row r="392">
      <c r="A392" t="inlineStr">
        <is>
          <t>ORD1391</t>
        </is>
      </c>
      <c r="B392" t="inlineStr">
        <is>
          <t>2025-12-15</t>
        </is>
      </c>
      <c r="C392" t="inlineStr">
        <is>
          <t>01:25:48</t>
        </is>
      </c>
      <c r="D392" t="n">
        <v>1029</v>
      </c>
      <c r="E392" t="n">
        <v>104</v>
      </c>
      <c r="F392" t="n">
        <v>219</v>
      </c>
      <c r="G392" t="inlineStr">
        <is>
          <t>Delhi NCR</t>
        </is>
      </c>
      <c r="H392" t="inlineStr">
        <is>
          <t>Fast Food</t>
        </is>
      </c>
      <c r="I392" t="n">
        <v>428</v>
      </c>
      <c r="J392" t="n">
        <v>0</v>
      </c>
      <c r="K392" t="n">
        <v>40</v>
      </c>
      <c r="L392" t="n">
        <v>0.18</v>
      </c>
      <c r="M392" t="n">
        <v>87.04000000000001</v>
      </c>
      <c r="N392" t="n">
        <v>6</v>
      </c>
      <c r="O392" t="n">
        <v>39</v>
      </c>
      <c r="P392" t="inlineStr">
        <is>
          <t>Cash on Delivery</t>
        </is>
      </c>
      <c r="Q392" t="inlineStr">
        <is>
          <t>Delivered</t>
        </is>
      </c>
      <c r="R392" t="n">
        <v>2</v>
      </c>
    </row>
    <row r="393">
      <c r="A393" t="inlineStr">
        <is>
          <t>ORD1392</t>
        </is>
      </c>
      <c r="B393" t="inlineStr">
        <is>
          <t>2025-10-14</t>
        </is>
      </c>
      <c r="C393" t="inlineStr">
        <is>
          <t>13:35:30</t>
        </is>
      </c>
      <c r="D393" t="n">
        <v>1270</v>
      </c>
      <c r="E393" t="n">
        <v>119</v>
      </c>
      <c r="F393" t="n">
        <v>225</v>
      </c>
      <c r="G393" t="inlineStr">
        <is>
          <t>Hyderabad</t>
        </is>
      </c>
      <c r="H393" t="inlineStr">
        <is>
          <t>Biryani</t>
        </is>
      </c>
      <c r="I393" t="n">
        <v>479</v>
      </c>
      <c r="J393" t="n">
        <v>22.14</v>
      </c>
      <c r="K393" t="n">
        <v>33.5</v>
      </c>
      <c r="L393" t="n">
        <v>0.2</v>
      </c>
      <c r="M393" t="n">
        <v>104.18</v>
      </c>
      <c r="N393" t="n">
        <v>4.7</v>
      </c>
      <c r="O393" t="n">
        <v>38.8</v>
      </c>
      <c r="P393" t="inlineStr">
        <is>
          <t>Cash on Delivery</t>
        </is>
      </c>
      <c r="Q393" t="inlineStr">
        <is>
          <t>Delivered</t>
        </is>
      </c>
      <c r="R393" t="n">
        <v>3</v>
      </c>
    </row>
    <row r="394">
      <c r="A394" t="inlineStr">
        <is>
          <t>ORD1393</t>
        </is>
      </c>
      <c r="B394" t="inlineStr">
        <is>
          <t>2025-08-17</t>
        </is>
      </c>
      <c r="C394" t="inlineStr">
        <is>
          <t>08:50:44</t>
        </is>
      </c>
      <c r="D394" t="n">
        <v>1194</v>
      </c>
      <c r="E394" t="n">
        <v>115</v>
      </c>
      <c r="F394" t="n">
        <v>223</v>
      </c>
      <c r="G394" t="inlineStr">
        <is>
          <t>Bangalore</t>
        </is>
      </c>
      <c r="H394" t="inlineStr">
        <is>
          <t>Italian</t>
        </is>
      </c>
      <c r="I394" t="n">
        <v>385</v>
      </c>
      <c r="J394" t="n">
        <v>21.95</v>
      </c>
      <c r="K394" t="n">
        <v>30.5</v>
      </c>
      <c r="L394" t="n">
        <v>0.2</v>
      </c>
      <c r="M394" t="n">
        <v>84.62</v>
      </c>
      <c r="N394" t="n">
        <v>4.1</v>
      </c>
      <c r="O394" t="n">
        <v>30.2</v>
      </c>
      <c r="P394" t="inlineStr">
        <is>
          <t>Debit Card</t>
        </is>
      </c>
      <c r="Q394" t="inlineStr">
        <is>
          <t>Delivered</t>
        </is>
      </c>
      <c r="R394" t="n">
        <v>5</v>
      </c>
    </row>
    <row r="395">
      <c r="A395" t="inlineStr">
        <is>
          <t>ORD1394</t>
        </is>
      </c>
      <c r="B395" t="inlineStr">
        <is>
          <t>2025-11-22</t>
        </is>
      </c>
      <c r="C395" t="inlineStr">
        <is>
          <t>20:00:51</t>
        </is>
      </c>
      <c r="D395" t="n">
        <v>1278</v>
      </c>
      <c r="E395" t="n">
        <v>105</v>
      </c>
      <c r="F395" t="n">
        <v>203</v>
      </c>
      <c r="G395" t="inlineStr">
        <is>
          <t>Bangalore</t>
        </is>
      </c>
      <c r="H395" t="inlineStr">
        <is>
          <t>Chinese</t>
        </is>
      </c>
      <c r="I395" t="n">
        <v>313</v>
      </c>
      <c r="J395" t="n">
        <v>33.69</v>
      </c>
      <c r="K395" t="n">
        <v>31.5</v>
      </c>
      <c r="L395" t="n">
        <v>0.2</v>
      </c>
      <c r="M395" t="n">
        <v>70.47</v>
      </c>
      <c r="N395" t="n">
        <v>4.3</v>
      </c>
      <c r="O395" t="n">
        <v>33.6</v>
      </c>
      <c r="P395" t="inlineStr">
        <is>
          <t>Digital Wallet</t>
        </is>
      </c>
      <c r="Q395" t="inlineStr">
        <is>
          <t>Delivered</t>
        </is>
      </c>
      <c r="R395" t="n">
        <v>5</v>
      </c>
    </row>
    <row r="396">
      <c r="A396" t="inlineStr">
        <is>
          <t>ORD1395</t>
        </is>
      </c>
      <c r="B396" t="inlineStr">
        <is>
          <t>2025-05-15</t>
        </is>
      </c>
      <c r="C396" t="inlineStr">
        <is>
          <t>20:14:23</t>
        </is>
      </c>
      <c r="D396" t="n">
        <v>1246</v>
      </c>
      <c r="E396" t="n">
        <v>120</v>
      </c>
      <c r="F396" t="n">
        <v>209</v>
      </c>
      <c r="G396" t="inlineStr">
        <is>
          <t>Pune</t>
        </is>
      </c>
      <c r="H396" t="inlineStr">
        <is>
          <t>Fast Food</t>
        </is>
      </c>
      <c r="I396" t="n">
        <v>556</v>
      </c>
      <c r="J396" t="n">
        <v>57.7</v>
      </c>
      <c r="K396" t="n">
        <v>0</v>
      </c>
      <c r="L396" t="n">
        <v>0.18</v>
      </c>
      <c r="M396" t="n">
        <v>100.08</v>
      </c>
      <c r="N396" t="n">
        <v>2</v>
      </c>
      <c r="O396" t="n">
        <v>26.5</v>
      </c>
      <c r="P396" t="inlineStr">
        <is>
          <t>Cash on Delivery</t>
        </is>
      </c>
      <c r="Q396" t="inlineStr">
        <is>
          <t>Delivered</t>
        </is>
      </c>
      <c r="R396" t="n">
        <v>5</v>
      </c>
    </row>
    <row r="397">
      <c r="A397" t="inlineStr">
        <is>
          <t>ORD1396</t>
        </is>
      </c>
      <c r="B397" t="inlineStr">
        <is>
          <t>2025-11-24</t>
        </is>
      </c>
      <c r="C397" t="inlineStr">
        <is>
          <t>19:31:28</t>
        </is>
      </c>
      <c r="D397" t="n">
        <v>1250</v>
      </c>
      <c r="E397" t="n">
        <v>120</v>
      </c>
      <c r="F397" t="n">
        <v>207</v>
      </c>
      <c r="G397" t="inlineStr">
        <is>
          <t>Pune</t>
        </is>
      </c>
      <c r="H397" t="inlineStr">
        <is>
          <t>Fast Food</t>
        </is>
      </c>
      <c r="I397" t="n">
        <v>381</v>
      </c>
      <c r="J397" t="n">
        <v>70.51000000000001</v>
      </c>
      <c r="K397" t="n">
        <v>26.5</v>
      </c>
      <c r="L397" t="n">
        <v>0.18</v>
      </c>
      <c r="M397" t="n">
        <v>75.2</v>
      </c>
      <c r="N397" t="n">
        <v>3.3</v>
      </c>
      <c r="O397" t="n">
        <v>39.1</v>
      </c>
      <c r="P397" t="inlineStr">
        <is>
          <t>Digital Wallet</t>
        </is>
      </c>
      <c r="Q397" t="inlineStr">
        <is>
          <t>Delivered</t>
        </is>
      </c>
      <c r="R397" t="n">
        <v>4</v>
      </c>
    </row>
    <row r="398">
      <c r="A398" t="inlineStr">
        <is>
          <t>ORD1397</t>
        </is>
      </c>
      <c r="B398" t="inlineStr">
        <is>
          <t>2025-11-03</t>
        </is>
      </c>
      <c r="C398" t="inlineStr">
        <is>
          <t>18:32:33</t>
        </is>
      </c>
      <c r="D398" t="n">
        <v>1047</v>
      </c>
      <c r="E398" t="n">
        <v>111</v>
      </c>
      <c r="F398" t="n">
        <v>210</v>
      </c>
      <c r="G398" t="inlineStr">
        <is>
          <t>Bangalore</t>
        </is>
      </c>
      <c r="H398" t="inlineStr">
        <is>
          <t>South Indian</t>
        </is>
      </c>
      <c r="I398" t="n">
        <v>935</v>
      </c>
      <c r="J398" t="n">
        <v>0</v>
      </c>
      <c r="K398" t="n">
        <v>25</v>
      </c>
      <c r="L398" t="n">
        <v>0.15</v>
      </c>
      <c r="M398" t="n">
        <v>146.5</v>
      </c>
      <c r="N398" t="n">
        <v>1.7</v>
      </c>
      <c r="O398" t="n">
        <v>19.5</v>
      </c>
      <c r="P398" t="inlineStr">
        <is>
          <t>UPI</t>
        </is>
      </c>
      <c r="Q398" t="inlineStr">
        <is>
          <t>Delivered</t>
        </is>
      </c>
      <c r="R398" t="n">
        <v>3</v>
      </c>
    </row>
    <row r="399">
      <c r="A399" t="inlineStr">
        <is>
          <t>ORD1398</t>
        </is>
      </c>
      <c r="B399" t="inlineStr">
        <is>
          <t>2025-03-22</t>
        </is>
      </c>
      <c r="C399" t="inlineStr">
        <is>
          <t>19:05:17</t>
        </is>
      </c>
      <c r="D399" t="n">
        <v>1240</v>
      </c>
      <c r="E399" t="n">
        <v>107</v>
      </c>
      <c r="F399" t="n">
        <v>222</v>
      </c>
      <c r="G399" t="inlineStr">
        <is>
          <t>Mumbai</t>
        </is>
      </c>
      <c r="H399" t="inlineStr">
        <is>
          <t>Desserts</t>
        </is>
      </c>
      <c r="I399" t="n">
        <v>629</v>
      </c>
      <c r="J399" t="n">
        <v>0</v>
      </c>
      <c r="K399" t="n">
        <v>26.5</v>
      </c>
      <c r="L399" t="n">
        <v>0.25</v>
      </c>
      <c r="M399" t="n">
        <v>163.88</v>
      </c>
      <c r="N399" t="n">
        <v>3.3</v>
      </c>
      <c r="O399" t="n">
        <v>36.4</v>
      </c>
      <c r="P399" t="inlineStr">
        <is>
          <t>Digital Wallet</t>
        </is>
      </c>
      <c r="Q399" t="inlineStr">
        <is>
          <t>Delivered</t>
        </is>
      </c>
      <c r="R399" t="n">
        <v>4</v>
      </c>
    </row>
    <row r="400">
      <c r="A400" t="inlineStr">
        <is>
          <t>ORD1399</t>
        </is>
      </c>
      <c r="B400" t="inlineStr">
        <is>
          <t>2025-12-27</t>
        </is>
      </c>
      <c r="C400" t="inlineStr">
        <is>
          <t>17:04:58</t>
        </is>
      </c>
      <c r="D400" t="n">
        <v>1089</v>
      </c>
      <c r="E400" t="n">
        <v>111</v>
      </c>
      <c r="F400" t="n">
        <v>218</v>
      </c>
      <c r="G400" t="inlineStr">
        <is>
          <t>Bangalore</t>
        </is>
      </c>
      <c r="H400" t="inlineStr">
        <is>
          <t>South Indian</t>
        </is>
      </c>
      <c r="I400" t="n">
        <v>552</v>
      </c>
      <c r="J400" t="n">
        <v>70.90000000000001</v>
      </c>
      <c r="K400" t="n">
        <v>0</v>
      </c>
      <c r="L400" t="n">
        <v>0.15</v>
      </c>
      <c r="M400" t="n">
        <v>82.8</v>
      </c>
      <c r="N400" t="n">
        <v>3.8</v>
      </c>
      <c r="O400" t="n">
        <v>32.6</v>
      </c>
      <c r="P400" t="inlineStr">
        <is>
          <t>Digital Wallet</t>
        </is>
      </c>
      <c r="Q400" t="inlineStr">
        <is>
          <t>Delivered</t>
        </is>
      </c>
      <c r="R400" t="n">
        <v>3</v>
      </c>
    </row>
    <row r="401">
      <c r="A401" t="inlineStr">
        <is>
          <t>ORD1400</t>
        </is>
      </c>
      <c r="B401" t="inlineStr">
        <is>
          <t>2025-04-26</t>
        </is>
      </c>
      <c r="C401" t="inlineStr">
        <is>
          <t>20:38:12</t>
        </is>
      </c>
      <c r="D401" t="n">
        <v>1294</v>
      </c>
      <c r="E401" t="n">
        <v>118</v>
      </c>
      <c r="F401" t="n">
        <v>212</v>
      </c>
      <c r="G401" t="inlineStr">
        <is>
          <t>Delhi NCR</t>
        </is>
      </c>
      <c r="H401" t="inlineStr">
        <is>
          <t>North Indian</t>
        </is>
      </c>
      <c r="I401" t="n">
        <v>685</v>
      </c>
      <c r="J401" t="n">
        <v>31.5</v>
      </c>
      <c r="K401" t="n">
        <v>25</v>
      </c>
      <c r="L401" t="n">
        <v>0.2</v>
      </c>
      <c r="M401" t="n">
        <v>143.25</v>
      </c>
      <c r="N401" t="n">
        <v>2.5</v>
      </c>
      <c r="O401" t="n">
        <v>24.7</v>
      </c>
      <c r="P401" t="inlineStr">
        <is>
          <t>Cash on Delivery</t>
        </is>
      </c>
      <c r="Q401" t="inlineStr">
        <is>
          <t>Delivered</t>
        </is>
      </c>
      <c r="R401" t="n">
        <v>1</v>
      </c>
    </row>
    <row r="402">
      <c r="A402" t="inlineStr">
        <is>
          <t>ORD1401</t>
        </is>
      </c>
      <c r="B402" t="inlineStr">
        <is>
          <t>2025-06-24</t>
        </is>
      </c>
      <c r="C402" t="inlineStr">
        <is>
          <t>20:07:51</t>
        </is>
      </c>
      <c r="D402" t="n">
        <v>1020</v>
      </c>
      <c r="E402" t="n">
        <v>118</v>
      </c>
      <c r="F402" t="n">
        <v>212</v>
      </c>
      <c r="G402" t="inlineStr">
        <is>
          <t>Delhi NCR</t>
        </is>
      </c>
      <c r="H402" t="inlineStr">
        <is>
          <t>North Indian</t>
        </is>
      </c>
      <c r="I402" t="n">
        <v>745</v>
      </c>
      <c r="J402" t="n">
        <v>52.22</v>
      </c>
      <c r="K402" t="n">
        <v>33</v>
      </c>
      <c r="L402" t="n">
        <v>0.2</v>
      </c>
      <c r="M402" t="n">
        <v>157.25</v>
      </c>
      <c r="N402" t="n">
        <v>4.6</v>
      </c>
      <c r="O402" t="n">
        <v>50.5</v>
      </c>
      <c r="P402" t="inlineStr">
        <is>
          <t>Digital Wallet</t>
        </is>
      </c>
      <c r="Q402" t="inlineStr">
        <is>
          <t>Delivered</t>
        </is>
      </c>
      <c r="R402" t="n">
        <v>2</v>
      </c>
    </row>
    <row r="403">
      <c r="A403" t="inlineStr">
        <is>
          <t>ORD1402</t>
        </is>
      </c>
      <c r="B403" t="inlineStr">
        <is>
          <t>2025-10-16</t>
        </is>
      </c>
      <c r="C403" t="inlineStr">
        <is>
          <t>18:30:49</t>
        </is>
      </c>
      <c r="D403" t="n">
        <v>1053</v>
      </c>
      <c r="E403" t="n">
        <v>109</v>
      </c>
      <c r="F403" t="n">
        <v>225</v>
      </c>
      <c r="G403" t="inlineStr">
        <is>
          <t>Hyderabad</t>
        </is>
      </c>
      <c r="H403" t="inlineStr">
        <is>
          <t>Biryani</t>
        </is>
      </c>
      <c r="I403" t="n">
        <v>762</v>
      </c>
      <c r="J403" t="n">
        <v>102.08</v>
      </c>
      <c r="K403" t="n">
        <v>0</v>
      </c>
      <c r="L403" t="n">
        <v>0.2</v>
      </c>
      <c r="M403" t="n">
        <v>152.4</v>
      </c>
      <c r="N403" t="n">
        <v>4.1</v>
      </c>
      <c r="O403" t="n">
        <v>39.2</v>
      </c>
      <c r="P403" t="inlineStr">
        <is>
          <t>Cash on Delivery</t>
        </is>
      </c>
      <c r="Q403" t="inlineStr">
        <is>
          <t>Delivered</t>
        </is>
      </c>
      <c r="R403" t="n">
        <v>4</v>
      </c>
    </row>
    <row r="404">
      <c r="A404" t="inlineStr">
        <is>
          <t>ORD1403</t>
        </is>
      </c>
      <c r="B404" t="inlineStr">
        <is>
          <t>2025-05-13</t>
        </is>
      </c>
      <c r="C404" t="inlineStr">
        <is>
          <t>18:04:24</t>
        </is>
      </c>
      <c r="D404" t="n">
        <v>1210</v>
      </c>
      <c r="E404" t="n">
        <v>118</v>
      </c>
      <c r="F404" t="n">
        <v>230</v>
      </c>
      <c r="G404" t="inlineStr">
        <is>
          <t>Delhi NCR</t>
        </is>
      </c>
      <c r="H404" t="inlineStr">
        <is>
          <t>North Indian</t>
        </is>
      </c>
      <c r="I404" t="n">
        <v>868</v>
      </c>
      <c r="J404" t="n">
        <v>15.3</v>
      </c>
      <c r="K404" t="n">
        <v>25</v>
      </c>
      <c r="L404" t="n">
        <v>0.2</v>
      </c>
      <c r="M404" t="n">
        <v>179.85</v>
      </c>
      <c r="N404" t="n">
        <v>3</v>
      </c>
      <c r="O404" t="n">
        <v>28.3</v>
      </c>
      <c r="P404" t="inlineStr">
        <is>
          <t>Debit Card</t>
        </is>
      </c>
      <c r="Q404" t="inlineStr">
        <is>
          <t>Delivered</t>
        </is>
      </c>
      <c r="R404" t="n">
        <v>4</v>
      </c>
    </row>
    <row r="405">
      <c r="A405" t="inlineStr">
        <is>
          <t>ORD1404</t>
        </is>
      </c>
      <c r="B405" t="inlineStr">
        <is>
          <t>2025-12-25</t>
        </is>
      </c>
      <c r="C405" t="inlineStr">
        <is>
          <t>12:53:16</t>
        </is>
      </c>
      <c r="D405" t="n">
        <v>1137</v>
      </c>
      <c r="E405" t="n">
        <v>116</v>
      </c>
      <c r="F405" t="n">
        <v>207</v>
      </c>
      <c r="G405" t="inlineStr">
        <is>
          <t>Pune</t>
        </is>
      </c>
      <c r="H405" t="inlineStr">
        <is>
          <t>Desserts</t>
        </is>
      </c>
      <c r="I405" t="n">
        <v>474</v>
      </c>
      <c r="J405" t="n">
        <v>0</v>
      </c>
      <c r="K405" t="n">
        <v>25</v>
      </c>
      <c r="L405" t="n">
        <v>0.25</v>
      </c>
      <c r="M405" t="n">
        <v>124.75</v>
      </c>
      <c r="N405" t="n">
        <v>2.2</v>
      </c>
      <c r="O405" t="n">
        <v>28.7</v>
      </c>
      <c r="P405" t="inlineStr">
        <is>
          <t>Debit Card</t>
        </is>
      </c>
      <c r="Q405" t="inlineStr">
        <is>
          <t>Delivered</t>
        </is>
      </c>
      <c r="R405" t="n">
        <v>2</v>
      </c>
    </row>
    <row r="406">
      <c r="A406" t="inlineStr">
        <is>
          <t>ORD1405</t>
        </is>
      </c>
      <c r="B406" t="inlineStr">
        <is>
          <t>2025-09-01</t>
        </is>
      </c>
      <c r="C406" t="inlineStr">
        <is>
          <t>10:20:22</t>
        </is>
      </c>
      <c r="D406" t="n">
        <v>1245</v>
      </c>
      <c r="E406" t="n">
        <v>103</v>
      </c>
      <c r="F406" t="n">
        <v>202</v>
      </c>
      <c r="G406" t="inlineStr">
        <is>
          <t>Mumbai</t>
        </is>
      </c>
      <c r="H406" t="inlineStr">
        <is>
          <t>Italian</t>
        </is>
      </c>
      <c r="I406" t="n">
        <v>443</v>
      </c>
      <c r="J406" t="n">
        <v>9.539999999999999</v>
      </c>
      <c r="K406" t="n">
        <v>25</v>
      </c>
      <c r="L406" t="n">
        <v>0.18</v>
      </c>
      <c r="M406" t="n">
        <v>85.98999999999999</v>
      </c>
      <c r="N406" t="n">
        <v>2.1</v>
      </c>
      <c r="O406" t="n">
        <v/>
      </c>
      <c r="P406" t="inlineStr">
        <is>
          <t>Credit Card</t>
        </is>
      </c>
      <c r="Q406" t="inlineStr">
        <is>
          <t>Cancelled</t>
        </is>
      </c>
      <c r="R406" t="n">
        <v/>
      </c>
    </row>
    <row r="407">
      <c r="A407" t="inlineStr">
        <is>
          <t>ORD1406</t>
        </is>
      </c>
      <c r="B407" t="inlineStr">
        <is>
          <t>2025-05-04</t>
        </is>
      </c>
      <c r="C407" t="inlineStr">
        <is>
          <t>11:55:16</t>
        </is>
      </c>
      <c r="D407" t="n">
        <v>1231</v>
      </c>
      <c r="E407" t="n">
        <v>101</v>
      </c>
      <c r="F407" t="n">
        <v>201</v>
      </c>
      <c r="G407" t="inlineStr">
        <is>
          <t>Bangalore</t>
        </is>
      </c>
      <c r="H407" t="inlineStr">
        <is>
          <t>North Indian</t>
        </is>
      </c>
      <c r="I407" t="n">
        <v>431</v>
      </c>
      <c r="J407" t="n">
        <v>28.47</v>
      </c>
      <c r="K407" t="n">
        <v>25</v>
      </c>
      <c r="L407" t="n">
        <v>0.2</v>
      </c>
      <c r="M407" t="n">
        <v>92.45</v>
      </c>
      <c r="N407" t="n">
        <v>2</v>
      </c>
      <c r="O407" t="n">
        <v>27.2</v>
      </c>
      <c r="P407" t="inlineStr">
        <is>
          <t>Digital Wallet</t>
        </is>
      </c>
      <c r="Q407" t="inlineStr">
        <is>
          <t>Delivered</t>
        </is>
      </c>
      <c r="R407" t="n">
        <v>5</v>
      </c>
    </row>
    <row r="408">
      <c r="A408" t="inlineStr">
        <is>
          <t>ORD1407</t>
        </is>
      </c>
      <c r="B408" t="inlineStr">
        <is>
          <t>2025-03-03</t>
        </is>
      </c>
      <c r="C408" t="inlineStr">
        <is>
          <t>11:58:05</t>
        </is>
      </c>
      <c r="D408" t="n">
        <v>1160</v>
      </c>
      <c r="E408" t="n">
        <v>110</v>
      </c>
      <c r="F408" t="n">
        <v>204</v>
      </c>
      <c r="G408" t="inlineStr">
        <is>
          <t>Pune</t>
        </is>
      </c>
      <c r="H408" t="inlineStr">
        <is>
          <t>North Indian</t>
        </is>
      </c>
      <c r="I408" t="n">
        <v>912</v>
      </c>
      <c r="J408" t="n">
        <v>106.62</v>
      </c>
      <c r="K408" t="n">
        <v>29</v>
      </c>
      <c r="L408" t="n">
        <v>0.18</v>
      </c>
      <c r="M408" t="n">
        <v>171.41</v>
      </c>
      <c r="N408" t="n">
        <v>3.8</v>
      </c>
      <c r="O408" t="n">
        <v>29.1</v>
      </c>
      <c r="P408" t="inlineStr">
        <is>
          <t>UPI</t>
        </is>
      </c>
      <c r="Q408" t="inlineStr">
        <is>
          <t>Delivered</t>
        </is>
      </c>
      <c r="R408" t="n">
        <v>2</v>
      </c>
    </row>
    <row r="409">
      <c r="A409" t="inlineStr">
        <is>
          <t>ORD1408</t>
        </is>
      </c>
      <c r="B409" t="inlineStr">
        <is>
          <t>2025-11-14</t>
        </is>
      </c>
      <c r="C409" t="inlineStr">
        <is>
          <t>20:20:31</t>
        </is>
      </c>
      <c r="D409" t="n">
        <v>1034</v>
      </c>
      <c r="E409" t="n">
        <v>113</v>
      </c>
      <c r="F409" t="n">
        <v>206</v>
      </c>
      <c r="G409" t="inlineStr">
        <is>
          <t>Mumbai</t>
        </is>
      </c>
      <c r="H409" t="inlineStr">
        <is>
          <t>Fast Food</t>
        </is>
      </c>
      <c r="I409" t="n">
        <v>1130</v>
      </c>
      <c r="J409" t="n">
        <v>144.04</v>
      </c>
      <c r="K409" t="n">
        <v>0</v>
      </c>
      <c r="L409" t="n">
        <v>0.18</v>
      </c>
      <c r="M409" t="n">
        <v>203.4</v>
      </c>
      <c r="N409" t="n">
        <v>2.8</v>
      </c>
      <c r="O409" t="n">
        <v>25.1</v>
      </c>
      <c r="P409" t="inlineStr">
        <is>
          <t>Digital Wallet</t>
        </is>
      </c>
      <c r="Q409" t="inlineStr">
        <is>
          <t>Delivered</t>
        </is>
      </c>
      <c r="R409" t="n">
        <v>4</v>
      </c>
    </row>
    <row r="410">
      <c r="A410" t="inlineStr">
        <is>
          <t>ORD1409</t>
        </is>
      </c>
      <c r="B410" t="inlineStr">
        <is>
          <t>2025-10-23</t>
        </is>
      </c>
      <c r="C410" t="inlineStr">
        <is>
          <t>11:08:03</t>
        </is>
      </c>
      <c r="D410" t="n">
        <v>1057</v>
      </c>
      <c r="E410" t="n">
        <v>107</v>
      </c>
      <c r="F410" t="n">
        <v>202</v>
      </c>
      <c r="G410" t="inlineStr">
        <is>
          <t>Mumbai</t>
        </is>
      </c>
      <c r="H410" t="inlineStr">
        <is>
          <t>Desserts</t>
        </is>
      </c>
      <c r="I410" t="n">
        <v>758</v>
      </c>
      <c r="J410" t="n">
        <v>29.01</v>
      </c>
      <c r="K410" t="n">
        <v>26</v>
      </c>
      <c r="L410" t="n">
        <v>0.25</v>
      </c>
      <c r="M410" t="n">
        <v>196</v>
      </c>
      <c r="N410" t="n">
        <v>3.2</v>
      </c>
      <c r="O410" t="n">
        <v>28.6</v>
      </c>
      <c r="P410" t="inlineStr">
        <is>
          <t>Digital Wallet</t>
        </is>
      </c>
      <c r="Q410" t="inlineStr">
        <is>
          <t>Delivered</t>
        </is>
      </c>
      <c r="R410" t="n">
        <v>5</v>
      </c>
    </row>
    <row r="411">
      <c r="A411" t="inlineStr">
        <is>
          <t>ORD1410</t>
        </is>
      </c>
      <c r="B411" t="inlineStr">
        <is>
          <t>2025-08-23</t>
        </is>
      </c>
      <c r="C411" t="inlineStr">
        <is>
          <t>20:07:44</t>
        </is>
      </c>
      <c r="D411" t="n">
        <v>1033</v>
      </c>
      <c r="E411" t="n">
        <v>109</v>
      </c>
      <c r="F411" t="n">
        <v>216</v>
      </c>
      <c r="G411" t="inlineStr">
        <is>
          <t>Hyderabad</t>
        </is>
      </c>
      <c r="H411" t="inlineStr">
        <is>
          <t>Biryani</t>
        </is>
      </c>
      <c r="I411" t="n">
        <v>750</v>
      </c>
      <c r="J411" t="n">
        <v>0</v>
      </c>
      <c r="K411" t="n">
        <v>25</v>
      </c>
      <c r="L411" t="n">
        <v>0.2</v>
      </c>
      <c r="M411" t="n">
        <v>156.25</v>
      </c>
      <c r="N411" t="n">
        <v>1</v>
      </c>
      <c r="O411" t="n">
        <v>23</v>
      </c>
      <c r="P411" t="inlineStr">
        <is>
          <t>UPI</t>
        </is>
      </c>
      <c r="Q411" t="inlineStr">
        <is>
          <t>Delivered</t>
        </is>
      </c>
      <c r="R411" t="n">
        <v>4</v>
      </c>
    </row>
    <row r="412">
      <c r="A412" t="inlineStr">
        <is>
          <t>ORD1411</t>
        </is>
      </c>
      <c r="B412" t="inlineStr">
        <is>
          <t>2025-06-16</t>
        </is>
      </c>
      <c r="C412" t="inlineStr">
        <is>
          <t>19:23:39</t>
        </is>
      </c>
      <c r="D412" t="n">
        <v>1064</v>
      </c>
      <c r="E412" t="n">
        <v>110</v>
      </c>
      <c r="F412" t="n">
        <v>207</v>
      </c>
      <c r="G412" t="inlineStr">
        <is>
          <t>Pune</t>
        </is>
      </c>
      <c r="H412" t="inlineStr">
        <is>
          <t>North Indian</t>
        </is>
      </c>
      <c r="I412" t="n">
        <v>485</v>
      </c>
      <c r="J412" t="n">
        <v>0</v>
      </c>
      <c r="K412" t="n">
        <v>25</v>
      </c>
      <c r="L412" t="n">
        <v>0.18</v>
      </c>
      <c r="M412" t="n">
        <v>93.55</v>
      </c>
      <c r="N412" t="n">
        <v>3</v>
      </c>
      <c r="O412" t="n">
        <v>26.3</v>
      </c>
      <c r="P412" t="inlineStr">
        <is>
          <t>Debit Card</t>
        </is>
      </c>
      <c r="Q412" t="inlineStr">
        <is>
          <t>Delivered</t>
        </is>
      </c>
      <c r="R412" t="n">
        <v>5</v>
      </c>
    </row>
    <row r="413">
      <c r="A413" t="inlineStr">
        <is>
          <t>ORD1412</t>
        </is>
      </c>
      <c r="B413" t="inlineStr">
        <is>
          <t>2025-04-05</t>
        </is>
      </c>
      <c r="C413" t="inlineStr">
        <is>
          <t>11:31:27</t>
        </is>
      </c>
      <c r="D413" t="n">
        <v>1075</v>
      </c>
      <c r="E413" t="n">
        <v>118</v>
      </c>
      <c r="F413" t="n">
        <v>228</v>
      </c>
      <c r="G413" t="inlineStr">
        <is>
          <t>Delhi NCR</t>
        </is>
      </c>
      <c r="H413" t="inlineStr">
        <is>
          <t>North Indian</t>
        </is>
      </c>
      <c r="I413" t="n">
        <v>435</v>
      </c>
      <c r="J413" t="n">
        <v>34.51</v>
      </c>
      <c r="K413" t="n">
        <v>25</v>
      </c>
      <c r="L413" t="n">
        <v>0.2</v>
      </c>
      <c r="M413" t="n">
        <v>93.25</v>
      </c>
      <c r="N413" t="n">
        <v>2.4</v>
      </c>
      <c r="O413" t="n">
        <v>28.2</v>
      </c>
      <c r="P413" t="inlineStr">
        <is>
          <t>Debit Card</t>
        </is>
      </c>
      <c r="Q413" t="inlineStr">
        <is>
          <t>Delivered</t>
        </is>
      </c>
      <c r="R413" t="n">
        <v>4</v>
      </c>
    </row>
    <row r="414">
      <c r="A414" t="inlineStr">
        <is>
          <t>ORD1413</t>
        </is>
      </c>
      <c r="B414" t="inlineStr">
        <is>
          <t>2025-04-03</t>
        </is>
      </c>
      <c r="C414" t="inlineStr">
        <is>
          <t>20:36:08</t>
        </is>
      </c>
      <c r="D414" t="n">
        <v>1079</v>
      </c>
      <c r="E414" t="n">
        <v>105</v>
      </c>
      <c r="F414" t="n">
        <v>203</v>
      </c>
      <c r="G414" t="inlineStr">
        <is>
          <t>Bangalore</t>
        </is>
      </c>
      <c r="H414" t="inlineStr">
        <is>
          <t>Chinese</t>
        </is>
      </c>
      <c r="I414" t="n">
        <v>809</v>
      </c>
      <c r="J414" t="n">
        <v>52.69</v>
      </c>
      <c r="K414" t="n">
        <v>41.5</v>
      </c>
      <c r="L414" t="n">
        <v>0.2</v>
      </c>
      <c r="M414" t="n">
        <v>172.18</v>
      </c>
      <c r="N414" t="n">
        <v>6.3</v>
      </c>
      <c r="O414" t="n">
        <v>49.4</v>
      </c>
      <c r="P414" t="inlineStr">
        <is>
          <t>Credit Card</t>
        </is>
      </c>
      <c r="Q414" t="inlineStr">
        <is>
          <t>Delivered</t>
        </is>
      </c>
      <c r="R414" t="n">
        <v>3</v>
      </c>
    </row>
    <row r="415">
      <c r="A415" t="inlineStr">
        <is>
          <t>ORD1414</t>
        </is>
      </c>
      <c r="B415" t="inlineStr">
        <is>
          <t>2025-03-16</t>
        </is>
      </c>
      <c r="C415" t="inlineStr">
        <is>
          <t>22:51:47</t>
        </is>
      </c>
      <c r="D415" t="n">
        <v>1222</v>
      </c>
      <c r="E415" t="n">
        <v>119</v>
      </c>
      <c r="F415" t="n">
        <v>215</v>
      </c>
      <c r="G415" t="inlineStr">
        <is>
          <t>Hyderabad</t>
        </is>
      </c>
      <c r="H415" t="inlineStr">
        <is>
          <t>Biryani</t>
        </is>
      </c>
      <c r="I415" t="n">
        <v>373</v>
      </c>
      <c r="J415" t="n">
        <v>0</v>
      </c>
      <c r="K415" t="n">
        <v>50</v>
      </c>
      <c r="L415" t="n">
        <v>0.2</v>
      </c>
      <c r="M415" t="n">
        <v>87.09999999999999</v>
      </c>
      <c r="N415" t="n">
        <v>8</v>
      </c>
      <c r="O415" t="n">
        <v>35.7</v>
      </c>
      <c r="P415" t="inlineStr">
        <is>
          <t>Cash on Delivery</t>
        </is>
      </c>
      <c r="Q415" t="inlineStr">
        <is>
          <t>Delivered</t>
        </is>
      </c>
      <c r="R415" t="n">
        <v>5</v>
      </c>
    </row>
    <row r="416">
      <c r="A416" t="inlineStr">
        <is>
          <t>ORD1415</t>
        </is>
      </c>
      <c r="B416" t="inlineStr">
        <is>
          <t>2025-09-07</t>
        </is>
      </c>
      <c r="C416" t="inlineStr">
        <is>
          <t>14:19:16</t>
        </is>
      </c>
      <c r="D416" t="n">
        <v>1232</v>
      </c>
      <c r="E416" t="n">
        <v>109</v>
      </c>
      <c r="F416" t="n">
        <v>215</v>
      </c>
      <c r="G416" t="inlineStr">
        <is>
          <t>Hyderabad</t>
        </is>
      </c>
      <c r="H416" t="inlineStr">
        <is>
          <t>Biryani</t>
        </is>
      </c>
      <c r="I416" t="n">
        <v>795</v>
      </c>
      <c r="J416" t="n">
        <v>3.03</v>
      </c>
      <c r="K416" t="n">
        <v>26</v>
      </c>
      <c r="L416" t="n">
        <v>0.2</v>
      </c>
      <c r="M416" t="n">
        <v>165.5</v>
      </c>
      <c r="N416" t="n">
        <v>3.2</v>
      </c>
      <c r="O416" t="n">
        <v>31.2</v>
      </c>
      <c r="P416" t="inlineStr">
        <is>
          <t>Credit Card</t>
        </is>
      </c>
      <c r="Q416" t="inlineStr">
        <is>
          <t>Delivered</t>
        </is>
      </c>
      <c r="R416" t="n">
        <v>1</v>
      </c>
    </row>
    <row r="417">
      <c r="A417" t="inlineStr">
        <is>
          <t>ORD1416</t>
        </is>
      </c>
      <c r="B417" t="inlineStr">
        <is>
          <t>2025-05-11</t>
        </is>
      </c>
      <c r="C417" t="inlineStr">
        <is>
          <t>13:30:53</t>
        </is>
      </c>
      <c r="D417" t="n">
        <v>1271</v>
      </c>
      <c r="E417" t="n">
        <v>108</v>
      </c>
      <c r="F417" t="n">
        <v>228</v>
      </c>
      <c r="G417" t="inlineStr">
        <is>
          <t>Delhi NCR</t>
        </is>
      </c>
      <c r="H417" t="inlineStr">
        <is>
          <t>Fast Food</t>
        </is>
      </c>
      <c r="I417" t="n">
        <v>864</v>
      </c>
      <c r="J417" t="n">
        <v>49.02</v>
      </c>
      <c r="K417" t="n">
        <v>25</v>
      </c>
      <c r="L417" t="n">
        <v>0.18</v>
      </c>
      <c r="M417" t="n">
        <v>161.77</v>
      </c>
      <c r="N417" t="n">
        <v>3</v>
      </c>
      <c r="O417" t="n">
        <v>34.6</v>
      </c>
      <c r="P417" t="inlineStr">
        <is>
          <t>Debit Card</t>
        </is>
      </c>
      <c r="Q417" t="inlineStr">
        <is>
          <t>Delivered</t>
        </is>
      </c>
      <c r="R417" t="n">
        <v>3</v>
      </c>
    </row>
    <row r="418">
      <c r="A418" t="inlineStr">
        <is>
          <t>ORD1417</t>
        </is>
      </c>
      <c r="B418" t="inlineStr">
        <is>
          <t>2025-06-26</t>
        </is>
      </c>
      <c r="C418" t="inlineStr">
        <is>
          <t>10:01:26</t>
        </is>
      </c>
      <c r="D418" t="n">
        <v>1257</v>
      </c>
      <c r="E418" t="n">
        <v>120</v>
      </c>
      <c r="F418" t="n">
        <v>224</v>
      </c>
      <c r="G418" t="inlineStr">
        <is>
          <t>Pune</t>
        </is>
      </c>
      <c r="H418" t="inlineStr">
        <is>
          <t>Fast Food</t>
        </is>
      </c>
      <c r="I418" t="n">
        <v>533</v>
      </c>
      <c r="J418" t="n">
        <v>99.53</v>
      </c>
      <c r="K418" t="n">
        <v>0</v>
      </c>
      <c r="L418" t="n">
        <v>0.18</v>
      </c>
      <c r="M418" t="n">
        <v>95.94</v>
      </c>
      <c r="N418" t="n">
        <v>4.2</v>
      </c>
      <c r="O418" t="n">
        <v/>
      </c>
      <c r="P418" t="inlineStr">
        <is>
          <t>Credit Card</t>
        </is>
      </c>
      <c r="Q418" t="inlineStr">
        <is>
          <t>Cancelled</t>
        </is>
      </c>
      <c r="R418" t="n">
        <v/>
      </c>
    </row>
    <row r="419">
      <c r="A419" t="inlineStr">
        <is>
          <t>ORD1418</t>
        </is>
      </c>
      <c r="B419" t="inlineStr">
        <is>
          <t>2025-06-16</t>
        </is>
      </c>
      <c r="C419" t="inlineStr">
        <is>
          <t>12:43:32</t>
        </is>
      </c>
      <c r="D419" t="n">
        <v>1182</v>
      </c>
      <c r="E419" t="n">
        <v>102</v>
      </c>
      <c r="F419" t="n">
        <v>225</v>
      </c>
      <c r="G419" t="inlineStr">
        <is>
          <t>Hyderabad</t>
        </is>
      </c>
      <c r="H419" t="inlineStr">
        <is>
          <t>Biryani</t>
        </is>
      </c>
      <c r="I419" t="n">
        <v>719</v>
      </c>
      <c r="J419" t="n">
        <v>25.71</v>
      </c>
      <c r="K419" t="n">
        <v>39.5</v>
      </c>
      <c r="L419" t="n">
        <v>0.22</v>
      </c>
      <c r="M419" t="n">
        <v>168.06</v>
      </c>
      <c r="N419" t="n">
        <v>5.9</v>
      </c>
      <c r="O419" t="n">
        <v>46.2</v>
      </c>
      <c r="P419" t="inlineStr">
        <is>
          <t>Digital Wallet</t>
        </is>
      </c>
      <c r="Q419" t="inlineStr">
        <is>
          <t>Delivered</t>
        </is>
      </c>
      <c r="R419" t="n">
        <v>2</v>
      </c>
    </row>
    <row r="420">
      <c r="A420" t="inlineStr">
        <is>
          <t>ORD1419</t>
        </is>
      </c>
      <c r="B420" t="inlineStr">
        <is>
          <t>2025-03-27</t>
        </is>
      </c>
      <c r="C420" t="inlineStr">
        <is>
          <t>16:40:51</t>
        </is>
      </c>
      <c r="D420" t="n">
        <v>1142</v>
      </c>
      <c r="E420" t="n">
        <v>102</v>
      </c>
      <c r="F420" t="n">
        <v>216</v>
      </c>
      <c r="G420" t="inlineStr">
        <is>
          <t>Hyderabad</t>
        </is>
      </c>
      <c r="H420" t="inlineStr">
        <is>
          <t>Biryani</t>
        </is>
      </c>
      <c r="I420" t="n">
        <v>565</v>
      </c>
      <c r="J420" t="n">
        <v>0</v>
      </c>
      <c r="K420" t="n">
        <v>25</v>
      </c>
      <c r="L420" t="n">
        <v>0.22</v>
      </c>
      <c r="M420" t="n">
        <v>130.55</v>
      </c>
      <c r="N420" t="n">
        <v>2</v>
      </c>
      <c r="O420" t="n">
        <v>24.5</v>
      </c>
      <c r="P420" t="inlineStr">
        <is>
          <t>Cash on Delivery</t>
        </is>
      </c>
      <c r="Q420" t="inlineStr">
        <is>
          <t>Delivered</t>
        </is>
      </c>
      <c r="R420" t="n">
        <v>5</v>
      </c>
    </row>
    <row r="421">
      <c r="A421" t="inlineStr">
        <is>
          <t>ORD1420</t>
        </is>
      </c>
      <c r="B421" t="inlineStr">
        <is>
          <t>2025-03-24</t>
        </is>
      </c>
      <c r="C421" t="inlineStr">
        <is>
          <t>11:21:14</t>
        </is>
      </c>
      <c r="D421" t="n">
        <v>1167</v>
      </c>
      <c r="E421" t="n">
        <v>104</v>
      </c>
      <c r="F421" t="n">
        <v>228</v>
      </c>
      <c r="G421" t="inlineStr">
        <is>
          <t>Delhi NCR</t>
        </is>
      </c>
      <c r="H421" t="inlineStr">
        <is>
          <t>Fast Food</t>
        </is>
      </c>
      <c r="I421" t="n">
        <v>541</v>
      </c>
      <c r="J421" t="n">
        <v>0</v>
      </c>
      <c r="K421" t="n">
        <v>30.5</v>
      </c>
      <c r="L421" t="n">
        <v>0.18</v>
      </c>
      <c r="M421" t="n">
        <v>105</v>
      </c>
      <c r="N421" t="n">
        <v>4.1</v>
      </c>
      <c r="O421" t="n">
        <v>27.3</v>
      </c>
      <c r="P421" t="inlineStr">
        <is>
          <t>Debit Card</t>
        </is>
      </c>
      <c r="Q421" t="inlineStr">
        <is>
          <t>Delivered</t>
        </is>
      </c>
      <c r="R421" t="n">
        <v>4</v>
      </c>
    </row>
    <row r="422">
      <c r="A422" t="inlineStr">
        <is>
          <t>ORD1421</t>
        </is>
      </c>
      <c r="B422" t="inlineStr">
        <is>
          <t>2025-07-05</t>
        </is>
      </c>
      <c r="C422" t="inlineStr">
        <is>
          <t>19:47:37</t>
        </is>
      </c>
      <c r="D422" t="n">
        <v>1011</v>
      </c>
      <c r="E422" t="n">
        <v>102</v>
      </c>
      <c r="F422" t="n">
        <v>225</v>
      </c>
      <c r="G422" t="inlineStr">
        <is>
          <t>Hyderabad</t>
        </is>
      </c>
      <c r="H422" t="inlineStr">
        <is>
          <t>Biryani</t>
        </is>
      </c>
      <c r="I422" t="n">
        <v>753</v>
      </c>
      <c r="J422" t="n">
        <v>24.94</v>
      </c>
      <c r="K422" t="n">
        <v>28.5</v>
      </c>
      <c r="L422" t="n">
        <v>0.22</v>
      </c>
      <c r="M422" t="n">
        <v>172.78</v>
      </c>
      <c r="N422" t="n">
        <v>3.7</v>
      </c>
      <c r="O422" t="n">
        <v>28.3</v>
      </c>
      <c r="P422" t="inlineStr">
        <is>
          <t>UPI</t>
        </is>
      </c>
      <c r="Q422" t="inlineStr">
        <is>
          <t>Delivered</t>
        </is>
      </c>
      <c r="R422" t="n">
        <v>5</v>
      </c>
    </row>
    <row r="423">
      <c r="A423" t="inlineStr">
        <is>
          <t>ORD1422</t>
        </is>
      </c>
      <c r="B423" t="inlineStr">
        <is>
          <t>2025-12-05</t>
        </is>
      </c>
      <c r="C423" t="inlineStr">
        <is>
          <t>22:16:47</t>
        </is>
      </c>
      <c r="D423" t="n">
        <v>1087</v>
      </c>
      <c r="E423" t="n">
        <v>116</v>
      </c>
      <c r="F423" t="n">
        <v>208</v>
      </c>
      <c r="G423" t="inlineStr">
        <is>
          <t>Pune</t>
        </is>
      </c>
      <c r="H423" t="inlineStr">
        <is>
          <t>Desserts</t>
        </is>
      </c>
      <c r="I423" t="n">
        <v>937</v>
      </c>
      <c r="J423" t="n">
        <v>96.03</v>
      </c>
      <c r="K423" t="n">
        <v>25</v>
      </c>
      <c r="L423" t="n">
        <v>0.25</v>
      </c>
      <c r="M423" t="n">
        <v>240.5</v>
      </c>
      <c r="N423" t="n">
        <v>2.7</v>
      </c>
      <c r="O423" t="n">
        <v>29.7</v>
      </c>
      <c r="P423" t="inlineStr">
        <is>
          <t>Cash on Delivery</t>
        </is>
      </c>
      <c r="Q423" t="inlineStr">
        <is>
          <t>Delivered</t>
        </is>
      </c>
      <c r="R423" t="n">
        <v>5</v>
      </c>
    </row>
    <row r="424">
      <c r="A424" t="inlineStr">
        <is>
          <t>ORD1423</t>
        </is>
      </c>
      <c r="B424" t="inlineStr">
        <is>
          <t>2025-02-02</t>
        </is>
      </c>
      <c r="C424" t="inlineStr">
        <is>
          <t>21:59:56</t>
        </is>
      </c>
      <c r="D424" t="n">
        <v>1249</v>
      </c>
      <c r="E424" t="n">
        <v>119</v>
      </c>
      <c r="F424" t="n">
        <v>215</v>
      </c>
      <c r="G424" t="inlineStr">
        <is>
          <t>Hyderabad</t>
        </is>
      </c>
      <c r="H424" t="inlineStr">
        <is>
          <t>Biryani</t>
        </is>
      </c>
      <c r="I424" t="n">
        <v>944</v>
      </c>
      <c r="J424" t="n">
        <v>99.48</v>
      </c>
      <c r="K424" t="n">
        <v>0</v>
      </c>
      <c r="L424" t="n">
        <v>0.2</v>
      </c>
      <c r="M424" t="n">
        <v>188.8</v>
      </c>
      <c r="N424" t="n">
        <v>4.8</v>
      </c>
      <c r="O424" t="n">
        <v>38</v>
      </c>
      <c r="P424" t="inlineStr">
        <is>
          <t>Digital Wallet</t>
        </is>
      </c>
      <c r="Q424" t="inlineStr">
        <is>
          <t>Delivered</t>
        </is>
      </c>
      <c r="R424" t="n">
        <v>4</v>
      </c>
    </row>
    <row r="425">
      <c r="A425" t="inlineStr">
        <is>
          <t>ORD1424</t>
        </is>
      </c>
      <c r="B425" t="inlineStr">
        <is>
          <t>2025-05-15</t>
        </is>
      </c>
      <c r="C425" t="inlineStr">
        <is>
          <t>22:39:09</t>
        </is>
      </c>
      <c r="D425" t="n">
        <v>1052</v>
      </c>
      <c r="E425" t="n">
        <v>102</v>
      </c>
      <c r="F425" t="n">
        <v>225</v>
      </c>
      <c r="G425" t="inlineStr">
        <is>
          <t>Hyderabad</t>
        </is>
      </c>
      <c r="H425" t="inlineStr">
        <is>
          <t>Biryani</t>
        </is>
      </c>
      <c r="I425" t="n">
        <v>306</v>
      </c>
      <c r="J425" t="n">
        <v>29.33</v>
      </c>
      <c r="K425" t="n">
        <v>25</v>
      </c>
      <c r="L425" t="n">
        <v>0.22</v>
      </c>
      <c r="M425" t="n">
        <v>73.56999999999999</v>
      </c>
      <c r="N425" t="n">
        <v>2.4</v>
      </c>
      <c r="O425" t="n">
        <v/>
      </c>
      <c r="P425" t="inlineStr">
        <is>
          <t>Debit Card</t>
        </is>
      </c>
      <c r="Q425" t="inlineStr">
        <is>
          <t>Cancelled</t>
        </is>
      </c>
      <c r="R425" t="n">
        <v/>
      </c>
    </row>
    <row r="426">
      <c r="A426" t="inlineStr">
        <is>
          <t>ORD1425</t>
        </is>
      </c>
      <c r="B426" t="inlineStr">
        <is>
          <t>2025-05-26</t>
        </is>
      </c>
      <c r="C426" t="inlineStr">
        <is>
          <t>11:28:40</t>
        </is>
      </c>
      <c r="D426" t="n">
        <v>1111</v>
      </c>
      <c r="E426" t="n">
        <v>113</v>
      </c>
      <c r="F426" t="n">
        <v>229</v>
      </c>
      <c r="G426" t="inlineStr">
        <is>
          <t>Mumbai</t>
        </is>
      </c>
      <c r="H426" t="inlineStr">
        <is>
          <t>Fast Food</t>
        </is>
      </c>
      <c r="I426" t="n">
        <v>349</v>
      </c>
      <c r="J426" t="n">
        <v>0</v>
      </c>
      <c r="K426" t="n">
        <v>25</v>
      </c>
      <c r="L426" t="n">
        <v>0.18</v>
      </c>
      <c r="M426" t="n">
        <v>69.06999999999999</v>
      </c>
      <c r="N426" t="n">
        <v>2.5</v>
      </c>
      <c r="O426" t="n">
        <v>29.6</v>
      </c>
      <c r="P426" t="inlineStr">
        <is>
          <t>UPI</t>
        </is>
      </c>
      <c r="Q426" t="inlineStr">
        <is>
          <t>Delivered</t>
        </is>
      </c>
      <c r="R426" t="n">
        <v>4</v>
      </c>
    </row>
    <row r="427">
      <c r="A427" t="inlineStr">
        <is>
          <t>ORD1426</t>
        </is>
      </c>
      <c r="B427" t="inlineStr">
        <is>
          <t>2025-06-16</t>
        </is>
      </c>
      <c r="C427" t="inlineStr">
        <is>
          <t>14:55:30</t>
        </is>
      </c>
      <c r="D427" t="n">
        <v>1252</v>
      </c>
      <c r="E427" t="n">
        <v>103</v>
      </c>
      <c r="F427" t="n">
        <v>229</v>
      </c>
      <c r="G427" t="inlineStr">
        <is>
          <t>Mumbai</t>
        </is>
      </c>
      <c r="H427" t="inlineStr">
        <is>
          <t>Italian</t>
        </is>
      </c>
      <c r="I427" t="n">
        <v>698</v>
      </c>
      <c r="J427" t="n">
        <v>30.19</v>
      </c>
      <c r="K427" t="n">
        <v>25</v>
      </c>
      <c r="L427" t="n">
        <v>0.18</v>
      </c>
      <c r="M427" t="n">
        <v>131.89</v>
      </c>
      <c r="N427" t="n">
        <v>3</v>
      </c>
      <c r="O427" t="n">
        <v>27.7</v>
      </c>
      <c r="P427" t="inlineStr">
        <is>
          <t>Cash on Delivery</t>
        </is>
      </c>
      <c r="Q427" t="inlineStr">
        <is>
          <t>Delivered</t>
        </is>
      </c>
      <c r="R427" t="n">
        <v>4</v>
      </c>
    </row>
    <row r="428">
      <c r="A428" t="inlineStr">
        <is>
          <t>ORD1427</t>
        </is>
      </c>
      <c r="B428" t="inlineStr">
        <is>
          <t>2025-10-30</t>
        </is>
      </c>
      <c r="C428" t="inlineStr">
        <is>
          <t>14:38:29</t>
        </is>
      </c>
      <c r="D428" t="n">
        <v>1150</v>
      </c>
      <c r="E428" t="n">
        <v>109</v>
      </c>
      <c r="F428" t="n">
        <v>225</v>
      </c>
      <c r="G428" t="inlineStr">
        <is>
          <t>Hyderabad</t>
        </is>
      </c>
      <c r="H428" t="inlineStr">
        <is>
          <t>Biryani</t>
        </is>
      </c>
      <c r="I428" t="n">
        <v>866</v>
      </c>
      <c r="J428" t="n">
        <v>60.78</v>
      </c>
      <c r="K428" t="n">
        <v>53.5</v>
      </c>
      <c r="L428" t="n">
        <v>0.2</v>
      </c>
      <c r="M428" t="n">
        <v>186.58</v>
      </c>
      <c r="N428" t="n">
        <v>8.699999999999999</v>
      </c>
      <c r="O428" t="n">
        <v>52.2</v>
      </c>
      <c r="P428" t="inlineStr">
        <is>
          <t>Digital Wallet</t>
        </is>
      </c>
      <c r="Q428" t="inlineStr">
        <is>
          <t>Delivered</t>
        </is>
      </c>
      <c r="R428" t="n">
        <v>3</v>
      </c>
    </row>
    <row r="429">
      <c r="A429" t="inlineStr">
        <is>
          <t>ORD1428</t>
        </is>
      </c>
      <c r="B429" t="inlineStr">
        <is>
          <t>2025-10-04</t>
        </is>
      </c>
      <c r="C429" t="inlineStr">
        <is>
          <t>15:14:51</t>
        </is>
      </c>
      <c r="D429" t="n">
        <v>1197</v>
      </c>
      <c r="E429" t="n">
        <v>107</v>
      </c>
      <c r="F429" t="n">
        <v>229</v>
      </c>
      <c r="G429" t="inlineStr">
        <is>
          <t>Mumbai</t>
        </is>
      </c>
      <c r="H429" t="inlineStr">
        <is>
          <t>Desserts</t>
        </is>
      </c>
      <c r="I429" t="n">
        <v>311</v>
      </c>
      <c r="J429" t="n">
        <v>25.17</v>
      </c>
      <c r="K429" t="n">
        <v>26</v>
      </c>
      <c r="L429" t="n">
        <v>0.25</v>
      </c>
      <c r="M429" t="n">
        <v>84.25</v>
      </c>
      <c r="N429" t="n">
        <v>3.2</v>
      </c>
      <c r="O429" t="n">
        <v>33.9</v>
      </c>
      <c r="P429" t="inlineStr">
        <is>
          <t>Debit Card</t>
        </is>
      </c>
      <c r="Q429" t="inlineStr">
        <is>
          <t>Delivered</t>
        </is>
      </c>
      <c r="R429" t="n">
        <v>4</v>
      </c>
    </row>
    <row r="430">
      <c r="A430" t="inlineStr">
        <is>
          <t>ORD1429</t>
        </is>
      </c>
      <c r="B430" t="inlineStr">
        <is>
          <t>2025-01-06</t>
        </is>
      </c>
      <c r="C430" t="inlineStr">
        <is>
          <t>13:00:33</t>
        </is>
      </c>
      <c r="D430" t="n">
        <v>1159</v>
      </c>
      <c r="E430" t="n">
        <v>104</v>
      </c>
      <c r="F430" t="n">
        <v>228</v>
      </c>
      <c r="G430" t="inlineStr">
        <is>
          <t>Delhi NCR</t>
        </is>
      </c>
      <c r="H430" t="inlineStr">
        <is>
          <t>Fast Food</t>
        </is>
      </c>
      <c r="I430" t="n">
        <v>359</v>
      </c>
      <c r="J430" t="n">
        <v>0</v>
      </c>
      <c r="K430" t="n">
        <v>37</v>
      </c>
      <c r="L430" t="n">
        <v>0.18</v>
      </c>
      <c r="M430" t="n">
        <v>73.87</v>
      </c>
      <c r="N430" t="n">
        <v>5.4</v>
      </c>
      <c r="O430" t="n">
        <v>39.8</v>
      </c>
      <c r="P430" t="inlineStr">
        <is>
          <t>UPI</t>
        </is>
      </c>
      <c r="Q430" t="inlineStr">
        <is>
          <t>Delivered</t>
        </is>
      </c>
      <c r="R430" t="n">
        <v>4</v>
      </c>
    </row>
    <row r="431">
      <c r="A431" t="inlineStr">
        <is>
          <t>ORD1430</t>
        </is>
      </c>
      <c r="B431" t="inlineStr">
        <is>
          <t>2025-01-05</t>
        </is>
      </c>
      <c r="C431" t="inlineStr">
        <is>
          <t>20:49:27</t>
        </is>
      </c>
      <c r="D431" t="n">
        <v>1161</v>
      </c>
      <c r="E431" t="n">
        <v>119</v>
      </c>
      <c r="F431" t="n">
        <v>215</v>
      </c>
      <c r="G431" t="inlineStr">
        <is>
          <t>Hyderabad</t>
        </is>
      </c>
      <c r="H431" t="inlineStr">
        <is>
          <t>Biryani</t>
        </is>
      </c>
      <c r="I431" t="n">
        <v>519</v>
      </c>
      <c r="J431" t="n">
        <v>33.08</v>
      </c>
      <c r="K431" t="n">
        <v>45</v>
      </c>
      <c r="L431" t="n">
        <v>0.2</v>
      </c>
      <c r="M431" t="n">
        <v>115.05</v>
      </c>
      <c r="N431" t="n">
        <v>7</v>
      </c>
      <c r="O431" t="n">
        <v>57.9</v>
      </c>
      <c r="P431" t="inlineStr">
        <is>
          <t>Credit Card</t>
        </is>
      </c>
      <c r="Q431" t="inlineStr">
        <is>
          <t>Delivered</t>
        </is>
      </c>
      <c r="R431" t="n">
        <v>2</v>
      </c>
    </row>
    <row r="432">
      <c r="A432" t="inlineStr">
        <is>
          <t>ORD1431</t>
        </is>
      </c>
      <c r="B432" t="inlineStr">
        <is>
          <t>2025-05-08</t>
        </is>
      </c>
      <c r="C432" t="inlineStr">
        <is>
          <t>14:10:45</t>
        </is>
      </c>
      <c r="D432" t="n">
        <v>1283</v>
      </c>
      <c r="E432" t="n">
        <v>120</v>
      </c>
      <c r="F432" t="n">
        <v>204</v>
      </c>
      <c r="G432" t="inlineStr">
        <is>
          <t>Pune</t>
        </is>
      </c>
      <c r="H432" t="inlineStr">
        <is>
          <t>Fast Food</t>
        </is>
      </c>
      <c r="I432" t="n">
        <v>881</v>
      </c>
      <c r="J432" t="n">
        <v>0</v>
      </c>
      <c r="K432" t="n">
        <v>25.5</v>
      </c>
      <c r="L432" t="n">
        <v>0.18</v>
      </c>
      <c r="M432" t="n">
        <v>164.96</v>
      </c>
      <c r="N432" t="n">
        <v>3.1</v>
      </c>
      <c r="O432" t="n">
        <v/>
      </c>
      <c r="P432" t="inlineStr">
        <is>
          <t>Debit Card</t>
        </is>
      </c>
      <c r="Q432" t="inlineStr">
        <is>
          <t>Cancelled</t>
        </is>
      </c>
      <c r="R432" t="n">
        <v/>
      </c>
    </row>
    <row r="433">
      <c r="A433" t="inlineStr">
        <is>
          <t>ORD1432</t>
        </is>
      </c>
      <c r="B433" t="inlineStr">
        <is>
          <t>2025-11-17</t>
        </is>
      </c>
      <c r="C433" t="inlineStr">
        <is>
          <t>14:15:33</t>
        </is>
      </c>
      <c r="D433" t="n">
        <v>1273</v>
      </c>
      <c r="E433" t="n">
        <v>119</v>
      </c>
      <c r="F433" t="n">
        <v>225</v>
      </c>
      <c r="G433" t="inlineStr">
        <is>
          <t>Hyderabad</t>
        </is>
      </c>
      <c r="H433" t="inlineStr">
        <is>
          <t>Biryani</t>
        </is>
      </c>
      <c r="I433" t="n">
        <v>1153</v>
      </c>
      <c r="J433" t="n">
        <v>195.31</v>
      </c>
      <c r="K433" t="n">
        <v>0</v>
      </c>
      <c r="L433" t="n">
        <v>0.2</v>
      </c>
      <c r="M433" t="n">
        <v>230.6</v>
      </c>
      <c r="N433" t="n">
        <v>5</v>
      </c>
      <c r="O433" t="n">
        <v>34.9</v>
      </c>
      <c r="P433" t="inlineStr">
        <is>
          <t>Digital Wallet</t>
        </is>
      </c>
      <c r="Q433" t="inlineStr">
        <is>
          <t>Delivered</t>
        </is>
      </c>
      <c r="R433" t="n">
        <v>4</v>
      </c>
    </row>
    <row r="434">
      <c r="A434" t="inlineStr">
        <is>
          <t>ORD1433</t>
        </is>
      </c>
      <c r="B434" t="inlineStr">
        <is>
          <t>2025-02-05</t>
        </is>
      </c>
      <c r="C434" t="inlineStr">
        <is>
          <t>16:11:08</t>
        </is>
      </c>
      <c r="D434" t="n">
        <v>1063</v>
      </c>
      <c r="E434" t="n">
        <v>115</v>
      </c>
      <c r="F434" t="n">
        <v>227</v>
      </c>
      <c r="G434" t="inlineStr">
        <is>
          <t>Bangalore</t>
        </is>
      </c>
      <c r="H434" t="inlineStr">
        <is>
          <t>Italian</t>
        </is>
      </c>
      <c r="I434" t="n">
        <v>516</v>
      </c>
      <c r="J434" t="n">
        <v>29.79</v>
      </c>
      <c r="K434" t="n">
        <v>40.5</v>
      </c>
      <c r="L434" t="n">
        <v>0.2</v>
      </c>
      <c r="M434" t="n">
        <v>113.32</v>
      </c>
      <c r="N434" t="n">
        <v>6.1</v>
      </c>
      <c r="O434" t="n">
        <v>35</v>
      </c>
      <c r="P434" t="inlineStr">
        <is>
          <t>Cash on Delivery</t>
        </is>
      </c>
      <c r="Q434" t="inlineStr">
        <is>
          <t>Delivered</t>
        </is>
      </c>
      <c r="R434" t="n">
        <v>5</v>
      </c>
    </row>
    <row r="435">
      <c r="A435" t="inlineStr">
        <is>
          <t>ORD1434</t>
        </is>
      </c>
      <c r="B435" t="inlineStr">
        <is>
          <t>2025-06-14</t>
        </is>
      </c>
      <c r="C435" t="inlineStr">
        <is>
          <t>16:01:09</t>
        </is>
      </c>
      <c r="D435" t="n">
        <v>1026</v>
      </c>
      <c r="E435" t="n">
        <v>102</v>
      </c>
      <c r="F435" t="n">
        <v>215</v>
      </c>
      <c r="G435" t="inlineStr">
        <is>
          <t>Hyderabad</t>
        </is>
      </c>
      <c r="H435" t="inlineStr">
        <is>
          <t>Biryani</t>
        </is>
      </c>
      <c r="I435" t="n">
        <v>270</v>
      </c>
      <c r="J435" t="n">
        <v>31.83</v>
      </c>
      <c r="K435" t="n">
        <v>27</v>
      </c>
      <c r="L435" t="n">
        <v>0.22</v>
      </c>
      <c r="M435" t="n">
        <v>66.15000000000001</v>
      </c>
      <c r="N435" t="n">
        <v>3.4</v>
      </c>
      <c r="O435" t="n">
        <v>32</v>
      </c>
      <c r="P435" t="inlineStr">
        <is>
          <t>UPI</t>
        </is>
      </c>
      <c r="Q435" t="inlineStr">
        <is>
          <t>Delivered</t>
        </is>
      </c>
      <c r="R435" t="n">
        <v>5</v>
      </c>
    </row>
    <row r="436">
      <c r="A436" t="inlineStr">
        <is>
          <t>ORD1435</t>
        </is>
      </c>
      <c r="B436" t="inlineStr">
        <is>
          <t>2025-08-13</t>
        </is>
      </c>
      <c r="C436" t="inlineStr">
        <is>
          <t>09:46:00</t>
        </is>
      </c>
      <c r="D436" t="n">
        <v>1061</v>
      </c>
      <c r="E436" t="n">
        <v>106</v>
      </c>
      <c r="F436" t="n">
        <v>214</v>
      </c>
      <c r="G436" t="inlineStr">
        <is>
          <t>Pune</t>
        </is>
      </c>
      <c r="H436" t="inlineStr">
        <is>
          <t>South Indian</t>
        </is>
      </c>
      <c r="I436" t="n">
        <v>458</v>
      </c>
      <c r="J436" t="n">
        <v>0</v>
      </c>
      <c r="K436" t="n">
        <v>34.5</v>
      </c>
      <c r="L436" t="n">
        <v>0.15</v>
      </c>
      <c r="M436" t="n">
        <v>77.31999999999999</v>
      </c>
      <c r="N436" t="n">
        <v>4.9</v>
      </c>
      <c r="O436" t="n">
        <v>35.3</v>
      </c>
      <c r="P436" t="inlineStr">
        <is>
          <t>Credit Card</t>
        </is>
      </c>
      <c r="Q436" t="inlineStr">
        <is>
          <t>Delivered</t>
        </is>
      </c>
      <c r="R436" t="n">
        <v>3</v>
      </c>
    </row>
    <row r="437">
      <c r="A437" t="inlineStr">
        <is>
          <t>ORD1436</t>
        </is>
      </c>
      <c r="B437" t="inlineStr">
        <is>
          <t>2025-09-13</t>
        </is>
      </c>
      <c r="C437" t="inlineStr">
        <is>
          <t>18:23:29</t>
        </is>
      </c>
      <c r="D437" t="n">
        <v>1113</v>
      </c>
      <c r="E437" t="n">
        <v>101</v>
      </c>
      <c r="F437" t="n">
        <v>203</v>
      </c>
      <c r="G437" t="inlineStr">
        <is>
          <t>Bangalore</t>
        </is>
      </c>
      <c r="H437" t="inlineStr">
        <is>
          <t>North Indian</t>
        </is>
      </c>
      <c r="I437" t="n">
        <v>1235</v>
      </c>
      <c r="J437" t="n">
        <v>127.42</v>
      </c>
      <c r="K437" t="n">
        <v>0</v>
      </c>
      <c r="L437" t="n">
        <v>0.2</v>
      </c>
      <c r="M437" t="n">
        <v>247</v>
      </c>
      <c r="N437" t="n">
        <v>3.7</v>
      </c>
      <c r="O437" t="n">
        <v>23.7</v>
      </c>
      <c r="P437" t="inlineStr">
        <is>
          <t>Credit Card</t>
        </is>
      </c>
      <c r="Q437" t="inlineStr">
        <is>
          <t>Delivered</t>
        </is>
      </c>
      <c r="R437" t="n">
        <v>5</v>
      </c>
    </row>
    <row r="438">
      <c r="A438" t="inlineStr">
        <is>
          <t>ORD1437</t>
        </is>
      </c>
      <c r="B438" t="inlineStr">
        <is>
          <t>2025-07-20</t>
        </is>
      </c>
      <c r="C438" t="inlineStr">
        <is>
          <t>12:04:34</t>
        </is>
      </c>
      <c r="D438" t="n">
        <v>1062</v>
      </c>
      <c r="E438" t="n">
        <v>107</v>
      </c>
      <c r="F438" t="n">
        <v>229</v>
      </c>
      <c r="G438" t="inlineStr">
        <is>
          <t>Mumbai</t>
        </is>
      </c>
      <c r="H438" t="inlineStr">
        <is>
          <t>Desserts</t>
        </is>
      </c>
      <c r="I438" t="n">
        <v>701</v>
      </c>
      <c r="J438" t="n">
        <v>0</v>
      </c>
      <c r="K438" t="n">
        <v>25</v>
      </c>
      <c r="L438" t="n">
        <v>0.25</v>
      </c>
      <c r="M438" t="n">
        <v>181.5</v>
      </c>
      <c r="N438" t="n">
        <v>1.7</v>
      </c>
      <c r="O438" t="n">
        <v>29.3</v>
      </c>
      <c r="P438" t="inlineStr">
        <is>
          <t>Debit Card</t>
        </is>
      </c>
      <c r="Q438" t="inlineStr">
        <is>
          <t>Delivered</t>
        </is>
      </c>
      <c r="R438" t="n">
        <v>5</v>
      </c>
    </row>
    <row r="439">
      <c r="A439" t="inlineStr">
        <is>
          <t>ORD1438</t>
        </is>
      </c>
      <c r="B439" t="inlineStr">
        <is>
          <t>2025-05-08</t>
        </is>
      </c>
      <c r="C439" t="inlineStr">
        <is>
          <t>17:24:49</t>
        </is>
      </c>
      <c r="D439" t="n">
        <v>1037</v>
      </c>
      <c r="E439" t="n">
        <v>101</v>
      </c>
      <c r="F439" t="n">
        <v>223</v>
      </c>
      <c r="G439" t="inlineStr">
        <is>
          <t>Bangalore</t>
        </is>
      </c>
      <c r="H439" t="inlineStr">
        <is>
          <t>North Indian</t>
        </is>
      </c>
      <c r="I439" t="n">
        <v>673</v>
      </c>
      <c r="J439" t="n">
        <v>0</v>
      </c>
      <c r="K439" t="n">
        <v>25.5</v>
      </c>
      <c r="L439" t="n">
        <v>0.2</v>
      </c>
      <c r="M439" t="n">
        <v>140.98</v>
      </c>
      <c r="N439" t="n">
        <v>3.1</v>
      </c>
      <c r="O439" t="n">
        <v>35.6</v>
      </c>
      <c r="P439" t="inlineStr">
        <is>
          <t>Credit Card</t>
        </is>
      </c>
      <c r="Q439" t="inlineStr">
        <is>
          <t>Delivered</t>
        </is>
      </c>
      <c r="R439" t="n">
        <v>5</v>
      </c>
    </row>
    <row r="440">
      <c r="A440" t="inlineStr">
        <is>
          <t>ORD1439</t>
        </is>
      </c>
      <c r="B440" t="inlineStr">
        <is>
          <t>2025-08-31</t>
        </is>
      </c>
      <c r="C440" t="inlineStr">
        <is>
          <t>10:24:43</t>
        </is>
      </c>
      <c r="D440" t="n">
        <v>1149</v>
      </c>
      <c r="E440" t="n">
        <v>120</v>
      </c>
      <c r="F440" t="n">
        <v>224</v>
      </c>
      <c r="G440" t="inlineStr">
        <is>
          <t>Pune</t>
        </is>
      </c>
      <c r="H440" t="inlineStr">
        <is>
          <t>Fast Food</t>
        </is>
      </c>
      <c r="I440" t="n">
        <v>539</v>
      </c>
      <c r="J440" t="n">
        <v>6.84</v>
      </c>
      <c r="K440" t="n">
        <v>33</v>
      </c>
      <c r="L440" t="n">
        <v>0.18</v>
      </c>
      <c r="M440" t="n">
        <v>105.27</v>
      </c>
      <c r="N440" t="n">
        <v>4.6</v>
      </c>
      <c r="O440" t="n">
        <v>33</v>
      </c>
      <c r="P440" t="inlineStr">
        <is>
          <t>Digital Wallet</t>
        </is>
      </c>
      <c r="Q440" t="inlineStr">
        <is>
          <t>Delivered</t>
        </is>
      </c>
      <c r="R440" t="n">
        <v>5</v>
      </c>
    </row>
    <row r="441">
      <c r="A441" t="inlineStr">
        <is>
          <t>ORD1440</t>
        </is>
      </c>
      <c r="B441" t="inlineStr">
        <is>
          <t>2025-11-23</t>
        </is>
      </c>
      <c r="C441" t="inlineStr">
        <is>
          <t>20:19:12</t>
        </is>
      </c>
      <c r="D441" t="n">
        <v>1289</v>
      </c>
      <c r="E441" t="n">
        <v>112</v>
      </c>
      <c r="F441" t="n">
        <v>219</v>
      </c>
      <c r="G441" t="inlineStr">
        <is>
          <t>Delhi NCR</t>
        </is>
      </c>
      <c r="H441" t="inlineStr">
        <is>
          <t>North Indian</t>
        </is>
      </c>
      <c r="I441" t="n">
        <v>589</v>
      </c>
      <c r="J441" t="n">
        <v>40.7</v>
      </c>
      <c r="K441" t="n">
        <v>25</v>
      </c>
      <c r="L441" t="n">
        <v>0.22</v>
      </c>
      <c r="M441" t="n">
        <v>135.83</v>
      </c>
      <c r="N441" t="n">
        <v>1.6</v>
      </c>
      <c r="O441" t="n">
        <v>20.3</v>
      </c>
      <c r="P441" t="inlineStr">
        <is>
          <t>UPI</t>
        </is>
      </c>
      <c r="Q441" t="inlineStr">
        <is>
          <t>Delivered</t>
        </is>
      </c>
      <c r="R441" t="n">
        <v>5</v>
      </c>
    </row>
    <row r="442">
      <c r="A442" t="inlineStr">
        <is>
          <t>ORD1441</t>
        </is>
      </c>
      <c r="B442" t="inlineStr">
        <is>
          <t>2025-06-16</t>
        </is>
      </c>
      <c r="C442" t="inlineStr">
        <is>
          <t>11:00:10</t>
        </is>
      </c>
      <c r="D442" t="n">
        <v>1261</v>
      </c>
      <c r="E442" t="n">
        <v>114</v>
      </c>
      <c r="F442" t="n">
        <v>215</v>
      </c>
      <c r="G442" t="inlineStr">
        <is>
          <t>Hyderabad</t>
        </is>
      </c>
      <c r="H442" t="inlineStr">
        <is>
          <t>Biryani</t>
        </is>
      </c>
      <c r="I442" t="n">
        <v>502</v>
      </c>
      <c r="J442" t="n">
        <v>45.65</v>
      </c>
      <c r="K442" t="n">
        <v>25</v>
      </c>
      <c r="L442" t="n">
        <v>0.22</v>
      </c>
      <c r="M442" t="n">
        <v>116.69</v>
      </c>
      <c r="N442" t="n">
        <v>2.4</v>
      </c>
      <c r="O442" t="n">
        <v>26</v>
      </c>
      <c r="P442" t="inlineStr">
        <is>
          <t>CREDIT CARD</t>
        </is>
      </c>
      <c r="Q442" t="inlineStr">
        <is>
          <t>Delivered</t>
        </is>
      </c>
      <c r="R442" t="n">
        <v>5</v>
      </c>
    </row>
    <row r="443">
      <c r="A443" t="inlineStr">
        <is>
          <t>ORD1442</t>
        </is>
      </c>
      <c r="B443" t="inlineStr">
        <is>
          <t>2025-10-25</t>
        </is>
      </c>
      <c r="C443" t="inlineStr">
        <is>
          <t>14:50:44</t>
        </is>
      </c>
      <c r="D443" t="n">
        <v>1130</v>
      </c>
      <c r="E443" t="n">
        <v>119</v>
      </c>
      <c r="F443" t="n">
        <v>215</v>
      </c>
      <c r="G443" t="inlineStr">
        <is>
          <t>Hyderabad</t>
        </is>
      </c>
      <c r="H443" t="inlineStr">
        <is>
          <t>Biryani</t>
        </is>
      </c>
      <c r="I443" t="n">
        <v>706</v>
      </c>
      <c r="J443" t="n">
        <v>8.75</v>
      </c>
      <c r="K443" t="n">
        <v>32</v>
      </c>
      <c r="L443" t="n">
        <v>0.2</v>
      </c>
      <c r="M443" t="n">
        <v>149.2</v>
      </c>
      <c r="N443" t="n">
        <v>4.4</v>
      </c>
      <c r="O443" t="n">
        <v>42.2</v>
      </c>
      <c r="P443" t="inlineStr">
        <is>
          <t>Credit Card</t>
        </is>
      </c>
      <c r="Q443" t="inlineStr">
        <is>
          <t>Delivered</t>
        </is>
      </c>
      <c r="R443" t="n">
        <v>1</v>
      </c>
    </row>
    <row r="444">
      <c r="A444" t="inlineStr">
        <is>
          <t>ORD1443</t>
        </is>
      </c>
      <c r="B444" t="inlineStr">
        <is>
          <t>2025-02-16</t>
        </is>
      </c>
      <c r="C444" t="inlineStr">
        <is>
          <t>15:43:39</t>
        </is>
      </c>
      <c r="D444" t="n">
        <v>1199</v>
      </c>
      <c r="E444" t="n">
        <v>119</v>
      </c>
      <c r="F444" t="n">
        <v>225</v>
      </c>
      <c r="G444" t="inlineStr">
        <is>
          <t>Hyderabad</t>
        </is>
      </c>
      <c r="H444" t="inlineStr">
        <is>
          <t>Biryani</t>
        </is>
      </c>
      <c r="I444" t="n">
        <v>904</v>
      </c>
      <c r="J444" t="n">
        <v>178.06</v>
      </c>
      <c r="K444" t="n">
        <v>0</v>
      </c>
      <c r="L444" t="n">
        <v>0.2</v>
      </c>
      <c r="M444" t="n">
        <v>180.8</v>
      </c>
      <c r="N444" t="n">
        <v>4.1</v>
      </c>
      <c r="O444" t="n">
        <v>32.8</v>
      </c>
      <c r="P444" t="inlineStr">
        <is>
          <t>UPI</t>
        </is>
      </c>
      <c r="Q444" t="inlineStr">
        <is>
          <t>Delivered</t>
        </is>
      </c>
      <c r="R444" t="n">
        <v>5</v>
      </c>
    </row>
    <row r="445">
      <c r="A445" t="inlineStr">
        <is>
          <t>ORD1444</t>
        </is>
      </c>
      <c r="B445" t="inlineStr">
        <is>
          <t>2025-11-27</t>
        </is>
      </c>
      <c r="C445" t="inlineStr">
        <is>
          <t>14:09:44</t>
        </is>
      </c>
      <c r="D445" t="n">
        <v>1211</v>
      </c>
      <c r="E445" t="n">
        <v>118</v>
      </c>
      <c r="F445" t="n">
        <v>212</v>
      </c>
      <c r="G445" t="inlineStr">
        <is>
          <t>Delhi NCR</t>
        </is>
      </c>
      <c r="H445" t="inlineStr">
        <is>
          <t>North Indian</t>
        </is>
      </c>
      <c r="I445" t="n">
        <v>769</v>
      </c>
      <c r="J445" t="n">
        <v>7.74</v>
      </c>
      <c r="K445" t="n">
        <v>34</v>
      </c>
      <c r="L445" t="n">
        <v>0.2</v>
      </c>
      <c r="M445" t="n">
        <v>162.3</v>
      </c>
      <c r="N445" t="n">
        <v>4.8</v>
      </c>
      <c r="O445" t="n">
        <v>42.3</v>
      </c>
      <c r="P445" t="inlineStr">
        <is>
          <t>Digital Wallet</t>
        </is>
      </c>
      <c r="Q445" t="inlineStr">
        <is>
          <t>Delivered</t>
        </is>
      </c>
      <c r="R445" t="n">
        <v>3</v>
      </c>
    </row>
    <row r="446">
      <c r="A446" t="inlineStr">
        <is>
          <t>ORD1445</t>
        </is>
      </c>
      <c r="B446" t="inlineStr">
        <is>
          <t>2025-01-11</t>
        </is>
      </c>
      <c r="C446" t="inlineStr">
        <is>
          <t>22:44:24</t>
        </is>
      </c>
      <c r="D446" t="n">
        <v>1017</v>
      </c>
      <c r="E446" t="n">
        <v>103</v>
      </c>
      <c r="F446" t="n">
        <v>206</v>
      </c>
      <c r="G446" t="inlineStr">
        <is>
          <t>Mumbai</t>
        </is>
      </c>
      <c r="H446" t="inlineStr">
        <is>
          <t>Italian</t>
        </is>
      </c>
      <c r="I446" t="n">
        <v>586</v>
      </c>
      <c r="J446" t="n">
        <v>11.75</v>
      </c>
      <c r="K446" t="n">
        <v>36.5</v>
      </c>
      <c r="L446" t="n">
        <v>0.18</v>
      </c>
      <c r="M446" t="n">
        <v>114.6</v>
      </c>
      <c r="N446" t="n">
        <v>5.3</v>
      </c>
      <c r="O446" t="n">
        <v>27.9</v>
      </c>
      <c r="P446" t="inlineStr">
        <is>
          <t>Cash on Delivery</t>
        </is>
      </c>
      <c r="Q446" t="inlineStr">
        <is>
          <t>Delivered</t>
        </is>
      </c>
      <c r="R446" t="n">
        <v>3</v>
      </c>
    </row>
    <row r="447">
      <c r="A447" t="inlineStr">
        <is>
          <t>ORD1446</t>
        </is>
      </c>
      <c r="B447" t="inlineStr">
        <is>
          <t>2025-10-18</t>
        </is>
      </c>
      <c r="C447" t="inlineStr">
        <is>
          <t>15:11:34</t>
        </is>
      </c>
      <c r="D447" t="n">
        <v>1295</v>
      </c>
      <c r="E447" t="n">
        <v>118</v>
      </c>
      <c r="F447" t="n">
        <v>221</v>
      </c>
      <c r="G447" t="inlineStr">
        <is>
          <t>Delhi NCR</t>
        </is>
      </c>
      <c r="H447" t="inlineStr">
        <is>
          <t>North Indian</t>
        </is>
      </c>
      <c r="I447" t="n">
        <v>576</v>
      </c>
      <c r="J447" t="n">
        <v>0</v>
      </c>
      <c r="K447" t="n">
        <v>25</v>
      </c>
      <c r="L447" t="n">
        <v>0.2</v>
      </c>
      <c r="M447" t="n">
        <v>121.45</v>
      </c>
      <c r="N447" t="n">
        <v>2.2</v>
      </c>
      <c r="O447" t="n">
        <v>24.3</v>
      </c>
      <c r="P447" t="inlineStr">
        <is>
          <t>Digital Wallet</t>
        </is>
      </c>
      <c r="Q447" t="inlineStr">
        <is>
          <t>Delivered</t>
        </is>
      </c>
      <c r="R447" t="n">
        <v>4</v>
      </c>
    </row>
    <row r="448">
      <c r="A448" t="inlineStr">
        <is>
          <t>ORD1447</t>
        </is>
      </c>
      <c r="B448" t="inlineStr">
        <is>
          <t>2025-08-19</t>
        </is>
      </c>
      <c r="C448" t="inlineStr">
        <is>
          <t>13:18:52</t>
        </is>
      </c>
      <c r="D448" t="n">
        <v>1238</v>
      </c>
      <c r="E448" t="n">
        <v>101</v>
      </c>
      <c r="F448" t="n">
        <v>218</v>
      </c>
      <c r="G448" t="inlineStr">
        <is>
          <t>Bangalore</t>
        </is>
      </c>
      <c r="H448" t="inlineStr">
        <is>
          <t>North Indian</t>
        </is>
      </c>
      <c r="I448" t="n">
        <v>489</v>
      </c>
      <c r="J448" t="n">
        <v>17.76</v>
      </c>
      <c r="K448" t="n">
        <v>36.5</v>
      </c>
      <c r="L448" t="n">
        <v>0.2</v>
      </c>
      <c r="M448" t="n">
        <v>106.93</v>
      </c>
      <c r="N448" t="n">
        <v>5.3</v>
      </c>
      <c r="O448" t="n">
        <v>42.9</v>
      </c>
      <c r="P448" t="inlineStr">
        <is>
          <t>Digital Wallet</t>
        </is>
      </c>
      <c r="Q448" t="inlineStr">
        <is>
          <t>Delivered</t>
        </is>
      </c>
      <c r="R448" t="n">
        <v>3</v>
      </c>
    </row>
    <row r="449">
      <c r="A449" t="inlineStr">
        <is>
          <t>ORD1448</t>
        </is>
      </c>
      <c r="B449" t="inlineStr">
        <is>
          <t>2025-11-14</t>
        </is>
      </c>
      <c r="C449" t="inlineStr">
        <is>
          <t>17:54:23</t>
        </is>
      </c>
      <c r="D449" t="n">
        <v>1131</v>
      </c>
      <c r="E449" t="n">
        <v>104</v>
      </c>
      <c r="F449" t="n">
        <v>219</v>
      </c>
      <c r="G449" t="inlineStr">
        <is>
          <t>Delhi NCR</t>
        </is>
      </c>
      <c r="H449" t="inlineStr">
        <is>
          <t>Fast Food</t>
        </is>
      </c>
      <c r="I449" t="n">
        <v>855</v>
      </c>
      <c r="J449" t="n">
        <v>0</v>
      </c>
      <c r="K449" t="n">
        <v>37.5</v>
      </c>
      <c r="L449" t="n">
        <v>0.18</v>
      </c>
      <c r="M449" t="n">
        <v>163.28</v>
      </c>
      <c r="N449" t="n">
        <v>5.5</v>
      </c>
      <c r="O449" t="n">
        <v>37.9</v>
      </c>
      <c r="P449" t="inlineStr">
        <is>
          <t>Digital Wallet</t>
        </is>
      </c>
      <c r="Q449" t="inlineStr">
        <is>
          <t>Delivered</t>
        </is>
      </c>
      <c r="R449" t="n">
        <v>5</v>
      </c>
    </row>
    <row r="450">
      <c r="A450" t="inlineStr">
        <is>
          <t>ORD1449</t>
        </is>
      </c>
      <c r="B450" t="inlineStr">
        <is>
          <t>2025-10-10</t>
        </is>
      </c>
      <c r="C450" t="inlineStr">
        <is>
          <t>12:09:39</t>
        </is>
      </c>
      <c r="D450" t="n">
        <v>1153</v>
      </c>
      <c r="E450" t="n">
        <v>105</v>
      </c>
      <c r="F450" t="n">
        <v>223</v>
      </c>
      <c r="G450" t="inlineStr">
        <is>
          <t>Bangalore</t>
        </is>
      </c>
      <c r="H450" t="inlineStr">
        <is>
          <t>Chinese</t>
        </is>
      </c>
      <c r="I450" t="n">
        <v>509</v>
      </c>
      <c r="J450" t="n">
        <v>0</v>
      </c>
      <c r="K450" t="n">
        <v>52</v>
      </c>
      <c r="L450" t="n">
        <v>0.2</v>
      </c>
      <c r="M450" t="n">
        <v>114.8</v>
      </c>
      <c r="N450" t="n">
        <v>8.4</v>
      </c>
      <c r="O450" t="n">
        <v>55.8</v>
      </c>
      <c r="P450" t="inlineStr">
        <is>
          <t>UPI</t>
        </is>
      </c>
      <c r="Q450" t="inlineStr">
        <is>
          <t>Delivered</t>
        </is>
      </c>
      <c r="R450" t="n">
        <v>1</v>
      </c>
    </row>
    <row r="451">
      <c r="A451" t="inlineStr">
        <is>
          <t>ORD1450</t>
        </is>
      </c>
      <c r="B451" t="inlineStr">
        <is>
          <t>2025-01-23</t>
        </is>
      </c>
      <c r="C451" t="inlineStr">
        <is>
          <t>20:53:08</t>
        </is>
      </c>
      <c r="D451" t="n">
        <v>1128</v>
      </c>
      <c r="E451" t="n">
        <v>119</v>
      </c>
      <c r="F451" t="n">
        <v>215</v>
      </c>
      <c r="G451" t="inlineStr">
        <is>
          <t>Hyderabad</t>
        </is>
      </c>
      <c r="H451" t="inlineStr">
        <is>
          <t>Biryani</t>
        </is>
      </c>
      <c r="I451" t="n">
        <v>725</v>
      </c>
      <c r="J451" t="n">
        <v>74.77</v>
      </c>
      <c r="K451" t="n">
        <v>0</v>
      </c>
      <c r="L451" t="n">
        <v>0.2</v>
      </c>
      <c r="M451" t="n">
        <v>145</v>
      </c>
      <c r="N451" t="n">
        <v>3.5</v>
      </c>
      <c r="O451" t="n">
        <v>27.8</v>
      </c>
      <c r="P451" t="inlineStr">
        <is>
          <t>Credit Card</t>
        </is>
      </c>
      <c r="Q451" t="inlineStr">
        <is>
          <t>Delivered</t>
        </is>
      </c>
      <c r="R451" t="n">
        <v>5</v>
      </c>
    </row>
    <row r="452">
      <c r="A452" t="inlineStr">
        <is>
          <t>ORD1451</t>
        </is>
      </c>
      <c r="B452" t="inlineStr">
        <is>
          <t>2025-10-20</t>
        </is>
      </c>
      <c r="C452" t="inlineStr">
        <is>
          <t>13:41:53</t>
        </is>
      </c>
      <c r="D452" t="n">
        <v>1289</v>
      </c>
      <c r="E452" t="n">
        <v>104</v>
      </c>
      <c r="F452" t="n">
        <v>219</v>
      </c>
      <c r="G452" t="inlineStr">
        <is>
          <t>Delhi NCR</t>
        </is>
      </c>
      <c r="H452" t="inlineStr">
        <is>
          <t>Fast Food</t>
        </is>
      </c>
      <c r="I452" t="n">
        <v>617</v>
      </c>
      <c r="J452" t="n">
        <v>25.95</v>
      </c>
      <c r="K452" t="n">
        <v>29</v>
      </c>
      <c r="L452" t="n">
        <v>0.18</v>
      </c>
      <c r="M452" t="n">
        <v>118.31</v>
      </c>
      <c r="N452" t="n">
        <v>3.8</v>
      </c>
      <c r="O452" t="n">
        <v>34.2</v>
      </c>
      <c r="P452" t="inlineStr">
        <is>
          <t>Debit Card</t>
        </is>
      </c>
      <c r="Q452" t="inlineStr">
        <is>
          <t>Delivered</t>
        </is>
      </c>
      <c r="R452" t="n">
        <v>1</v>
      </c>
    </row>
    <row r="453">
      <c r="A453" t="inlineStr">
        <is>
          <t>ORD1452</t>
        </is>
      </c>
      <c r="B453" t="inlineStr">
        <is>
          <t>2025-04-24</t>
        </is>
      </c>
      <c r="C453" t="inlineStr">
        <is>
          <t>07:38:45</t>
        </is>
      </c>
      <c r="D453" t="n">
        <v>1035</v>
      </c>
      <c r="E453" t="n">
        <v>111</v>
      </c>
      <c r="F453" t="n">
        <v>201</v>
      </c>
      <c r="G453" t="inlineStr">
        <is>
          <t>Bangalore</t>
        </is>
      </c>
      <c r="H453" t="inlineStr">
        <is>
          <t>South Indian</t>
        </is>
      </c>
      <c r="I453" t="n">
        <v>395</v>
      </c>
      <c r="J453" t="n">
        <v>76.23999999999999</v>
      </c>
      <c r="K453" t="n">
        <v>28</v>
      </c>
      <c r="L453" t="n">
        <v>0.15</v>
      </c>
      <c r="M453" t="n">
        <v>66.25</v>
      </c>
      <c r="N453" t="n">
        <v>3.6</v>
      </c>
      <c r="O453" t="n">
        <v>31.7</v>
      </c>
      <c r="P453" t="inlineStr">
        <is>
          <t>Cash on Delivery</t>
        </is>
      </c>
      <c r="Q453" t="inlineStr">
        <is>
          <t>Delivered</t>
        </is>
      </c>
      <c r="R453" t="n">
        <v>4</v>
      </c>
    </row>
    <row r="454">
      <c r="A454" t="inlineStr">
        <is>
          <t>ORD1453</t>
        </is>
      </c>
      <c r="B454" t="inlineStr">
        <is>
          <t>2025-11-24</t>
        </is>
      </c>
      <c r="C454" t="inlineStr">
        <is>
          <t>20:03:23</t>
        </is>
      </c>
      <c r="D454" t="n">
        <v>1155</v>
      </c>
      <c r="E454" t="n">
        <v>116</v>
      </c>
      <c r="F454" t="n">
        <v>208</v>
      </c>
      <c r="G454" t="inlineStr">
        <is>
          <t>Pune</t>
        </is>
      </c>
      <c r="H454" t="inlineStr">
        <is>
          <t>Desserts</t>
        </is>
      </c>
      <c r="I454" t="n">
        <v>1081</v>
      </c>
      <c r="J454" t="n">
        <v>209.52</v>
      </c>
      <c r="K454" t="n">
        <v>0</v>
      </c>
      <c r="L454" t="n">
        <v>0.25</v>
      </c>
      <c r="M454" t="n">
        <v>270.25</v>
      </c>
      <c r="N454" t="n">
        <v>3.9</v>
      </c>
      <c r="O454" t="n">
        <v>31.4</v>
      </c>
      <c r="P454" t="inlineStr">
        <is>
          <t>Debit Card</t>
        </is>
      </c>
      <c r="Q454" t="inlineStr">
        <is>
          <t>Delivered</t>
        </is>
      </c>
      <c r="R454" t="n">
        <v>4</v>
      </c>
    </row>
    <row r="455">
      <c r="A455" t="inlineStr">
        <is>
          <t>ORD1454</t>
        </is>
      </c>
      <c r="B455" t="inlineStr">
        <is>
          <t>2025-02-06</t>
        </is>
      </c>
      <c r="C455" t="inlineStr">
        <is>
          <t>19:53:19</t>
        </is>
      </c>
      <c r="D455" t="n">
        <v>1216</v>
      </c>
      <c r="E455" t="n">
        <v>106</v>
      </c>
      <c r="F455" t="n">
        <v>217</v>
      </c>
      <c r="G455" t="inlineStr">
        <is>
          <t>Pune</t>
        </is>
      </c>
      <c r="H455" t="inlineStr">
        <is>
          <t>South Indian</t>
        </is>
      </c>
      <c r="I455" t="n">
        <v>299</v>
      </c>
      <c r="J455" t="n">
        <v>22.98</v>
      </c>
      <c r="K455" t="n">
        <v>37.5</v>
      </c>
      <c r="L455" t="n">
        <v>0.15</v>
      </c>
      <c r="M455" t="n">
        <v>54.22</v>
      </c>
      <c r="N455" t="n">
        <v>5.5</v>
      </c>
      <c r="O455" t="n">
        <v>35.9</v>
      </c>
      <c r="P455" t="inlineStr">
        <is>
          <t>Credit Card</t>
        </is>
      </c>
      <c r="Q455" t="inlineStr">
        <is>
          <t>Delivered</t>
        </is>
      </c>
      <c r="R455" t="n">
        <v>4</v>
      </c>
    </row>
    <row r="456">
      <c r="A456" t="inlineStr">
        <is>
          <t>ORD1455</t>
        </is>
      </c>
      <c r="B456" t="inlineStr">
        <is>
          <t>2025-09-27</t>
        </is>
      </c>
      <c r="C456" t="inlineStr">
        <is>
          <t>10:42:15</t>
        </is>
      </c>
      <c r="D456" t="n">
        <v>1131</v>
      </c>
      <c r="E456" t="n">
        <v>112</v>
      </c>
      <c r="F456" t="n">
        <v>228</v>
      </c>
      <c r="G456" t="inlineStr">
        <is>
          <t>Delhi NCR</t>
        </is>
      </c>
      <c r="H456" t="inlineStr">
        <is>
          <t>North Indian</t>
        </is>
      </c>
      <c r="I456" t="n">
        <v>803</v>
      </c>
      <c r="J456" t="n">
        <v>11.49</v>
      </c>
      <c r="K456" t="n">
        <v>25</v>
      </c>
      <c r="L456" t="n">
        <v>0.22</v>
      </c>
      <c r="M456" t="n">
        <v>182.91</v>
      </c>
      <c r="N456" t="n">
        <v>1.9</v>
      </c>
      <c r="O456" t="n">
        <v>28.7</v>
      </c>
      <c r="P456" t="inlineStr">
        <is>
          <t>Cash on Delivery</t>
        </is>
      </c>
      <c r="Q456" t="inlineStr">
        <is>
          <t>Delivered</t>
        </is>
      </c>
      <c r="R456" t="n">
        <v>4</v>
      </c>
    </row>
    <row r="457">
      <c r="A457" t="inlineStr">
        <is>
          <t>ORD1456</t>
        </is>
      </c>
      <c r="B457" t="inlineStr">
        <is>
          <t>2025-12-26</t>
        </is>
      </c>
      <c r="C457" t="inlineStr">
        <is>
          <t>10:42:27</t>
        </is>
      </c>
      <c r="D457" t="n">
        <v>1231</v>
      </c>
      <c r="E457" t="n">
        <v>111</v>
      </c>
      <c r="F457" t="n">
        <v>223</v>
      </c>
      <c r="G457" t="inlineStr">
        <is>
          <t>Bangalore</t>
        </is>
      </c>
      <c r="H457" t="inlineStr">
        <is>
          <t>South Indian</t>
        </is>
      </c>
      <c r="I457" t="n">
        <v>326</v>
      </c>
      <c r="J457" t="n">
        <v>20.11</v>
      </c>
      <c r="K457" t="n">
        <v>30.5</v>
      </c>
      <c r="L457" t="n">
        <v>0.15</v>
      </c>
      <c r="M457" t="n">
        <v>56.52</v>
      </c>
      <c r="N457" t="n">
        <v>4.1</v>
      </c>
      <c r="O457" t="n">
        <v>25.7</v>
      </c>
      <c r="P457" t="inlineStr">
        <is>
          <t>Cash on Delivery</t>
        </is>
      </c>
      <c r="Q457" t="inlineStr">
        <is>
          <t>Delivered</t>
        </is>
      </c>
      <c r="R457" t="n">
        <v>2</v>
      </c>
    </row>
    <row r="458">
      <c r="A458" t="inlineStr">
        <is>
          <t>ORD1457</t>
        </is>
      </c>
      <c r="B458" t="inlineStr">
        <is>
          <t>2025-06-30</t>
        </is>
      </c>
      <c r="C458" t="inlineStr">
        <is>
          <t>17:57:20</t>
        </is>
      </c>
      <c r="D458" t="n">
        <v>1180</v>
      </c>
      <c r="E458" t="n">
        <v>112</v>
      </c>
      <c r="F458" t="n">
        <v>230</v>
      </c>
      <c r="G458" t="inlineStr">
        <is>
          <t>Delhi NCR</t>
        </is>
      </c>
      <c r="H458" t="inlineStr">
        <is>
          <t>North Indian</t>
        </is>
      </c>
      <c r="I458" t="n">
        <v>783</v>
      </c>
      <c r="J458" t="n">
        <v>20.34</v>
      </c>
      <c r="K458" t="n">
        <v>33.5</v>
      </c>
      <c r="L458" t="n">
        <v>0.22</v>
      </c>
      <c r="M458" t="n">
        <v>180.64</v>
      </c>
      <c r="N458" t="n">
        <v>4.7</v>
      </c>
      <c r="O458" t="n">
        <v>31.4</v>
      </c>
      <c r="P458" t="inlineStr">
        <is>
          <t>Cash on Delivery</t>
        </is>
      </c>
      <c r="Q458" t="inlineStr">
        <is>
          <t>Delivered</t>
        </is>
      </c>
      <c r="R458" t="n">
        <v>4</v>
      </c>
    </row>
    <row r="459">
      <c r="A459" t="inlineStr">
        <is>
          <t>ORD1458</t>
        </is>
      </c>
      <c r="B459" t="inlineStr">
        <is>
          <t>2025-07-12</t>
        </is>
      </c>
      <c r="C459" t="inlineStr">
        <is>
          <t>09:49:35</t>
        </is>
      </c>
      <c r="D459" t="n">
        <v>1279</v>
      </c>
      <c r="E459" t="n">
        <v>108</v>
      </c>
      <c r="F459" t="n">
        <v>211</v>
      </c>
      <c r="G459" t="inlineStr">
        <is>
          <t>Delhi NCR</t>
        </is>
      </c>
      <c r="H459" t="inlineStr">
        <is>
          <t>Fast Food</t>
        </is>
      </c>
      <c r="I459" t="n">
        <v>480</v>
      </c>
      <c r="J459" t="n">
        <v>36.1</v>
      </c>
      <c r="K459" t="n">
        <v>25</v>
      </c>
      <c r="L459" t="n">
        <v>0.18</v>
      </c>
      <c r="M459" t="n">
        <v>92.65000000000001</v>
      </c>
      <c r="N459" t="n">
        <v>2.8</v>
      </c>
      <c r="O459" t="n">
        <v>25.1</v>
      </c>
      <c r="P459" t="inlineStr">
        <is>
          <t>Cash on Delivery</t>
        </is>
      </c>
      <c r="Q459" t="inlineStr">
        <is>
          <t>Delivered</t>
        </is>
      </c>
      <c r="R459" t="n">
        <v>5</v>
      </c>
    </row>
    <row r="460">
      <c r="A460" t="inlineStr">
        <is>
          <t>ORD1459</t>
        </is>
      </c>
      <c r="B460" t="inlineStr">
        <is>
          <t>2025-05-26</t>
        </is>
      </c>
      <c r="C460" t="inlineStr">
        <is>
          <t>21:38:01</t>
        </is>
      </c>
      <c r="D460" t="n">
        <v>1055</v>
      </c>
      <c r="E460" t="n">
        <v>105</v>
      </c>
      <c r="F460" t="n">
        <v>203</v>
      </c>
      <c r="G460" t="inlineStr">
        <is>
          <t>Bangalore</t>
        </is>
      </c>
      <c r="H460" t="inlineStr">
        <is>
          <t>Chinese</t>
        </is>
      </c>
      <c r="I460" t="n">
        <v>750</v>
      </c>
      <c r="J460" t="n">
        <v>0</v>
      </c>
      <c r="K460" t="n">
        <v>25.5</v>
      </c>
      <c r="L460" t="n">
        <v>0.2</v>
      </c>
      <c r="M460" t="n">
        <v>156.38</v>
      </c>
      <c r="N460" t="n">
        <v>3.1</v>
      </c>
      <c r="O460" t="n">
        <v>34.5</v>
      </c>
      <c r="P460" t="inlineStr">
        <is>
          <t>UPI</t>
        </is>
      </c>
      <c r="Q460" t="inlineStr">
        <is>
          <t>Delivered</t>
        </is>
      </c>
      <c r="R460" t="n">
        <v>5</v>
      </c>
    </row>
    <row r="461">
      <c r="A461" t="inlineStr">
        <is>
          <t>ORD1460</t>
        </is>
      </c>
      <c r="B461" t="inlineStr">
        <is>
          <t>2025-06-11</t>
        </is>
      </c>
      <c r="C461" t="inlineStr">
        <is>
          <t>15:01:49</t>
        </is>
      </c>
      <c r="D461" t="n">
        <v>1052</v>
      </c>
      <c r="E461" t="n">
        <v>102</v>
      </c>
      <c r="F461" t="n">
        <v>225</v>
      </c>
      <c r="G461" t="inlineStr">
        <is>
          <t>Hyderabad</t>
        </is>
      </c>
      <c r="H461" t="inlineStr">
        <is>
          <t>Biryani</t>
        </is>
      </c>
      <c r="I461" t="n">
        <v>926</v>
      </c>
      <c r="J461" t="n">
        <v>99.59999999999999</v>
      </c>
      <c r="K461" t="n">
        <v>58.5</v>
      </c>
      <c r="L461" t="n">
        <v>0.22</v>
      </c>
      <c r="M461" t="n">
        <v>218.34</v>
      </c>
      <c r="N461" t="n">
        <v>9.699999999999999</v>
      </c>
      <c r="O461" t="n">
        <v>51.6</v>
      </c>
      <c r="P461" t="inlineStr">
        <is>
          <t>Digital Wallet</t>
        </is>
      </c>
      <c r="Q461" t="inlineStr">
        <is>
          <t>Delivered</t>
        </is>
      </c>
      <c r="R461" t="n">
        <v>3</v>
      </c>
    </row>
    <row r="462">
      <c r="A462" t="inlineStr">
        <is>
          <t>ORD1461</t>
        </is>
      </c>
      <c r="B462" t="inlineStr">
        <is>
          <t>2025-08-24</t>
        </is>
      </c>
      <c r="C462" t="inlineStr">
        <is>
          <t>19:22:09</t>
        </is>
      </c>
      <c r="D462" t="n">
        <v>1141</v>
      </c>
      <c r="E462" t="n">
        <v>118</v>
      </c>
      <c r="F462" t="n">
        <v>221</v>
      </c>
      <c r="G462" t="inlineStr">
        <is>
          <t>Delhi NCR</t>
        </is>
      </c>
      <c r="H462" t="inlineStr">
        <is>
          <t>North Indian</t>
        </is>
      </c>
      <c r="I462" t="n">
        <v>528</v>
      </c>
      <c r="J462" t="n">
        <v>72.18000000000001</v>
      </c>
      <c r="K462" t="n">
        <v>0</v>
      </c>
      <c r="L462" t="n">
        <v>0.2</v>
      </c>
      <c r="M462" t="n">
        <v>105.6</v>
      </c>
      <c r="N462" t="n">
        <v>5.3</v>
      </c>
      <c r="O462" t="n">
        <v>38.3</v>
      </c>
      <c r="P462" t="inlineStr">
        <is>
          <t>Credit Card</t>
        </is>
      </c>
      <c r="Q462" t="inlineStr">
        <is>
          <t>Delivered</t>
        </is>
      </c>
      <c r="R462" t="n">
        <v>5</v>
      </c>
    </row>
    <row r="463">
      <c r="A463" t="inlineStr">
        <is>
          <t>ORD1462</t>
        </is>
      </c>
      <c r="B463" t="inlineStr">
        <is>
          <t>2025-10-20</t>
        </is>
      </c>
      <c r="C463" t="inlineStr">
        <is>
          <t>20:25:36</t>
        </is>
      </c>
      <c r="D463" t="n">
        <v>1248</v>
      </c>
      <c r="E463" t="n">
        <v>118</v>
      </c>
      <c r="F463" t="n">
        <v>211</v>
      </c>
      <c r="G463" t="inlineStr">
        <is>
          <t>Delhi NCR</t>
        </is>
      </c>
      <c r="H463" t="inlineStr">
        <is>
          <t>North Indian</t>
        </is>
      </c>
      <c r="I463" t="n">
        <v>729</v>
      </c>
      <c r="J463" t="n">
        <v>78.53</v>
      </c>
      <c r="K463" t="n">
        <v>0</v>
      </c>
      <c r="L463" t="n">
        <v>0.2</v>
      </c>
      <c r="M463" t="n">
        <v>145.8</v>
      </c>
      <c r="N463" t="n">
        <v>5.7</v>
      </c>
      <c r="O463" t="n">
        <v>37.3</v>
      </c>
      <c r="P463" t="inlineStr">
        <is>
          <t>Cash on Delivery</t>
        </is>
      </c>
      <c r="Q463" t="inlineStr">
        <is>
          <t>Delivered</t>
        </is>
      </c>
      <c r="R463" t="n">
        <v>4</v>
      </c>
    </row>
    <row r="464">
      <c r="A464" t="inlineStr">
        <is>
          <t>ORD1463</t>
        </is>
      </c>
      <c r="B464" t="inlineStr">
        <is>
          <t>2025-12-20</t>
        </is>
      </c>
      <c r="C464" t="inlineStr">
        <is>
          <t>13:44:36</t>
        </is>
      </c>
      <c r="D464" t="n">
        <v>1290</v>
      </c>
      <c r="E464" t="n">
        <v>103</v>
      </c>
      <c r="F464" t="n">
        <v>206</v>
      </c>
      <c r="G464" t="inlineStr">
        <is>
          <t>Mumbai</t>
        </is>
      </c>
      <c r="H464" t="inlineStr">
        <is>
          <t>Italian</t>
        </is>
      </c>
      <c r="I464" t="n">
        <v>317</v>
      </c>
      <c r="J464" t="n">
        <v>7.62</v>
      </c>
      <c r="K464" t="n">
        <v>31</v>
      </c>
      <c r="L464" t="n">
        <v>0.18</v>
      </c>
      <c r="M464" t="n">
        <v>64.81</v>
      </c>
      <c r="N464" t="n">
        <v>4.2</v>
      </c>
      <c r="O464" t="n">
        <v>42.7</v>
      </c>
      <c r="P464" t="inlineStr">
        <is>
          <t>Digital Wallet</t>
        </is>
      </c>
      <c r="Q464" t="inlineStr">
        <is>
          <t>Delivered</t>
        </is>
      </c>
      <c r="R464" t="n">
        <v>4</v>
      </c>
    </row>
    <row r="465">
      <c r="A465" t="inlineStr">
        <is>
          <t>ORD1464</t>
        </is>
      </c>
      <c r="B465" t="inlineStr">
        <is>
          <t>2025-06-21</t>
        </is>
      </c>
      <c r="C465" t="inlineStr">
        <is>
          <t>14:22:56</t>
        </is>
      </c>
      <c r="D465" t="n">
        <v>1245</v>
      </c>
      <c r="E465" t="n">
        <v>107</v>
      </c>
      <c r="F465" t="n">
        <v>229</v>
      </c>
      <c r="G465" t="inlineStr">
        <is>
          <t>Mumbai</t>
        </is>
      </c>
      <c r="H465" t="inlineStr">
        <is>
          <t>Desserts</t>
        </is>
      </c>
      <c r="I465" t="n">
        <v>664</v>
      </c>
      <c r="J465" t="n">
        <v>0</v>
      </c>
      <c r="K465" t="n">
        <v>89.5</v>
      </c>
      <c r="L465" t="n">
        <v>0.25</v>
      </c>
      <c r="M465" t="n">
        <v>188.38</v>
      </c>
      <c r="N465" t="n">
        <v>15.9</v>
      </c>
      <c r="O465" t="n">
        <v>81.2</v>
      </c>
      <c r="P465" t="inlineStr">
        <is>
          <t>Credit Card</t>
        </is>
      </c>
      <c r="Q465" t="inlineStr">
        <is>
          <t>Delivered</t>
        </is>
      </c>
      <c r="R465" t="n">
        <v>2</v>
      </c>
    </row>
    <row r="466">
      <c r="A466" t="inlineStr">
        <is>
          <t>ORD1465</t>
        </is>
      </c>
      <c r="B466" t="inlineStr">
        <is>
          <t>2025-06-06</t>
        </is>
      </c>
      <c r="C466" t="inlineStr">
        <is>
          <t>15:33:02</t>
        </is>
      </c>
      <c r="D466" t="n">
        <v>1248</v>
      </c>
      <c r="E466" t="n">
        <v>108</v>
      </c>
      <c r="F466" t="n">
        <v>212</v>
      </c>
      <c r="G466" t="inlineStr">
        <is>
          <t>Delhi NCR</t>
        </is>
      </c>
      <c r="H466" t="inlineStr">
        <is>
          <t>Fast Food</t>
        </is>
      </c>
      <c r="I466" t="n">
        <v>784</v>
      </c>
      <c r="J466" t="n">
        <v>122.69</v>
      </c>
      <c r="K466" t="n">
        <v>0</v>
      </c>
      <c r="L466" t="n">
        <v>0.18</v>
      </c>
      <c r="M466" t="n">
        <v>141.12</v>
      </c>
      <c r="N466" t="n">
        <v>2.1</v>
      </c>
      <c r="O466" t="n">
        <v>23.6</v>
      </c>
      <c r="P466" t="inlineStr">
        <is>
          <t>Credit Card</t>
        </is>
      </c>
      <c r="Q466" t="inlineStr">
        <is>
          <t>Delivered</t>
        </is>
      </c>
      <c r="R466" t="n">
        <v>1</v>
      </c>
    </row>
    <row r="467">
      <c r="A467" t="inlineStr">
        <is>
          <t>ORD1466</t>
        </is>
      </c>
      <c r="B467" t="inlineStr">
        <is>
          <t>2025-12-11</t>
        </is>
      </c>
      <c r="C467" t="inlineStr">
        <is>
          <t>15:46:25</t>
        </is>
      </c>
      <c r="D467" t="n">
        <v>1221</v>
      </c>
      <c r="E467" t="n">
        <v>114</v>
      </c>
      <c r="F467" t="n">
        <v>216</v>
      </c>
      <c r="G467" t="inlineStr">
        <is>
          <t>Hyderabad</t>
        </is>
      </c>
      <c r="H467" t="inlineStr">
        <is>
          <t>Biryani</t>
        </is>
      </c>
      <c r="I467" t="n">
        <v>676</v>
      </c>
      <c r="J467" t="n">
        <v>69.42</v>
      </c>
      <c r="K467" t="n">
        <v>25</v>
      </c>
      <c r="L467" t="n">
        <v>0.22</v>
      </c>
      <c r="M467" t="n">
        <v>154.97</v>
      </c>
      <c r="N467" t="n">
        <v>2.9</v>
      </c>
      <c r="O467" t="n">
        <v>28.1</v>
      </c>
      <c r="P467" t="inlineStr">
        <is>
          <t>UPI</t>
        </is>
      </c>
      <c r="Q467" t="inlineStr">
        <is>
          <t>Delivered</t>
        </is>
      </c>
      <c r="R467" t="n">
        <v>4</v>
      </c>
    </row>
    <row r="468">
      <c r="A468" t="inlineStr">
        <is>
          <t>ORD1467</t>
        </is>
      </c>
      <c r="B468" t="inlineStr">
        <is>
          <t>2025-05-29</t>
        </is>
      </c>
      <c r="C468" t="inlineStr">
        <is>
          <t>20:50:25</t>
        </is>
      </c>
      <c r="D468" t="n">
        <v>1093</v>
      </c>
      <c r="E468" t="n">
        <v>108</v>
      </c>
      <c r="F468" t="n">
        <v>211</v>
      </c>
      <c r="G468" t="inlineStr">
        <is>
          <t>Delhi NCR</t>
        </is>
      </c>
      <c r="H468" t="inlineStr">
        <is>
          <t>Fast Food</t>
        </is>
      </c>
      <c r="I468" t="n">
        <v>371</v>
      </c>
      <c r="J468" t="n">
        <v>21.98</v>
      </c>
      <c r="K468" t="n">
        <v>38</v>
      </c>
      <c r="L468" t="n">
        <v>0.18</v>
      </c>
      <c r="M468" t="n">
        <v>76.28</v>
      </c>
      <c r="N468" t="n">
        <v>5.6</v>
      </c>
      <c r="O468" t="n">
        <v>41.3</v>
      </c>
      <c r="P468" t="inlineStr">
        <is>
          <t>Digital Wallet</t>
        </is>
      </c>
      <c r="Q468" t="inlineStr">
        <is>
          <t>Delivered</t>
        </is>
      </c>
      <c r="R468" t="n">
        <v>2</v>
      </c>
    </row>
    <row r="469">
      <c r="A469" t="inlineStr">
        <is>
          <t>ORD1468</t>
        </is>
      </c>
      <c r="B469" t="inlineStr">
        <is>
          <t>2025-02-13</t>
        </is>
      </c>
      <c r="C469" t="inlineStr">
        <is>
          <t>13:25:32</t>
        </is>
      </c>
      <c r="D469" t="n">
        <v>1228</v>
      </c>
      <c r="E469" t="n">
        <v>102</v>
      </c>
      <c r="F469" t="n">
        <v>215</v>
      </c>
      <c r="G469" t="inlineStr">
        <is>
          <t>Hyderabad</t>
        </is>
      </c>
      <c r="H469" t="inlineStr">
        <is>
          <t>Biryani</t>
        </is>
      </c>
      <c r="I469" t="n">
        <v>664</v>
      </c>
      <c r="J469" t="n">
        <v>6.93</v>
      </c>
      <c r="K469" t="n">
        <v>36.5</v>
      </c>
      <c r="L469" t="n">
        <v>0.22</v>
      </c>
      <c r="M469" t="n">
        <v>155.21</v>
      </c>
      <c r="N469" t="n">
        <v>5.3</v>
      </c>
      <c r="O469" t="n">
        <v>34</v>
      </c>
      <c r="P469" t="inlineStr">
        <is>
          <t>Digital Wallet</t>
        </is>
      </c>
      <c r="Q469" t="inlineStr">
        <is>
          <t>Delivered</t>
        </is>
      </c>
      <c r="R469" t="n">
        <v>4</v>
      </c>
    </row>
    <row r="470">
      <c r="A470" t="inlineStr">
        <is>
          <t>ORD1469</t>
        </is>
      </c>
      <c r="B470" t="inlineStr">
        <is>
          <t>2025-07-22</t>
        </is>
      </c>
      <c r="C470" t="inlineStr">
        <is>
          <t>22:41:36</t>
        </is>
      </c>
      <c r="D470" t="n">
        <v>1167</v>
      </c>
      <c r="E470" t="n">
        <v>108</v>
      </c>
      <c r="F470" t="n">
        <v>228</v>
      </c>
      <c r="G470" t="inlineStr">
        <is>
          <t>Delhi NCR</t>
        </is>
      </c>
      <c r="H470" t="inlineStr">
        <is>
          <t>Fast Food</t>
        </is>
      </c>
      <c r="I470" t="n">
        <v>420</v>
      </c>
      <c r="J470" t="n">
        <v>33.5</v>
      </c>
      <c r="K470" t="n">
        <v>25</v>
      </c>
      <c r="L470" t="n">
        <v>0.18</v>
      </c>
      <c r="M470" t="n">
        <v>81.84999999999999</v>
      </c>
      <c r="N470" t="n">
        <v>2.6</v>
      </c>
      <c r="O470" t="n">
        <v>25.6</v>
      </c>
      <c r="P470" t="inlineStr">
        <is>
          <t>Credit Card</t>
        </is>
      </c>
      <c r="Q470" t="inlineStr">
        <is>
          <t>Delivered</t>
        </is>
      </c>
      <c r="R470" t="n">
        <v>4</v>
      </c>
    </row>
    <row r="471">
      <c r="A471" t="inlineStr">
        <is>
          <t>ORD1470</t>
        </is>
      </c>
      <c r="B471" t="inlineStr">
        <is>
          <t>2025-08-09</t>
        </is>
      </c>
      <c r="C471" t="inlineStr">
        <is>
          <t>13:20:43</t>
        </is>
      </c>
      <c r="D471" t="n">
        <v>1189</v>
      </c>
      <c r="E471" t="n">
        <v>109</v>
      </c>
      <c r="F471" t="n">
        <v>216</v>
      </c>
      <c r="G471" t="inlineStr">
        <is>
          <t>Hyderabad</t>
        </is>
      </c>
      <c r="H471" t="inlineStr">
        <is>
          <t>Biryani</t>
        </is>
      </c>
      <c r="I471" t="n">
        <v>809</v>
      </c>
      <c r="J471" t="n">
        <v>0</v>
      </c>
      <c r="K471" t="n">
        <v>25</v>
      </c>
      <c r="L471" t="n">
        <v>0.2</v>
      </c>
      <c r="M471" t="n">
        <v>168.05</v>
      </c>
      <c r="N471" t="n">
        <v>2.9</v>
      </c>
      <c r="O471" t="n">
        <v>32.4</v>
      </c>
      <c r="P471" t="inlineStr">
        <is>
          <t>Cash on Delivery</t>
        </is>
      </c>
      <c r="Q471" t="inlineStr">
        <is>
          <t>Delivered</t>
        </is>
      </c>
      <c r="R471" t="n">
        <v>4</v>
      </c>
    </row>
    <row r="472">
      <c r="A472" t="inlineStr">
        <is>
          <t>ORD1471</t>
        </is>
      </c>
      <c r="B472" t="inlineStr">
        <is>
          <t>2025-06-14</t>
        </is>
      </c>
      <c r="C472" t="inlineStr">
        <is>
          <t>13:22:38</t>
        </is>
      </c>
      <c r="D472" t="n">
        <v>1260</v>
      </c>
      <c r="E472" t="n">
        <v>116</v>
      </c>
      <c r="F472" t="n">
        <v>204</v>
      </c>
      <c r="G472" t="inlineStr">
        <is>
          <t>Pune</t>
        </is>
      </c>
      <c r="H472" t="inlineStr">
        <is>
          <t>Desserts</t>
        </is>
      </c>
      <c r="I472" t="n">
        <v>891</v>
      </c>
      <c r="J472" t="n">
        <v>0</v>
      </c>
      <c r="K472" t="n">
        <v>25</v>
      </c>
      <c r="L472" t="n">
        <v>0.25</v>
      </c>
      <c r="M472" t="n">
        <v>229</v>
      </c>
      <c r="N472" t="n">
        <v>2.1</v>
      </c>
      <c r="O472" t="n">
        <v>26</v>
      </c>
      <c r="P472" t="inlineStr">
        <is>
          <t>Debit Card</t>
        </is>
      </c>
      <c r="Q472" t="inlineStr">
        <is>
          <t>Delivered</t>
        </is>
      </c>
      <c r="R472" t="n">
        <v>5</v>
      </c>
    </row>
    <row r="473">
      <c r="A473" t="inlineStr">
        <is>
          <t>ORD1472</t>
        </is>
      </c>
      <c r="B473" t="inlineStr">
        <is>
          <t>2025-01-23</t>
        </is>
      </c>
      <c r="C473" t="inlineStr">
        <is>
          <t>12:59:52</t>
        </is>
      </c>
      <c r="D473" t="n">
        <v>1217</v>
      </c>
      <c r="E473" t="n">
        <v>119</v>
      </c>
      <c r="F473" t="n">
        <v>216</v>
      </c>
      <c r="G473" t="inlineStr">
        <is>
          <t>Hyderabad</t>
        </is>
      </c>
      <c r="H473" t="inlineStr">
        <is>
          <t>Biryani</t>
        </is>
      </c>
      <c r="I473" t="n">
        <v>459</v>
      </c>
      <c r="J473" t="n">
        <v>0</v>
      </c>
      <c r="K473" t="n">
        <v>25.5</v>
      </c>
      <c r="L473" t="n">
        <v>0.2</v>
      </c>
      <c r="M473" t="n">
        <v>98.18000000000001</v>
      </c>
      <c r="N473" t="n">
        <v>3.1</v>
      </c>
      <c r="O473" t="n">
        <v>32.6</v>
      </c>
      <c r="P473" t="inlineStr">
        <is>
          <t>UPI</t>
        </is>
      </c>
      <c r="Q473" t="inlineStr">
        <is>
          <t>Delivered</t>
        </is>
      </c>
      <c r="R473" t="n">
        <v>4</v>
      </c>
    </row>
    <row r="474">
      <c r="A474" t="inlineStr">
        <is>
          <t>ORD1473</t>
        </is>
      </c>
      <c r="B474" t="inlineStr">
        <is>
          <t>2025-05-05</t>
        </is>
      </c>
      <c r="C474" t="inlineStr">
        <is>
          <t>21:39:59</t>
        </is>
      </c>
      <c r="D474" t="n">
        <v>1149</v>
      </c>
      <c r="E474" t="n">
        <v>110</v>
      </c>
      <c r="F474" t="n">
        <v>208</v>
      </c>
      <c r="G474" t="inlineStr">
        <is>
          <t>Pune</t>
        </is>
      </c>
      <c r="H474" t="inlineStr">
        <is>
          <t>North Indian</t>
        </is>
      </c>
      <c r="I474" t="n">
        <v>371</v>
      </c>
      <c r="J474" t="n">
        <v>24.34</v>
      </c>
      <c r="K474" t="n">
        <v>25</v>
      </c>
      <c r="L474" t="n">
        <v>0.18</v>
      </c>
      <c r="M474" t="n">
        <v>73.03</v>
      </c>
      <c r="N474" t="n">
        <v>2.7</v>
      </c>
      <c r="O474" t="n">
        <v>23.3</v>
      </c>
      <c r="P474" t="inlineStr">
        <is>
          <t>UPI</t>
        </is>
      </c>
      <c r="Q474" t="inlineStr">
        <is>
          <t>Delivered</t>
        </is>
      </c>
      <c r="R474" t="n">
        <v>5</v>
      </c>
    </row>
    <row r="475">
      <c r="A475" t="inlineStr">
        <is>
          <t>ORD1474</t>
        </is>
      </c>
      <c r="B475" t="inlineStr">
        <is>
          <t>2025-01-12</t>
        </is>
      </c>
      <c r="C475" t="inlineStr">
        <is>
          <t>20:21:13</t>
        </is>
      </c>
      <c r="D475" t="n">
        <v>1172</v>
      </c>
      <c r="E475" t="n">
        <v>116</v>
      </c>
      <c r="F475" t="n">
        <v>204</v>
      </c>
      <c r="G475" t="inlineStr">
        <is>
          <t>Pune</t>
        </is>
      </c>
      <c r="H475" t="inlineStr">
        <is>
          <t>Desserts</t>
        </is>
      </c>
      <c r="I475" t="n">
        <v>770</v>
      </c>
      <c r="J475" t="n">
        <v>0</v>
      </c>
      <c r="K475" t="n">
        <v>46</v>
      </c>
      <c r="L475" t="n">
        <v>0.25</v>
      </c>
      <c r="M475" t="n">
        <v>204</v>
      </c>
      <c r="N475" t="n">
        <v>7.2</v>
      </c>
      <c r="O475" t="n">
        <v>50.5</v>
      </c>
      <c r="P475" t="inlineStr">
        <is>
          <t>Debit Card</t>
        </is>
      </c>
      <c r="Q475" t="inlineStr">
        <is>
          <t>Delivered</t>
        </is>
      </c>
      <c r="R475" t="n">
        <v>2</v>
      </c>
    </row>
    <row r="476">
      <c r="A476" t="inlineStr">
        <is>
          <t>ORD1475</t>
        </is>
      </c>
      <c r="B476" t="inlineStr">
        <is>
          <t>2025-07-12</t>
        </is>
      </c>
      <c r="C476" t="inlineStr">
        <is>
          <t>20:37:57</t>
        </is>
      </c>
      <c r="D476" t="n">
        <v>1201</v>
      </c>
      <c r="E476" t="n">
        <v>115</v>
      </c>
      <c r="F476" t="n">
        <v>218</v>
      </c>
      <c r="G476" t="inlineStr">
        <is>
          <t>Bangalore</t>
        </is>
      </c>
      <c r="H476" t="inlineStr">
        <is>
          <t>Italian</t>
        </is>
      </c>
      <c r="I476" t="n">
        <v>899</v>
      </c>
      <c r="J476" t="n">
        <v>78.09999999999999</v>
      </c>
      <c r="K476" t="n">
        <v>31</v>
      </c>
      <c r="L476" t="n">
        <v>0.2</v>
      </c>
      <c r="M476" t="n">
        <v>187.55</v>
      </c>
      <c r="N476" t="n">
        <v>4.2</v>
      </c>
      <c r="O476" t="n">
        <v>32.8</v>
      </c>
      <c r="P476" t="inlineStr">
        <is>
          <t>UPI</t>
        </is>
      </c>
      <c r="Q476" t="inlineStr">
        <is>
          <t>Delivered</t>
        </is>
      </c>
      <c r="R476" t="n">
        <v>2</v>
      </c>
    </row>
    <row r="477">
      <c r="A477" t="inlineStr">
        <is>
          <t>ORD1476</t>
        </is>
      </c>
      <c r="B477" t="inlineStr">
        <is>
          <t>2025-01-28</t>
        </is>
      </c>
      <c r="C477" t="inlineStr">
        <is>
          <t>21:29:41</t>
        </is>
      </c>
      <c r="D477" t="n">
        <v>1190</v>
      </c>
      <c r="E477" t="n">
        <v>102</v>
      </c>
      <c r="F477" t="n">
        <v>215</v>
      </c>
      <c r="G477" t="inlineStr">
        <is>
          <t>Hyderabad</t>
        </is>
      </c>
      <c r="H477" t="inlineStr">
        <is>
          <t>Biryani</t>
        </is>
      </c>
      <c r="I477" t="n">
        <v>228</v>
      </c>
      <c r="J477" t="n">
        <v>0</v>
      </c>
      <c r="K477" t="n">
        <v>25</v>
      </c>
      <c r="L477" t="n">
        <v>0.22</v>
      </c>
      <c r="M477" t="n">
        <v>56.41</v>
      </c>
      <c r="N477" t="n">
        <v>2.4</v>
      </c>
      <c r="O477" t="n">
        <v>32.8</v>
      </c>
      <c r="P477" t="inlineStr">
        <is>
          <t>Debit Card</t>
        </is>
      </c>
      <c r="Q477" t="inlineStr">
        <is>
          <t>Returned</t>
        </is>
      </c>
      <c r="R477" t="n">
        <v>3</v>
      </c>
    </row>
    <row r="478">
      <c r="A478" t="inlineStr">
        <is>
          <t>ORD1477</t>
        </is>
      </c>
      <c r="B478" t="inlineStr">
        <is>
          <t>2025-05-30</t>
        </is>
      </c>
      <c r="C478" t="inlineStr">
        <is>
          <t>13:55:56</t>
        </is>
      </c>
      <c r="D478" t="n">
        <v>1152</v>
      </c>
      <c r="E478" t="n">
        <v>114</v>
      </c>
      <c r="F478" t="n">
        <v>225</v>
      </c>
      <c r="G478" t="inlineStr">
        <is>
          <t>Hyderabad</t>
        </is>
      </c>
      <c r="H478" t="inlineStr">
        <is>
          <t>Biryani</t>
        </is>
      </c>
      <c r="I478" t="n">
        <v>884</v>
      </c>
      <c r="J478" t="n">
        <v>0</v>
      </c>
      <c r="K478" t="n">
        <v>25</v>
      </c>
      <c r="L478" t="n">
        <v>0.22</v>
      </c>
      <c r="M478" t="n">
        <v>200.73</v>
      </c>
      <c r="N478" t="n">
        <v>1.8</v>
      </c>
      <c r="O478" t="n">
        <v>28.7</v>
      </c>
      <c r="P478" t="inlineStr">
        <is>
          <t>Digital Wallet</t>
        </is>
      </c>
      <c r="Q478" t="inlineStr">
        <is>
          <t>Delivered</t>
        </is>
      </c>
      <c r="R478" t="n">
        <v>4</v>
      </c>
    </row>
    <row r="479">
      <c r="A479" t="inlineStr">
        <is>
          <t>ORD1478</t>
        </is>
      </c>
      <c r="B479" t="inlineStr">
        <is>
          <t>2025-11-02</t>
        </is>
      </c>
      <c r="C479" t="inlineStr">
        <is>
          <t>13:34:05</t>
        </is>
      </c>
      <c r="D479" t="n">
        <v>1144</v>
      </c>
      <c r="E479" t="n">
        <v>111</v>
      </c>
      <c r="F479" t="n">
        <v>205</v>
      </c>
      <c r="G479" t="inlineStr">
        <is>
          <t>Bangalore</t>
        </is>
      </c>
      <c r="H479" t="inlineStr">
        <is>
          <t>South Indian</t>
        </is>
      </c>
      <c r="I479" t="n">
        <v>410</v>
      </c>
      <c r="J479" t="n">
        <v>0</v>
      </c>
      <c r="K479" t="n">
        <v>49</v>
      </c>
      <c r="L479" t="n">
        <v>0.15</v>
      </c>
      <c r="M479" t="n">
        <v>73.75</v>
      </c>
      <c r="N479" t="n">
        <v>7.8</v>
      </c>
      <c r="O479" t="n">
        <v>57.4</v>
      </c>
      <c r="P479" t="inlineStr">
        <is>
          <t>Digital Wallet</t>
        </is>
      </c>
      <c r="Q479" t="inlineStr">
        <is>
          <t>Delivered</t>
        </is>
      </c>
      <c r="R479" t="n">
        <v>2</v>
      </c>
    </row>
    <row r="480">
      <c r="A480" t="inlineStr">
        <is>
          <t>ORD1479</t>
        </is>
      </c>
      <c r="B480" t="inlineStr">
        <is>
          <t>2025-09-29</t>
        </is>
      </c>
      <c r="C480" t="inlineStr">
        <is>
          <t>08:19:21</t>
        </is>
      </c>
      <c r="D480" t="n">
        <v>1085</v>
      </c>
      <c r="E480" t="n">
        <v>119</v>
      </c>
      <c r="F480" t="n">
        <v>225</v>
      </c>
      <c r="G480" t="inlineStr">
        <is>
          <t>Hyderabad</t>
        </is>
      </c>
      <c r="H480" t="inlineStr">
        <is>
          <t>Biryani</t>
        </is>
      </c>
      <c r="I480" t="n">
        <v>721</v>
      </c>
      <c r="J480" t="n">
        <v>0</v>
      </c>
      <c r="K480" t="n">
        <v>27</v>
      </c>
      <c r="L480" t="n">
        <v>0.2</v>
      </c>
      <c r="M480" t="n">
        <v>150.95</v>
      </c>
      <c r="N480" t="n">
        <v>3.4</v>
      </c>
      <c r="O480" t="n">
        <v/>
      </c>
      <c r="P480" t="inlineStr">
        <is>
          <t>Debit Card</t>
        </is>
      </c>
      <c r="Q480" t="inlineStr">
        <is>
          <t>Cancelled</t>
        </is>
      </c>
      <c r="R480" t="n">
        <v/>
      </c>
    </row>
    <row r="481">
      <c r="A481" t="inlineStr">
        <is>
          <t>ORD1480</t>
        </is>
      </c>
      <c r="B481" t="inlineStr">
        <is>
          <t>2025-05-01</t>
        </is>
      </c>
      <c r="C481" t="inlineStr">
        <is>
          <t>17:32:17</t>
        </is>
      </c>
      <c r="D481" t="n">
        <v>1202</v>
      </c>
      <c r="E481" t="n">
        <v>115</v>
      </c>
      <c r="F481" t="n">
        <v>205</v>
      </c>
      <c r="G481" t="inlineStr">
        <is>
          <t>Bangalore</t>
        </is>
      </c>
      <c r="H481" t="inlineStr">
        <is>
          <t>Italian</t>
        </is>
      </c>
      <c r="I481" t="n">
        <v>283</v>
      </c>
      <c r="J481" t="n">
        <v>19.89</v>
      </c>
      <c r="K481" t="n">
        <v>33</v>
      </c>
      <c r="L481" t="n">
        <v>0.2</v>
      </c>
      <c r="M481" t="n">
        <v>64.84999999999999</v>
      </c>
      <c r="N481" t="n">
        <v>4.6</v>
      </c>
      <c r="O481" t="n">
        <v>42.9</v>
      </c>
      <c r="P481" t="inlineStr">
        <is>
          <t>UPI</t>
        </is>
      </c>
      <c r="Q481" t="inlineStr">
        <is>
          <t>Delivered</t>
        </is>
      </c>
      <c r="R481" t="n">
        <v>5</v>
      </c>
    </row>
    <row r="482">
      <c r="A482" t="inlineStr">
        <is>
          <t>ORD1481</t>
        </is>
      </c>
      <c r="B482" t="inlineStr">
        <is>
          <t>2025-06-24</t>
        </is>
      </c>
      <c r="C482" t="inlineStr">
        <is>
          <t>15:57:25</t>
        </is>
      </c>
      <c r="D482" t="n">
        <v>1070</v>
      </c>
      <c r="E482" t="n">
        <v>107</v>
      </c>
      <c r="F482" t="n">
        <v>222</v>
      </c>
      <c r="G482" t="inlineStr">
        <is>
          <t>Mumbai</t>
        </is>
      </c>
      <c r="H482" t="inlineStr">
        <is>
          <t>Desserts</t>
        </is>
      </c>
      <c r="I482" t="n">
        <v>1027</v>
      </c>
      <c r="J482" t="n">
        <v>111.72</v>
      </c>
      <c r="K482" t="n">
        <v>0</v>
      </c>
      <c r="L482" t="n">
        <v>0.25</v>
      </c>
      <c r="M482" t="n">
        <v>256.75</v>
      </c>
      <c r="N482" t="n">
        <v>1.6</v>
      </c>
      <c r="O482" t="n">
        <v>23.9</v>
      </c>
      <c r="P482" t="inlineStr">
        <is>
          <t>Digital Wallet</t>
        </is>
      </c>
      <c r="Q482" t="inlineStr">
        <is>
          <t>Delivered</t>
        </is>
      </c>
      <c r="R482" t="n">
        <v>4</v>
      </c>
    </row>
    <row r="483">
      <c r="A483" t="inlineStr">
        <is>
          <t>ORD1482</t>
        </is>
      </c>
      <c r="B483" t="inlineStr">
        <is>
          <t>2025-10-21</t>
        </is>
      </c>
      <c r="C483" t="inlineStr">
        <is>
          <t>08:09:27</t>
        </is>
      </c>
      <c r="D483" t="n">
        <v>1189</v>
      </c>
      <c r="E483" t="n">
        <v>109</v>
      </c>
      <c r="F483" t="n">
        <v>225</v>
      </c>
      <c r="G483" t="inlineStr">
        <is>
          <t>Hyderabad</t>
        </is>
      </c>
      <c r="H483" t="inlineStr">
        <is>
          <t>Biryani</t>
        </is>
      </c>
      <c r="I483" t="n">
        <v>539</v>
      </c>
      <c r="J483" t="n">
        <v>14.2</v>
      </c>
      <c r="K483" t="n">
        <v>30.5</v>
      </c>
      <c r="L483" t="n">
        <v>0.2</v>
      </c>
      <c r="M483" t="n">
        <v>115.43</v>
      </c>
      <c r="N483" t="n">
        <v>4.1</v>
      </c>
      <c r="O483" t="n">
        <v>30.4</v>
      </c>
      <c r="P483" t="inlineStr">
        <is>
          <t>Credit Card</t>
        </is>
      </c>
      <c r="Q483" t="inlineStr">
        <is>
          <t>Delivered</t>
        </is>
      </c>
      <c r="R483" t="n">
        <v>5</v>
      </c>
    </row>
    <row r="484">
      <c r="A484" t="inlineStr">
        <is>
          <t>ORD1483</t>
        </is>
      </c>
      <c r="B484" t="inlineStr">
        <is>
          <t>2025-06-08</t>
        </is>
      </c>
      <c r="C484" t="inlineStr">
        <is>
          <t>08:44:45</t>
        </is>
      </c>
      <c r="D484" t="n">
        <v>1015</v>
      </c>
      <c r="E484" t="n">
        <v>109</v>
      </c>
      <c r="F484" t="n">
        <v>215</v>
      </c>
      <c r="G484" t="inlineStr">
        <is>
          <t>Hyderabad</t>
        </is>
      </c>
      <c r="H484" t="inlineStr">
        <is>
          <t>Biryani</t>
        </is>
      </c>
      <c r="I484" t="n">
        <v>756</v>
      </c>
      <c r="J484" t="n">
        <v>26.01</v>
      </c>
      <c r="K484" t="n">
        <v>40.5</v>
      </c>
      <c r="L484" t="n">
        <v>0.2</v>
      </c>
      <c r="M484" t="n">
        <v>161.33</v>
      </c>
      <c r="N484" t="n">
        <v>6.1</v>
      </c>
      <c r="O484" t="n">
        <v>41.7</v>
      </c>
      <c r="P484" t="inlineStr">
        <is>
          <t>Credit Card</t>
        </is>
      </c>
      <c r="Q484" t="inlineStr">
        <is>
          <t>Delivered</t>
        </is>
      </c>
      <c r="R484" t="n">
        <v>2</v>
      </c>
    </row>
    <row r="485">
      <c r="A485" t="inlineStr">
        <is>
          <t>ORD1484</t>
        </is>
      </c>
      <c r="B485" t="inlineStr">
        <is>
          <t>2025-10-13</t>
        </is>
      </c>
      <c r="C485" t="inlineStr">
        <is>
          <t>19:34:46</t>
        </is>
      </c>
      <c r="D485" t="n">
        <v>1232</v>
      </c>
      <c r="E485" t="n">
        <v>119</v>
      </c>
      <c r="F485" t="n">
        <v>225</v>
      </c>
      <c r="G485" t="inlineStr">
        <is>
          <t>Hyderabad</t>
        </is>
      </c>
      <c r="H485" t="inlineStr">
        <is>
          <t>Biryani</t>
        </is>
      </c>
      <c r="I485" t="n">
        <v>341</v>
      </c>
      <c r="J485" t="n">
        <v>0</v>
      </c>
      <c r="K485" t="n">
        <v>37.5</v>
      </c>
      <c r="L485" t="n">
        <v>0.2</v>
      </c>
      <c r="M485" t="n">
        <v>77.58</v>
      </c>
      <c r="N485" t="n">
        <v>5.5</v>
      </c>
      <c r="O485" t="n">
        <v>47.8</v>
      </c>
      <c r="P485" t="inlineStr">
        <is>
          <t>Credit Card</t>
        </is>
      </c>
      <c r="Q485" t="inlineStr">
        <is>
          <t>Delivered</t>
        </is>
      </c>
      <c r="R485" t="n">
        <v>5</v>
      </c>
    </row>
    <row r="486">
      <c r="A486" t="inlineStr">
        <is>
          <t>ORD1485</t>
        </is>
      </c>
      <c r="B486" t="inlineStr">
        <is>
          <t>2025-07-30</t>
        </is>
      </c>
      <c r="C486" t="inlineStr">
        <is>
          <t>17:19:28</t>
        </is>
      </c>
      <c r="D486" t="n">
        <v>1252</v>
      </c>
      <c r="E486" t="n">
        <v>103</v>
      </c>
      <c r="F486" t="n">
        <v>229</v>
      </c>
      <c r="G486" t="inlineStr">
        <is>
          <t>Mumbai</t>
        </is>
      </c>
      <c r="H486" t="inlineStr">
        <is>
          <t>Italian</t>
        </is>
      </c>
      <c r="I486" t="n">
        <v>872</v>
      </c>
      <c r="J486" t="n">
        <v>19.1</v>
      </c>
      <c r="K486" t="n">
        <v>46</v>
      </c>
      <c r="L486" t="n">
        <v>0.18</v>
      </c>
      <c r="M486" t="n">
        <v>168.46</v>
      </c>
      <c r="N486" t="n">
        <v>7.2</v>
      </c>
      <c r="O486" t="n">
        <v>43</v>
      </c>
      <c r="P486" t="inlineStr">
        <is>
          <t>UPI</t>
        </is>
      </c>
      <c r="Q486" t="inlineStr">
        <is>
          <t>Delivered</t>
        </is>
      </c>
      <c r="R486" t="n">
        <v>3</v>
      </c>
    </row>
    <row r="487">
      <c r="A487" t="inlineStr">
        <is>
          <t>ORD1486</t>
        </is>
      </c>
      <c r="B487" t="inlineStr">
        <is>
          <t>2025-01-14</t>
        </is>
      </c>
      <c r="C487" t="inlineStr">
        <is>
          <t>21:48:39</t>
        </is>
      </c>
      <c r="D487" t="n">
        <v>1038</v>
      </c>
      <c r="E487" t="n">
        <v>101</v>
      </c>
      <c r="F487" t="n">
        <v>223</v>
      </c>
      <c r="G487" t="inlineStr">
        <is>
          <t>Bangalore</t>
        </is>
      </c>
      <c r="H487" t="inlineStr">
        <is>
          <t>North Indian</t>
        </is>
      </c>
      <c r="I487" t="n">
        <v>851</v>
      </c>
      <c r="J487" t="n">
        <v>0</v>
      </c>
      <c r="K487" t="n">
        <v>25</v>
      </c>
      <c r="L487" t="n">
        <v>0.2</v>
      </c>
      <c r="M487" t="n">
        <v>176.45</v>
      </c>
      <c r="N487" t="n">
        <v>2.9</v>
      </c>
      <c r="O487" t="n">
        <v>33.3</v>
      </c>
      <c r="P487" t="inlineStr">
        <is>
          <t>Credit Card</t>
        </is>
      </c>
      <c r="Q487" t="inlineStr">
        <is>
          <t>Delivered</t>
        </is>
      </c>
      <c r="R487" t="n">
        <v>3</v>
      </c>
    </row>
    <row r="488">
      <c r="A488" t="inlineStr">
        <is>
          <t>ORD1487</t>
        </is>
      </c>
      <c r="B488" t="inlineStr">
        <is>
          <t>2025-07-03</t>
        </is>
      </c>
      <c r="C488" t="inlineStr">
        <is>
          <t>12:05:44</t>
        </is>
      </c>
      <c r="D488" t="n">
        <v>1161</v>
      </c>
      <c r="E488" t="n">
        <v>109</v>
      </c>
      <c r="F488" t="n">
        <v>215</v>
      </c>
      <c r="G488" t="inlineStr">
        <is>
          <t>Hyderabad</t>
        </is>
      </c>
      <c r="H488" t="inlineStr">
        <is>
          <t>Biryani</t>
        </is>
      </c>
      <c r="I488" t="n">
        <v>708</v>
      </c>
      <c r="J488" t="n">
        <v>0</v>
      </c>
      <c r="K488" t="n">
        <v>46.5</v>
      </c>
      <c r="L488" t="n">
        <v>0.2</v>
      </c>
      <c r="M488" t="n">
        <v>153.22</v>
      </c>
      <c r="N488" t="n">
        <v>7.3</v>
      </c>
      <c r="O488" t="n">
        <v>48.3</v>
      </c>
      <c r="P488" t="inlineStr">
        <is>
          <t>Cash on Delivery</t>
        </is>
      </c>
      <c r="Q488" t="inlineStr">
        <is>
          <t>Delivered</t>
        </is>
      </c>
      <c r="R488" t="n">
        <v>5</v>
      </c>
    </row>
    <row r="489">
      <c r="A489" t="inlineStr">
        <is>
          <t>ORD1488</t>
        </is>
      </c>
      <c r="B489" t="inlineStr">
        <is>
          <t>2025-09-09</t>
        </is>
      </c>
      <c r="C489" t="inlineStr">
        <is>
          <t>23:30:08</t>
        </is>
      </c>
      <c r="D489" t="n">
        <v>1242</v>
      </c>
      <c r="E489" t="n">
        <v>110</v>
      </c>
      <c r="F489" t="n">
        <v>209</v>
      </c>
      <c r="G489" t="inlineStr">
        <is>
          <t>Pune</t>
        </is>
      </c>
      <c r="H489" t="inlineStr">
        <is>
          <t>North Indian</t>
        </is>
      </c>
      <c r="I489" t="n">
        <v>536</v>
      </c>
      <c r="J489" t="n">
        <v>65.73</v>
      </c>
      <c r="K489" t="n">
        <v>0</v>
      </c>
      <c r="L489" t="n">
        <v>0.18</v>
      </c>
      <c r="M489" t="n">
        <v>96.48</v>
      </c>
      <c r="N489" t="n">
        <v>1.7</v>
      </c>
      <c r="O489" t="n">
        <v>24</v>
      </c>
      <c r="P489" t="inlineStr">
        <is>
          <t>UPI</t>
        </is>
      </c>
      <c r="Q489" t="inlineStr">
        <is>
          <t>Delivered</t>
        </is>
      </c>
      <c r="R489" t="n">
        <v>5</v>
      </c>
    </row>
    <row r="490">
      <c r="A490" t="inlineStr">
        <is>
          <t>ORD1489</t>
        </is>
      </c>
      <c r="B490" t="inlineStr">
        <is>
          <t>2025-12-10</t>
        </is>
      </c>
      <c r="C490" t="inlineStr">
        <is>
          <t>15:12:48</t>
        </is>
      </c>
      <c r="D490" t="n">
        <v>1127</v>
      </c>
      <c r="E490" t="n">
        <v>112</v>
      </c>
      <c r="F490" t="n">
        <v>228</v>
      </c>
      <c r="G490" t="inlineStr">
        <is>
          <t>Delhi NCR</t>
        </is>
      </c>
      <c r="H490" t="inlineStr">
        <is>
          <t>North Indian</t>
        </is>
      </c>
      <c r="I490" t="n">
        <v>429</v>
      </c>
      <c r="J490" t="n">
        <v>23.44</v>
      </c>
      <c r="K490" t="n">
        <v>30</v>
      </c>
      <c r="L490" t="n">
        <v>0.22</v>
      </c>
      <c r="M490" t="n">
        <v>101.88</v>
      </c>
      <c r="N490" t="n">
        <v>4</v>
      </c>
      <c r="O490" t="n">
        <v>37.3</v>
      </c>
      <c r="P490" t="inlineStr">
        <is>
          <t>Cash on Delivery</t>
        </is>
      </c>
      <c r="Q490" t="inlineStr">
        <is>
          <t>Delivered</t>
        </is>
      </c>
      <c r="R490" t="n">
        <v>4</v>
      </c>
    </row>
    <row r="491">
      <c r="A491" t="inlineStr">
        <is>
          <t>ORD1490</t>
        </is>
      </c>
      <c r="B491" t="inlineStr">
        <is>
          <t>2025-05-07</t>
        </is>
      </c>
      <c r="C491" t="inlineStr">
        <is>
          <t>11:27:25</t>
        </is>
      </c>
      <c r="D491" t="n">
        <v>1257</v>
      </c>
      <c r="E491" t="n">
        <v>116</v>
      </c>
      <c r="F491" t="n">
        <v>207</v>
      </c>
      <c r="G491" t="inlineStr">
        <is>
          <t>Pune</t>
        </is>
      </c>
      <c r="H491" t="inlineStr">
        <is>
          <t>Desserts</t>
        </is>
      </c>
      <c r="I491" t="n">
        <v>517</v>
      </c>
      <c r="J491" t="n">
        <v>89.72</v>
      </c>
      <c r="K491" t="n">
        <v>0</v>
      </c>
      <c r="L491" t="n">
        <v>0.25</v>
      </c>
      <c r="M491" t="n">
        <v>129.25</v>
      </c>
      <c r="N491" t="n">
        <v>3</v>
      </c>
      <c r="O491" t="n">
        <v>39.3</v>
      </c>
      <c r="P491" t="inlineStr">
        <is>
          <t>Debit Card</t>
        </is>
      </c>
      <c r="Q491" t="inlineStr">
        <is>
          <t>Delivered</t>
        </is>
      </c>
      <c r="R491" t="n">
        <v>5</v>
      </c>
    </row>
    <row r="492">
      <c r="A492" t="inlineStr">
        <is>
          <t>ORD1491</t>
        </is>
      </c>
      <c r="B492" t="inlineStr">
        <is>
          <t>2025-08-20</t>
        </is>
      </c>
      <c r="C492" t="inlineStr">
        <is>
          <t>18:29:52</t>
        </is>
      </c>
      <c r="D492" t="n">
        <v>1300</v>
      </c>
      <c r="E492" t="n">
        <v>104</v>
      </c>
      <c r="F492" t="n">
        <v>219</v>
      </c>
      <c r="G492" t="inlineStr">
        <is>
          <t>Delhi NCR</t>
        </is>
      </c>
      <c r="H492" t="inlineStr">
        <is>
          <t>Fast Food</t>
        </is>
      </c>
      <c r="I492" t="n">
        <v>263</v>
      </c>
      <c r="J492" t="n">
        <v>5.17</v>
      </c>
      <c r="K492" t="n">
        <v>26</v>
      </c>
      <c r="L492" t="n">
        <v>0.18</v>
      </c>
      <c r="M492" t="n">
        <v>53.84</v>
      </c>
      <c r="N492" t="n">
        <v>3.2</v>
      </c>
      <c r="O492" t="n">
        <v>27.3</v>
      </c>
      <c r="P492" t="inlineStr">
        <is>
          <t>UPI</t>
        </is>
      </c>
      <c r="Q492" t="inlineStr">
        <is>
          <t>Delivered</t>
        </is>
      </c>
      <c r="R492" t="n">
        <v>5</v>
      </c>
    </row>
    <row r="493">
      <c r="A493" t="inlineStr">
        <is>
          <t>ORD1492</t>
        </is>
      </c>
      <c r="B493" t="inlineStr">
        <is>
          <t>2025-05-30</t>
        </is>
      </c>
      <c r="C493" t="inlineStr">
        <is>
          <t>07:28:25</t>
        </is>
      </c>
      <c r="D493" t="n">
        <v>1290</v>
      </c>
      <c r="E493" t="n">
        <v>117</v>
      </c>
      <c r="F493" t="n">
        <v>206</v>
      </c>
      <c r="G493" t="inlineStr">
        <is>
          <t>Mumbai</t>
        </is>
      </c>
      <c r="H493" t="inlineStr">
        <is>
          <t>Chinese</t>
        </is>
      </c>
      <c r="I493" t="n">
        <v>531</v>
      </c>
      <c r="J493" t="n">
        <v>12.15</v>
      </c>
      <c r="K493" t="n">
        <v>29</v>
      </c>
      <c r="L493" t="n">
        <v>0.2</v>
      </c>
      <c r="M493" t="n">
        <v>113.45</v>
      </c>
      <c r="N493" t="n">
        <v>3.8</v>
      </c>
      <c r="O493" t="n">
        <v>29.9</v>
      </c>
      <c r="P493" t="inlineStr">
        <is>
          <t>Debit Card</t>
        </is>
      </c>
      <c r="Q493" t="inlineStr">
        <is>
          <t>Delivered</t>
        </is>
      </c>
      <c r="R493" t="n">
        <v>5</v>
      </c>
    </row>
    <row r="494">
      <c r="A494" t="inlineStr">
        <is>
          <t>ORD1493</t>
        </is>
      </c>
      <c r="B494" t="inlineStr">
        <is>
          <t>2025-11-27</t>
        </is>
      </c>
      <c r="C494" t="inlineStr">
        <is>
          <t>12:28:05</t>
        </is>
      </c>
      <c r="D494" t="n">
        <v>1196</v>
      </c>
      <c r="E494" t="n">
        <v>110</v>
      </c>
      <c r="F494" t="n">
        <v>209</v>
      </c>
      <c r="G494" t="inlineStr">
        <is>
          <t>Pune</t>
        </is>
      </c>
      <c r="H494" t="inlineStr">
        <is>
          <t>North Indian</t>
        </is>
      </c>
      <c r="I494" t="n">
        <v>732</v>
      </c>
      <c r="J494" t="n">
        <v>0</v>
      </c>
      <c r="K494" t="n">
        <v>25</v>
      </c>
      <c r="L494" t="n">
        <v>0.18</v>
      </c>
      <c r="M494" t="n">
        <v>138.01</v>
      </c>
      <c r="N494" t="n">
        <v>2.2</v>
      </c>
      <c r="O494" t="n">
        <v>35.2</v>
      </c>
      <c r="P494" t="inlineStr">
        <is>
          <t>Digital Wallet</t>
        </is>
      </c>
      <c r="Q494" t="inlineStr">
        <is>
          <t>Delivered</t>
        </is>
      </c>
      <c r="R494" t="n">
        <v>5</v>
      </c>
    </row>
    <row r="495">
      <c r="A495" t="inlineStr">
        <is>
          <t>ORD1494</t>
        </is>
      </c>
      <c r="B495" t="inlineStr">
        <is>
          <t>2025-07-31</t>
        </is>
      </c>
      <c r="C495" t="inlineStr">
        <is>
          <t>22:20:28</t>
        </is>
      </c>
      <c r="D495" t="n">
        <v>1277</v>
      </c>
      <c r="E495" t="n">
        <v>103</v>
      </c>
      <c r="F495" t="n">
        <v>229</v>
      </c>
      <c r="G495" t="inlineStr">
        <is>
          <t>Mumbai</t>
        </is>
      </c>
      <c r="H495" t="inlineStr">
        <is>
          <t>Italian</t>
        </is>
      </c>
      <c r="I495" t="n">
        <v>245</v>
      </c>
      <c r="J495" t="n">
        <v>15.32</v>
      </c>
      <c r="K495" t="n">
        <v>25</v>
      </c>
      <c r="L495" t="n">
        <v>0.18</v>
      </c>
      <c r="M495" t="n">
        <v>50.35</v>
      </c>
      <c r="N495" t="n">
        <v>2.1</v>
      </c>
      <c r="O495" t="n">
        <v>32.8</v>
      </c>
      <c r="P495" t="inlineStr">
        <is>
          <t>Credit Card</t>
        </is>
      </c>
      <c r="Q495" t="inlineStr">
        <is>
          <t>Delivered</t>
        </is>
      </c>
      <c r="R495" t="n">
        <v>5</v>
      </c>
    </row>
    <row r="496">
      <c r="A496" t="inlineStr">
        <is>
          <t>ORD1495</t>
        </is>
      </c>
      <c r="B496" t="inlineStr">
        <is>
          <t>2025-06-15</t>
        </is>
      </c>
      <c r="C496" t="inlineStr">
        <is>
          <t>10:44:41</t>
        </is>
      </c>
      <c r="D496" t="n">
        <v>1298</v>
      </c>
      <c r="E496" t="n">
        <v>109</v>
      </c>
      <c r="F496" t="n">
        <v>215</v>
      </c>
      <c r="G496" t="inlineStr">
        <is>
          <t>Hyderabad</t>
        </is>
      </c>
      <c r="H496" t="inlineStr">
        <is>
          <t>Biryani</t>
        </is>
      </c>
      <c r="I496" t="n">
        <v>948</v>
      </c>
      <c r="J496" t="n">
        <v>54.48</v>
      </c>
      <c r="K496" t="n">
        <v>31.5</v>
      </c>
      <c r="L496" t="n">
        <v>0.2</v>
      </c>
      <c r="M496" t="n">
        <v>197.48</v>
      </c>
      <c r="N496" t="n">
        <v>4.3</v>
      </c>
      <c r="O496" t="n">
        <v>27.2</v>
      </c>
      <c r="P496" t="inlineStr">
        <is>
          <t>UPI</t>
        </is>
      </c>
      <c r="Q496" t="inlineStr">
        <is>
          <t>Delivered</t>
        </is>
      </c>
      <c r="R496" t="n">
        <v>4</v>
      </c>
    </row>
    <row r="497">
      <c r="A497" t="inlineStr">
        <is>
          <t>ORD1496</t>
        </is>
      </c>
      <c r="B497" t="inlineStr">
        <is>
          <t>2025-09-26</t>
        </is>
      </c>
      <c r="C497" t="inlineStr">
        <is>
          <t>20:45:24</t>
        </is>
      </c>
      <c r="D497" t="n">
        <v>1204</v>
      </c>
      <c r="E497" t="n">
        <v>119</v>
      </c>
      <c r="F497" t="n">
        <v>225</v>
      </c>
      <c r="G497" t="inlineStr">
        <is>
          <t>Hyderabad</t>
        </is>
      </c>
      <c r="H497" t="inlineStr">
        <is>
          <t>Biryani</t>
        </is>
      </c>
      <c r="I497" t="n">
        <v>999</v>
      </c>
      <c r="J497" t="n">
        <v>194.78</v>
      </c>
      <c r="K497" t="n">
        <v>0</v>
      </c>
      <c r="L497" t="n">
        <v>0.2</v>
      </c>
      <c r="M497" t="n">
        <v>199.8</v>
      </c>
      <c r="N497" t="n">
        <v>3.2</v>
      </c>
      <c r="O497" t="n">
        <v/>
      </c>
      <c r="P497" t="inlineStr">
        <is>
          <t>Cash on Delivery</t>
        </is>
      </c>
      <c r="Q497" t="inlineStr">
        <is>
          <t>Cancelled</t>
        </is>
      </c>
      <c r="R497" t="n">
        <v/>
      </c>
    </row>
    <row r="498">
      <c r="A498" t="inlineStr">
        <is>
          <t>ORD1497</t>
        </is>
      </c>
      <c r="B498" t="inlineStr">
        <is>
          <t>2025-06-21</t>
        </is>
      </c>
      <c r="C498" t="inlineStr">
        <is>
          <t>11:36:55</t>
        </is>
      </c>
      <c r="D498" t="n">
        <v>1120</v>
      </c>
      <c r="E498" t="n">
        <v>120</v>
      </c>
      <c r="F498" t="n">
        <v>217</v>
      </c>
      <c r="G498" t="inlineStr">
        <is>
          <t>Pune</t>
        </is>
      </c>
      <c r="H498" t="inlineStr">
        <is>
          <t>Fast Food</t>
        </is>
      </c>
      <c r="I498" t="n">
        <v>895</v>
      </c>
      <c r="J498" t="n">
        <v>11.61</v>
      </c>
      <c r="K498" t="n">
        <v>27.5</v>
      </c>
      <c r="L498" t="n">
        <v>0.18</v>
      </c>
      <c r="M498" t="n">
        <v>167.98</v>
      </c>
      <c r="N498" t="n">
        <v>3.5</v>
      </c>
      <c r="O498" t="n">
        <v>23.4</v>
      </c>
      <c r="P498" t="inlineStr">
        <is>
          <t>UPI</t>
        </is>
      </c>
      <c r="Q498" t="inlineStr">
        <is>
          <t>Delivered</t>
        </is>
      </c>
      <c r="R498" t="n">
        <v>5</v>
      </c>
    </row>
    <row r="499">
      <c r="A499" t="inlineStr">
        <is>
          <t>ORD1498</t>
        </is>
      </c>
      <c r="B499" t="inlineStr">
        <is>
          <t>2025-08-17</t>
        </is>
      </c>
      <c r="C499" t="inlineStr">
        <is>
          <t>12:18:40</t>
        </is>
      </c>
      <c r="D499" t="n">
        <v>1169</v>
      </c>
      <c r="E499" t="n">
        <v>107</v>
      </c>
      <c r="F499" t="n">
        <v>202</v>
      </c>
      <c r="G499" t="inlineStr">
        <is>
          <t>Mumbai</t>
        </is>
      </c>
      <c r="H499" t="inlineStr">
        <is>
          <t>Desserts</t>
        </is>
      </c>
      <c r="I499" t="n">
        <v>405</v>
      </c>
      <c r="J499" t="n">
        <v>0</v>
      </c>
      <c r="K499" t="n">
        <v>36.5</v>
      </c>
      <c r="L499" t="n">
        <v>0.25</v>
      </c>
      <c r="M499" t="n">
        <v>110.38</v>
      </c>
      <c r="N499" t="n">
        <v>5.3</v>
      </c>
      <c r="O499" t="n">
        <v>35.1</v>
      </c>
      <c r="P499" t="inlineStr">
        <is>
          <t>Credit Card</t>
        </is>
      </c>
      <c r="Q499" t="inlineStr">
        <is>
          <t>Delivered</t>
        </is>
      </c>
      <c r="R499" t="n">
        <v>2</v>
      </c>
    </row>
    <row r="500">
      <c r="A500" t="inlineStr">
        <is>
          <t>ORD1499</t>
        </is>
      </c>
      <c r="B500" t="inlineStr">
        <is>
          <t>2025-01-07</t>
        </is>
      </c>
      <c r="C500" t="inlineStr">
        <is>
          <t>12:29:31</t>
        </is>
      </c>
      <c r="D500" t="n">
        <v>1036</v>
      </c>
      <c r="E500" t="n">
        <v>117</v>
      </c>
      <c r="F500" t="n">
        <v>229</v>
      </c>
      <c r="G500" t="inlineStr">
        <is>
          <t>Mumbai</t>
        </is>
      </c>
      <c r="H500" t="inlineStr">
        <is>
          <t>Chinese</t>
        </is>
      </c>
      <c r="I500" t="n">
        <v>730</v>
      </c>
      <c r="J500" t="n">
        <v>64.27</v>
      </c>
      <c r="K500" t="n">
        <v>27</v>
      </c>
      <c r="L500" t="n">
        <v>0.2</v>
      </c>
      <c r="M500" t="n">
        <v>152.75</v>
      </c>
      <c r="N500" t="n">
        <v>3.4</v>
      </c>
      <c r="O500" t="n">
        <v>29.6</v>
      </c>
      <c r="P500" t="inlineStr">
        <is>
          <t>Cash on Delivery</t>
        </is>
      </c>
      <c r="Q500" t="inlineStr">
        <is>
          <t>Delivered</t>
        </is>
      </c>
      <c r="R500" t="n">
        <v>3</v>
      </c>
    </row>
    <row r="501">
      <c r="A501" t="inlineStr">
        <is>
          <t>ORD1500</t>
        </is>
      </c>
      <c r="B501" t="inlineStr">
        <is>
          <t>2025-10-29</t>
        </is>
      </c>
      <c r="C501" t="inlineStr">
        <is>
          <t>10:42:30</t>
        </is>
      </c>
      <c r="D501" t="n">
        <v>1066</v>
      </c>
      <c r="E501" t="n">
        <v>106</v>
      </c>
      <c r="F501" t="n">
        <v>204</v>
      </c>
      <c r="G501" t="inlineStr">
        <is>
          <t>Pune</t>
        </is>
      </c>
      <c r="H501" t="inlineStr">
        <is>
          <t>South Indian</t>
        </is>
      </c>
      <c r="I501" t="n">
        <v>684</v>
      </c>
      <c r="J501" t="n">
        <v>0</v>
      </c>
      <c r="K501" t="n">
        <v>37.5</v>
      </c>
      <c r="L501" t="n">
        <v>0.15</v>
      </c>
      <c r="M501" t="n">
        <v>111.98</v>
      </c>
      <c r="N501" t="n">
        <v>5.5</v>
      </c>
      <c r="O501" t="n">
        <v>31.1</v>
      </c>
      <c r="P501" t="inlineStr">
        <is>
          <t>Digital Wallet</t>
        </is>
      </c>
      <c r="Q501" t="inlineStr">
        <is>
          <t>Delivered</t>
        </is>
      </c>
      <c r="R501" t="n">
        <v>4</v>
      </c>
    </row>
    <row r="502">
      <c r="A502" t="inlineStr">
        <is>
          <t>ORD1501</t>
        </is>
      </c>
      <c r="B502" t="inlineStr">
        <is>
          <t>2025-10-08</t>
        </is>
      </c>
      <c r="C502" t="inlineStr">
        <is>
          <t>15:17:39</t>
        </is>
      </c>
      <c r="D502" t="n">
        <v>1262</v>
      </c>
      <c r="E502" t="n">
        <v>108</v>
      </c>
      <c r="F502" t="n">
        <v>219</v>
      </c>
      <c r="G502" t="inlineStr">
        <is>
          <t>Delhi NCR</t>
        </is>
      </c>
      <c r="H502" t="inlineStr">
        <is>
          <t>Fast Food</t>
        </is>
      </c>
      <c r="I502" t="n">
        <v>1105</v>
      </c>
      <c r="J502" t="n">
        <v>201.12</v>
      </c>
      <c r="K502" t="n">
        <v>0</v>
      </c>
      <c r="L502" t="n">
        <v>0.18</v>
      </c>
      <c r="M502" t="n">
        <v>198.9</v>
      </c>
      <c r="N502" t="n">
        <v>3.8</v>
      </c>
      <c r="O502" t="n">
        <v>24.8</v>
      </c>
      <c r="P502" t="inlineStr">
        <is>
          <t>Credit Card</t>
        </is>
      </c>
      <c r="Q502" t="inlineStr">
        <is>
          <t>Delivered</t>
        </is>
      </c>
      <c r="R502" t="n">
        <v>3</v>
      </c>
    </row>
    <row r="503">
      <c r="A503" t="inlineStr">
        <is>
          <t>ORD1502</t>
        </is>
      </c>
      <c r="B503" t="inlineStr">
        <is>
          <t>2025-12-01</t>
        </is>
      </c>
      <c r="C503" t="inlineStr">
        <is>
          <t>18:22:02</t>
        </is>
      </c>
      <c r="D503" t="n">
        <v>1142</v>
      </c>
      <c r="E503" t="n">
        <v>114</v>
      </c>
      <c r="F503" t="n">
        <v>225</v>
      </c>
      <c r="G503" t="inlineStr">
        <is>
          <t>Hyderabad</t>
        </is>
      </c>
      <c r="H503" t="inlineStr">
        <is>
          <t>Biryani</t>
        </is>
      </c>
      <c r="I503" t="n">
        <v>368</v>
      </c>
      <c r="J503" t="n">
        <v>19.64</v>
      </c>
      <c r="K503" t="n">
        <v>33</v>
      </c>
      <c r="L503" t="n">
        <v>0.22</v>
      </c>
      <c r="M503" t="n">
        <v>89.20999999999999</v>
      </c>
      <c r="N503" t="n">
        <v>4.6</v>
      </c>
      <c r="O503" t="n">
        <v>43.2</v>
      </c>
      <c r="P503" t="inlineStr">
        <is>
          <t>Debit Card</t>
        </is>
      </c>
      <c r="Q503" t="inlineStr">
        <is>
          <t>Delivered</t>
        </is>
      </c>
      <c r="R503" t="n">
        <v>2</v>
      </c>
    </row>
    <row r="504">
      <c r="A504" t="inlineStr">
        <is>
          <t>ORD1503</t>
        </is>
      </c>
      <c r="B504" t="inlineStr">
        <is>
          <t>2025-02-25</t>
        </is>
      </c>
      <c r="C504" t="inlineStr">
        <is>
          <t>18:26:11</t>
        </is>
      </c>
      <c r="D504" t="n">
        <v>1205</v>
      </c>
      <c r="E504" t="n">
        <v>103</v>
      </c>
      <c r="F504" t="n">
        <v>229</v>
      </c>
      <c r="G504" t="inlineStr">
        <is>
          <t>Mumbai</t>
        </is>
      </c>
      <c r="H504" t="inlineStr">
        <is>
          <t>Italian</t>
        </is>
      </c>
      <c r="I504" t="n">
        <v>385</v>
      </c>
      <c r="J504" t="n">
        <v>37.36</v>
      </c>
      <c r="K504" t="n">
        <v>48.5</v>
      </c>
      <c r="L504" t="n">
        <v>0.18</v>
      </c>
      <c r="M504" t="n">
        <v>81.42</v>
      </c>
      <c r="N504" t="n">
        <v>7.7</v>
      </c>
      <c r="O504" t="n">
        <v>41.1</v>
      </c>
      <c r="P504" t="inlineStr">
        <is>
          <t>Digital Wallet</t>
        </is>
      </c>
      <c r="Q504" t="inlineStr">
        <is>
          <t>Delivered</t>
        </is>
      </c>
      <c r="R504" t="n">
        <v>3</v>
      </c>
    </row>
    <row r="505">
      <c r="A505" t="inlineStr">
        <is>
          <t>ORD1504</t>
        </is>
      </c>
      <c r="B505" t="inlineStr">
        <is>
          <t>2025-01-19</t>
        </is>
      </c>
      <c r="C505" t="inlineStr">
        <is>
          <t>17:05:49</t>
        </is>
      </c>
      <c r="D505" t="n">
        <v>1179</v>
      </c>
      <c r="E505" t="n">
        <v>107</v>
      </c>
      <c r="F505" t="n">
        <v>202</v>
      </c>
      <c r="G505" t="inlineStr">
        <is>
          <t>Mumbai</t>
        </is>
      </c>
      <c r="H505" t="inlineStr">
        <is>
          <t>Desserts</t>
        </is>
      </c>
      <c r="I505" t="n">
        <v>708</v>
      </c>
      <c r="J505" t="n">
        <v>96.89</v>
      </c>
      <c r="K505" t="n">
        <v>0</v>
      </c>
      <c r="L505" t="n">
        <v>0.25</v>
      </c>
      <c r="M505" t="n">
        <v>177</v>
      </c>
      <c r="N505" t="n">
        <v>2.7</v>
      </c>
      <c r="O505" t="n">
        <v>29.5</v>
      </c>
      <c r="P505" t="inlineStr">
        <is>
          <t>UPI</t>
        </is>
      </c>
      <c r="Q505" t="inlineStr">
        <is>
          <t>Returned</t>
        </is>
      </c>
      <c r="R505" t="n">
        <v>5</v>
      </c>
    </row>
    <row r="506">
      <c r="A506" t="inlineStr">
        <is>
          <t>ORD1505</t>
        </is>
      </c>
      <c r="B506" t="inlineStr">
        <is>
          <t>2025-08-30</t>
        </is>
      </c>
      <c r="C506" t="inlineStr">
        <is>
          <t>21:08:07</t>
        </is>
      </c>
      <c r="D506" t="n">
        <v>1004</v>
      </c>
      <c r="E506" t="n">
        <v>110</v>
      </c>
      <c r="F506" t="n">
        <v>207</v>
      </c>
      <c r="G506" t="inlineStr">
        <is>
          <t>Pune</t>
        </is>
      </c>
      <c r="H506" t="inlineStr">
        <is>
          <t>North Indian</t>
        </is>
      </c>
      <c r="I506" t="n">
        <v>931</v>
      </c>
      <c r="J506" t="n">
        <v>24.52</v>
      </c>
      <c r="K506" t="n">
        <v>25</v>
      </c>
      <c r="L506" t="n">
        <v>0.18</v>
      </c>
      <c r="M506" t="n">
        <v>173.83</v>
      </c>
      <c r="N506" t="n">
        <v>2.4</v>
      </c>
      <c r="O506" t="n">
        <v>26.1</v>
      </c>
      <c r="P506" t="inlineStr">
        <is>
          <t>Credit Card</t>
        </is>
      </c>
      <c r="Q506" t="inlineStr">
        <is>
          <t>Delivered</t>
        </is>
      </c>
      <c r="R506" t="n">
        <v>2</v>
      </c>
    </row>
    <row r="507">
      <c r="A507" t="inlineStr">
        <is>
          <t>ORD1506</t>
        </is>
      </c>
      <c r="B507" t="inlineStr">
        <is>
          <t>2025-10-20</t>
        </is>
      </c>
      <c r="C507" t="inlineStr">
        <is>
          <t>19:46:40</t>
        </is>
      </c>
      <c r="D507" t="n">
        <v>1099</v>
      </c>
      <c r="E507" t="n">
        <v>109</v>
      </c>
      <c r="F507" t="n">
        <v>215</v>
      </c>
      <c r="G507" t="inlineStr">
        <is>
          <t>Hyderabad</t>
        </is>
      </c>
      <c r="H507" t="inlineStr">
        <is>
          <t>Biryani</t>
        </is>
      </c>
      <c r="I507" t="n">
        <v>761</v>
      </c>
      <c r="J507" t="n">
        <v>29.45</v>
      </c>
      <c r="K507" t="n">
        <v>43</v>
      </c>
      <c r="L507" t="n">
        <v>0.2</v>
      </c>
      <c r="M507" t="n">
        <v>162.95</v>
      </c>
      <c r="N507" t="n">
        <v>6.6</v>
      </c>
      <c r="O507" t="n">
        <v>44</v>
      </c>
      <c r="P507" t="inlineStr">
        <is>
          <t>Debit Card</t>
        </is>
      </c>
      <c r="Q507" t="inlineStr">
        <is>
          <t>Delivered</t>
        </is>
      </c>
      <c r="R507" t="n">
        <v>3</v>
      </c>
    </row>
    <row r="508">
      <c r="A508" t="inlineStr">
        <is>
          <t>ORD1507</t>
        </is>
      </c>
      <c r="B508" t="inlineStr">
        <is>
          <t>2025-09-27</t>
        </is>
      </c>
      <c r="C508" t="inlineStr">
        <is>
          <t>12:36:39</t>
        </is>
      </c>
      <c r="D508" t="n">
        <v>1239</v>
      </c>
      <c r="E508" t="n">
        <v>111</v>
      </c>
      <c r="F508" t="n">
        <v>201</v>
      </c>
      <c r="G508" t="inlineStr">
        <is>
          <t>Bangalore</t>
        </is>
      </c>
      <c r="H508" t="inlineStr">
        <is>
          <t>South Indian</t>
        </is>
      </c>
      <c r="I508" t="n">
        <v>582</v>
      </c>
      <c r="J508" t="n">
        <v>66.87</v>
      </c>
      <c r="K508" t="n">
        <v>39</v>
      </c>
      <c r="L508" t="n">
        <v>0.15</v>
      </c>
      <c r="M508" t="n">
        <v>97.05</v>
      </c>
      <c r="N508" t="n">
        <v>5.8</v>
      </c>
      <c r="O508" t="n">
        <v>47.4</v>
      </c>
      <c r="P508" t="inlineStr">
        <is>
          <t>Cash on Delivery</t>
        </is>
      </c>
      <c r="Q508" t="inlineStr">
        <is>
          <t>Delivered</t>
        </is>
      </c>
      <c r="R508" t="n">
        <v>2</v>
      </c>
    </row>
    <row r="509">
      <c r="A509" t="inlineStr">
        <is>
          <t>ORD1508</t>
        </is>
      </c>
      <c r="B509" t="inlineStr">
        <is>
          <t>2025-11-09</t>
        </is>
      </c>
      <c r="C509" t="inlineStr">
        <is>
          <t>12:14:45</t>
        </is>
      </c>
      <c r="D509" t="n">
        <v>1176</v>
      </c>
      <c r="E509" t="n">
        <v>102</v>
      </c>
      <c r="F509" t="n">
        <v>215</v>
      </c>
      <c r="G509" t="inlineStr">
        <is>
          <t>Hyderabad</t>
        </is>
      </c>
      <c r="H509" t="inlineStr">
        <is>
          <t>Biryani</t>
        </is>
      </c>
      <c r="I509" t="n">
        <v>517</v>
      </c>
      <c r="J509" t="n">
        <v>0.07000000000000001</v>
      </c>
      <c r="K509" t="n">
        <v>30.5</v>
      </c>
      <c r="L509" t="n">
        <v>0.22</v>
      </c>
      <c r="M509" t="n">
        <v>121.36</v>
      </c>
      <c r="N509" t="n">
        <v>4.1</v>
      </c>
      <c r="O509" t="n">
        <v>32.3</v>
      </c>
      <c r="P509" t="inlineStr">
        <is>
          <t>UPI</t>
        </is>
      </c>
      <c r="Q509" t="inlineStr">
        <is>
          <t>Delivered</t>
        </is>
      </c>
      <c r="R509" t="n">
        <v>5</v>
      </c>
    </row>
    <row r="510">
      <c r="A510" t="inlineStr">
        <is>
          <t>ORD1509</t>
        </is>
      </c>
      <c r="B510" t="inlineStr">
        <is>
          <t>2025-01-24</t>
        </is>
      </c>
      <c r="C510" t="inlineStr">
        <is>
          <t>12:21:22</t>
        </is>
      </c>
      <c r="D510" t="n">
        <v>1092</v>
      </c>
      <c r="E510" t="n">
        <v>108</v>
      </c>
      <c r="F510" t="n">
        <v>219</v>
      </c>
      <c r="G510" t="inlineStr">
        <is>
          <t>Delhi NCR</t>
        </is>
      </c>
      <c r="H510" t="inlineStr">
        <is>
          <t>Fast Food</t>
        </is>
      </c>
      <c r="I510" t="n">
        <v>793</v>
      </c>
      <c r="J510" t="n">
        <v>84.39</v>
      </c>
      <c r="K510" t="n">
        <v>25</v>
      </c>
      <c r="L510" t="n">
        <v>0.18</v>
      </c>
      <c r="M510" t="n">
        <v>148.99</v>
      </c>
      <c r="N510" t="n">
        <v>2.2</v>
      </c>
      <c r="O510" t="n">
        <v/>
      </c>
      <c r="P510" t="inlineStr">
        <is>
          <t>Credit Card</t>
        </is>
      </c>
      <c r="Q510" t="inlineStr">
        <is>
          <t>Cancelled</t>
        </is>
      </c>
      <c r="R510" t="n">
        <v/>
      </c>
    </row>
    <row r="511">
      <c r="A511" t="inlineStr">
        <is>
          <t>ORD1510</t>
        </is>
      </c>
      <c r="B511" t="inlineStr">
        <is>
          <t>2025-06-07</t>
        </is>
      </c>
      <c r="C511" t="inlineStr">
        <is>
          <t>20:19:32</t>
        </is>
      </c>
      <c r="D511" t="n">
        <v>1131</v>
      </c>
      <c r="E511" t="n">
        <v>118</v>
      </c>
      <c r="F511" t="n">
        <v>230</v>
      </c>
      <c r="G511" t="inlineStr">
        <is>
          <t>Delhi NCR</t>
        </is>
      </c>
      <c r="H511" t="inlineStr">
        <is>
          <t>North Indian</t>
        </is>
      </c>
      <c r="I511" t="n">
        <v>783</v>
      </c>
      <c r="J511" t="n">
        <v>0</v>
      </c>
      <c r="K511" t="n">
        <v>25</v>
      </c>
      <c r="L511" t="n">
        <v>0.2</v>
      </c>
      <c r="M511" t="n">
        <v>162.85</v>
      </c>
      <c r="N511" t="n">
        <v>1.7</v>
      </c>
      <c r="O511" t="n">
        <v>22.5</v>
      </c>
      <c r="P511" t="inlineStr">
        <is>
          <t>Debit Card</t>
        </is>
      </c>
      <c r="Q511" t="inlineStr">
        <is>
          <t>Delivered</t>
        </is>
      </c>
      <c r="R511" t="n">
        <v>3</v>
      </c>
    </row>
    <row r="512">
      <c r="A512" t="inlineStr">
        <is>
          <t>ORD1511</t>
        </is>
      </c>
      <c r="B512" t="inlineStr">
        <is>
          <t>2025-03-31</t>
        </is>
      </c>
      <c r="C512" t="inlineStr">
        <is>
          <t>12:12:21</t>
        </is>
      </c>
      <c r="D512" t="n">
        <v>1153</v>
      </c>
      <c r="E512" t="n">
        <v>105</v>
      </c>
      <c r="F512" t="n">
        <v>210</v>
      </c>
      <c r="G512" t="inlineStr">
        <is>
          <t>Bangalore</t>
        </is>
      </c>
      <c r="H512" t="inlineStr">
        <is>
          <t>Chinese</t>
        </is>
      </c>
      <c r="I512" t="n">
        <v>566</v>
      </c>
      <c r="J512" t="n">
        <v>21.69</v>
      </c>
      <c r="K512" t="n">
        <v>25</v>
      </c>
      <c r="L512" t="n">
        <v>0.2</v>
      </c>
      <c r="M512" t="n">
        <v>119.45</v>
      </c>
      <c r="N512" t="n">
        <v>2.1</v>
      </c>
      <c r="O512" t="n">
        <v>31.3</v>
      </c>
      <c r="P512" t="inlineStr">
        <is>
          <t>UPI</t>
        </is>
      </c>
      <c r="Q512" t="inlineStr">
        <is>
          <t>Delivered</t>
        </is>
      </c>
      <c r="R512" t="n">
        <v>4</v>
      </c>
    </row>
    <row r="513">
      <c r="A513" t="inlineStr">
        <is>
          <t>ORD1512</t>
        </is>
      </c>
      <c r="B513" t="inlineStr">
        <is>
          <t>2025-11-18</t>
        </is>
      </c>
      <c r="C513" t="inlineStr">
        <is>
          <t>11:29:57</t>
        </is>
      </c>
      <c r="D513" t="n">
        <v>1143</v>
      </c>
      <c r="E513" t="n">
        <v>109</v>
      </c>
      <c r="F513" t="n">
        <v>225</v>
      </c>
      <c r="G513" t="inlineStr">
        <is>
          <t>Hyderabad</t>
        </is>
      </c>
      <c r="H513" t="inlineStr">
        <is>
          <t>Biryani</t>
        </is>
      </c>
      <c r="I513" t="n">
        <v>769</v>
      </c>
      <c r="J513" t="n">
        <v>28.45</v>
      </c>
      <c r="K513" t="n">
        <v>30</v>
      </c>
      <c r="L513" t="n">
        <v>0.2</v>
      </c>
      <c r="M513" t="n">
        <v>161.3</v>
      </c>
      <c r="N513" t="n">
        <v>4</v>
      </c>
      <c r="O513" t="n">
        <v>35</v>
      </c>
      <c r="P513" t="inlineStr">
        <is>
          <t>UPI</t>
        </is>
      </c>
      <c r="Q513" t="inlineStr">
        <is>
          <t>Delivered</t>
        </is>
      </c>
      <c r="R513" t="n">
        <v>3</v>
      </c>
    </row>
    <row r="514">
      <c r="A514" t="inlineStr">
        <is>
          <t>ORD1513</t>
        </is>
      </c>
      <c r="B514" t="inlineStr">
        <is>
          <t>2025-04-17</t>
        </is>
      </c>
      <c r="C514" t="inlineStr">
        <is>
          <t>09:36:43</t>
        </is>
      </c>
      <c r="D514" t="n">
        <v>1055</v>
      </c>
      <c r="E514" t="n">
        <v>105</v>
      </c>
      <c r="F514" t="n">
        <v>213</v>
      </c>
      <c r="G514" t="inlineStr">
        <is>
          <t>Bangalore</t>
        </is>
      </c>
      <c r="H514" t="inlineStr">
        <is>
          <t>Chinese</t>
        </is>
      </c>
      <c r="I514" t="n">
        <v>559</v>
      </c>
      <c r="J514" t="n">
        <v>39.71</v>
      </c>
      <c r="K514" t="n">
        <v>25</v>
      </c>
      <c r="L514" t="n">
        <v>0.2</v>
      </c>
      <c r="M514" t="n">
        <v>118.05</v>
      </c>
      <c r="N514" t="n">
        <v>2.1</v>
      </c>
      <c r="O514" t="n">
        <v>36</v>
      </c>
      <c r="P514" t="inlineStr">
        <is>
          <t>Credit Card</t>
        </is>
      </c>
      <c r="Q514" t="inlineStr">
        <is>
          <t>Delivered</t>
        </is>
      </c>
      <c r="R514" t="n">
        <v>5</v>
      </c>
    </row>
    <row r="515">
      <c r="A515" t="inlineStr">
        <is>
          <t>ORD1514</t>
        </is>
      </c>
      <c r="B515" t="inlineStr">
        <is>
          <t>2025-07-12</t>
        </is>
      </c>
      <c r="C515" t="inlineStr">
        <is>
          <t>22:40:34</t>
        </is>
      </c>
      <c r="D515" t="n">
        <v>1130</v>
      </c>
      <c r="E515" t="n">
        <v>119</v>
      </c>
      <c r="F515" t="n">
        <v>225</v>
      </c>
      <c r="G515" t="inlineStr">
        <is>
          <t>Hyderabad</t>
        </is>
      </c>
      <c r="H515" t="inlineStr">
        <is>
          <t>Biryani</t>
        </is>
      </c>
      <c r="I515" t="n">
        <v>389</v>
      </c>
      <c r="J515" t="n">
        <v>12.12</v>
      </c>
      <c r="K515" t="n">
        <v>29.5</v>
      </c>
      <c r="L515" t="n">
        <v>0.2</v>
      </c>
      <c r="M515" t="n">
        <v>85.18000000000001</v>
      </c>
      <c r="N515" t="n">
        <v>3.9</v>
      </c>
      <c r="O515" t="n">
        <v>32.3</v>
      </c>
      <c r="P515" t="inlineStr">
        <is>
          <t>Debit Card</t>
        </is>
      </c>
      <c r="Q515" t="inlineStr">
        <is>
          <t>Delivered</t>
        </is>
      </c>
      <c r="R515" t="n">
        <v>2</v>
      </c>
    </row>
    <row r="516">
      <c r="A516" t="inlineStr">
        <is>
          <t>ORD1515</t>
        </is>
      </c>
      <c r="B516" t="inlineStr">
        <is>
          <t>2025-07-31</t>
        </is>
      </c>
      <c r="C516" t="inlineStr">
        <is>
          <t>20:05:31</t>
        </is>
      </c>
      <c r="D516" t="n">
        <v>1298</v>
      </c>
      <c r="E516" t="n">
        <v>119</v>
      </c>
      <c r="F516" t="n">
        <v>225</v>
      </c>
      <c r="G516" t="inlineStr">
        <is>
          <t>Hyderabad</t>
        </is>
      </c>
      <c r="H516" t="inlineStr">
        <is>
          <t>Biryani</t>
        </is>
      </c>
      <c r="I516" t="n">
        <v>463</v>
      </c>
      <c r="J516" t="n">
        <v>0</v>
      </c>
      <c r="K516" t="n">
        <v>30</v>
      </c>
      <c r="L516" t="n">
        <v>0.2</v>
      </c>
      <c r="M516" t="n">
        <v>100.1</v>
      </c>
      <c r="N516" t="n">
        <v>4</v>
      </c>
      <c r="O516" t="n">
        <v>37</v>
      </c>
      <c r="P516" t="inlineStr">
        <is>
          <t>Debit Card</t>
        </is>
      </c>
      <c r="Q516" t="inlineStr">
        <is>
          <t>Delivered</t>
        </is>
      </c>
      <c r="R516" t="n">
        <v>4</v>
      </c>
    </row>
    <row r="517">
      <c r="A517" t="inlineStr">
        <is>
          <t>ORD1516</t>
        </is>
      </c>
      <c r="B517" t="inlineStr">
        <is>
          <t>2025-03-31</t>
        </is>
      </c>
      <c r="C517" t="inlineStr">
        <is>
          <t>12:07:23</t>
        </is>
      </c>
      <c r="D517" t="n">
        <v>1205</v>
      </c>
      <c r="E517" t="n">
        <v>107</v>
      </c>
      <c r="F517" t="n">
        <v>202</v>
      </c>
      <c r="G517" t="inlineStr">
        <is>
          <t>Mumbai</t>
        </is>
      </c>
      <c r="H517" t="inlineStr">
        <is>
          <t>Desserts</t>
        </is>
      </c>
      <c r="I517" t="n">
        <v>258</v>
      </c>
      <c r="J517" t="n">
        <v>26.95</v>
      </c>
      <c r="K517" t="n">
        <v>34</v>
      </c>
      <c r="L517" t="n">
        <v>0.25</v>
      </c>
      <c r="M517" t="n">
        <v>73</v>
      </c>
      <c r="N517" t="n">
        <v>4.8</v>
      </c>
      <c r="O517" t="n">
        <v>41.4</v>
      </c>
      <c r="P517" t="inlineStr">
        <is>
          <t>Cash on Delivery</t>
        </is>
      </c>
      <c r="Q517" t="inlineStr">
        <is>
          <t>Delivered</t>
        </is>
      </c>
      <c r="R517" t="n">
        <v>2</v>
      </c>
    </row>
    <row r="518">
      <c r="A518" t="inlineStr">
        <is>
          <t>ORD1517</t>
        </is>
      </c>
      <c r="B518" t="inlineStr">
        <is>
          <t>2025-04-08</t>
        </is>
      </c>
      <c r="C518" t="inlineStr">
        <is>
          <t>12:21:59</t>
        </is>
      </c>
      <c r="D518" t="n">
        <v>1140</v>
      </c>
      <c r="E518" t="n">
        <v>110</v>
      </c>
      <c r="F518" t="n">
        <v>208</v>
      </c>
      <c r="G518" t="inlineStr">
        <is>
          <t>Pune</t>
        </is>
      </c>
      <c r="H518" t="inlineStr">
        <is>
          <t>North Indian</t>
        </is>
      </c>
      <c r="I518" t="n">
        <v>1002</v>
      </c>
      <c r="J518" t="n">
        <v>187.76</v>
      </c>
      <c r="K518" t="n">
        <v>0</v>
      </c>
      <c r="L518" t="n">
        <v>0.18</v>
      </c>
      <c r="M518" t="n">
        <v>180.36</v>
      </c>
      <c r="N518" t="n">
        <v>2.5</v>
      </c>
      <c r="O518" t="n">
        <v>28.2</v>
      </c>
      <c r="P518" t="inlineStr">
        <is>
          <t>Debit Card</t>
        </is>
      </c>
      <c r="Q518" t="inlineStr">
        <is>
          <t>Delivered</t>
        </is>
      </c>
      <c r="R518" t="n">
        <v>5</v>
      </c>
    </row>
    <row r="519">
      <c r="A519" t="inlineStr">
        <is>
          <t>ORD1518</t>
        </is>
      </c>
      <c r="B519" t="inlineStr">
        <is>
          <t>2025-09-22</t>
        </is>
      </c>
      <c r="C519" t="inlineStr">
        <is>
          <t>12:43:08</t>
        </is>
      </c>
      <c r="D519" t="n">
        <v>1141</v>
      </c>
      <c r="E519" t="n">
        <v>112</v>
      </c>
      <c r="F519" t="n">
        <v>230</v>
      </c>
      <c r="G519" t="inlineStr">
        <is>
          <t>Delhi NCR</t>
        </is>
      </c>
      <c r="H519" t="inlineStr">
        <is>
          <t>North Indian</t>
        </is>
      </c>
      <c r="I519" t="n">
        <v>715</v>
      </c>
      <c r="J519" t="n">
        <v>74.11</v>
      </c>
      <c r="K519" t="n">
        <v>0</v>
      </c>
      <c r="L519" t="n">
        <v>0.22</v>
      </c>
      <c r="M519" t="n">
        <v>157.3</v>
      </c>
      <c r="N519" t="n">
        <v>3.1</v>
      </c>
      <c r="O519" t="n">
        <v>27.8</v>
      </c>
      <c r="P519" t="inlineStr">
        <is>
          <t>Digital Wallet</t>
        </is>
      </c>
      <c r="Q519" t="inlineStr">
        <is>
          <t>Delivered</t>
        </is>
      </c>
      <c r="R519" t="n">
        <v>5</v>
      </c>
    </row>
    <row r="520">
      <c r="A520" t="inlineStr">
        <is>
          <t>ORD1519</t>
        </is>
      </c>
      <c r="B520" t="inlineStr">
        <is>
          <t>2025-06-09</t>
        </is>
      </c>
      <c r="C520" t="inlineStr">
        <is>
          <t>14:59:02</t>
        </is>
      </c>
      <c r="D520" t="n">
        <v>1220</v>
      </c>
      <c r="E520" t="n">
        <v>109</v>
      </c>
      <c r="F520" t="n">
        <v>225</v>
      </c>
      <c r="G520" t="inlineStr">
        <is>
          <t>Hyderabad</t>
        </is>
      </c>
      <c r="H520" t="inlineStr">
        <is>
          <t>Biryani</t>
        </is>
      </c>
      <c r="I520" t="n">
        <v>923</v>
      </c>
      <c r="J520" t="n">
        <v>100.95</v>
      </c>
      <c r="K520" t="n">
        <v>25</v>
      </c>
      <c r="L520" t="n">
        <v>0.2</v>
      </c>
      <c r="M520" t="n">
        <v>190.85</v>
      </c>
      <c r="N520" t="n">
        <v>1.4</v>
      </c>
      <c r="O520" t="n">
        <v>32.5</v>
      </c>
      <c r="P520" t="inlineStr">
        <is>
          <t>Debit Card</t>
        </is>
      </c>
      <c r="Q520" t="inlineStr">
        <is>
          <t>Delivered</t>
        </is>
      </c>
      <c r="R520" t="n">
        <v>5</v>
      </c>
    </row>
    <row r="521">
      <c r="A521" t="inlineStr">
        <is>
          <t>ORD1520</t>
        </is>
      </c>
      <c r="B521" t="inlineStr">
        <is>
          <t>2025-09-24</t>
        </is>
      </c>
      <c r="C521" t="inlineStr">
        <is>
          <t>21:49:42</t>
        </is>
      </c>
      <c r="D521" t="n">
        <v>1272</v>
      </c>
      <c r="E521" t="n">
        <v>108</v>
      </c>
      <c r="F521" t="n">
        <v>211</v>
      </c>
      <c r="G521" t="inlineStr">
        <is>
          <t>Delhi NCR</t>
        </is>
      </c>
      <c r="H521" t="inlineStr">
        <is>
          <t>Fast Food</t>
        </is>
      </c>
      <c r="I521" t="n">
        <v>539</v>
      </c>
      <c r="J521" t="n">
        <v>27.8</v>
      </c>
      <c r="K521" t="n">
        <v>35.5</v>
      </c>
      <c r="L521" t="n">
        <v>0.18</v>
      </c>
      <c r="M521" t="n">
        <v>105.9</v>
      </c>
      <c r="N521" t="n">
        <v>5.1</v>
      </c>
      <c r="O521" t="n">
        <v>40.4</v>
      </c>
      <c r="P521" t="inlineStr">
        <is>
          <t>Credit Card</t>
        </is>
      </c>
      <c r="Q521" t="inlineStr">
        <is>
          <t>Delivered</t>
        </is>
      </c>
      <c r="R521" t="n">
        <v>2</v>
      </c>
    </row>
    <row r="522">
      <c r="A522" t="inlineStr">
        <is>
          <t>ORD1521</t>
        </is>
      </c>
      <c r="B522" t="inlineStr">
        <is>
          <t>2025-05-27</t>
        </is>
      </c>
      <c r="C522" t="inlineStr">
        <is>
          <t>13:17:34</t>
        </is>
      </c>
      <c r="D522" t="n">
        <v>1126</v>
      </c>
      <c r="E522" t="n">
        <v>109</v>
      </c>
      <c r="F522" t="n">
        <v>225</v>
      </c>
      <c r="G522" t="inlineStr">
        <is>
          <t>Hyderabad</t>
        </is>
      </c>
      <c r="H522" t="inlineStr">
        <is>
          <t>Biryani</t>
        </is>
      </c>
      <c r="I522" t="n">
        <v>546</v>
      </c>
      <c r="J522" t="n">
        <v>29.31</v>
      </c>
      <c r="K522" t="n">
        <v>35</v>
      </c>
      <c r="L522" t="n">
        <v>0.2</v>
      </c>
      <c r="M522" t="n">
        <v>117.95</v>
      </c>
      <c r="N522" t="n">
        <v>5</v>
      </c>
      <c r="O522" t="n">
        <v>35.3</v>
      </c>
      <c r="P522" t="inlineStr">
        <is>
          <t>Credit Card</t>
        </is>
      </c>
      <c r="Q522" t="inlineStr">
        <is>
          <t>Delivered</t>
        </is>
      </c>
      <c r="R522" t="n">
        <v/>
      </c>
    </row>
    <row r="523">
      <c r="A523" t="inlineStr">
        <is>
          <t>ORD1522</t>
        </is>
      </c>
      <c r="B523" t="inlineStr">
        <is>
          <t>2025-11-15</t>
        </is>
      </c>
      <c r="C523" t="inlineStr">
        <is>
          <t>21:35:32</t>
        </is>
      </c>
      <c r="D523" t="n">
        <v>1163</v>
      </c>
      <c r="E523" t="n">
        <v>107</v>
      </c>
      <c r="F523" t="n">
        <v>222</v>
      </c>
      <c r="G523" t="inlineStr">
        <is>
          <t>Mumbai</t>
        </is>
      </c>
      <c r="H523" t="inlineStr">
        <is>
          <t>Desserts</t>
        </is>
      </c>
      <c r="I523" t="n">
        <v>324</v>
      </c>
      <c r="J523" t="n">
        <v>20.89</v>
      </c>
      <c r="K523" t="n">
        <v>61</v>
      </c>
      <c r="L523" t="n">
        <v>0.25</v>
      </c>
      <c r="M523" t="n">
        <v>96.25</v>
      </c>
      <c r="N523" t="n">
        <v>10.2</v>
      </c>
      <c r="O523" t="n">
        <v>55.4</v>
      </c>
      <c r="P523" t="inlineStr">
        <is>
          <t>Debit Card</t>
        </is>
      </c>
      <c r="Q523" t="inlineStr">
        <is>
          <t>Delivered</t>
        </is>
      </c>
      <c r="R523" t="n">
        <v>2</v>
      </c>
    </row>
    <row r="524">
      <c r="A524" t="inlineStr">
        <is>
          <t>ORD1523</t>
        </is>
      </c>
      <c r="B524" t="inlineStr">
        <is>
          <t>2025-10-21</t>
        </is>
      </c>
      <c r="C524" t="inlineStr">
        <is>
          <t>09:15:10</t>
        </is>
      </c>
      <c r="D524" t="n">
        <v>1141</v>
      </c>
      <c r="E524" t="n">
        <v>104</v>
      </c>
      <c r="F524" t="n">
        <v>212</v>
      </c>
      <c r="G524" t="inlineStr">
        <is>
          <t>Delhi NCR</t>
        </is>
      </c>
      <c r="H524" t="inlineStr">
        <is>
          <t>Fast Food</t>
        </is>
      </c>
      <c r="I524" t="n">
        <v>471</v>
      </c>
      <c r="J524" t="n">
        <v>75.98</v>
      </c>
      <c r="K524" t="n">
        <v>25</v>
      </c>
      <c r="L524" t="n">
        <v>0.18</v>
      </c>
      <c r="M524" t="n">
        <v>91.03</v>
      </c>
      <c r="N524" t="n">
        <v>2</v>
      </c>
      <c r="O524" t="n">
        <v>27.9</v>
      </c>
      <c r="P524" t="inlineStr">
        <is>
          <t>Cash on Delivery</t>
        </is>
      </c>
      <c r="Q524" t="inlineStr">
        <is>
          <t>Delivered</t>
        </is>
      </c>
      <c r="R524" t="n">
        <v>4</v>
      </c>
    </row>
    <row r="525">
      <c r="A525" t="inlineStr">
        <is>
          <t>ORD1524</t>
        </is>
      </c>
      <c r="B525" t="inlineStr">
        <is>
          <t>2025-01-15</t>
        </is>
      </c>
      <c r="C525" t="inlineStr">
        <is>
          <t>21:30:57</t>
        </is>
      </c>
      <c r="D525" t="n">
        <v>1134</v>
      </c>
      <c r="E525" t="n">
        <v>102</v>
      </c>
      <c r="F525" t="n">
        <v>225</v>
      </c>
      <c r="G525" t="inlineStr">
        <is>
          <t>Hyderabad</t>
        </is>
      </c>
      <c r="H525" t="inlineStr">
        <is>
          <t>Biryani</t>
        </is>
      </c>
      <c r="I525" t="n">
        <v>911</v>
      </c>
      <c r="J525" t="n">
        <v>0</v>
      </c>
      <c r="K525" t="n">
        <v>45.5</v>
      </c>
      <c r="L525" t="n">
        <v>0.22</v>
      </c>
      <c r="M525" t="n">
        <v>211.8</v>
      </c>
      <c r="N525" t="n">
        <v>7.1</v>
      </c>
      <c r="O525" t="n">
        <v>43</v>
      </c>
      <c r="P525" t="inlineStr">
        <is>
          <t>UPI</t>
        </is>
      </c>
      <c r="Q525" t="inlineStr">
        <is>
          <t>Delivered</t>
        </is>
      </c>
      <c r="R525" t="n">
        <v>1</v>
      </c>
    </row>
    <row r="526">
      <c r="A526" t="inlineStr">
        <is>
          <t>ORD1525</t>
        </is>
      </c>
      <c r="B526" t="inlineStr">
        <is>
          <t>2025-12-27</t>
        </is>
      </c>
      <c r="C526" t="inlineStr">
        <is>
          <t>13:38:57</t>
        </is>
      </c>
      <c r="D526" t="n">
        <v>1097</v>
      </c>
      <c r="E526" t="n">
        <v>101</v>
      </c>
      <c r="F526" t="n">
        <v>218</v>
      </c>
      <c r="G526" t="inlineStr">
        <is>
          <t>Bangalore</t>
        </is>
      </c>
      <c r="H526" t="inlineStr">
        <is>
          <t>North Indian</t>
        </is>
      </c>
      <c r="I526" t="n">
        <v>826</v>
      </c>
      <c r="J526" t="n">
        <v>45.6</v>
      </c>
      <c r="K526" t="n">
        <v>26</v>
      </c>
      <c r="L526" t="n">
        <v>0.2</v>
      </c>
      <c r="M526" t="n">
        <v>171.7</v>
      </c>
      <c r="N526" t="n">
        <v>3.2</v>
      </c>
      <c r="O526" t="n">
        <v>31.2</v>
      </c>
      <c r="P526" t="inlineStr">
        <is>
          <t>Debit Card</t>
        </is>
      </c>
      <c r="Q526" t="inlineStr">
        <is>
          <t>Delivered</t>
        </is>
      </c>
      <c r="R526" t="n">
        <v>4</v>
      </c>
    </row>
    <row r="527">
      <c r="A527" t="inlineStr">
        <is>
          <t>ORD1526</t>
        </is>
      </c>
      <c r="B527" t="inlineStr">
        <is>
          <t>2025-12-10</t>
        </is>
      </c>
      <c r="C527" t="inlineStr">
        <is>
          <t>19:51:34</t>
        </is>
      </c>
      <c r="D527" t="n">
        <v>1245</v>
      </c>
      <c r="E527" t="n">
        <v>117</v>
      </c>
      <c r="F527" t="n">
        <v>202</v>
      </c>
      <c r="G527" t="inlineStr">
        <is>
          <t>Mumbai</t>
        </is>
      </c>
      <c r="H527" t="inlineStr">
        <is>
          <t>Chinese</t>
        </is>
      </c>
      <c r="I527" t="n">
        <v>300</v>
      </c>
      <c r="J527" t="n">
        <v>18.14</v>
      </c>
      <c r="K527" t="n">
        <v>25</v>
      </c>
      <c r="L527" t="n">
        <v>0.2</v>
      </c>
      <c r="M527" t="n">
        <v>66.25</v>
      </c>
      <c r="N527" t="n">
        <v>1.6</v>
      </c>
      <c r="O527" t="n">
        <v>22.8</v>
      </c>
      <c r="P527" t="inlineStr">
        <is>
          <t>Credit Card</t>
        </is>
      </c>
      <c r="Q527" t="inlineStr">
        <is>
          <t>Delivered</t>
        </is>
      </c>
      <c r="R527" t="n">
        <v>3</v>
      </c>
    </row>
    <row r="528">
      <c r="A528" t="inlineStr">
        <is>
          <t>ORD1527</t>
        </is>
      </c>
      <c r="B528" t="inlineStr">
        <is>
          <t>2025-02-19</t>
        </is>
      </c>
      <c r="C528" t="inlineStr">
        <is>
          <t>13:29:19</t>
        </is>
      </c>
      <c r="D528" t="n">
        <v>1129</v>
      </c>
      <c r="E528" t="n">
        <v>110</v>
      </c>
      <c r="F528" t="n">
        <v>208</v>
      </c>
      <c r="G528" t="inlineStr">
        <is>
          <t>Pune</t>
        </is>
      </c>
      <c r="H528" t="inlineStr">
        <is>
          <t>North Indian</t>
        </is>
      </c>
      <c r="I528" t="n">
        <v>920</v>
      </c>
      <c r="J528" t="n">
        <v>56.41</v>
      </c>
      <c r="K528" t="n">
        <v>25</v>
      </c>
      <c r="L528" t="n">
        <v>0.18</v>
      </c>
      <c r="M528" t="n">
        <v>171.85</v>
      </c>
      <c r="N528" t="n">
        <v>2.9</v>
      </c>
      <c r="O528" t="n">
        <v>34.3</v>
      </c>
      <c r="P528" t="inlineStr">
        <is>
          <t>Credit Card</t>
        </is>
      </c>
      <c r="Q528" t="inlineStr">
        <is>
          <t>Delivered</t>
        </is>
      </c>
      <c r="R528" t="n">
        <v>3</v>
      </c>
    </row>
    <row r="529">
      <c r="A529" t="inlineStr">
        <is>
          <t>ORD1528</t>
        </is>
      </c>
      <c r="B529" t="inlineStr">
        <is>
          <t>2025-07-06</t>
        </is>
      </c>
      <c r="C529" t="inlineStr">
        <is>
          <t>20:25:11</t>
        </is>
      </c>
      <c r="D529" t="n">
        <v>1193</v>
      </c>
      <c r="E529" t="n">
        <v>108</v>
      </c>
      <c r="F529" t="n">
        <v>212</v>
      </c>
      <c r="G529" t="inlineStr">
        <is>
          <t>Delhi NCR</t>
        </is>
      </c>
      <c r="H529" t="inlineStr">
        <is>
          <t>Fast Food</t>
        </is>
      </c>
      <c r="I529" t="n">
        <v>1270</v>
      </c>
      <c r="J529" t="n">
        <v>211.48</v>
      </c>
      <c r="K529" t="n">
        <v>0</v>
      </c>
      <c r="L529" t="n">
        <v>0.18</v>
      </c>
      <c r="M529" t="n">
        <v>228.6</v>
      </c>
      <c r="N529" t="n">
        <v>4.7</v>
      </c>
      <c r="O529" t="n">
        <v>37.8</v>
      </c>
      <c r="P529" t="inlineStr">
        <is>
          <t>Debit Card</t>
        </is>
      </c>
      <c r="Q529" t="inlineStr">
        <is>
          <t>Delivered</t>
        </is>
      </c>
      <c r="R529" t="n">
        <v>4</v>
      </c>
    </row>
    <row r="530">
      <c r="A530" t="inlineStr">
        <is>
          <t>ORD1529</t>
        </is>
      </c>
      <c r="B530" t="inlineStr">
        <is>
          <t>2025-02-03</t>
        </is>
      </c>
      <c r="C530" t="inlineStr">
        <is>
          <t>19:30:07</t>
        </is>
      </c>
      <c r="D530" t="n">
        <v>1231</v>
      </c>
      <c r="E530" t="n">
        <v>111</v>
      </c>
      <c r="F530" t="n">
        <v>218</v>
      </c>
      <c r="G530" t="inlineStr">
        <is>
          <t>Bangalore</t>
        </is>
      </c>
      <c r="H530" t="inlineStr">
        <is>
          <t>South Indian</t>
        </is>
      </c>
      <c r="I530" t="n">
        <v>579</v>
      </c>
      <c r="J530" t="n">
        <v>48.35</v>
      </c>
      <c r="K530" t="n">
        <v>41</v>
      </c>
      <c r="L530" t="n">
        <v>0.15</v>
      </c>
      <c r="M530" t="n">
        <v>97.09999999999999</v>
      </c>
      <c r="N530" t="n">
        <v>6.2</v>
      </c>
      <c r="O530" t="n">
        <v>44.3</v>
      </c>
      <c r="P530" t="inlineStr">
        <is>
          <t>Debit Card</t>
        </is>
      </c>
      <c r="Q530" t="inlineStr">
        <is>
          <t>Delivered</t>
        </is>
      </c>
      <c r="R530" t="n">
        <v>2</v>
      </c>
    </row>
    <row r="531">
      <c r="A531" t="inlineStr">
        <is>
          <t>ORD1530</t>
        </is>
      </c>
      <c r="B531" t="inlineStr">
        <is>
          <t>2025-07-27</t>
        </is>
      </c>
      <c r="C531" t="inlineStr">
        <is>
          <t>19:52:45</t>
        </is>
      </c>
      <c r="D531" t="n">
        <v>1008</v>
      </c>
      <c r="E531" t="n">
        <v>113</v>
      </c>
      <c r="F531" t="n">
        <v>222</v>
      </c>
      <c r="G531" t="inlineStr">
        <is>
          <t>Mumbai</t>
        </is>
      </c>
      <c r="H531" t="inlineStr">
        <is>
          <t>Fast Food</t>
        </is>
      </c>
      <c r="I531" t="n">
        <v>512</v>
      </c>
      <c r="J531" t="n">
        <v>79.67</v>
      </c>
      <c r="K531" t="n">
        <v>0</v>
      </c>
      <c r="L531" t="n">
        <v>0.18</v>
      </c>
      <c r="M531" t="n">
        <v>92.16</v>
      </c>
      <c r="N531" t="n">
        <v>10.8</v>
      </c>
      <c r="O531" t="n">
        <v>58.8</v>
      </c>
      <c r="P531" t="inlineStr">
        <is>
          <t>Debit Card</t>
        </is>
      </c>
      <c r="Q531" t="inlineStr">
        <is>
          <t>Delivered</t>
        </is>
      </c>
      <c r="R531" t="n">
        <v>3</v>
      </c>
    </row>
    <row r="532">
      <c r="A532" t="inlineStr">
        <is>
          <t>ORD1531</t>
        </is>
      </c>
      <c r="B532" t="inlineStr">
        <is>
          <t>2025-05-03</t>
        </is>
      </c>
      <c r="C532" t="inlineStr">
        <is>
          <t>16:39:15</t>
        </is>
      </c>
      <c r="D532" t="n">
        <v>1036</v>
      </c>
      <c r="E532" t="n">
        <v>103</v>
      </c>
      <c r="F532" t="n">
        <v>206</v>
      </c>
      <c r="G532" t="inlineStr">
        <is>
          <t>Mumbai</t>
        </is>
      </c>
      <c r="H532" t="inlineStr">
        <is>
          <t>Italian</t>
        </is>
      </c>
      <c r="I532" t="n">
        <v>781</v>
      </c>
      <c r="J532" t="n">
        <v>47.74</v>
      </c>
      <c r="K532" t="n">
        <v>43</v>
      </c>
      <c r="L532" t="n">
        <v>0.18</v>
      </c>
      <c r="M532" t="n">
        <v>151.33</v>
      </c>
      <c r="N532" t="n">
        <v>6.6</v>
      </c>
      <c r="O532" t="n">
        <v>37.3</v>
      </c>
      <c r="P532" t="inlineStr">
        <is>
          <t>UPI</t>
        </is>
      </c>
      <c r="Q532" t="inlineStr">
        <is>
          <t>Delivered</t>
        </is>
      </c>
      <c r="R532" t="n">
        <v>3</v>
      </c>
    </row>
    <row r="533">
      <c r="A533" t="inlineStr">
        <is>
          <t>ORD1532</t>
        </is>
      </c>
      <c r="B533" t="inlineStr">
        <is>
          <t>2025-08-11</t>
        </is>
      </c>
      <c r="C533" t="inlineStr">
        <is>
          <t>12:36:50</t>
        </is>
      </c>
      <c r="D533" t="n">
        <v>1126</v>
      </c>
      <c r="E533" t="n">
        <v>114</v>
      </c>
      <c r="F533" t="n">
        <v>225</v>
      </c>
      <c r="G533" t="inlineStr">
        <is>
          <t>Hyderabad</t>
        </is>
      </c>
      <c r="H533" t="inlineStr">
        <is>
          <t>Biryani</t>
        </is>
      </c>
      <c r="I533" t="n">
        <v>570</v>
      </c>
      <c r="J533" t="n">
        <v>10.77</v>
      </c>
      <c r="K533" t="n">
        <v>26.5</v>
      </c>
      <c r="L533" t="n">
        <v>0.22</v>
      </c>
      <c r="M533" t="n">
        <v>132.02</v>
      </c>
      <c r="N533" t="n">
        <v>3.3</v>
      </c>
      <c r="O533" t="n">
        <v>31.9</v>
      </c>
      <c r="P533" t="inlineStr">
        <is>
          <t>UPI</t>
        </is>
      </c>
      <c r="Q533" t="inlineStr">
        <is>
          <t>Delivered</t>
        </is>
      </c>
      <c r="R533" t="n">
        <v>5</v>
      </c>
    </row>
    <row r="534">
      <c r="A534" t="inlineStr">
        <is>
          <t>ORD1533</t>
        </is>
      </c>
      <c r="B534" t="inlineStr">
        <is>
          <t>2025-06-16</t>
        </is>
      </c>
      <c r="C534" t="inlineStr">
        <is>
          <t>09:35:06</t>
        </is>
      </c>
      <c r="D534" t="n">
        <v>1273</v>
      </c>
      <c r="E534" t="n">
        <v>119</v>
      </c>
      <c r="F534" t="n">
        <v>225</v>
      </c>
      <c r="G534" t="inlineStr">
        <is>
          <t>Hyderabad</t>
        </is>
      </c>
      <c r="H534" t="inlineStr">
        <is>
          <t>Biryani</t>
        </is>
      </c>
      <c r="I534" t="n">
        <v>820</v>
      </c>
      <c r="J534" t="n">
        <v>107.26</v>
      </c>
      <c r="K534" t="n">
        <v>0</v>
      </c>
      <c r="L534" t="n">
        <v>0.2</v>
      </c>
      <c r="M534" t="n">
        <v>164</v>
      </c>
      <c r="N534" t="n">
        <v>6.2</v>
      </c>
      <c r="O534" t="n">
        <v/>
      </c>
      <c r="P534" t="inlineStr">
        <is>
          <t>Digital Wallet</t>
        </is>
      </c>
      <c r="Q534" t="inlineStr">
        <is>
          <t>Cancelled</t>
        </is>
      </c>
      <c r="R534" t="n">
        <v/>
      </c>
    </row>
    <row r="535">
      <c r="A535" t="inlineStr">
        <is>
          <t>ORD1534</t>
        </is>
      </c>
      <c r="B535" t="inlineStr">
        <is>
          <t>2025-06-17</t>
        </is>
      </c>
      <c r="C535" t="inlineStr">
        <is>
          <t>12:31:41</t>
        </is>
      </c>
      <c r="D535" t="n">
        <v>1277</v>
      </c>
      <c r="E535" t="n">
        <v>103</v>
      </c>
      <c r="F535" t="n">
        <v>206</v>
      </c>
      <c r="G535" t="inlineStr">
        <is>
          <t>Mumbai</t>
        </is>
      </c>
      <c r="H535" t="inlineStr">
        <is>
          <t>Italian</t>
        </is>
      </c>
      <c r="I535" t="n">
        <v>896</v>
      </c>
      <c r="J535" t="n">
        <v>48.66</v>
      </c>
      <c r="K535" t="n">
        <v>39.5</v>
      </c>
      <c r="L535" t="n">
        <v>0.18</v>
      </c>
      <c r="M535" t="n">
        <v>171.16</v>
      </c>
      <c r="N535" t="n">
        <v>5.9</v>
      </c>
      <c r="O535" t="n">
        <v>45.6</v>
      </c>
      <c r="P535" t="inlineStr">
        <is>
          <t>Credit Card</t>
        </is>
      </c>
      <c r="Q535" t="inlineStr">
        <is>
          <t>Delivered</t>
        </is>
      </c>
      <c r="R535" t="n">
        <v>3</v>
      </c>
    </row>
    <row r="536">
      <c r="A536" t="inlineStr">
        <is>
          <t>ORD1535</t>
        </is>
      </c>
      <c r="B536" t="inlineStr">
        <is>
          <t>2025-08-20</t>
        </is>
      </c>
      <c r="C536" t="inlineStr">
        <is>
          <t>19:34:18</t>
        </is>
      </c>
      <c r="D536" t="n">
        <v>1257</v>
      </c>
      <c r="E536" t="n">
        <v>110</v>
      </c>
      <c r="F536" t="n">
        <v>209</v>
      </c>
      <c r="G536" t="inlineStr">
        <is>
          <t>Pune</t>
        </is>
      </c>
      <c r="H536" t="inlineStr">
        <is>
          <t>North Indian</t>
        </is>
      </c>
      <c r="I536" t="n">
        <v>876</v>
      </c>
      <c r="J536" t="n">
        <v>138.23</v>
      </c>
      <c r="K536" t="n">
        <v>0</v>
      </c>
      <c r="L536" t="n">
        <v>0.18</v>
      </c>
      <c r="M536" t="n">
        <v>157.68</v>
      </c>
      <c r="N536" t="n">
        <v>2.9</v>
      </c>
      <c r="O536" t="n">
        <v>31.4</v>
      </c>
      <c r="P536" t="inlineStr">
        <is>
          <t>Debit Card</t>
        </is>
      </c>
      <c r="Q536" t="inlineStr">
        <is>
          <t>Delivered</t>
        </is>
      </c>
      <c r="R536" t="n">
        <v>4</v>
      </c>
    </row>
    <row r="537">
      <c r="A537" t="inlineStr">
        <is>
          <t>ORD1536</t>
        </is>
      </c>
      <c r="B537" t="inlineStr">
        <is>
          <t>2025-06-26</t>
        </is>
      </c>
      <c r="C537" t="inlineStr">
        <is>
          <t>17:05:37</t>
        </is>
      </c>
      <c r="D537" t="n">
        <v>1015</v>
      </c>
      <c r="E537" t="n">
        <v>102</v>
      </c>
      <c r="F537" t="n">
        <v>225</v>
      </c>
      <c r="G537" t="inlineStr">
        <is>
          <t>Hyderabad</t>
        </is>
      </c>
      <c r="H537" t="inlineStr">
        <is>
          <t>Biryani</t>
        </is>
      </c>
      <c r="I537" t="n">
        <v>228</v>
      </c>
      <c r="J537" t="n">
        <v>9.31</v>
      </c>
      <c r="K537" t="n">
        <v>26.5</v>
      </c>
      <c r="L537" t="n">
        <v>0.22</v>
      </c>
      <c r="M537" t="n">
        <v>56.78</v>
      </c>
      <c r="N537" t="n">
        <v>3.3</v>
      </c>
      <c r="O537" t="n">
        <v>31.6</v>
      </c>
      <c r="P537" t="inlineStr">
        <is>
          <t>Debit Card</t>
        </is>
      </c>
      <c r="Q537" t="inlineStr">
        <is>
          <t>Delivered</t>
        </is>
      </c>
      <c r="R537" t="n">
        <v>4</v>
      </c>
    </row>
    <row r="538">
      <c r="A538" t="inlineStr">
        <is>
          <t>ORD1537</t>
        </is>
      </c>
      <c r="B538" t="inlineStr">
        <is>
          <t>2025-10-09</t>
        </is>
      </c>
      <c r="C538" t="inlineStr">
        <is>
          <t>20:03:00</t>
        </is>
      </c>
      <c r="D538" t="n">
        <v>1156</v>
      </c>
      <c r="E538" t="n">
        <v>110</v>
      </c>
      <c r="F538" t="n">
        <v>208</v>
      </c>
      <c r="G538" t="inlineStr">
        <is>
          <t>Pune</t>
        </is>
      </c>
      <c r="H538" t="inlineStr">
        <is>
          <t>North Indian</t>
        </is>
      </c>
      <c r="I538" t="n">
        <v>940</v>
      </c>
      <c r="J538" t="n">
        <v>73.59999999999999</v>
      </c>
      <c r="K538" t="n">
        <v>25</v>
      </c>
      <c r="L538" t="n">
        <v>0.18</v>
      </c>
      <c r="M538" t="n">
        <v>175.45</v>
      </c>
      <c r="N538" t="n">
        <v>1.8</v>
      </c>
      <c r="O538" t="n">
        <v>23.9</v>
      </c>
      <c r="P538" t="inlineStr">
        <is>
          <t>Debit Card</t>
        </is>
      </c>
      <c r="Q538" t="inlineStr">
        <is>
          <t>Delivered</t>
        </is>
      </c>
      <c r="R538" t="n">
        <v>4</v>
      </c>
    </row>
    <row r="539">
      <c r="A539" t="inlineStr">
        <is>
          <t>ORD1538</t>
        </is>
      </c>
      <c r="B539" t="inlineStr">
        <is>
          <t>2025-08-10</t>
        </is>
      </c>
      <c r="C539" t="inlineStr">
        <is>
          <t>16:44:37</t>
        </is>
      </c>
      <c r="D539" t="n">
        <v>1057</v>
      </c>
      <c r="E539" t="n">
        <v>113</v>
      </c>
      <c r="F539" t="n">
        <v>206</v>
      </c>
      <c r="G539" t="inlineStr">
        <is>
          <t>Mumbai</t>
        </is>
      </c>
      <c r="H539" t="inlineStr">
        <is>
          <t>Fast Food</t>
        </is>
      </c>
      <c r="I539" t="n">
        <v>623</v>
      </c>
      <c r="J539" t="n">
        <v>35.47</v>
      </c>
      <c r="K539" t="n">
        <v>27</v>
      </c>
      <c r="L539" t="n">
        <v>0.18</v>
      </c>
      <c r="M539" t="n">
        <v>118.89</v>
      </c>
      <c r="N539" t="n">
        <v>3.4</v>
      </c>
      <c r="O539" t="n">
        <v>31.8</v>
      </c>
      <c r="P539" t="inlineStr">
        <is>
          <t>Cash on Delivery</t>
        </is>
      </c>
      <c r="Q539" t="inlineStr">
        <is>
          <t>Delivered</t>
        </is>
      </c>
      <c r="R539" t="n">
        <v>4</v>
      </c>
    </row>
    <row r="540">
      <c r="A540" t="inlineStr">
        <is>
          <t>ORD1539</t>
        </is>
      </c>
      <c r="B540" t="inlineStr">
        <is>
          <t>2025-03-13</t>
        </is>
      </c>
      <c r="C540" t="inlineStr">
        <is>
          <t>20:12:35</t>
        </is>
      </c>
      <c r="D540" t="n">
        <v>1220</v>
      </c>
      <c r="E540" t="n">
        <v>114</v>
      </c>
      <c r="F540" t="n">
        <v>216</v>
      </c>
      <c r="G540" t="inlineStr">
        <is>
          <t>Hyderabad</t>
        </is>
      </c>
      <c r="H540" t="inlineStr">
        <is>
          <t>Biryani</t>
        </is>
      </c>
      <c r="I540" t="n">
        <v>613</v>
      </c>
      <c r="J540" t="n">
        <v>66.84</v>
      </c>
      <c r="K540" t="n">
        <v>40.5</v>
      </c>
      <c r="L540" t="n">
        <v>0.22</v>
      </c>
      <c r="M540" t="n">
        <v>144.99</v>
      </c>
      <c r="N540" t="n">
        <v>6.1</v>
      </c>
      <c r="O540" t="n">
        <v>39.3</v>
      </c>
      <c r="P540" t="inlineStr">
        <is>
          <t>Cash on Delivery</t>
        </is>
      </c>
      <c r="Q540" t="inlineStr">
        <is>
          <t>Delivered</t>
        </is>
      </c>
      <c r="R540" t="n">
        <v>5</v>
      </c>
    </row>
    <row r="541">
      <c r="A541" t="inlineStr">
        <is>
          <t>ORD1540</t>
        </is>
      </c>
      <c r="B541" t="inlineStr">
        <is>
          <t>2025-12-10</t>
        </is>
      </c>
      <c r="C541" t="inlineStr">
        <is>
          <t>12:08:08</t>
        </is>
      </c>
      <c r="D541" t="n">
        <v>1078</v>
      </c>
      <c r="E541" t="n">
        <v>118</v>
      </c>
      <c r="F541" t="n">
        <v>219</v>
      </c>
      <c r="G541" t="inlineStr">
        <is>
          <t>Delhi NCR</t>
        </is>
      </c>
      <c r="H541" t="inlineStr">
        <is>
          <t>North Indian</t>
        </is>
      </c>
      <c r="I541" t="n">
        <v>231</v>
      </c>
      <c r="J541" t="n">
        <v>0</v>
      </c>
      <c r="K541" t="n">
        <v>26</v>
      </c>
      <c r="L541" t="n">
        <v>0.2</v>
      </c>
      <c r="M541" t="n">
        <v>52.7</v>
      </c>
      <c r="N541" t="n">
        <v>3.2</v>
      </c>
      <c r="O541" t="n">
        <v>25.7</v>
      </c>
      <c r="P541" t="inlineStr">
        <is>
          <t>Cash on Delivery</t>
        </is>
      </c>
      <c r="Q541" t="inlineStr">
        <is>
          <t>Delivered</t>
        </is>
      </c>
      <c r="R541" t="n">
        <v>3</v>
      </c>
    </row>
    <row r="542">
      <c r="A542" t="inlineStr">
        <is>
          <t>ORD1541</t>
        </is>
      </c>
      <c r="B542" t="inlineStr">
        <is>
          <t>2025-03-12</t>
        </is>
      </c>
      <c r="C542" t="inlineStr">
        <is>
          <t>20:41:51</t>
        </is>
      </c>
      <c r="D542" t="n">
        <v>1225</v>
      </c>
      <c r="E542" t="n">
        <v>110</v>
      </c>
      <c r="F542" t="n">
        <v>224</v>
      </c>
      <c r="G542" t="inlineStr">
        <is>
          <t>Pune</t>
        </is>
      </c>
      <c r="H542" t="inlineStr">
        <is>
          <t>North Indian</t>
        </is>
      </c>
      <c r="I542" t="n">
        <v>645</v>
      </c>
      <c r="J542" t="n">
        <v>46.11</v>
      </c>
      <c r="K542" t="n">
        <v>25</v>
      </c>
      <c r="L542" t="n">
        <v>0.18</v>
      </c>
      <c r="M542" t="n">
        <v>122.35</v>
      </c>
      <c r="N542" t="n">
        <v>2.2</v>
      </c>
      <c r="O542" t="n">
        <v>44.6</v>
      </c>
      <c r="P542" t="inlineStr">
        <is>
          <t>Cash on Delivery</t>
        </is>
      </c>
      <c r="Q542" t="inlineStr">
        <is>
          <t>Delivered</t>
        </is>
      </c>
      <c r="R542" t="n">
        <v>3</v>
      </c>
    </row>
    <row r="543">
      <c r="A543" t="inlineStr">
        <is>
          <t>ORD1542</t>
        </is>
      </c>
      <c r="B543" t="inlineStr">
        <is>
          <t>2025-10-10</t>
        </is>
      </c>
      <c r="C543" t="inlineStr">
        <is>
          <t>22:52:28</t>
        </is>
      </c>
      <c r="D543" t="n">
        <v>1084</v>
      </c>
      <c r="E543" t="n">
        <v>104</v>
      </c>
      <c r="F543" t="n">
        <v>219</v>
      </c>
      <c r="G543" t="inlineStr">
        <is>
          <t>Delhi NCR</t>
        </is>
      </c>
      <c r="H543" t="inlineStr">
        <is>
          <t>Fast Food</t>
        </is>
      </c>
      <c r="I543" t="n">
        <v>613</v>
      </c>
      <c r="J543" t="n">
        <v>0</v>
      </c>
      <c r="K543" t="n">
        <v>25</v>
      </c>
      <c r="L543" t="n">
        <v>0.18</v>
      </c>
      <c r="M543" t="n">
        <v>116.59</v>
      </c>
      <c r="N543" t="n">
        <v>1.8</v>
      </c>
      <c r="O543" t="n">
        <v>19</v>
      </c>
      <c r="P543" t="inlineStr">
        <is>
          <t>Digital Wallet</t>
        </is>
      </c>
      <c r="Q543" t="inlineStr">
        <is>
          <t>Delivered</t>
        </is>
      </c>
      <c r="R543" t="n">
        <v>5</v>
      </c>
    </row>
    <row r="544">
      <c r="A544" t="inlineStr">
        <is>
          <t>ORD1543</t>
        </is>
      </c>
      <c r="B544" t="inlineStr">
        <is>
          <t>2025-05-02</t>
        </is>
      </c>
      <c r="C544" t="inlineStr">
        <is>
          <t>20:45:32</t>
        </is>
      </c>
      <c r="D544" t="n">
        <v>1099</v>
      </c>
      <c r="E544" t="n">
        <v>102</v>
      </c>
      <c r="F544" t="n">
        <v>216</v>
      </c>
      <c r="G544" t="inlineStr">
        <is>
          <t>Hyderabad</t>
        </is>
      </c>
      <c r="H544" t="inlineStr">
        <is>
          <t>Biryani</t>
        </is>
      </c>
      <c r="I544" t="n">
        <v>495</v>
      </c>
      <c r="J544" t="n">
        <v>0</v>
      </c>
      <c r="K544" t="n">
        <v>25</v>
      </c>
      <c r="L544" t="n">
        <v>0.22</v>
      </c>
      <c r="M544" t="n">
        <v>115.15</v>
      </c>
      <c r="N544" t="n">
        <v>3</v>
      </c>
      <c r="O544" t="n">
        <v>30.1</v>
      </c>
      <c r="P544" t="inlineStr">
        <is>
          <t>Debit Card</t>
        </is>
      </c>
      <c r="Q544" t="inlineStr">
        <is>
          <t>Delivered</t>
        </is>
      </c>
      <c r="R544" t="n">
        <v>5</v>
      </c>
    </row>
    <row r="545">
      <c r="A545" t="inlineStr">
        <is>
          <t>ORD1544</t>
        </is>
      </c>
      <c r="B545" t="inlineStr">
        <is>
          <t>2025-10-18</t>
        </is>
      </c>
      <c r="C545" t="inlineStr">
        <is>
          <t>12:30:45</t>
        </is>
      </c>
      <c r="D545" t="n">
        <v>1110</v>
      </c>
      <c r="E545" t="n">
        <v>113</v>
      </c>
      <c r="F545" t="n">
        <v>202</v>
      </c>
      <c r="G545" t="inlineStr">
        <is>
          <t>Mumbai</t>
        </is>
      </c>
      <c r="H545" t="inlineStr">
        <is>
          <t>Fast Food</t>
        </is>
      </c>
      <c r="I545" t="n">
        <v>597</v>
      </c>
      <c r="J545" t="n">
        <v>0</v>
      </c>
      <c r="K545" t="n">
        <v>47</v>
      </c>
      <c r="L545" t="n">
        <v>0.18</v>
      </c>
      <c r="M545" t="n">
        <v>119.21</v>
      </c>
      <c r="N545" t="n">
        <v>7.4</v>
      </c>
      <c r="O545" t="n">
        <v>46.7</v>
      </c>
      <c r="P545" t="inlineStr">
        <is>
          <t>UPI</t>
        </is>
      </c>
      <c r="Q545" t="inlineStr">
        <is>
          <t>Delivered</t>
        </is>
      </c>
      <c r="R545" t="n">
        <v>3</v>
      </c>
    </row>
    <row r="546">
      <c r="A546" t="inlineStr">
        <is>
          <t>ORD1545</t>
        </is>
      </c>
      <c r="B546" t="inlineStr">
        <is>
          <t>2025-08-27</t>
        </is>
      </c>
      <c r="C546" t="inlineStr">
        <is>
          <t>11:33:05</t>
        </is>
      </c>
      <c r="D546" t="n">
        <v>1182</v>
      </c>
      <c r="E546" t="n">
        <v>102</v>
      </c>
      <c r="F546" t="n">
        <v>215</v>
      </c>
      <c r="G546" t="inlineStr">
        <is>
          <t>Hyderabad</t>
        </is>
      </c>
      <c r="H546" t="inlineStr">
        <is>
          <t>Biryani</t>
        </is>
      </c>
      <c r="I546" t="n">
        <v>755</v>
      </c>
      <c r="J546" t="n">
        <v>5.34</v>
      </c>
      <c r="K546" t="n">
        <v>26</v>
      </c>
      <c r="L546" t="n">
        <v>0.22</v>
      </c>
      <c r="M546" t="n">
        <v>172.6</v>
      </c>
      <c r="N546" t="n">
        <v>3.2</v>
      </c>
      <c r="O546" t="n">
        <v>27</v>
      </c>
      <c r="P546" t="inlineStr">
        <is>
          <t>UPI</t>
        </is>
      </c>
      <c r="Q546" t="inlineStr">
        <is>
          <t>Delivered</t>
        </is>
      </c>
      <c r="R546" t="n">
        <v>4</v>
      </c>
    </row>
    <row r="547">
      <c r="A547" t="inlineStr">
        <is>
          <t>ORD1546</t>
        </is>
      </c>
      <c r="B547" t="inlineStr">
        <is>
          <t>2025-10-01</t>
        </is>
      </c>
      <c r="C547" t="inlineStr">
        <is>
          <t>11:49:00</t>
        </is>
      </c>
      <c r="D547" t="n">
        <v>1126</v>
      </c>
      <c r="E547" t="n">
        <v>102</v>
      </c>
      <c r="F547" t="n">
        <v>215</v>
      </c>
      <c r="G547" t="inlineStr">
        <is>
          <t>Hyderabad</t>
        </is>
      </c>
      <c r="H547" t="inlineStr">
        <is>
          <t>Biryani</t>
        </is>
      </c>
      <c r="I547" t="n">
        <v>700</v>
      </c>
      <c r="J547" t="n">
        <v>0</v>
      </c>
      <c r="K547" t="n">
        <v>36</v>
      </c>
      <c r="L547" t="n">
        <v>0.22</v>
      </c>
      <c r="M547" t="n">
        <v>163</v>
      </c>
      <c r="N547" t="n">
        <v>5.2</v>
      </c>
      <c r="O547" t="n">
        <v>35.7</v>
      </c>
      <c r="P547" t="inlineStr">
        <is>
          <t>Digital Wallet</t>
        </is>
      </c>
      <c r="Q547" t="inlineStr">
        <is>
          <t>Delivered</t>
        </is>
      </c>
      <c r="R547" t="n">
        <v>4</v>
      </c>
    </row>
    <row r="548">
      <c r="A548" t="inlineStr">
        <is>
          <t>ORD1547</t>
        </is>
      </c>
      <c r="B548" t="inlineStr">
        <is>
          <t>2025-05-31</t>
        </is>
      </c>
      <c r="C548" t="inlineStr">
        <is>
          <t>14:18:10</t>
        </is>
      </c>
      <c r="D548" t="n">
        <v>1105</v>
      </c>
      <c r="E548" t="n">
        <v>115</v>
      </c>
      <c r="F548" t="n">
        <v>213</v>
      </c>
      <c r="G548" t="inlineStr">
        <is>
          <t>Bangalore</t>
        </is>
      </c>
      <c r="H548" t="inlineStr">
        <is>
          <t>Italian</t>
        </is>
      </c>
      <c r="I548" t="n">
        <v>533</v>
      </c>
      <c r="J548" t="n">
        <v>102.49</v>
      </c>
      <c r="K548" t="n">
        <v>0</v>
      </c>
      <c r="L548" t="n">
        <v>0.2</v>
      </c>
      <c r="M548" t="n">
        <v>106.6</v>
      </c>
      <c r="N548" t="n">
        <v>3.4</v>
      </c>
      <c r="O548" t="n">
        <v>34.9</v>
      </c>
      <c r="P548" t="inlineStr">
        <is>
          <t>Digital Wallet</t>
        </is>
      </c>
      <c r="Q548" t="inlineStr">
        <is>
          <t>Delivered</t>
        </is>
      </c>
      <c r="R548" t="n">
        <v>5</v>
      </c>
    </row>
    <row r="549">
      <c r="A549" t="inlineStr">
        <is>
          <t>ORD1548</t>
        </is>
      </c>
      <c r="B549" t="inlineStr">
        <is>
          <t>2025-10-24</t>
        </is>
      </c>
      <c r="C549" t="inlineStr">
        <is>
          <t>12:10:36</t>
        </is>
      </c>
      <c r="D549" t="n">
        <v>1205</v>
      </c>
      <c r="E549" t="n">
        <v>107</v>
      </c>
      <c r="F549" t="n">
        <v>206</v>
      </c>
      <c r="G549" t="inlineStr">
        <is>
          <t>Mumbai</t>
        </is>
      </c>
      <c r="H549" t="inlineStr">
        <is>
          <t>Desserts</t>
        </is>
      </c>
      <c r="I549" t="n">
        <v>272</v>
      </c>
      <c r="J549" t="n">
        <v>26.1</v>
      </c>
      <c r="K549" t="n">
        <v>25</v>
      </c>
      <c r="L549" t="n">
        <v>0.25</v>
      </c>
      <c r="M549" t="n">
        <v>74.25</v>
      </c>
      <c r="N549" t="n">
        <v>2.4</v>
      </c>
      <c r="O549" t="n">
        <v>24.2</v>
      </c>
      <c r="P549" t="inlineStr">
        <is>
          <t>Digital Wallet</t>
        </is>
      </c>
      <c r="Q549" t="inlineStr">
        <is>
          <t>Delivered</t>
        </is>
      </c>
      <c r="R549" t="n">
        <v>5</v>
      </c>
    </row>
    <row r="550">
      <c r="A550" t="inlineStr">
        <is>
          <t>ORD1549</t>
        </is>
      </c>
      <c r="B550" t="inlineStr">
        <is>
          <t>2025-09-06</t>
        </is>
      </c>
      <c r="C550" t="inlineStr">
        <is>
          <t>19:05:08</t>
        </is>
      </c>
      <c r="D550" t="n">
        <v>1156</v>
      </c>
      <c r="E550" t="n">
        <v>110</v>
      </c>
      <c r="F550" t="n">
        <v>209</v>
      </c>
      <c r="G550" t="inlineStr">
        <is>
          <t>Pune</t>
        </is>
      </c>
      <c r="H550" t="inlineStr">
        <is>
          <t>North Indian</t>
        </is>
      </c>
      <c r="I550" t="n">
        <v>737</v>
      </c>
      <c r="J550" t="n">
        <v>0</v>
      </c>
      <c r="K550" t="n">
        <v>38.5</v>
      </c>
      <c r="L550" t="n">
        <v>0.18</v>
      </c>
      <c r="M550" t="n">
        <v>142.28</v>
      </c>
      <c r="N550" t="n">
        <v>5.7</v>
      </c>
      <c r="O550" t="n">
        <v>42.6</v>
      </c>
      <c r="P550" t="inlineStr">
        <is>
          <t>Debit Card</t>
        </is>
      </c>
      <c r="Q550" t="inlineStr">
        <is>
          <t>Delivered</t>
        </is>
      </c>
      <c r="R550" t="n">
        <v>2</v>
      </c>
    </row>
    <row r="551">
      <c r="A551" t="inlineStr">
        <is>
          <t>ORD1550</t>
        </is>
      </c>
      <c r="B551" t="inlineStr">
        <is>
          <t>2025-05-21</t>
        </is>
      </c>
      <c r="C551" t="inlineStr">
        <is>
          <t>12:54:16</t>
        </is>
      </c>
      <c r="D551" t="n">
        <v>1124</v>
      </c>
      <c r="E551" t="n">
        <v>104</v>
      </c>
      <c r="F551" t="n">
        <v>219</v>
      </c>
      <c r="G551" t="inlineStr">
        <is>
          <t>Delhi NCR</t>
        </is>
      </c>
      <c r="H551" t="inlineStr">
        <is>
          <t>Fast Food</t>
        </is>
      </c>
      <c r="I551" t="n">
        <v>234</v>
      </c>
      <c r="J551" t="n">
        <v>11.3</v>
      </c>
      <c r="K551" t="n">
        <v>28</v>
      </c>
      <c r="L551" t="n">
        <v>0.18</v>
      </c>
      <c r="M551" t="n">
        <v>49.12</v>
      </c>
      <c r="N551" t="n">
        <v>3.6</v>
      </c>
      <c r="O551" t="n">
        <v>41.8</v>
      </c>
      <c r="P551" t="inlineStr">
        <is>
          <t>Credit Card</t>
        </is>
      </c>
      <c r="Q551" t="inlineStr">
        <is>
          <t>Delivered</t>
        </is>
      </c>
      <c r="R551" t="n">
        <v>2</v>
      </c>
    </row>
    <row r="552">
      <c r="A552" t="inlineStr">
        <is>
          <t>ORD1551</t>
        </is>
      </c>
      <c r="B552" t="inlineStr">
        <is>
          <t>2025-05-14</t>
        </is>
      </c>
      <c r="C552" t="inlineStr">
        <is>
          <t>13:50:44</t>
        </is>
      </c>
      <c r="D552" t="n">
        <v>1260</v>
      </c>
      <c r="E552" t="n">
        <v>110</v>
      </c>
      <c r="F552" t="n">
        <v>217</v>
      </c>
      <c r="G552" t="inlineStr">
        <is>
          <t>Pune</t>
        </is>
      </c>
      <c r="H552" t="inlineStr">
        <is>
          <t>North Indian</t>
        </is>
      </c>
      <c r="I552" t="n">
        <v>461</v>
      </c>
      <c r="J552" t="n">
        <v>0</v>
      </c>
      <c r="K552" t="n">
        <v>28</v>
      </c>
      <c r="L552" t="n">
        <v>0.18</v>
      </c>
      <c r="M552" t="n">
        <v>89.98</v>
      </c>
      <c r="N552" t="n">
        <v>3.6</v>
      </c>
      <c r="O552" t="n">
        <v>35.5</v>
      </c>
      <c r="P552" t="inlineStr">
        <is>
          <t>UPI</t>
        </is>
      </c>
      <c r="Q552" t="inlineStr">
        <is>
          <t>Delivered</t>
        </is>
      </c>
      <c r="R552" t="n">
        <v>5</v>
      </c>
    </row>
    <row r="553">
      <c r="A553" t="inlineStr">
        <is>
          <t>ORD1552</t>
        </is>
      </c>
      <c r="B553" t="inlineStr">
        <is>
          <t>2025-11-01</t>
        </is>
      </c>
      <c r="C553" t="inlineStr">
        <is>
          <t>20:59:52</t>
        </is>
      </c>
      <c r="D553" t="n">
        <v>1260</v>
      </c>
      <c r="E553" t="n">
        <v>110</v>
      </c>
      <c r="F553" t="n">
        <v>214</v>
      </c>
      <c r="G553" t="inlineStr">
        <is>
          <t>Pune</t>
        </is>
      </c>
      <c r="H553" t="inlineStr">
        <is>
          <t>North Indian</t>
        </is>
      </c>
      <c r="I553" t="n">
        <v>377</v>
      </c>
      <c r="J553" t="n">
        <v>22.7</v>
      </c>
      <c r="K553" t="n">
        <v>25</v>
      </c>
      <c r="L553" t="n">
        <v>0.18</v>
      </c>
      <c r="M553" t="n">
        <v>74.11</v>
      </c>
      <c r="N553" t="n">
        <v>2.2</v>
      </c>
      <c r="O553" t="n">
        <v>37.9</v>
      </c>
      <c r="P553" t="inlineStr">
        <is>
          <t>Cash on Delivery</t>
        </is>
      </c>
      <c r="Q553" t="inlineStr">
        <is>
          <t>Delivered</t>
        </is>
      </c>
      <c r="R553" t="n">
        <v>5</v>
      </c>
    </row>
    <row r="554">
      <c r="A554" t="inlineStr">
        <is>
          <t>ORD1553</t>
        </is>
      </c>
      <c r="B554" t="inlineStr">
        <is>
          <t>2025-11-23</t>
        </is>
      </c>
      <c r="C554" t="inlineStr">
        <is>
          <t>13:10:13</t>
        </is>
      </c>
      <c r="D554" t="n">
        <v>1276</v>
      </c>
      <c r="E554" t="n">
        <v>101</v>
      </c>
      <c r="F554" t="n">
        <v>220</v>
      </c>
      <c r="G554" t="inlineStr">
        <is>
          <t>Bangalore</t>
        </is>
      </c>
      <c r="H554" t="inlineStr">
        <is>
          <t>North Indian</t>
        </is>
      </c>
      <c r="I554" t="n">
        <v>811</v>
      </c>
      <c r="J554" t="n">
        <v>22.39</v>
      </c>
      <c r="K554" t="n">
        <v>28</v>
      </c>
      <c r="L554" t="n">
        <v>0.2</v>
      </c>
      <c r="M554" t="n">
        <v>169.2</v>
      </c>
      <c r="N554" t="n">
        <v>3.6</v>
      </c>
      <c r="O554" t="n">
        <v>34.4</v>
      </c>
      <c r="P554" t="inlineStr">
        <is>
          <t>UPI</t>
        </is>
      </c>
      <c r="Q554" t="inlineStr">
        <is>
          <t>Delivered</t>
        </is>
      </c>
      <c r="R554" t="n">
        <v>4</v>
      </c>
    </row>
    <row r="555">
      <c r="A555" t="inlineStr">
        <is>
          <t>ORD1554</t>
        </is>
      </c>
      <c r="B555" t="inlineStr">
        <is>
          <t>2025-08-26</t>
        </is>
      </c>
      <c r="C555" t="inlineStr">
        <is>
          <t>16:25:30</t>
        </is>
      </c>
      <c r="D555" t="n">
        <v>1237</v>
      </c>
      <c r="E555" t="n">
        <v>104</v>
      </c>
      <c r="F555" t="n">
        <v>230</v>
      </c>
      <c r="G555" t="inlineStr">
        <is>
          <t>Delhi NCR</t>
        </is>
      </c>
      <c r="H555" t="inlineStr">
        <is>
          <t>Fast Food</t>
        </is>
      </c>
      <c r="I555" t="n">
        <v>528</v>
      </c>
      <c r="J555" t="n">
        <v>0</v>
      </c>
      <c r="K555" t="n">
        <v>25</v>
      </c>
      <c r="L555" t="n">
        <v>0.18</v>
      </c>
      <c r="M555" t="n">
        <v>101.29</v>
      </c>
      <c r="N555" t="n">
        <v>2.1</v>
      </c>
      <c r="O555" t="n">
        <v>27.6</v>
      </c>
      <c r="P555" t="inlineStr">
        <is>
          <t>Digital Wallet</t>
        </is>
      </c>
      <c r="Q555" t="inlineStr">
        <is>
          <t>Delivered</t>
        </is>
      </c>
      <c r="R555" t="n">
        <v>4</v>
      </c>
    </row>
    <row r="556">
      <c r="A556" t="inlineStr">
        <is>
          <t>ORD1555</t>
        </is>
      </c>
      <c r="B556" t="inlineStr">
        <is>
          <t>2025-12-16</t>
        </is>
      </c>
      <c r="C556" t="inlineStr">
        <is>
          <t>13:45:24</t>
        </is>
      </c>
      <c r="D556" t="n">
        <v>1174</v>
      </c>
      <c r="E556" t="n">
        <v>114</v>
      </c>
      <c r="F556" t="n">
        <v>215</v>
      </c>
      <c r="G556" t="inlineStr">
        <is>
          <t>Hyderabad</t>
        </is>
      </c>
      <c r="H556" t="inlineStr">
        <is>
          <t>Biryani</t>
        </is>
      </c>
      <c r="I556" t="n">
        <v>705</v>
      </c>
      <c r="J556" t="n">
        <v>0</v>
      </c>
      <c r="K556" t="n">
        <v>37</v>
      </c>
      <c r="L556" t="n">
        <v>0.22</v>
      </c>
      <c r="M556" t="n">
        <v>164.35</v>
      </c>
      <c r="N556" t="n">
        <v>5.4</v>
      </c>
      <c r="O556" t="n">
        <v>37.9</v>
      </c>
      <c r="P556" t="inlineStr">
        <is>
          <t>Cash on Delivery</t>
        </is>
      </c>
      <c r="Q556" t="inlineStr">
        <is>
          <t>Delivered</t>
        </is>
      </c>
      <c r="R556" t="n">
        <v>5</v>
      </c>
    </row>
    <row r="557">
      <c r="A557" t="inlineStr">
        <is>
          <t>ORD1556</t>
        </is>
      </c>
      <c r="B557" t="inlineStr">
        <is>
          <t>2025-08-18</t>
        </is>
      </c>
      <c r="C557" t="inlineStr">
        <is>
          <t>22:24:43</t>
        </is>
      </c>
      <c r="D557" t="n">
        <v>1205</v>
      </c>
      <c r="E557" t="n">
        <v>103</v>
      </c>
      <c r="F557" t="n">
        <v>229</v>
      </c>
      <c r="G557" t="inlineStr">
        <is>
          <t>Mumbai</t>
        </is>
      </c>
      <c r="H557" t="inlineStr">
        <is>
          <t>Italian</t>
        </is>
      </c>
      <c r="I557" t="n">
        <v>543</v>
      </c>
      <c r="J557" t="n">
        <v>63.71</v>
      </c>
      <c r="K557" t="n">
        <v>46</v>
      </c>
      <c r="L557" t="n">
        <v>0.18</v>
      </c>
      <c r="M557" t="n">
        <v>109.24</v>
      </c>
      <c r="N557" t="n">
        <v>7.2</v>
      </c>
      <c r="O557" t="n">
        <v>43</v>
      </c>
      <c r="P557" t="inlineStr">
        <is>
          <t>UPI</t>
        </is>
      </c>
      <c r="Q557" t="inlineStr">
        <is>
          <t>Delivered</t>
        </is>
      </c>
      <c r="R557" t="n">
        <v>4</v>
      </c>
    </row>
    <row r="558">
      <c r="A558" t="inlineStr">
        <is>
          <t>ORD1557</t>
        </is>
      </c>
      <c r="B558" t="inlineStr">
        <is>
          <t>2025-08-10</t>
        </is>
      </c>
      <c r="C558" t="inlineStr">
        <is>
          <t>18:39:58</t>
        </is>
      </c>
      <c r="D558" t="n">
        <v>1215</v>
      </c>
      <c r="E558" t="n">
        <v>116</v>
      </c>
      <c r="F558" t="n">
        <v>217</v>
      </c>
      <c r="G558" t="inlineStr">
        <is>
          <t>Pune</t>
        </is>
      </c>
      <c r="H558" t="inlineStr">
        <is>
          <t>Desserts</t>
        </is>
      </c>
      <c r="I558" t="n">
        <v>887</v>
      </c>
      <c r="J558" t="n">
        <v>97.65000000000001</v>
      </c>
      <c r="K558" t="n">
        <v>25</v>
      </c>
      <c r="L558" t="n">
        <v>0.25</v>
      </c>
      <c r="M558" t="n">
        <v>228</v>
      </c>
      <c r="N558" t="n">
        <v>1.7</v>
      </c>
      <c r="O558" t="n">
        <v>24.3</v>
      </c>
      <c r="P558" t="inlineStr">
        <is>
          <t>Debit Card</t>
        </is>
      </c>
      <c r="Q558" t="inlineStr">
        <is>
          <t>Delivered</t>
        </is>
      </c>
      <c r="R558" t="n">
        <v>5</v>
      </c>
    </row>
    <row r="559">
      <c r="A559" t="inlineStr">
        <is>
          <t>ORD1558</t>
        </is>
      </c>
      <c r="B559" t="inlineStr">
        <is>
          <t>2025-12-02</t>
        </is>
      </c>
      <c r="C559" t="inlineStr">
        <is>
          <t>12:37:25</t>
        </is>
      </c>
      <c r="D559" t="n">
        <v>1038</v>
      </c>
      <c r="E559" t="n">
        <v>115</v>
      </c>
      <c r="F559" t="n">
        <v>205</v>
      </c>
      <c r="G559" t="inlineStr">
        <is>
          <t>Bangalore</t>
        </is>
      </c>
      <c r="H559" t="inlineStr">
        <is>
          <t>Italian</t>
        </is>
      </c>
      <c r="I559" t="n">
        <v>692</v>
      </c>
      <c r="J559" t="n">
        <v>41.47</v>
      </c>
      <c r="K559" t="n">
        <v>42.5</v>
      </c>
      <c r="L559" t="n">
        <v>0.2</v>
      </c>
      <c r="M559" t="n">
        <v>149.02</v>
      </c>
      <c r="N559" t="n">
        <v>6.5</v>
      </c>
      <c r="O559" t="n">
        <v>44.9</v>
      </c>
      <c r="P559" t="inlineStr">
        <is>
          <t>Digital Wallet</t>
        </is>
      </c>
      <c r="Q559" t="inlineStr">
        <is>
          <t>Delivered</t>
        </is>
      </c>
      <c r="R559" t="n">
        <v>3</v>
      </c>
    </row>
    <row r="560">
      <c r="A560" t="inlineStr">
        <is>
          <t>ORD1559</t>
        </is>
      </c>
      <c r="B560" t="inlineStr">
        <is>
          <t>2025-12-13</t>
        </is>
      </c>
      <c r="C560" t="inlineStr">
        <is>
          <t>16:44:11</t>
        </is>
      </c>
      <c r="D560" t="n">
        <v>1282</v>
      </c>
      <c r="E560" t="n">
        <v>112</v>
      </c>
      <c r="F560" t="n">
        <v>221</v>
      </c>
      <c r="G560" t="inlineStr">
        <is>
          <t>Delhi NCR</t>
        </is>
      </c>
      <c r="H560" t="inlineStr">
        <is>
          <t>North Indian</t>
        </is>
      </c>
      <c r="I560" t="n">
        <v>540</v>
      </c>
      <c r="J560" t="n">
        <v>29.07</v>
      </c>
      <c r="K560" t="n">
        <v>32</v>
      </c>
      <c r="L560" t="n">
        <v>0.22</v>
      </c>
      <c r="M560" t="n">
        <v>126.8</v>
      </c>
      <c r="N560" t="n">
        <v>4.4</v>
      </c>
      <c r="O560" t="n">
        <v>38.3</v>
      </c>
      <c r="P560" t="inlineStr">
        <is>
          <t>UPI</t>
        </is>
      </c>
      <c r="Q560" t="inlineStr">
        <is>
          <t>Delivered</t>
        </is>
      </c>
      <c r="R560" t="n">
        <v>4</v>
      </c>
    </row>
    <row r="561">
      <c r="A561" t="inlineStr">
        <is>
          <t>ORD1560</t>
        </is>
      </c>
      <c r="B561" t="inlineStr">
        <is>
          <t>2025-12-17</t>
        </is>
      </c>
      <c r="C561" t="inlineStr">
        <is>
          <t>22:28:22</t>
        </is>
      </c>
      <c r="D561" t="n">
        <v>1015</v>
      </c>
      <c r="E561" t="n">
        <v>114</v>
      </c>
      <c r="F561" t="n">
        <v>215</v>
      </c>
      <c r="G561" t="inlineStr">
        <is>
          <t>Hyderabad</t>
        </is>
      </c>
      <c r="H561" t="inlineStr">
        <is>
          <t>Biryani</t>
        </is>
      </c>
      <c r="I561" t="n">
        <v>444</v>
      </c>
      <c r="J561" t="n">
        <v>8.949999999999999</v>
      </c>
      <c r="K561" t="n">
        <v>25</v>
      </c>
      <c r="L561" t="n">
        <v>0.22</v>
      </c>
      <c r="M561" t="n">
        <v>103.93</v>
      </c>
      <c r="N561" t="n">
        <v>2.1</v>
      </c>
      <c r="O561" t="n">
        <v>23.6</v>
      </c>
      <c r="P561" t="inlineStr">
        <is>
          <t>Digital Wallet</t>
        </is>
      </c>
      <c r="Q561" t="inlineStr">
        <is>
          <t>Delivered</t>
        </is>
      </c>
      <c r="R561" t="n">
        <v>4</v>
      </c>
    </row>
    <row r="562">
      <c r="A562" t="inlineStr">
        <is>
          <t>ORD1561</t>
        </is>
      </c>
      <c r="B562" t="inlineStr">
        <is>
          <t>2025-11-01</t>
        </is>
      </c>
      <c r="C562" t="inlineStr">
        <is>
          <t>12:42:57</t>
        </is>
      </c>
      <c r="D562" t="n">
        <v>1207</v>
      </c>
      <c r="E562" t="n">
        <v>112</v>
      </c>
      <c r="F562" t="n">
        <v>211</v>
      </c>
      <c r="G562" t="inlineStr">
        <is>
          <t>Delhi NCR</t>
        </is>
      </c>
      <c r="H562" t="inlineStr">
        <is>
          <t>North Indian</t>
        </is>
      </c>
      <c r="I562" t="n">
        <v>442</v>
      </c>
      <c r="J562" t="n">
        <v>22.56</v>
      </c>
      <c r="K562" t="n">
        <v>31</v>
      </c>
      <c r="L562" t="n">
        <v>0.22</v>
      </c>
      <c r="M562" t="n">
        <v>104.99</v>
      </c>
      <c r="N562" t="n">
        <v>4.2</v>
      </c>
      <c r="O562" t="n">
        <v>37.3</v>
      </c>
      <c r="P562" t="inlineStr">
        <is>
          <t>UPI</t>
        </is>
      </c>
      <c r="Q562" t="inlineStr">
        <is>
          <t>Delivered</t>
        </is>
      </c>
      <c r="R562" t="n">
        <v>5</v>
      </c>
    </row>
    <row r="563">
      <c r="A563" t="inlineStr">
        <is>
          <t>ORD1562</t>
        </is>
      </c>
      <c r="B563" t="inlineStr">
        <is>
          <t>2025-07-12</t>
        </is>
      </c>
      <c r="C563" t="inlineStr">
        <is>
          <t>07:42:48</t>
        </is>
      </c>
      <c r="D563" t="n">
        <v>1033</v>
      </c>
      <c r="E563" t="n">
        <v>109</v>
      </c>
      <c r="F563" t="n">
        <v>216</v>
      </c>
      <c r="G563" t="inlineStr">
        <is>
          <t>Hyderabad</t>
        </is>
      </c>
      <c r="H563" t="inlineStr">
        <is>
          <t>Biryani</t>
        </is>
      </c>
      <c r="I563" t="n">
        <v>883</v>
      </c>
      <c r="J563" t="n">
        <v>68.31999999999999</v>
      </c>
      <c r="K563" t="n">
        <v>25</v>
      </c>
      <c r="L563" t="n">
        <v>0.2</v>
      </c>
      <c r="M563" t="n">
        <v>182.85</v>
      </c>
      <c r="N563" t="n">
        <v>2.7</v>
      </c>
      <c r="O563" t="n">
        <v>32.4</v>
      </c>
      <c r="P563" t="inlineStr">
        <is>
          <t>Credit Card</t>
        </is>
      </c>
      <c r="Q563" t="inlineStr">
        <is>
          <t>Delivered</t>
        </is>
      </c>
      <c r="R563" t="n">
        <v>4</v>
      </c>
    </row>
    <row r="564">
      <c r="A564" t="inlineStr">
        <is>
          <t>ORD1563</t>
        </is>
      </c>
      <c r="B564" t="inlineStr">
        <is>
          <t>2025-12-05</t>
        </is>
      </c>
      <c r="C564" t="inlineStr">
        <is>
          <t>21:59:04</t>
        </is>
      </c>
      <c r="D564" t="n">
        <v>1245</v>
      </c>
      <c r="E564" t="n">
        <v>113</v>
      </c>
      <c r="F564" t="n">
        <v>206</v>
      </c>
      <c r="G564" t="inlineStr">
        <is>
          <t>Mumbai</t>
        </is>
      </c>
      <c r="H564" t="inlineStr">
        <is>
          <t>Fast Food</t>
        </is>
      </c>
      <c r="I564" t="n">
        <v>874</v>
      </c>
      <c r="J564" t="n">
        <v>0</v>
      </c>
      <c r="K564" t="n">
        <v>25</v>
      </c>
      <c r="L564" t="n">
        <v>0.18</v>
      </c>
      <c r="M564" t="n">
        <v>163.57</v>
      </c>
      <c r="N564" t="n">
        <v>1.7</v>
      </c>
      <c r="O564" t="n">
        <v>29.1</v>
      </c>
      <c r="P564" t="inlineStr">
        <is>
          <t>Cash on Delivery</t>
        </is>
      </c>
      <c r="Q564" t="inlineStr">
        <is>
          <t>Delivered</t>
        </is>
      </c>
      <c r="R564" t="n">
        <v>4</v>
      </c>
    </row>
    <row r="565">
      <c r="A565" t="inlineStr">
        <is>
          <t>ORD1564</t>
        </is>
      </c>
      <c r="B565" t="inlineStr">
        <is>
          <t>2025-02-07</t>
        </is>
      </c>
      <c r="C565" t="inlineStr">
        <is>
          <t>20:17:49</t>
        </is>
      </c>
      <c r="D565" t="n">
        <v>1007</v>
      </c>
      <c r="E565" t="n">
        <v>111</v>
      </c>
      <c r="F565" t="n">
        <v>205</v>
      </c>
      <c r="G565" t="inlineStr">
        <is>
          <t>Bangalore</t>
        </is>
      </c>
      <c r="H565" t="inlineStr">
        <is>
          <t>South Indian</t>
        </is>
      </c>
      <c r="I565" t="n">
        <v>283</v>
      </c>
      <c r="J565" t="n">
        <v>0</v>
      </c>
      <c r="K565" t="n">
        <v>32.5</v>
      </c>
      <c r="L565" t="n">
        <v>0.15</v>
      </c>
      <c r="M565" t="n">
        <v>50.58</v>
      </c>
      <c r="N565" t="n">
        <v>4.5</v>
      </c>
      <c r="O565" t="n">
        <v>38.5</v>
      </c>
      <c r="P565" t="inlineStr">
        <is>
          <t>UPI</t>
        </is>
      </c>
      <c r="Q565" t="inlineStr">
        <is>
          <t>Delivered</t>
        </is>
      </c>
      <c r="R565" t="n">
        <v>4</v>
      </c>
    </row>
    <row r="566">
      <c r="A566" t="inlineStr">
        <is>
          <t>ORD1565</t>
        </is>
      </c>
      <c r="B566" t="inlineStr">
        <is>
          <t>2025-08-14</t>
        </is>
      </c>
      <c r="C566" t="inlineStr">
        <is>
          <t>13:04:31</t>
        </is>
      </c>
      <c r="D566" t="n">
        <v>1017</v>
      </c>
      <c r="E566" t="n">
        <v>113</v>
      </c>
      <c r="F566" t="n">
        <v>222</v>
      </c>
      <c r="G566" t="inlineStr">
        <is>
          <t>Mumbai</t>
        </is>
      </c>
      <c r="H566" t="inlineStr">
        <is>
          <t>Fast Food</t>
        </is>
      </c>
      <c r="I566" t="n">
        <v>425</v>
      </c>
      <c r="J566" t="n">
        <v>6.07</v>
      </c>
      <c r="K566" t="n">
        <v>25</v>
      </c>
      <c r="L566" t="n">
        <v>0.18</v>
      </c>
      <c r="M566" t="n">
        <v>82.75</v>
      </c>
      <c r="N566" t="n">
        <v>3</v>
      </c>
      <c r="O566" t="n">
        <v>28.9</v>
      </c>
      <c r="P566" t="inlineStr">
        <is>
          <t>Credit Card</t>
        </is>
      </c>
      <c r="Q566" t="inlineStr">
        <is>
          <t>Delivered</t>
        </is>
      </c>
      <c r="R566" t="n">
        <v>2</v>
      </c>
    </row>
    <row r="567">
      <c r="A567" t="inlineStr">
        <is>
          <t>ORD1566</t>
        </is>
      </c>
      <c r="B567" t="inlineStr">
        <is>
          <t>2025-08-15</t>
        </is>
      </c>
      <c r="C567" t="inlineStr">
        <is>
          <t>20:45:16</t>
        </is>
      </c>
      <c r="D567" t="n">
        <v>1093</v>
      </c>
      <c r="E567" t="n">
        <v>104</v>
      </c>
      <c r="F567" t="n">
        <v>212</v>
      </c>
      <c r="G567" t="inlineStr">
        <is>
          <t>Delhi NCR</t>
        </is>
      </c>
      <c r="H567" t="inlineStr">
        <is>
          <t>Fast Food</t>
        </is>
      </c>
      <c r="I567" t="n">
        <v>325</v>
      </c>
      <c r="J567" t="n">
        <v>17.04</v>
      </c>
      <c r="K567" t="n">
        <v>58</v>
      </c>
      <c r="L567" t="n">
        <v>0.18</v>
      </c>
      <c r="M567" t="n">
        <v>73</v>
      </c>
      <c r="N567" t="n">
        <v>9.6</v>
      </c>
      <c r="O567" t="n">
        <v>59.9</v>
      </c>
      <c r="P567" t="inlineStr">
        <is>
          <t>Debit Card</t>
        </is>
      </c>
      <c r="Q567" t="inlineStr">
        <is>
          <t>Delivered</t>
        </is>
      </c>
      <c r="R567" t="n">
        <v>1</v>
      </c>
    </row>
    <row r="568">
      <c r="A568" t="inlineStr">
        <is>
          <t>ORD1567</t>
        </is>
      </c>
      <c r="B568" t="inlineStr">
        <is>
          <t>2025-03-18</t>
        </is>
      </c>
      <c r="C568" t="inlineStr">
        <is>
          <t>19:41:40</t>
        </is>
      </c>
      <c r="D568" t="n">
        <v>1126</v>
      </c>
      <c r="E568" t="n">
        <v>102</v>
      </c>
      <c r="F568" t="n">
        <v>215</v>
      </c>
      <c r="G568" t="inlineStr">
        <is>
          <t>Hyderabad</t>
        </is>
      </c>
      <c r="H568" t="inlineStr">
        <is>
          <t>Biryani</t>
        </is>
      </c>
      <c r="I568" t="n">
        <v>220</v>
      </c>
      <c r="J568" t="n">
        <v>11.7</v>
      </c>
      <c r="K568" t="n">
        <v>57.5</v>
      </c>
      <c r="L568" t="n">
        <v>0.22</v>
      </c>
      <c r="M568" t="n">
        <v>62.78</v>
      </c>
      <c r="N568" t="n">
        <v>9.5</v>
      </c>
      <c r="O568" t="n">
        <v>53.2</v>
      </c>
      <c r="P568" t="inlineStr">
        <is>
          <t>Debit Card</t>
        </is>
      </c>
      <c r="Q568" t="inlineStr">
        <is>
          <t>Delivered</t>
        </is>
      </c>
      <c r="R568" t="n">
        <v>3</v>
      </c>
    </row>
    <row r="569">
      <c r="A569" t="inlineStr">
        <is>
          <t>ORD1568</t>
        </is>
      </c>
      <c r="B569" t="inlineStr">
        <is>
          <t>2025-09-02</t>
        </is>
      </c>
      <c r="C569" t="inlineStr">
        <is>
          <t>21:27:25</t>
        </is>
      </c>
      <c r="D569" t="n">
        <v>1189</v>
      </c>
      <c r="E569" t="n">
        <v>109</v>
      </c>
      <c r="F569" t="n">
        <v>215</v>
      </c>
      <c r="G569" t="inlineStr">
        <is>
          <t>Hyderabad</t>
        </is>
      </c>
      <c r="H569" t="inlineStr">
        <is>
          <t>Biryani</t>
        </is>
      </c>
      <c r="I569" t="n">
        <v>291</v>
      </c>
      <c r="J569" t="n">
        <v>0.08</v>
      </c>
      <c r="K569" t="n">
        <v>27</v>
      </c>
      <c r="L569" t="n">
        <v>0.2</v>
      </c>
      <c r="M569" t="n">
        <v>64.95</v>
      </c>
      <c r="N569" t="n">
        <v>3.4</v>
      </c>
      <c r="O569" t="n">
        <v>39.8</v>
      </c>
      <c r="P569" t="inlineStr">
        <is>
          <t>Cash on Delivery</t>
        </is>
      </c>
      <c r="Q569" t="inlineStr">
        <is>
          <t>Delivered</t>
        </is>
      </c>
      <c r="R569" t="n">
        <v>5</v>
      </c>
    </row>
    <row r="570">
      <c r="A570" t="inlineStr">
        <is>
          <t>ORD1569</t>
        </is>
      </c>
      <c r="B570" t="inlineStr">
        <is>
          <t>2025-06-20</t>
        </is>
      </c>
      <c r="C570" t="inlineStr">
        <is>
          <t>22:43:19</t>
        </is>
      </c>
      <c r="D570" t="n">
        <v>1187</v>
      </c>
      <c r="E570" t="n">
        <v>113</v>
      </c>
      <c r="F570" t="n">
        <v>206</v>
      </c>
      <c r="G570" t="inlineStr">
        <is>
          <t>Mumbai</t>
        </is>
      </c>
      <c r="H570" t="inlineStr">
        <is>
          <t>Fast Food</t>
        </is>
      </c>
      <c r="I570" t="n">
        <v>630</v>
      </c>
      <c r="J570" t="n">
        <v>33.93</v>
      </c>
      <c r="K570" t="n">
        <v>28</v>
      </c>
      <c r="L570" t="n">
        <v>0.18</v>
      </c>
      <c r="M570" t="n">
        <v>120.4</v>
      </c>
      <c r="N570" t="n">
        <v>3.6</v>
      </c>
      <c r="O570" t="n">
        <v>34.3</v>
      </c>
      <c r="P570" t="inlineStr">
        <is>
          <t>UPI</t>
        </is>
      </c>
      <c r="Q570" t="inlineStr">
        <is>
          <t>Delivered</t>
        </is>
      </c>
      <c r="R570" t="n">
        <v>4</v>
      </c>
    </row>
    <row r="571">
      <c r="A571" t="inlineStr">
        <is>
          <t>ORD1570</t>
        </is>
      </c>
      <c r="B571" t="inlineStr">
        <is>
          <t>2025-08-24</t>
        </is>
      </c>
      <c r="C571" t="inlineStr">
        <is>
          <t>13:48:49</t>
        </is>
      </c>
      <c r="D571" t="n">
        <v>1143</v>
      </c>
      <c r="E571" t="n">
        <v>119</v>
      </c>
      <c r="F571" t="n">
        <v>215</v>
      </c>
      <c r="G571" t="inlineStr">
        <is>
          <t>Hyderabad</t>
        </is>
      </c>
      <c r="H571" t="inlineStr">
        <is>
          <t>Biryani</t>
        </is>
      </c>
      <c r="I571" t="n">
        <v>516</v>
      </c>
      <c r="J571" t="n">
        <v>7.29</v>
      </c>
      <c r="K571" t="n">
        <v>56</v>
      </c>
      <c r="L571" t="n">
        <v>0.2</v>
      </c>
      <c r="M571" t="n">
        <v>117.2</v>
      </c>
      <c r="N571" t="n">
        <v>9.199999999999999</v>
      </c>
      <c r="O571" t="n">
        <v>47.5</v>
      </c>
      <c r="P571" t="inlineStr">
        <is>
          <t>Cash on Delivery</t>
        </is>
      </c>
      <c r="Q571" t="inlineStr">
        <is>
          <t>Delivered</t>
        </is>
      </c>
      <c r="R571" t="n">
        <v>3</v>
      </c>
    </row>
    <row r="572">
      <c r="A572" t="inlineStr">
        <is>
          <t>ORD1571</t>
        </is>
      </c>
      <c r="B572" t="inlineStr">
        <is>
          <t>2025-02-24</t>
        </is>
      </c>
      <c r="C572" t="inlineStr">
        <is>
          <t>19:40:44</t>
        </is>
      </c>
      <c r="D572" t="n">
        <v>1096</v>
      </c>
      <c r="E572" t="n">
        <v>119</v>
      </c>
      <c r="F572" t="n">
        <v>216</v>
      </c>
      <c r="G572" t="inlineStr">
        <is>
          <t>Hyderabad</t>
        </is>
      </c>
      <c r="H572" t="inlineStr">
        <is>
          <t>Biryani</t>
        </is>
      </c>
      <c r="I572" t="n">
        <v>587</v>
      </c>
      <c r="J572" t="n">
        <v>0</v>
      </c>
      <c r="K572" t="n">
        <v>30.5</v>
      </c>
      <c r="L572" t="n">
        <v>0.2</v>
      </c>
      <c r="M572" t="n">
        <v>125.02</v>
      </c>
      <c r="N572" t="n">
        <v>4.1</v>
      </c>
      <c r="O572" t="n">
        <v>37</v>
      </c>
      <c r="P572" t="inlineStr">
        <is>
          <t>Cash on Delivery</t>
        </is>
      </c>
      <c r="Q572" t="inlineStr">
        <is>
          <t>Delivered</t>
        </is>
      </c>
      <c r="R572" t="n">
        <v>3</v>
      </c>
    </row>
    <row r="573">
      <c r="A573" t="inlineStr">
        <is>
          <t>ORD1572</t>
        </is>
      </c>
      <c r="B573" t="inlineStr">
        <is>
          <t>2025-04-09</t>
        </is>
      </c>
      <c r="C573" t="inlineStr">
        <is>
          <t>22:01:46</t>
        </is>
      </c>
      <c r="D573" t="n">
        <v>1115</v>
      </c>
      <c r="E573" t="n">
        <v>102</v>
      </c>
      <c r="F573" t="n">
        <v>225</v>
      </c>
      <c r="G573" t="inlineStr">
        <is>
          <t>Hyderabad</t>
        </is>
      </c>
      <c r="H573" t="inlineStr">
        <is>
          <t>Biryani</t>
        </is>
      </c>
      <c r="I573" t="n">
        <v>827</v>
      </c>
      <c r="J573" t="n">
        <v>55.16</v>
      </c>
      <c r="K573" t="n">
        <v>35</v>
      </c>
      <c r="L573" t="n">
        <v>0.22</v>
      </c>
      <c r="M573" t="n">
        <v>190.69</v>
      </c>
      <c r="N573" t="n">
        <v>5</v>
      </c>
      <c r="O573" t="n">
        <v>30.7</v>
      </c>
      <c r="P573" t="inlineStr">
        <is>
          <t>Digital Wallet</t>
        </is>
      </c>
      <c r="Q573" t="inlineStr">
        <is>
          <t>Delivered</t>
        </is>
      </c>
      <c r="R573" t="n">
        <v>5</v>
      </c>
    </row>
    <row r="574">
      <c r="A574" t="inlineStr">
        <is>
          <t>ORD1573</t>
        </is>
      </c>
      <c r="B574" t="inlineStr">
        <is>
          <t>2025-01-09</t>
        </is>
      </c>
      <c r="C574" t="inlineStr">
        <is>
          <t>19:02:21</t>
        </is>
      </c>
      <c r="D574" t="n">
        <v>1127</v>
      </c>
      <c r="E574" t="n">
        <v>112</v>
      </c>
      <c r="F574" t="n">
        <v>212</v>
      </c>
      <c r="G574" t="inlineStr">
        <is>
          <t>Delhi NCR</t>
        </is>
      </c>
      <c r="H574" t="inlineStr">
        <is>
          <t>North Indian</t>
        </is>
      </c>
      <c r="I574" t="n">
        <v>277</v>
      </c>
      <c r="J574" t="n">
        <v>20.4</v>
      </c>
      <c r="K574" t="n">
        <v>38.5</v>
      </c>
      <c r="L574" t="n">
        <v>0.22</v>
      </c>
      <c r="M574" t="n">
        <v>70.56</v>
      </c>
      <c r="N574" t="n">
        <v>5.7</v>
      </c>
      <c r="O574" t="n">
        <v>49.4</v>
      </c>
      <c r="P574" t="inlineStr">
        <is>
          <t>Cash on Delivery</t>
        </is>
      </c>
      <c r="Q574" t="inlineStr">
        <is>
          <t>Delivered</t>
        </is>
      </c>
      <c r="R574" t="n">
        <v>1</v>
      </c>
    </row>
    <row r="575">
      <c r="A575" t="inlineStr">
        <is>
          <t>ORD1574</t>
        </is>
      </c>
      <c r="B575" t="inlineStr">
        <is>
          <t>2025-12-01</t>
        </is>
      </c>
      <c r="C575" t="inlineStr">
        <is>
          <t>21:42:33</t>
        </is>
      </c>
      <c r="D575" t="n">
        <v>1264</v>
      </c>
      <c r="E575" t="n">
        <v>115</v>
      </c>
      <c r="F575" t="n">
        <v>220</v>
      </c>
      <c r="G575" t="inlineStr">
        <is>
          <t>Bangalore</t>
        </is>
      </c>
      <c r="H575" t="inlineStr">
        <is>
          <t>Italian</t>
        </is>
      </c>
      <c r="I575" t="n">
        <v>689</v>
      </c>
      <c r="J575" t="n">
        <v>47.97</v>
      </c>
      <c r="K575" t="n">
        <v>69.5</v>
      </c>
      <c r="L575" t="n">
        <v>0.2</v>
      </c>
      <c r="M575" t="n">
        <v>155.18</v>
      </c>
      <c r="N575" t="n">
        <v>11.9</v>
      </c>
      <c r="O575" t="n">
        <v>66.3</v>
      </c>
      <c r="P575" t="inlineStr">
        <is>
          <t>Digital Wallet</t>
        </is>
      </c>
      <c r="Q575" t="inlineStr">
        <is>
          <t>Delivered</t>
        </is>
      </c>
      <c r="R575" t="n">
        <v>4</v>
      </c>
    </row>
    <row r="576">
      <c r="A576" t="inlineStr">
        <is>
          <t>ORD1575</t>
        </is>
      </c>
      <c r="B576" t="inlineStr">
        <is>
          <t>2025-01-19</t>
        </is>
      </c>
      <c r="C576" t="inlineStr">
        <is>
          <t>20:47:09</t>
        </is>
      </c>
      <c r="D576" t="n">
        <v>1152</v>
      </c>
      <c r="E576" t="n">
        <v>119</v>
      </c>
      <c r="F576" t="n">
        <v>215</v>
      </c>
      <c r="G576" t="inlineStr">
        <is>
          <t>Hyderabad</t>
        </is>
      </c>
      <c r="H576" t="inlineStr">
        <is>
          <t>Biryani</t>
        </is>
      </c>
      <c r="I576" t="n">
        <v>720</v>
      </c>
      <c r="J576" t="n">
        <v>27.14</v>
      </c>
      <c r="K576" t="n">
        <v>31.5</v>
      </c>
      <c r="L576" t="n">
        <v>0.2</v>
      </c>
      <c r="M576" t="n">
        <v>151.88</v>
      </c>
      <c r="N576" t="n">
        <v>4.3</v>
      </c>
      <c r="O576" t="n">
        <v/>
      </c>
      <c r="P576" t="inlineStr">
        <is>
          <t>UPI</t>
        </is>
      </c>
      <c r="Q576" t="inlineStr">
        <is>
          <t>Cancelled</t>
        </is>
      </c>
      <c r="R576" t="n">
        <v/>
      </c>
    </row>
    <row r="577">
      <c r="A577" t="inlineStr">
        <is>
          <t>ORD1576</t>
        </is>
      </c>
      <c r="B577" t="inlineStr">
        <is>
          <t>2025-01-08</t>
        </is>
      </c>
      <c r="C577" t="inlineStr">
        <is>
          <t>12:11:40</t>
        </is>
      </c>
      <c r="D577" t="n">
        <v>1105</v>
      </c>
      <c r="E577" t="n">
        <v>111</v>
      </c>
      <c r="F577" t="n">
        <v>218</v>
      </c>
      <c r="G577" t="inlineStr">
        <is>
          <t>Bangalore</t>
        </is>
      </c>
      <c r="H577" t="inlineStr">
        <is>
          <t>South Indian</t>
        </is>
      </c>
      <c r="I577" t="n">
        <v>602</v>
      </c>
      <c r="J577" t="n">
        <v>78.7</v>
      </c>
      <c r="K577" t="n">
        <v>0</v>
      </c>
      <c r="L577" t="n">
        <v>0.15</v>
      </c>
      <c r="M577" t="n">
        <v>90.3</v>
      </c>
      <c r="N577" t="n">
        <v>2.4</v>
      </c>
      <c r="O577" t="n">
        <v>29.6</v>
      </c>
      <c r="P577" t="inlineStr">
        <is>
          <t>Cash on Delivery</t>
        </is>
      </c>
      <c r="Q577" t="inlineStr">
        <is>
          <t>Delivered</t>
        </is>
      </c>
      <c r="R577" t="n">
        <v>4</v>
      </c>
    </row>
    <row r="578">
      <c r="A578" t="inlineStr">
        <is>
          <t>ORD1577</t>
        </is>
      </c>
      <c r="B578" t="inlineStr">
        <is>
          <t>2025-02-28</t>
        </is>
      </c>
      <c r="C578" t="inlineStr">
        <is>
          <t>13:31:38</t>
        </is>
      </c>
      <c r="D578" t="n">
        <v>1160</v>
      </c>
      <c r="E578" t="n">
        <v>116</v>
      </c>
      <c r="F578" t="n">
        <v>204</v>
      </c>
      <c r="G578" t="inlineStr">
        <is>
          <t>Pune</t>
        </is>
      </c>
      <c r="H578" t="inlineStr">
        <is>
          <t>Desserts</t>
        </is>
      </c>
      <c r="I578" t="n">
        <v>850</v>
      </c>
      <c r="J578" t="n">
        <v>55.62</v>
      </c>
      <c r="K578" t="n">
        <v>36</v>
      </c>
      <c r="L578" t="n">
        <v>0.25</v>
      </c>
      <c r="M578" t="n">
        <v>221.5</v>
      </c>
      <c r="N578" t="n">
        <v>5.2</v>
      </c>
      <c r="O578" t="n">
        <v>40.1</v>
      </c>
      <c r="P578" t="inlineStr">
        <is>
          <t>Cash on Delivery</t>
        </is>
      </c>
      <c r="Q578" t="inlineStr">
        <is>
          <t>Delivered</t>
        </is>
      </c>
      <c r="R578" t="n">
        <v>2</v>
      </c>
    </row>
    <row r="579">
      <c r="A579" t="inlineStr">
        <is>
          <t>ORD1578</t>
        </is>
      </c>
      <c r="B579" t="inlineStr">
        <is>
          <t>2025-03-03</t>
        </is>
      </c>
      <c r="C579" t="inlineStr">
        <is>
          <t>13:43:36</t>
        </is>
      </c>
      <c r="D579" t="n">
        <v>1166</v>
      </c>
      <c r="E579" t="n">
        <v>101</v>
      </c>
      <c r="F579" t="n">
        <v>203</v>
      </c>
      <c r="G579" t="inlineStr">
        <is>
          <t>Bangalore</t>
        </is>
      </c>
      <c r="H579" t="inlineStr">
        <is>
          <t>North Indian</t>
        </is>
      </c>
      <c r="I579" t="n">
        <v>778</v>
      </c>
      <c r="J579" t="n">
        <v>46.38</v>
      </c>
      <c r="K579" t="n">
        <v>28</v>
      </c>
      <c r="L579" t="n">
        <v>0.2</v>
      </c>
      <c r="M579" t="n">
        <v>162.6</v>
      </c>
      <c r="N579" t="n">
        <v>3.6</v>
      </c>
      <c r="O579" t="n">
        <v>35.9</v>
      </c>
      <c r="P579" t="inlineStr">
        <is>
          <t>Credit Card</t>
        </is>
      </c>
      <c r="Q579" t="inlineStr">
        <is>
          <t>Delivered</t>
        </is>
      </c>
      <c r="R579" t="n">
        <v>4</v>
      </c>
    </row>
    <row r="580">
      <c r="A580" t="inlineStr">
        <is>
          <t>ORD1579</t>
        </is>
      </c>
      <c r="B580" t="inlineStr">
        <is>
          <t>2025-06-21</t>
        </is>
      </c>
      <c r="C580" t="inlineStr">
        <is>
          <t>10:04:07</t>
        </is>
      </c>
      <c r="D580" t="n">
        <v>1165</v>
      </c>
      <c r="E580" t="n">
        <v>117</v>
      </c>
      <c r="F580" t="n">
        <v>222</v>
      </c>
      <c r="G580" t="inlineStr">
        <is>
          <t>Mumbai</t>
        </is>
      </c>
      <c r="H580" t="inlineStr">
        <is>
          <t>Chinese</t>
        </is>
      </c>
      <c r="I580" t="n">
        <v>500</v>
      </c>
      <c r="J580" t="n">
        <v>0</v>
      </c>
      <c r="K580" t="n">
        <v>48</v>
      </c>
      <c r="L580" t="n">
        <v>0.2</v>
      </c>
      <c r="M580" t="n">
        <v>112</v>
      </c>
      <c r="N580" t="n">
        <v>7.6</v>
      </c>
      <c r="O580" t="n">
        <v>42.7</v>
      </c>
      <c r="P580" t="inlineStr">
        <is>
          <t>Debit Card</t>
        </is>
      </c>
      <c r="Q580" t="inlineStr">
        <is>
          <t>Delivered</t>
        </is>
      </c>
      <c r="R580" t="n">
        <v>3</v>
      </c>
    </row>
    <row r="581">
      <c r="A581" t="inlineStr">
        <is>
          <t>ORD1580</t>
        </is>
      </c>
      <c r="B581" t="inlineStr">
        <is>
          <t>2025-10-25</t>
        </is>
      </c>
      <c r="C581" t="inlineStr">
        <is>
          <t>12:02:08</t>
        </is>
      </c>
      <c r="D581" t="n">
        <v>1108</v>
      </c>
      <c r="E581" t="n">
        <v>116</v>
      </c>
      <c r="F581" t="n">
        <v>208</v>
      </c>
      <c r="G581" t="inlineStr">
        <is>
          <t>Pune</t>
        </is>
      </c>
      <c r="H581" t="inlineStr">
        <is>
          <t>Desserts</t>
        </is>
      </c>
      <c r="I581" t="n">
        <v>322</v>
      </c>
      <c r="J581" t="n">
        <v>33.93</v>
      </c>
      <c r="K581" t="n">
        <v>29.5</v>
      </c>
      <c r="L581" t="n">
        <v>0.25</v>
      </c>
      <c r="M581" t="n">
        <v>87.88</v>
      </c>
      <c r="N581" t="n">
        <v>3.9</v>
      </c>
      <c r="O581" t="n">
        <v>33.4</v>
      </c>
      <c r="P581" t="inlineStr">
        <is>
          <t>Cash on Delivery</t>
        </is>
      </c>
      <c r="Q581" t="inlineStr">
        <is>
          <t>Delivered</t>
        </is>
      </c>
      <c r="R581" t="n">
        <v>4</v>
      </c>
    </row>
    <row r="582">
      <c r="A582" t="inlineStr">
        <is>
          <t>ORD1581</t>
        </is>
      </c>
      <c r="B582" t="inlineStr">
        <is>
          <t>2025-09-07</t>
        </is>
      </c>
      <c r="C582" t="inlineStr">
        <is>
          <t>00:05:00</t>
        </is>
      </c>
      <c r="D582" t="n">
        <v>1119</v>
      </c>
      <c r="E582" t="n">
        <v>112</v>
      </c>
      <c r="F582" t="n">
        <v>211</v>
      </c>
      <c r="G582" t="inlineStr">
        <is>
          <t>Delhi NCR</t>
        </is>
      </c>
      <c r="H582" t="inlineStr">
        <is>
          <t>North Indian</t>
        </is>
      </c>
      <c r="I582" t="n">
        <v>372</v>
      </c>
      <c r="J582" t="n">
        <v>71.65000000000001</v>
      </c>
      <c r="K582" t="n">
        <v>30</v>
      </c>
      <c r="L582" t="n">
        <v>0.22</v>
      </c>
      <c r="M582" t="n">
        <v>89.34</v>
      </c>
      <c r="N582" t="n">
        <v>4</v>
      </c>
      <c r="O582" t="n">
        <v>33.1</v>
      </c>
      <c r="P582" t="inlineStr">
        <is>
          <t>Digital Wallet</t>
        </is>
      </c>
      <c r="Q582" t="inlineStr">
        <is>
          <t>Delivered</t>
        </is>
      </c>
      <c r="R582" t="n">
        <v>4</v>
      </c>
    </row>
    <row r="583">
      <c r="A583" t="inlineStr">
        <is>
          <t>ORD1582</t>
        </is>
      </c>
      <c r="B583" t="inlineStr">
        <is>
          <t>2025-12-21</t>
        </is>
      </c>
      <c r="C583" t="inlineStr">
        <is>
          <t>19:08:13</t>
        </is>
      </c>
      <c r="D583" t="n">
        <v>1191</v>
      </c>
      <c r="E583" t="n">
        <v>108</v>
      </c>
      <c r="F583" t="n">
        <v>219</v>
      </c>
      <c r="G583" t="inlineStr">
        <is>
          <t>Delhi NCR</t>
        </is>
      </c>
      <c r="H583" t="inlineStr">
        <is>
          <t>Fast Food</t>
        </is>
      </c>
      <c r="I583" t="n">
        <v>366</v>
      </c>
      <c r="J583" t="n">
        <v>15.32</v>
      </c>
      <c r="K583" t="n">
        <v>25</v>
      </c>
      <c r="L583" t="n">
        <v>0.18</v>
      </c>
      <c r="M583" t="n">
        <v>72.13</v>
      </c>
      <c r="N583" t="n">
        <v>2.4</v>
      </c>
      <c r="O583" t="n">
        <v>25.6</v>
      </c>
      <c r="P583" t="inlineStr">
        <is>
          <t>Credit Card</t>
        </is>
      </c>
      <c r="Q583" t="inlineStr">
        <is>
          <t>Delivered</t>
        </is>
      </c>
      <c r="R583" t="n">
        <v>5</v>
      </c>
    </row>
    <row r="584">
      <c r="A584" t="inlineStr">
        <is>
          <t>ORD1583</t>
        </is>
      </c>
      <c r="B584" t="inlineStr">
        <is>
          <t>2025-11-10</t>
        </is>
      </c>
      <c r="C584" t="inlineStr">
        <is>
          <t>15:05:40</t>
        </is>
      </c>
      <c r="D584" t="n">
        <v>1217</v>
      </c>
      <c r="E584" t="n">
        <v>119</v>
      </c>
      <c r="F584" t="n">
        <v>216</v>
      </c>
      <c r="G584" t="inlineStr">
        <is>
          <t>Hyderabad</t>
        </is>
      </c>
      <c r="H584" t="inlineStr">
        <is>
          <t>Biryani</t>
        </is>
      </c>
      <c r="I584" t="n">
        <v>528</v>
      </c>
      <c r="J584" t="n">
        <v>0</v>
      </c>
      <c r="K584" t="n">
        <v>28</v>
      </c>
      <c r="L584" t="n">
        <v>0.2</v>
      </c>
      <c r="M584" t="n">
        <v>112.6</v>
      </c>
      <c r="N584" t="n">
        <v>3.6</v>
      </c>
      <c r="O584" t="n">
        <v>22.9</v>
      </c>
      <c r="P584" t="inlineStr">
        <is>
          <t>Credit Card</t>
        </is>
      </c>
      <c r="Q584" t="inlineStr">
        <is>
          <t>Delivered</t>
        </is>
      </c>
      <c r="R584" t="n">
        <v>2</v>
      </c>
    </row>
    <row r="585">
      <c r="A585" t="inlineStr">
        <is>
          <t>ORD1584</t>
        </is>
      </c>
      <c r="B585" t="inlineStr">
        <is>
          <t>2025-09-29</t>
        </is>
      </c>
      <c r="C585" t="inlineStr">
        <is>
          <t>14:06:39</t>
        </is>
      </c>
      <c r="D585" t="n">
        <v>1104</v>
      </c>
      <c r="E585" t="n">
        <v>103</v>
      </c>
      <c r="F585" t="n">
        <v>202</v>
      </c>
      <c r="G585" t="inlineStr">
        <is>
          <t>Mumbai</t>
        </is>
      </c>
      <c r="H585" t="inlineStr">
        <is>
          <t>Italian</t>
        </is>
      </c>
      <c r="I585" t="n">
        <v>590</v>
      </c>
      <c r="J585" t="n">
        <v>46.58</v>
      </c>
      <c r="K585" t="n">
        <v>36.5</v>
      </c>
      <c r="L585" t="n">
        <v>0.18</v>
      </c>
      <c r="M585" t="n">
        <v>115.32</v>
      </c>
      <c r="N585" t="n">
        <v>5.3</v>
      </c>
      <c r="O585" t="n">
        <v>42.8</v>
      </c>
      <c r="P585" t="inlineStr">
        <is>
          <t>Cash on Delivery</t>
        </is>
      </c>
      <c r="Q585" t="inlineStr">
        <is>
          <t>Delivered</t>
        </is>
      </c>
      <c r="R585" t="n">
        <v>2</v>
      </c>
    </row>
    <row r="586">
      <c r="A586" t="inlineStr">
        <is>
          <t>ORD1585</t>
        </is>
      </c>
      <c r="B586" t="inlineStr">
        <is>
          <t>2025-04-10</t>
        </is>
      </c>
      <c r="C586" t="inlineStr">
        <is>
          <t>21:07:50</t>
        </is>
      </c>
      <c r="D586" t="n">
        <v>1230</v>
      </c>
      <c r="E586" t="n">
        <v>102</v>
      </c>
      <c r="F586" t="n">
        <v>216</v>
      </c>
      <c r="G586" t="inlineStr">
        <is>
          <t>Hyderabad</t>
        </is>
      </c>
      <c r="H586" t="inlineStr">
        <is>
          <t>Biryani</t>
        </is>
      </c>
      <c r="I586" t="n">
        <v>372</v>
      </c>
      <c r="J586" t="n">
        <v>36.44</v>
      </c>
      <c r="K586" t="n">
        <v>25</v>
      </c>
      <c r="L586" t="n">
        <v>0.22</v>
      </c>
      <c r="M586" t="n">
        <v>88.09</v>
      </c>
      <c r="N586" t="n">
        <v>1.8</v>
      </c>
      <c r="O586" t="n">
        <v>29</v>
      </c>
      <c r="P586" t="inlineStr">
        <is>
          <t>Cash on Delivery</t>
        </is>
      </c>
      <c r="Q586" t="inlineStr">
        <is>
          <t>Delivered</t>
        </is>
      </c>
      <c r="R586" t="n">
        <v>5</v>
      </c>
    </row>
    <row r="587">
      <c r="A587" t="inlineStr">
        <is>
          <t>ORD1586</t>
        </is>
      </c>
      <c r="B587" t="inlineStr">
        <is>
          <t>2025-12-10</t>
        </is>
      </c>
      <c r="C587" t="inlineStr">
        <is>
          <t>11:59:02</t>
        </is>
      </c>
      <c r="D587" t="n">
        <v>1272</v>
      </c>
      <c r="E587" t="n">
        <v>112</v>
      </c>
      <c r="F587" t="n">
        <v>219</v>
      </c>
      <c r="G587" t="inlineStr">
        <is>
          <t>Delhi NCR</t>
        </is>
      </c>
      <c r="H587" t="inlineStr">
        <is>
          <t>North Indian</t>
        </is>
      </c>
      <c r="I587" t="n">
        <v>275</v>
      </c>
      <c r="J587" t="n">
        <v>26.16</v>
      </c>
      <c r="K587" t="n">
        <v>25</v>
      </c>
      <c r="L587" t="n">
        <v>0.22</v>
      </c>
      <c r="M587" t="n">
        <v>66.75</v>
      </c>
      <c r="N587" t="n">
        <v>2.8</v>
      </c>
      <c r="O587" t="n">
        <v>22.7</v>
      </c>
      <c r="P587" t="inlineStr">
        <is>
          <t>Cash on Delivery</t>
        </is>
      </c>
      <c r="Q587" t="inlineStr">
        <is>
          <t>Delivered</t>
        </is>
      </c>
      <c r="R587" t="n">
        <v>4</v>
      </c>
    </row>
    <row r="588">
      <c r="A588" t="inlineStr">
        <is>
          <t>ORD1587</t>
        </is>
      </c>
      <c r="B588" t="inlineStr">
        <is>
          <t>2025-01-23</t>
        </is>
      </c>
      <c r="C588" t="inlineStr">
        <is>
          <t>21:06:47</t>
        </is>
      </c>
      <c r="D588" t="n">
        <v>1126</v>
      </c>
      <c r="E588" t="n">
        <v>109</v>
      </c>
      <c r="F588" t="n">
        <v>216</v>
      </c>
      <c r="G588" t="inlineStr">
        <is>
          <t>Hyderabad</t>
        </is>
      </c>
      <c r="H588" t="inlineStr">
        <is>
          <t>Biryani</t>
        </is>
      </c>
      <c r="I588" t="n">
        <v>273</v>
      </c>
      <c r="J588" t="n">
        <v>3.84</v>
      </c>
      <c r="K588" t="n">
        <v>28.5</v>
      </c>
      <c r="L588" t="n">
        <v>0.2</v>
      </c>
      <c r="M588" t="n">
        <v>61.72</v>
      </c>
      <c r="N588" t="n">
        <v>3.7</v>
      </c>
      <c r="O588" t="n">
        <v>36.3</v>
      </c>
      <c r="P588" t="inlineStr">
        <is>
          <t>Cash on Delivery</t>
        </is>
      </c>
      <c r="Q588" t="inlineStr">
        <is>
          <t>Delivered</t>
        </is>
      </c>
      <c r="R588" t="n">
        <v>3</v>
      </c>
    </row>
    <row r="589">
      <c r="A589" t="inlineStr">
        <is>
          <t>ORD1588</t>
        </is>
      </c>
      <c r="B589" t="inlineStr">
        <is>
          <t>2025-08-16</t>
        </is>
      </c>
      <c r="C589" t="inlineStr">
        <is>
          <t>00:37:37</t>
        </is>
      </c>
      <c r="D589" t="n">
        <v>1262</v>
      </c>
      <c r="E589" t="n">
        <v>118</v>
      </c>
      <c r="F589" t="n">
        <v>211</v>
      </c>
      <c r="G589" t="inlineStr">
        <is>
          <t>Delhi NCR</t>
        </is>
      </c>
      <c r="H589" t="inlineStr">
        <is>
          <t>North Indian</t>
        </is>
      </c>
      <c r="I589" t="n">
        <v>760</v>
      </c>
      <c r="J589" t="n">
        <v>91.11</v>
      </c>
      <c r="K589" t="n">
        <v>0</v>
      </c>
      <c r="L589" t="n">
        <v>0.2</v>
      </c>
      <c r="M589" t="n">
        <v>152</v>
      </c>
      <c r="N589" t="n">
        <v>5.5</v>
      </c>
      <c r="O589" t="n">
        <v>40.9</v>
      </c>
      <c r="P589" t="inlineStr">
        <is>
          <t>Debit Card</t>
        </is>
      </c>
      <c r="Q589" t="inlineStr">
        <is>
          <t>Delivered</t>
        </is>
      </c>
      <c r="R589" t="n">
        <v>3</v>
      </c>
    </row>
    <row r="590">
      <c r="A590" t="inlineStr">
        <is>
          <t>ORD1589</t>
        </is>
      </c>
      <c r="B590" t="inlineStr">
        <is>
          <t>2025-06-16</t>
        </is>
      </c>
      <c r="C590" t="inlineStr">
        <is>
          <t>00:14:06</t>
        </is>
      </c>
      <c r="D590" t="n">
        <v>1062</v>
      </c>
      <c r="E590" t="n">
        <v>113</v>
      </c>
      <c r="F590" t="n">
        <v>206</v>
      </c>
      <c r="G590" t="inlineStr">
        <is>
          <t>Mumbai</t>
        </is>
      </c>
      <c r="H590" t="inlineStr">
        <is>
          <t>Fast Food</t>
        </is>
      </c>
      <c r="I590" t="n">
        <v>462</v>
      </c>
      <c r="J590" t="n">
        <v>32.15</v>
      </c>
      <c r="K590" t="n">
        <v>35</v>
      </c>
      <c r="L590" t="n">
        <v>0.18</v>
      </c>
      <c r="M590" t="n">
        <v>91.91</v>
      </c>
      <c r="N590" t="n">
        <v>5</v>
      </c>
      <c r="O590" t="n">
        <v>31.4</v>
      </c>
      <c r="P590" t="inlineStr">
        <is>
          <t>Credit Card</t>
        </is>
      </c>
      <c r="Q590" t="inlineStr">
        <is>
          <t>Delivered</t>
        </is>
      </c>
      <c r="R590" t="n">
        <v>4</v>
      </c>
    </row>
    <row r="591">
      <c r="A591" t="inlineStr">
        <is>
          <t>ORD1590</t>
        </is>
      </c>
      <c r="B591" t="inlineStr">
        <is>
          <t>2025-10-27</t>
        </is>
      </c>
      <c r="C591" t="inlineStr">
        <is>
          <t>12:31:03</t>
        </is>
      </c>
      <c r="D591" t="n">
        <v>1205</v>
      </c>
      <c r="E591" t="n">
        <v>103</v>
      </c>
      <c r="F591" t="n">
        <v>222</v>
      </c>
      <c r="G591" t="inlineStr">
        <is>
          <t>Mumbai</t>
        </is>
      </c>
      <c r="H591" t="inlineStr">
        <is>
          <t>Italian</t>
        </is>
      </c>
      <c r="I591" t="n">
        <v>666</v>
      </c>
      <c r="J591" t="n">
        <v>40.06</v>
      </c>
      <c r="K591" t="n">
        <v>49</v>
      </c>
      <c r="L591" t="n">
        <v>0.18</v>
      </c>
      <c r="M591" t="n">
        <v>132.13</v>
      </c>
      <c r="N591" t="n">
        <v>7.8</v>
      </c>
      <c r="O591" t="n">
        <v>51.3</v>
      </c>
      <c r="P591" t="inlineStr">
        <is>
          <t>Cash on Delivery</t>
        </is>
      </c>
      <c r="Q591" t="inlineStr">
        <is>
          <t>Delivered</t>
        </is>
      </c>
      <c r="R591" t="n">
        <v>3</v>
      </c>
    </row>
    <row r="592">
      <c r="A592" t="inlineStr">
        <is>
          <t>ORD1591</t>
        </is>
      </c>
      <c r="B592" t="inlineStr">
        <is>
          <t>2025-07-11</t>
        </is>
      </c>
      <c r="C592" t="inlineStr">
        <is>
          <t>19:08:29</t>
        </is>
      </c>
      <c r="D592" t="n">
        <v>1035</v>
      </c>
      <c r="E592" t="n">
        <v>111</v>
      </c>
      <c r="F592" t="n">
        <v>201</v>
      </c>
      <c r="G592" t="inlineStr">
        <is>
          <t>Bangalore</t>
        </is>
      </c>
      <c r="H592" t="inlineStr">
        <is>
          <t>South Indian</t>
        </is>
      </c>
      <c r="I592" t="n">
        <v>679</v>
      </c>
      <c r="J592" t="n">
        <v>92.25</v>
      </c>
      <c r="K592" t="n">
        <v>0</v>
      </c>
      <c r="L592" t="n">
        <v>0.15</v>
      </c>
      <c r="M592" t="n">
        <v>101.85</v>
      </c>
      <c r="N592" t="n">
        <v>1.9</v>
      </c>
      <c r="O592" t="n">
        <v>22.8</v>
      </c>
      <c r="P592" t="inlineStr">
        <is>
          <t>Debit Card</t>
        </is>
      </c>
      <c r="Q592" t="inlineStr">
        <is>
          <t>Delivered</t>
        </is>
      </c>
      <c r="R592" t="n">
        <v>4</v>
      </c>
    </row>
    <row r="593">
      <c r="A593" t="inlineStr">
        <is>
          <t>ORD1592</t>
        </is>
      </c>
      <c r="B593" t="inlineStr">
        <is>
          <t>2025-12-21</t>
        </is>
      </c>
      <c r="C593" t="inlineStr">
        <is>
          <t>21:36:03</t>
        </is>
      </c>
      <c r="D593" t="n">
        <v>1190</v>
      </c>
      <c r="E593" t="n">
        <v>119</v>
      </c>
      <c r="F593" t="n">
        <v>225</v>
      </c>
      <c r="G593" t="inlineStr">
        <is>
          <t>Hyderabad</t>
        </is>
      </c>
      <c r="H593" t="inlineStr">
        <is>
          <t>Biryani</t>
        </is>
      </c>
      <c r="I593" t="n">
        <v>507</v>
      </c>
      <c r="J593" t="n">
        <v>0</v>
      </c>
      <c r="K593" t="n">
        <v>32.5</v>
      </c>
      <c r="L593" t="n">
        <v>0.2</v>
      </c>
      <c r="M593" t="n">
        <v>109.52</v>
      </c>
      <c r="N593" t="n">
        <v>4.5</v>
      </c>
      <c r="O593" t="n">
        <v>38.5</v>
      </c>
      <c r="P593" t="inlineStr">
        <is>
          <t>Cash on Delivery</t>
        </is>
      </c>
      <c r="Q593" t="inlineStr">
        <is>
          <t>Delivered</t>
        </is>
      </c>
      <c r="R593" t="n">
        <v>4</v>
      </c>
    </row>
    <row r="594">
      <c r="A594" t="inlineStr">
        <is>
          <t>ORD1593</t>
        </is>
      </c>
      <c r="B594" t="inlineStr">
        <is>
          <t>2025-04-23</t>
        </is>
      </c>
      <c r="C594" t="inlineStr">
        <is>
          <t>08:56:18</t>
        </is>
      </c>
      <c r="D594" t="n">
        <v>1019</v>
      </c>
      <c r="E594" t="n">
        <v>110</v>
      </c>
      <c r="F594" t="n">
        <v>226</v>
      </c>
      <c r="G594" t="inlineStr">
        <is>
          <t>Pune</t>
        </is>
      </c>
      <c r="H594" t="inlineStr">
        <is>
          <t>North Indian</t>
        </is>
      </c>
      <c r="I594" t="n">
        <v>838</v>
      </c>
      <c r="J594" t="n">
        <v>0</v>
      </c>
      <c r="K594" t="n">
        <v>25.5</v>
      </c>
      <c r="L594" t="n">
        <v>0.18</v>
      </c>
      <c r="M594" t="n">
        <v>157.22</v>
      </c>
      <c r="N594" t="n">
        <v>3.1</v>
      </c>
      <c r="O594" t="n">
        <v>29.5</v>
      </c>
      <c r="P594" t="inlineStr">
        <is>
          <t>Digital Wallet</t>
        </is>
      </c>
      <c r="Q594" t="inlineStr">
        <is>
          <t>Delivered</t>
        </is>
      </c>
      <c r="R594" t="n">
        <v>4</v>
      </c>
    </row>
    <row r="595">
      <c r="A595" t="inlineStr">
        <is>
          <t>ORD1594</t>
        </is>
      </c>
      <c r="B595" t="inlineStr">
        <is>
          <t>2025-02-14</t>
        </is>
      </c>
      <c r="C595" t="inlineStr">
        <is>
          <t>12:26:54</t>
        </is>
      </c>
      <c r="D595" t="n">
        <v>1191</v>
      </c>
      <c r="E595" t="n">
        <v>112</v>
      </c>
      <c r="F595" t="n">
        <v>228</v>
      </c>
      <c r="G595" t="inlineStr">
        <is>
          <t>Delhi NCR</t>
        </is>
      </c>
      <c r="H595" t="inlineStr">
        <is>
          <t>North Indian</t>
        </is>
      </c>
      <c r="I595" t="n">
        <v>754</v>
      </c>
      <c r="J595" t="n">
        <v>0</v>
      </c>
      <c r="K595" t="n">
        <v>27</v>
      </c>
      <c r="L595" t="n">
        <v>0.22</v>
      </c>
      <c r="M595" t="n">
        <v>172.63</v>
      </c>
      <c r="N595" t="n">
        <v>3.4</v>
      </c>
      <c r="O595" t="n">
        <v>37.2</v>
      </c>
      <c r="P595" t="inlineStr">
        <is>
          <t>Digital Wallet</t>
        </is>
      </c>
      <c r="Q595" t="inlineStr">
        <is>
          <t>Delivered</t>
        </is>
      </c>
      <c r="R595" t="n">
        <v>4</v>
      </c>
    </row>
    <row r="596">
      <c r="A596" t="inlineStr">
        <is>
          <t>ORD1595</t>
        </is>
      </c>
      <c r="B596" t="inlineStr">
        <is>
          <t>2025-01-08</t>
        </is>
      </c>
      <c r="C596" t="inlineStr">
        <is>
          <t>15:46:27</t>
        </is>
      </c>
      <c r="D596" t="n">
        <v>1295</v>
      </c>
      <c r="E596" t="n">
        <v>118</v>
      </c>
      <c r="F596" t="n">
        <v>212</v>
      </c>
      <c r="G596" t="inlineStr">
        <is>
          <t>Delhi NCR</t>
        </is>
      </c>
      <c r="H596" t="inlineStr">
        <is>
          <t>North Indian</t>
        </is>
      </c>
      <c r="I596" t="n">
        <v>472</v>
      </c>
      <c r="J596" t="n">
        <v>0</v>
      </c>
      <c r="K596" t="n">
        <v>47</v>
      </c>
      <c r="L596" t="n">
        <v>0.2</v>
      </c>
      <c r="M596" t="n">
        <v>106.15</v>
      </c>
      <c r="N596" t="n">
        <v>7.4</v>
      </c>
      <c r="O596" t="n">
        <v>39.4</v>
      </c>
      <c r="P596" t="inlineStr">
        <is>
          <t>Credit Card</t>
        </is>
      </c>
      <c r="Q596" t="inlineStr">
        <is>
          <t>Delivered</t>
        </is>
      </c>
      <c r="R596" t="n">
        <v>5</v>
      </c>
    </row>
    <row r="597">
      <c r="A597" t="inlineStr">
        <is>
          <t>ORD1596</t>
        </is>
      </c>
      <c r="B597" t="inlineStr">
        <is>
          <t>2025-01-23</t>
        </is>
      </c>
      <c r="C597" t="inlineStr">
        <is>
          <t>21:02:30</t>
        </is>
      </c>
      <c r="D597" t="n">
        <v>1045</v>
      </c>
      <c r="E597" t="n">
        <v>111</v>
      </c>
      <c r="F597" t="n">
        <v>220</v>
      </c>
      <c r="G597" t="inlineStr">
        <is>
          <t>Bangalore</t>
        </is>
      </c>
      <c r="H597" t="inlineStr">
        <is>
          <t>South Indian</t>
        </is>
      </c>
      <c r="I597" t="n">
        <v>736</v>
      </c>
      <c r="J597" t="n">
        <v>0</v>
      </c>
      <c r="K597" t="n">
        <v>25</v>
      </c>
      <c r="L597" t="n">
        <v>0.15</v>
      </c>
      <c r="M597" t="n">
        <v>116.65</v>
      </c>
      <c r="N597" t="n">
        <v>1.4</v>
      </c>
      <c r="O597" t="n">
        <v>23.5</v>
      </c>
      <c r="P597" t="inlineStr">
        <is>
          <t>Cash on Delivery</t>
        </is>
      </c>
      <c r="Q597" t="inlineStr">
        <is>
          <t>Delivered</t>
        </is>
      </c>
      <c r="R597" t="n">
        <v>4</v>
      </c>
    </row>
    <row r="598">
      <c r="A598" t="inlineStr">
        <is>
          <t>ORD1597</t>
        </is>
      </c>
      <c r="B598" t="inlineStr">
        <is>
          <t>2025-05-04</t>
        </is>
      </c>
      <c r="C598" t="inlineStr">
        <is>
          <t>13:05:35</t>
        </is>
      </c>
      <c r="D598" t="n">
        <v>1049</v>
      </c>
      <c r="E598" t="n">
        <v>107</v>
      </c>
      <c r="F598" t="n">
        <v>222</v>
      </c>
      <c r="G598" t="inlineStr">
        <is>
          <t>Mumbai</t>
        </is>
      </c>
      <c r="H598" t="inlineStr">
        <is>
          <t>Desserts</t>
        </is>
      </c>
      <c r="I598" t="n">
        <v>232</v>
      </c>
      <c r="J598" t="n">
        <v>7.55</v>
      </c>
      <c r="K598" t="n">
        <v>25.5</v>
      </c>
      <c r="L598" t="n">
        <v>0.25</v>
      </c>
      <c r="M598" t="n">
        <v>64.38</v>
      </c>
      <c r="N598" t="n">
        <v>3.1</v>
      </c>
      <c r="O598" t="n">
        <v>26.5</v>
      </c>
      <c r="P598" t="inlineStr">
        <is>
          <t>Debit Card</t>
        </is>
      </c>
      <c r="Q598" t="inlineStr">
        <is>
          <t>Delivered</t>
        </is>
      </c>
      <c r="R598" t="n">
        <v>4</v>
      </c>
    </row>
    <row r="599">
      <c r="A599" t="inlineStr">
        <is>
          <t>ORD1598</t>
        </is>
      </c>
      <c r="B599" t="inlineStr">
        <is>
          <t>2025-01-09</t>
        </is>
      </c>
      <c r="C599" t="inlineStr">
        <is>
          <t>12:30:42</t>
        </is>
      </c>
      <c r="D599" t="n">
        <v>1090</v>
      </c>
      <c r="E599" t="n">
        <v>111</v>
      </c>
      <c r="F599" t="n">
        <v>218</v>
      </c>
      <c r="G599" t="inlineStr">
        <is>
          <t>Bangalore</t>
        </is>
      </c>
      <c r="H599" t="inlineStr">
        <is>
          <t>South Indian</t>
        </is>
      </c>
      <c r="I599" t="n">
        <v>532</v>
      </c>
      <c r="J599" t="n">
        <v>0</v>
      </c>
      <c r="K599" t="n">
        <v>31.5</v>
      </c>
      <c r="L599" t="n">
        <v>0.15</v>
      </c>
      <c r="M599" t="n">
        <v>87.68000000000001</v>
      </c>
      <c r="N599" t="n">
        <v>4.3</v>
      </c>
      <c r="O599" t="n">
        <v>37</v>
      </c>
      <c r="P599" t="inlineStr">
        <is>
          <t>Digital Wallet</t>
        </is>
      </c>
      <c r="Q599" t="inlineStr">
        <is>
          <t>Delivered</t>
        </is>
      </c>
      <c r="R599" t="n">
        <v>4</v>
      </c>
    </row>
    <row r="600">
      <c r="A600" t="inlineStr">
        <is>
          <t>ORD1599</t>
        </is>
      </c>
      <c r="B600" t="inlineStr">
        <is>
          <t>2025-03-12</t>
        </is>
      </c>
      <c r="C600" t="inlineStr">
        <is>
          <t>18:55:45</t>
        </is>
      </c>
      <c r="D600" t="n">
        <v>1012</v>
      </c>
      <c r="E600" t="n">
        <v>110</v>
      </c>
      <c r="F600" t="n">
        <v>226</v>
      </c>
      <c r="G600" t="inlineStr">
        <is>
          <t>Pune</t>
        </is>
      </c>
      <c r="H600" t="inlineStr">
        <is>
          <t>North Indian</t>
        </is>
      </c>
      <c r="I600" t="n">
        <v>782</v>
      </c>
      <c r="J600" t="n">
        <v>139.97</v>
      </c>
      <c r="K600" t="n">
        <v>0</v>
      </c>
      <c r="L600" t="n">
        <v>0.18</v>
      </c>
      <c r="M600" t="n">
        <v>140.76</v>
      </c>
      <c r="N600" t="n">
        <v>3.2</v>
      </c>
      <c r="O600" t="n">
        <v>50.2</v>
      </c>
      <c r="P600" t="inlineStr">
        <is>
          <t>Cash on Delivery</t>
        </is>
      </c>
      <c r="Q600" t="inlineStr">
        <is>
          <t>Delivered</t>
        </is>
      </c>
      <c r="R600" t="n">
        <v>2</v>
      </c>
    </row>
    <row r="601">
      <c r="A601" t="inlineStr">
        <is>
          <t>ORD1600</t>
        </is>
      </c>
      <c r="B601" t="inlineStr">
        <is>
          <t>2025-12-20</t>
        </is>
      </c>
      <c r="C601" t="inlineStr">
        <is>
          <t>12:21:33</t>
        </is>
      </c>
      <c r="D601" t="n">
        <v>1058</v>
      </c>
      <c r="E601" t="n">
        <v>103</v>
      </c>
      <c r="F601" t="n">
        <v>229</v>
      </c>
      <c r="G601" t="inlineStr">
        <is>
          <t>Mumbai</t>
        </is>
      </c>
      <c r="H601" t="inlineStr">
        <is>
          <t>Italian</t>
        </is>
      </c>
      <c r="I601" t="n">
        <v>253</v>
      </c>
      <c r="J601" t="n">
        <v>0</v>
      </c>
      <c r="K601" t="n">
        <v>25.5</v>
      </c>
      <c r="L601" t="n">
        <v>0.18</v>
      </c>
      <c r="M601" t="n">
        <v>51.92</v>
      </c>
      <c r="N601" t="n">
        <v>3.1</v>
      </c>
      <c r="O601" t="n">
        <v>36.2</v>
      </c>
      <c r="P601" t="inlineStr">
        <is>
          <t>Digital Wallet</t>
        </is>
      </c>
      <c r="Q601" t="inlineStr">
        <is>
          <t>Delivered</t>
        </is>
      </c>
      <c r="R601" t="n">
        <v>5</v>
      </c>
    </row>
    <row r="602">
      <c r="A602" t="inlineStr">
        <is>
          <t>ORD1601</t>
        </is>
      </c>
      <c r="B602" t="inlineStr">
        <is>
          <t>2025-01-29</t>
        </is>
      </c>
      <c r="C602" t="inlineStr">
        <is>
          <t>16:32:58</t>
        </is>
      </c>
      <c r="D602" t="n">
        <v>1158</v>
      </c>
      <c r="E602" t="n">
        <v>110</v>
      </c>
      <c r="F602" t="n">
        <v>217</v>
      </c>
      <c r="G602" t="inlineStr">
        <is>
          <t>Pune</t>
        </is>
      </c>
      <c r="H602" t="inlineStr">
        <is>
          <t>North Indian</t>
        </is>
      </c>
      <c r="I602" t="n">
        <v>910</v>
      </c>
      <c r="J602" t="n">
        <v>68.69</v>
      </c>
      <c r="K602" t="n">
        <v>25</v>
      </c>
      <c r="L602" t="n">
        <v>0.18</v>
      </c>
      <c r="M602" t="n">
        <v>170.05</v>
      </c>
      <c r="N602" t="n">
        <v>2.9</v>
      </c>
      <c r="O602" t="n">
        <v>20.8</v>
      </c>
      <c r="P602" t="inlineStr">
        <is>
          <t>Cash on Delivery</t>
        </is>
      </c>
      <c r="Q602" t="inlineStr">
        <is>
          <t>Delivered</t>
        </is>
      </c>
      <c r="R602" t="n">
        <v>4</v>
      </c>
    </row>
    <row r="603">
      <c r="A603" t="inlineStr">
        <is>
          <t>ORD1602</t>
        </is>
      </c>
      <c r="B603" t="inlineStr">
        <is>
          <t>2025-07-07</t>
        </is>
      </c>
      <c r="C603" t="inlineStr">
        <is>
          <t>16:23:11</t>
        </is>
      </c>
      <c r="D603" t="n">
        <v>1096</v>
      </c>
      <c r="E603" t="n">
        <v>109</v>
      </c>
      <c r="F603" t="n">
        <v>216</v>
      </c>
      <c r="G603" t="inlineStr">
        <is>
          <t>Hyderabad</t>
        </is>
      </c>
      <c r="H603" t="inlineStr">
        <is>
          <t>Biryani</t>
        </is>
      </c>
      <c r="I603" t="n">
        <v>883</v>
      </c>
      <c r="J603" t="n">
        <v>4.73</v>
      </c>
      <c r="K603" t="n">
        <v>32</v>
      </c>
      <c r="L603" t="n">
        <v>0.2</v>
      </c>
      <c r="M603" t="n">
        <v>184.6</v>
      </c>
      <c r="N603" t="n">
        <v>4.4</v>
      </c>
      <c r="O603" t="n">
        <v>37.4</v>
      </c>
      <c r="P603" t="inlineStr">
        <is>
          <t>Credit Card</t>
        </is>
      </c>
      <c r="Q603" t="inlineStr">
        <is>
          <t>Delivered</t>
        </is>
      </c>
      <c r="R603" t="n">
        <v>4</v>
      </c>
    </row>
    <row r="604">
      <c r="A604" t="inlineStr">
        <is>
          <t>ORD1603</t>
        </is>
      </c>
      <c r="B604" t="inlineStr">
        <is>
          <t>2025-05-03</t>
        </is>
      </c>
      <c r="C604" t="inlineStr">
        <is>
          <t>19:34:07</t>
        </is>
      </c>
      <c r="D604" t="n">
        <v>1047</v>
      </c>
      <c r="E604" t="n">
        <v>101</v>
      </c>
      <c r="F604" t="n">
        <v>210</v>
      </c>
      <c r="G604" t="inlineStr">
        <is>
          <t>Bangalore</t>
        </is>
      </c>
      <c r="H604" t="inlineStr">
        <is>
          <t>North Indian</t>
        </is>
      </c>
      <c r="I604" t="n">
        <v>884</v>
      </c>
      <c r="J604" t="n">
        <v>0</v>
      </c>
      <c r="K604" t="n">
        <v>25</v>
      </c>
      <c r="L604" t="n">
        <v>0.2</v>
      </c>
      <c r="M604" t="n">
        <v>183.05</v>
      </c>
      <c r="N604" t="n">
        <v>2.6</v>
      </c>
      <c r="O604" t="n">
        <v/>
      </c>
      <c r="P604" t="inlineStr">
        <is>
          <t>Digital Wallet</t>
        </is>
      </c>
      <c r="Q604" t="inlineStr">
        <is>
          <t>Cancelled</t>
        </is>
      </c>
      <c r="R604" t="n">
        <v/>
      </c>
    </row>
    <row r="605">
      <c r="A605" t="inlineStr">
        <is>
          <t>ORD1604</t>
        </is>
      </c>
      <c r="B605" t="inlineStr">
        <is>
          <t>2025-06-30</t>
        </is>
      </c>
      <c r="C605" t="inlineStr">
        <is>
          <t>12:57:17</t>
        </is>
      </c>
      <c r="D605" t="n">
        <v>1099</v>
      </c>
      <c r="E605" t="n">
        <v>119</v>
      </c>
      <c r="F605" t="n">
        <v>215</v>
      </c>
      <c r="G605" t="inlineStr">
        <is>
          <t>Hyderabad</t>
        </is>
      </c>
      <c r="H605" t="inlineStr">
        <is>
          <t>Biryani</t>
        </is>
      </c>
      <c r="I605" t="n">
        <v>735</v>
      </c>
      <c r="J605" t="n">
        <v>16.3</v>
      </c>
      <c r="K605" t="n">
        <v>25</v>
      </c>
      <c r="L605" t="n">
        <v>0.2</v>
      </c>
      <c r="M605" t="n">
        <v>153.25</v>
      </c>
      <c r="N605" t="n">
        <v>2.4</v>
      </c>
      <c r="O605" t="n">
        <v>30.1</v>
      </c>
      <c r="P605" t="inlineStr">
        <is>
          <t>Debit Card</t>
        </is>
      </c>
      <c r="Q605" t="inlineStr">
        <is>
          <t>Delivered</t>
        </is>
      </c>
      <c r="R605" t="n">
        <v>4</v>
      </c>
    </row>
    <row r="606">
      <c r="A606" t="inlineStr">
        <is>
          <t>ORD1605</t>
        </is>
      </c>
      <c r="B606" t="inlineStr">
        <is>
          <t>2025-08-29</t>
        </is>
      </c>
      <c r="C606" t="inlineStr">
        <is>
          <t>10:45:34</t>
        </is>
      </c>
      <c r="D606" t="n">
        <v>1219</v>
      </c>
      <c r="E606" t="n">
        <v>108</v>
      </c>
      <c r="F606" t="n">
        <v>221</v>
      </c>
      <c r="G606" t="inlineStr">
        <is>
          <t>Delhi NCR</t>
        </is>
      </c>
      <c r="H606" t="inlineStr">
        <is>
          <t>Fast Food</t>
        </is>
      </c>
      <c r="I606" t="n">
        <v>914</v>
      </c>
      <c r="J606" t="n">
        <v>98.51000000000001</v>
      </c>
      <c r="K606" t="n">
        <v>33</v>
      </c>
      <c r="L606" t="n">
        <v>0.18</v>
      </c>
      <c r="M606" t="n">
        <v>172.77</v>
      </c>
      <c r="N606" t="n">
        <v>4.6</v>
      </c>
      <c r="O606" t="n">
        <v>38.6</v>
      </c>
      <c r="P606" t="inlineStr">
        <is>
          <t>Cash on Delivery</t>
        </is>
      </c>
      <c r="Q606" t="inlineStr">
        <is>
          <t>Delivered</t>
        </is>
      </c>
      <c r="R606" t="n">
        <v>4</v>
      </c>
    </row>
    <row r="607">
      <c r="A607" t="inlineStr">
        <is>
          <t>ORD1606</t>
        </is>
      </c>
      <c r="B607" t="inlineStr">
        <is>
          <t>2025-08-23</t>
        </is>
      </c>
      <c r="C607" t="inlineStr">
        <is>
          <t>21:05:05</t>
        </is>
      </c>
      <c r="D607" t="n">
        <v>1107</v>
      </c>
      <c r="E607" t="n">
        <v>113</v>
      </c>
      <c r="F607" t="n">
        <v>202</v>
      </c>
      <c r="G607" t="inlineStr">
        <is>
          <t>Mumbai</t>
        </is>
      </c>
      <c r="H607" t="inlineStr">
        <is>
          <t>Fast Food</t>
        </is>
      </c>
      <c r="I607" t="n">
        <v>620</v>
      </c>
      <c r="J607" t="n">
        <v>14.3</v>
      </c>
      <c r="K607" t="n">
        <v>25</v>
      </c>
      <c r="L607" t="n">
        <v>0.18</v>
      </c>
      <c r="M607" t="n">
        <v>117.85</v>
      </c>
      <c r="N607" t="n">
        <v>1.3</v>
      </c>
      <c r="O607" t="n">
        <v>30.8</v>
      </c>
      <c r="P607" t="inlineStr">
        <is>
          <t>UPI</t>
        </is>
      </c>
      <c r="Q607" t="inlineStr">
        <is>
          <t>Delivered</t>
        </is>
      </c>
      <c r="R607" t="n">
        <v>3</v>
      </c>
    </row>
    <row r="608">
      <c r="A608" t="inlineStr">
        <is>
          <t>ORD1607</t>
        </is>
      </c>
      <c r="B608" t="inlineStr">
        <is>
          <t>2025-02-27</t>
        </is>
      </c>
      <c r="C608" t="inlineStr">
        <is>
          <t>15:44:09</t>
        </is>
      </c>
      <c r="D608" t="n">
        <v>1064</v>
      </c>
      <c r="E608" t="n">
        <v>110</v>
      </c>
      <c r="F608" t="n">
        <v>214</v>
      </c>
      <c r="G608" t="inlineStr">
        <is>
          <t>Pune</t>
        </is>
      </c>
      <c r="H608" t="inlineStr">
        <is>
          <t>North Indian</t>
        </is>
      </c>
      <c r="I608" t="n">
        <v>728</v>
      </c>
      <c r="J608" t="n">
        <v>0</v>
      </c>
      <c r="K608" t="n">
        <v>31.5</v>
      </c>
      <c r="L608" t="n">
        <v>0.18</v>
      </c>
      <c r="M608" t="n">
        <v>138.92</v>
      </c>
      <c r="N608" t="n">
        <v>4.3</v>
      </c>
      <c r="O608" t="n">
        <v>28</v>
      </c>
      <c r="P608" t="inlineStr">
        <is>
          <t>UPI</t>
        </is>
      </c>
      <c r="Q608" t="inlineStr">
        <is>
          <t>Delivered</t>
        </is>
      </c>
      <c r="R608" t="n">
        <v>4</v>
      </c>
    </row>
    <row r="609">
      <c r="A609" t="inlineStr">
        <is>
          <t>ORD1608</t>
        </is>
      </c>
      <c r="B609" t="inlineStr">
        <is>
          <t>2025-08-31</t>
        </is>
      </c>
      <c r="C609" t="inlineStr">
        <is>
          <t>17:22:26</t>
        </is>
      </c>
      <c r="D609" t="n">
        <v>1071</v>
      </c>
      <c r="E609" t="n">
        <v>120</v>
      </c>
      <c r="F609" t="n">
        <v>204</v>
      </c>
      <c r="G609" t="inlineStr">
        <is>
          <t>Pune</t>
        </is>
      </c>
      <c r="H609" t="inlineStr">
        <is>
          <t>Fast Food</t>
        </is>
      </c>
      <c r="I609" t="n">
        <v>674</v>
      </c>
      <c r="J609" t="n">
        <v>68.51000000000001</v>
      </c>
      <c r="K609" t="n">
        <v>39.5</v>
      </c>
      <c r="L609" t="n">
        <v>0.18</v>
      </c>
      <c r="M609" t="n">
        <v>131.2</v>
      </c>
      <c r="N609" t="n">
        <v>5.9</v>
      </c>
      <c r="O609" t="n">
        <v>34.6</v>
      </c>
      <c r="P609" t="inlineStr">
        <is>
          <t>Credit Card</t>
        </is>
      </c>
      <c r="Q609" t="inlineStr">
        <is>
          <t>Delivered</t>
        </is>
      </c>
      <c r="R609" t="n">
        <v>4</v>
      </c>
    </row>
    <row r="610">
      <c r="A610" t="inlineStr">
        <is>
          <t>ORD1609</t>
        </is>
      </c>
      <c r="B610" t="inlineStr">
        <is>
          <t>2025-04-29</t>
        </is>
      </c>
      <c r="C610" t="inlineStr">
        <is>
          <t>17:53:33</t>
        </is>
      </c>
      <c r="D610" t="n">
        <v>1173</v>
      </c>
      <c r="E610" t="n">
        <v>115</v>
      </c>
      <c r="F610" t="n">
        <v>210</v>
      </c>
      <c r="G610" t="inlineStr">
        <is>
          <t>Bangalore</t>
        </is>
      </c>
      <c r="H610" t="inlineStr">
        <is>
          <t>Italian</t>
        </is>
      </c>
      <c r="I610" t="n">
        <v>880</v>
      </c>
      <c r="J610" t="n">
        <v>0</v>
      </c>
      <c r="K610" t="n">
        <v>27.5</v>
      </c>
      <c r="L610" t="n">
        <v>0.2</v>
      </c>
      <c r="M610" t="n">
        <v>182.88</v>
      </c>
      <c r="N610" t="n">
        <v>3.5</v>
      </c>
      <c r="O610" t="n">
        <v>30.5</v>
      </c>
      <c r="P610" t="inlineStr">
        <is>
          <t>Debit Card</t>
        </is>
      </c>
      <c r="Q610" t="inlineStr">
        <is>
          <t>Delivered</t>
        </is>
      </c>
      <c r="R610" t="n">
        <v>5</v>
      </c>
    </row>
    <row r="611">
      <c r="A611" t="inlineStr">
        <is>
          <t>ORD1610</t>
        </is>
      </c>
      <c r="B611" t="inlineStr">
        <is>
          <t>2025-06-05</t>
        </is>
      </c>
      <c r="C611" t="inlineStr">
        <is>
          <t>19:36:08</t>
        </is>
      </c>
      <c r="D611" t="n">
        <v>1118</v>
      </c>
      <c r="E611" t="n">
        <v>104</v>
      </c>
      <c r="F611" t="n">
        <v>221</v>
      </c>
      <c r="G611" t="inlineStr">
        <is>
          <t>Delhi NCR</t>
        </is>
      </c>
      <c r="H611" t="inlineStr">
        <is>
          <t>Fast Food</t>
        </is>
      </c>
      <c r="I611" t="n">
        <v>533</v>
      </c>
      <c r="J611" t="n">
        <v>0</v>
      </c>
      <c r="K611" t="n">
        <v>29.5</v>
      </c>
      <c r="L611" t="n">
        <v>0.18</v>
      </c>
      <c r="M611" t="n">
        <v>103.32</v>
      </c>
      <c r="N611" t="n">
        <v>3.9</v>
      </c>
      <c r="O611" t="n">
        <v>37</v>
      </c>
      <c r="P611" t="inlineStr">
        <is>
          <t>Cash on Delivery</t>
        </is>
      </c>
      <c r="Q611" t="inlineStr">
        <is>
          <t>Delivered</t>
        </is>
      </c>
      <c r="R611" t="n">
        <v>4</v>
      </c>
    </row>
    <row r="612">
      <c r="A612" t="inlineStr">
        <is>
          <t>ORD1611</t>
        </is>
      </c>
      <c r="B612" t="inlineStr">
        <is>
          <t>2025-03-17</t>
        </is>
      </c>
      <c r="C612" t="inlineStr">
        <is>
          <t>19:22:18</t>
        </is>
      </c>
      <c r="D612" t="n">
        <v>1264</v>
      </c>
      <c r="E612" t="n">
        <v>101</v>
      </c>
      <c r="F612" t="n">
        <v>213</v>
      </c>
      <c r="G612" t="inlineStr">
        <is>
          <t>Bangalore</t>
        </is>
      </c>
      <c r="H612" t="inlineStr">
        <is>
          <t>North Indian</t>
        </is>
      </c>
      <c r="I612" t="n">
        <v>686</v>
      </c>
      <c r="J612" t="n">
        <v>33.95</v>
      </c>
      <c r="K612" t="n">
        <v>30.5</v>
      </c>
      <c r="L612" t="n">
        <v>0.2</v>
      </c>
      <c r="M612" t="n">
        <v>144.83</v>
      </c>
      <c r="N612" t="n">
        <v>4.1</v>
      </c>
      <c r="O612" t="n">
        <v>35.6</v>
      </c>
      <c r="P612" t="inlineStr">
        <is>
          <t>Digital Wallet</t>
        </is>
      </c>
      <c r="Q612" t="inlineStr">
        <is>
          <t>Delivered</t>
        </is>
      </c>
      <c r="R612" t="n">
        <v>5</v>
      </c>
    </row>
    <row r="613">
      <c r="A613" t="inlineStr">
        <is>
          <t>ORD1612</t>
        </is>
      </c>
      <c r="B613" t="inlineStr">
        <is>
          <t>2025-12-29</t>
        </is>
      </c>
      <c r="C613" t="inlineStr">
        <is>
          <t>20:44:57</t>
        </is>
      </c>
      <c r="D613" t="n">
        <v>1282</v>
      </c>
      <c r="E613" t="n">
        <v>118</v>
      </c>
      <c r="F613" t="n">
        <v>228</v>
      </c>
      <c r="G613" t="inlineStr">
        <is>
          <t>Delhi NCR</t>
        </is>
      </c>
      <c r="H613" t="inlineStr">
        <is>
          <t>North Indian</t>
        </is>
      </c>
      <c r="I613" t="n">
        <v>902</v>
      </c>
      <c r="J613" t="n">
        <v>11.64</v>
      </c>
      <c r="K613" t="n">
        <v>44.5</v>
      </c>
      <c r="L613" t="n">
        <v>0.2</v>
      </c>
      <c r="M613" t="n">
        <v>191.52</v>
      </c>
      <c r="N613" t="n">
        <v>6.9</v>
      </c>
      <c r="O613" t="n">
        <v>39.9</v>
      </c>
      <c r="P613" t="inlineStr">
        <is>
          <t>Debit Card</t>
        </is>
      </c>
      <c r="Q613" t="inlineStr">
        <is>
          <t>Delivered</t>
        </is>
      </c>
      <c r="R613" t="n">
        <v>4</v>
      </c>
    </row>
    <row r="614">
      <c r="A614" t="inlineStr">
        <is>
          <t>ORD1613</t>
        </is>
      </c>
      <c r="B614" t="inlineStr">
        <is>
          <t>2025-07-09</t>
        </is>
      </c>
      <c r="C614" t="inlineStr">
        <is>
          <t>08:11:13</t>
        </is>
      </c>
      <c r="D614" t="n">
        <v>1110</v>
      </c>
      <c r="E614" t="n">
        <v>103</v>
      </c>
      <c r="F614" t="n">
        <v>206</v>
      </c>
      <c r="G614" t="inlineStr">
        <is>
          <t>Mumbai</t>
        </is>
      </c>
      <c r="H614" t="inlineStr">
        <is>
          <t>Italian</t>
        </is>
      </c>
      <c r="I614" t="n">
        <v>795</v>
      </c>
      <c r="J614" t="n">
        <v>42.33</v>
      </c>
      <c r="K614" t="n">
        <v>38.5</v>
      </c>
      <c r="L614" t="n">
        <v>0.18</v>
      </c>
      <c r="M614" t="n">
        <v>152.72</v>
      </c>
      <c r="N614" t="n">
        <v>5.7</v>
      </c>
      <c r="O614" t="n">
        <v>39.7</v>
      </c>
      <c r="P614" t="inlineStr">
        <is>
          <t>Credit Card</t>
        </is>
      </c>
      <c r="Q614" t="inlineStr">
        <is>
          <t>Delivered</t>
        </is>
      </c>
      <c r="R614" t="n">
        <v>2</v>
      </c>
    </row>
    <row r="615">
      <c r="A615" t="inlineStr">
        <is>
          <t>ORD1614</t>
        </is>
      </c>
      <c r="B615" t="inlineStr">
        <is>
          <t>2025-10-01</t>
        </is>
      </c>
      <c r="C615" t="inlineStr">
        <is>
          <t>13:19:07</t>
        </is>
      </c>
      <c r="D615" t="n">
        <v>1193</v>
      </c>
      <c r="E615" t="n">
        <v>104</v>
      </c>
      <c r="F615" t="n">
        <v>221</v>
      </c>
      <c r="G615" t="inlineStr">
        <is>
          <t>Delhi NCR</t>
        </is>
      </c>
      <c r="H615" t="inlineStr">
        <is>
          <t>Fast Food</t>
        </is>
      </c>
      <c r="I615" t="n">
        <v>448</v>
      </c>
      <c r="J615" t="n">
        <v>86.51000000000001</v>
      </c>
      <c r="K615" t="n">
        <v>25</v>
      </c>
      <c r="L615" t="n">
        <v>0.18</v>
      </c>
      <c r="M615" t="n">
        <v>86.89</v>
      </c>
      <c r="N615" t="n">
        <v>1.6</v>
      </c>
      <c r="O615" t="n">
        <v>26.5</v>
      </c>
      <c r="P615" t="inlineStr">
        <is>
          <t>Cash on Delivery</t>
        </is>
      </c>
      <c r="Q615" t="inlineStr">
        <is>
          <t>Delivered</t>
        </is>
      </c>
      <c r="R615" t="n">
        <v>4</v>
      </c>
    </row>
    <row r="616">
      <c r="A616" t="inlineStr">
        <is>
          <t>ORD1615</t>
        </is>
      </c>
      <c r="B616" t="inlineStr">
        <is>
          <t>2025-10-07</t>
        </is>
      </c>
      <c r="C616" t="inlineStr">
        <is>
          <t>18:32:21</t>
        </is>
      </c>
      <c r="D616" t="n">
        <v>1278</v>
      </c>
      <c r="E616" t="n">
        <v>115</v>
      </c>
      <c r="F616" t="n">
        <v>203</v>
      </c>
      <c r="G616" t="inlineStr">
        <is>
          <t>Bangalore</t>
        </is>
      </c>
      <c r="H616" t="inlineStr">
        <is>
          <t>Italian</t>
        </is>
      </c>
      <c r="I616" t="n">
        <v>882</v>
      </c>
      <c r="J616" t="n">
        <v>87.65000000000001</v>
      </c>
      <c r="K616" t="n">
        <v>28</v>
      </c>
      <c r="L616" t="n">
        <v>0.2</v>
      </c>
      <c r="M616" t="n">
        <v>183.4</v>
      </c>
      <c r="N616" t="n">
        <v>3.6</v>
      </c>
      <c r="O616" t="n">
        <v>27.6</v>
      </c>
      <c r="P616" t="inlineStr">
        <is>
          <t>Debit Card</t>
        </is>
      </c>
      <c r="Q616" t="inlineStr">
        <is>
          <t>Delivered</t>
        </is>
      </c>
      <c r="R616" t="n">
        <v>5</v>
      </c>
    </row>
    <row r="617">
      <c r="A617" t="inlineStr">
        <is>
          <t>ORD1616</t>
        </is>
      </c>
      <c r="B617" t="inlineStr">
        <is>
          <t>2025-12-19</t>
        </is>
      </c>
      <c r="C617" t="inlineStr">
        <is>
          <t>20:07:46</t>
        </is>
      </c>
      <c r="D617" t="n">
        <v>1033</v>
      </c>
      <c r="E617" t="n">
        <v>114</v>
      </c>
      <c r="F617" t="n">
        <v>215</v>
      </c>
      <c r="G617" t="inlineStr">
        <is>
          <t>Hyderabad</t>
        </is>
      </c>
      <c r="H617" t="inlineStr">
        <is>
          <t>Biryani</t>
        </is>
      </c>
      <c r="I617" t="n">
        <v>710</v>
      </c>
      <c r="J617" t="n">
        <v>7.92</v>
      </c>
      <c r="K617" t="n">
        <v>27.5</v>
      </c>
      <c r="L617" t="n">
        <v>0.22</v>
      </c>
      <c r="M617" t="n">
        <v>163.07</v>
      </c>
      <c r="N617" t="n">
        <v>3.5</v>
      </c>
      <c r="O617" t="n">
        <v>37.6</v>
      </c>
      <c r="P617" t="inlineStr">
        <is>
          <t>Debit Card</t>
        </is>
      </c>
      <c r="Q617" t="inlineStr">
        <is>
          <t>Delivered</t>
        </is>
      </c>
      <c r="R617" t="n">
        <v>2</v>
      </c>
    </row>
    <row r="618">
      <c r="A618" t="inlineStr">
        <is>
          <t>ORD1617</t>
        </is>
      </c>
      <c r="B618" t="inlineStr">
        <is>
          <t>2025-11-13</t>
        </is>
      </c>
      <c r="C618" t="inlineStr">
        <is>
          <t>10:53:14</t>
        </is>
      </c>
      <c r="D618" t="n">
        <v>1286</v>
      </c>
      <c r="E618" t="n">
        <v>112</v>
      </c>
      <c r="F618" t="n">
        <v>212</v>
      </c>
      <c r="G618" t="inlineStr">
        <is>
          <t>Delhi NCR</t>
        </is>
      </c>
      <c r="H618" t="inlineStr">
        <is>
          <t>North Indian</t>
        </is>
      </c>
      <c r="I618" t="n">
        <v>676</v>
      </c>
      <c r="J618" t="n">
        <v>0</v>
      </c>
      <c r="K618" t="n">
        <v>52</v>
      </c>
      <c r="L618" t="n">
        <v>0.22</v>
      </c>
      <c r="M618" t="n">
        <v>161.72</v>
      </c>
      <c r="N618" t="n">
        <v>8.4</v>
      </c>
      <c r="O618" t="n">
        <v>40.6</v>
      </c>
      <c r="P618" t="inlineStr">
        <is>
          <t>Digital Wallet</t>
        </is>
      </c>
      <c r="Q618" t="inlineStr">
        <is>
          <t>Delivered</t>
        </is>
      </c>
      <c r="R618" t="n">
        <v>2</v>
      </c>
    </row>
    <row r="619">
      <c r="A619" t="inlineStr">
        <is>
          <t>ORD1618</t>
        </is>
      </c>
      <c r="B619" t="inlineStr">
        <is>
          <t>2025-04-11</t>
        </is>
      </c>
      <c r="C619" t="inlineStr">
        <is>
          <t>01:01:05</t>
        </is>
      </c>
      <c r="D619" t="n">
        <v>1026</v>
      </c>
      <c r="E619" t="n">
        <v>109</v>
      </c>
      <c r="F619" t="n">
        <v>215</v>
      </c>
      <c r="G619" t="inlineStr">
        <is>
          <t>Hyderabad</t>
        </is>
      </c>
      <c r="H619" t="inlineStr">
        <is>
          <t>Biryani</t>
        </is>
      </c>
      <c r="I619" t="n">
        <v>771</v>
      </c>
      <c r="J619" t="n">
        <v>84.39</v>
      </c>
      <c r="K619" t="n">
        <v>39.5</v>
      </c>
      <c r="L619" t="n">
        <v>0.2</v>
      </c>
      <c r="M619" t="n">
        <v>164.08</v>
      </c>
      <c r="N619" t="n">
        <v>5.9</v>
      </c>
      <c r="O619" t="n">
        <v>35.7</v>
      </c>
      <c r="P619" t="inlineStr">
        <is>
          <t>UPI</t>
        </is>
      </c>
      <c r="Q619" t="inlineStr">
        <is>
          <t>Delivered</t>
        </is>
      </c>
      <c r="R619" t="n">
        <v>4</v>
      </c>
    </row>
    <row r="620">
      <c r="A620" t="inlineStr">
        <is>
          <t>ORD1619</t>
        </is>
      </c>
      <c r="B620" t="inlineStr">
        <is>
          <t>2025-06-12</t>
        </is>
      </c>
      <c r="C620" t="inlineStr">
        <is>
          <t>10:38:38</t>
        </is>
      </c>
      <c r="D620" t="n">
        <v>1276</v>
      </c>
      <c r="E620" t="n">
        <v>105</v>
      </c>
      <c r="F620" t="n">
        <v>201</v>
      </c>
      <c r="G620" t="inlineStr">
        <is>
          <t>Bangalore</t>
        </is>
      </c>
      <c r="H620" t="inlineStr">
        <is>
          <t>Chinese</t>
        </is>
      </c>
      <c r="I620" t="n">
        <v>743</v>
      </c>
      <c r="J620" t="n">
        <v>54</v>
      </c>
      <c r="K620" t="n">
        <v>40</v>
      </c>
      <c r="L620" t="n">
        <v>0.2</v>
      </c>
      <c r="M620" t="n">
        <v>158.6</v>
      </c>
      <c r="N620" t="n">
        <v>6</v>
      </c>
      <c r="O620" t="n">
        <v>32.6</v>
      </c>
      <c r="P620" t="inlineStr">
        <is>
          <t>Credit Card</t>
        </is>
      </c>
      <c r="Q620" t="inlineStr">
        <is>
          <t>Delivered</t>
        </is>
      </c>
      <c r="R620" t="n">
        <v>4</v>
      </c>
    </row>
    <row r="621">
      <c r="A621" t="inlineStr">
        <is>
          <t>ORD1620</t>
        </is>
      </c>
      <c r="B621" t="inlineStr">
        <is>
          <t>2025-07-10</t>
        </is>
      </c>
      <c r="C621" t="inlineStr">
        <is>
          <t>18:00:18</t>
        </is>
      </c>
      <c r="D621" t="n">
        <v>1167</v>
      </c>
      <c r="E621" t="n">
        <v>108</v>
      </c>
      <c r="F621" t="n">
        <v>221</v>
      </c>
      <c r="G621" t="inlineStr">
        <is>
          <t>Delhi NCR</t>
        </is>
      </c>
      <c r="H621" t="inlineStr">
        <is>
          <t>Fast Food</t>
        </is>
      </c>
      <c r="I621" t="n">
        <v>573</v>
      </c>
      <c r="J621" t="n">
        <v>0</v>
      </c>
      <c r="K621" t="n">
        <v>25</v>
      </c>
      <c r="L621" t="n">
        <v>0.18</v>
      </c>
      <c r="M621" t="n">
        <v>109.39</v>
      </c>
      <c r="N621" t="n">
        <v>3</v>
      </c>
      <c r="O621" t="n">
        <v>34.1</v>
      </c>
      <c r="P621" t="inlineStr">
        <is>
          <t>Digital Wallet</t>
        </is>
      </c>
      <c r="Q621" t="inlineStr">
        <is>
          <t>Delivered</t>
        </is>
      </c>
      <c r="R621" t="n">
        <v>4</v>
      </c>
    </row>
    <row r="622">
      <c r="A622" t="inlineStr">
        <is>
          <t>ORD1621</t>
        </is>
      </c>
      <c r="B622" t="inlineStr">
        <is>
          <t>2025-08-16</t>
        </is>
      </c>
      <c r="C622" t="inlineStr">
        <is>
          <t>22:47:26</t>
        </is>
      </c>
      <c r="D622" t="n">
        <v>1088</v>
      </c>
      <c r="E622" t="n">
        <v>110</v>
      </c>
      <c r="F622" t="n">
        <v>226</v>
      </c>
      <c r="G622" t="inlineStr">
        <is>
          <t>Pune</t>
        </is>
      </c>
      <c r="H622" t="inlineStr">
        <is>
          <t>North Indian</t>
        </is>
      </c>
      <c r="I622" t="n">
        <v>673</v>
      </c>
      <c r="J622" t="n">
        <v>47.25</v>
      </c>
      <c r="K622" t="n">
        <v>30.5</v>
      </c>
      <c r="L622" t="n">
        <v>0.18</v>
      </c>
      <c r="M622" t="n">
        <v>128.76</v>
      </c>
      <c r="N622" t="n">
        <v>4.1</v>
      </c>
      <c r="O622" t="n">
        <v>36.5</v>
      </c>
      <c r="P622" t="inlineStr">
        <is>
          <t>Cash on Delivery</t>
        </is>
      </c>
      <c r="Q622" t="inlineStr">
        <is>
          <t>Delivered</t>
        </is>
      </c>
      <c r="R622" t="n">
        <v>4</v>
      </c>
    </row>
    <row r="623">
      <c r="A623" t="inlineStr">
        <is>
          <t>ORD1622</t>
        </is>
      </c>
      <c r="B623" t="inlineStr">
        <is>
          <t>2025-03-15</t>
        </is>
      </c>
      <c r="C623" t="inlineStr">
        <is>
          <t>18:13:19</t>
        </is>
      </c>
      <c r="D623" t="n">
        <v>1269</v>
      </c>
      <c r="E623" t="n">
        <v>113</v>
      </c>
      <c r="F623" t="n">
        <v>222</v>
      </c>
      <c r="G623" t="inlineStr">
        <is>
          <t>Mumbai</t>
        </is>
      </c>
      <c r="H623" t="inlineStr">
        <is>
          <t>Fast Food</t>
        </is>
      </c>
      <c r="I623" t="n">
        <v>706</v>
      </c>
      <c r="J623" t="n">
        <v>29.67</v>
      </c>
      <c r="K623" t="n">
        <v>27.5</v>
      </c>
      <c r="L623" t="n">
        <v>0.18</v>
      </c>
      <c r="M623" t="n">
        <v>133.95</v>
      </c>
      <c r="N623" t="n">
        <v>3.5</v>
      </c>
      <c r="O623" t="n">
        <v>26.8</v>
      </c>
      <c r="P623" t="inlineStr">
        <is>
          <t>Digital Wallet</t>
        </is>
      </c>
      <c r="Q623" t="inlineStr">
        <is>
          <t>Delivered</t>
        </is>
      </c>
      <c r="R623" t="n">
        <v>5</v>
      </c>
    </row>
    <row r="624">
      <c r="A624" t="inlineStr">
        <is>
          <t>ORD1623</t>
        </is>
      </c>
      <c r="B624" t="inlineStr">
        <is>
          <t>2025-07-29</t>
        </is>
      </c>
      <c r="C624" t="inlineStr">
        <is>
          <t>13:40:58</t>
        </is>
      </c>
      <c r="D624" t="n">
        <v>1069</v>
      </c>
      <c r="E624" t="n">
        <v>111</v>
      </c>
      <c r="F624" t="n">
        <v>213</v>
      </c>
      <c r="G624" t="inlineStr">
        <is>
          <t>Bangalore</t>
        </is>
      </c>
      <c r="H624" t="inlineStr">
        <is>
          <t>South Indian</t>
        </is>
      </c>
      <c r="I624" t="n">
        <v>499</v>
      </c>
      <c r="J624" t="n">
        <v>0</v>
      </c>
      <c r="K624" t="n">
        <v>25</v>
      </c>
      <c r="L624" t="n">
        <v>0.15</v>
      </c>
      <c r="M624" t="n">
        <v>81.09999999999999</v>
      </c>
      <c r="N624" t="n">
        <v>2.6</v>
      </c>
      <c r="O624" t="n">
        <v>29.6</v>
      </c>
      <c r="P624" t="inlineStr">
        <is>
          <t>Digital Wallet</t>
        </is>
      </c>
      <c r="Q624" t="inlineStr">
        <is>
          <t>Delivered</t>
        </is>
      </c>
      <c r="R624" t="n">
        <v>5</v>
      </c>
    </row>
    <row r="625">
      <c r="A625" t="inlineStr">
        <is>
          <t>ORD1624</t>
        </is>
      </c>
      <c r="B625" t="inlineStr">
        <is>
          <t>2025-04-06</t>
        </is>
      </c>
      <c r="C625" t="inlineStr">
        <is>
          <t>14:53:24</t>
        </is>
      </c>
      <c r="D625" t="n">
        <v>1034</v>
      </c>
      <c r="E625" t="n">
        <v>103</v>
      </c>
      <c r="F625" t="n">
        <v>206</v>
      </c>
      <c r="G625" t="inlineStr">
        <is>
          <t>Mumbai</t>
        </is>
      </c>
      <c r="H625" t="inlineStr">
        <is>
          <t>Italian</t>
        </is>
      </c>
      <c r="I625" t="n">
        <v>757</v>
      </c>
      <c r="J625" t="n">
        <v>112.84</v>
      </c>
      <c r="K625" t="n">
        <v>0</v>
      </c>
      <c r="L625" t="n">
        <v>0.18</v>
      </c>
      <c r="M625" t="n">
        <v>136.26</v>
      </c>
      <c r="N625" t="n">
        <v>3.6</v>
      </c>
      <c r="O625" t="n">
        <v>37</v>
      </c>
      <c r="P625" t="inlineStr">
        <is>
          <t>Debit Card</t>
        </is>
      </c>
      <c r="Q625" t="inlineStr">
        <is>
          <t>Delivered</t>
        </is>
      </c>
      <c r="R625" t="n">
        <v>3</v>
      </c>
    </row>
    <row r="626">
      <c r="A626" t="inlineStr">
        <is>
          <t>ORD1625</t>
        </is>
      </c>
      <c r="B626" t="inlineStr">
        <is>
          <t>2025-04-25</t>
        </is>
      </c>
      <c r="C626" t="inlineStr">
        <is>
          <t>22:01:50</t>
        </is>
      </c>
      <c r="D626" t="n">
        <v>1196</v>
      </c>
      <c r="E626" t="n">
        <v>106</v>
      </c>
      <c r="F626" t="n">
        <v>209</v>
      </c>
      <c r="G626" t="inlineStr">
        <is>
          <t>Pune</t>
        </is>
      </c>
      <c r="H626" t="inlineStr">
        <is>
          <t>South Indian</t>
        </is>
      </c>
      <c r="I626" t="n">
        <v>222</v>
      </c>
      <c r="J626" t="n">
        <v>0</v>
      </c>
      <c r="K626" t="n">
        <v>43</v>
      </c>
      <c r="L626" t="n">
        <v>0.15</v>
      </c>
      <c r="M626" t="n">
        <v>44.05</v>
      </c>
      <c r="N626" t="n">
        <v>6.6</v>
      </c>
      <c r="O626" t="n">
        <v>40.4</v>
      </c>
      <c r="P626" t="inlineStr">
        <is>
          <t>Cash on Delivery</t>
        </is>
      </c>
      <c r="Q626" t="inlineStr">
        <is>
          <t>Delivered</t>
        </is>
      </c>
      <c r="R626" t="n">
        <v>3</v>
      </c>
    </row>
    <row r="627">
      <c r="A627" t="inlineStr">
        <is>
          <t>ORD1626</t>
        </is>
      </c>
      <c r="B627" t="inlineStr">
        <is>
          <t>2025-08-02</t>
        </is>
      </c>
      <c r="C627" t="inlineStr">
        <is>
          <t>15:11:31</t>
        </is>
      </c>
      <c r="D627" t="n">
        <v>1039</v>
      </c>
      <c r="E627" t="n">
        <v>115</v>
      </c>
      <c r="F627" t="n">
        <v>223</v>
      </c>
      <c r="G627" t="inlineStr">
        <is>
          <t>Bangalore</t>
        </is>
      </c>
      <c r="H627" t="inlineStr">
        <is>
          <t>Italian</t>
        </is>
      </c>
      <c r="I627" t="n">
        <v>924</v>
      </c>
      <c r="J627" t="n">
        <v>87.90000000000001</v>
      </c>
      <c r="K627" t="n">
        <v>33.5</v>
      </c>
      <c r="L627" t="n">
        <v>0.2</v>
      </c>
      <c r="M627" t="n">
        <v>193.18</v>
      </c>
      <c r="N627" t="n">
        <v>4.7</v>
      </c>
      <c r="O627" t="n">
        <v>34.3</v>
      </c>
      <c r="P627" t="inlineStr">
        <is>
          <t>Debit Card</t>
        </is>
      </c>
      <c r="Q627" t="inlineStr">
        <is>
          <t>Delivered</t>
        </is>
      </c>
      <c r="R627" t="n">
        <v>4</v>
      </c>
    </row>
    <row r="628">
      <c r="A628" t="inlineStr">
        <is>
          <t>ORD1627</t>
        </is>
      </c>
      <c r="B628" t="inlineStr">
        <is>
          <t>2025-10-25</t>
        </is>
      </c>
      <c r="C628" t="inlineStr">
        <is>
          <t>08:30:36</t>
        </is>
      </c>
      <c r="D628" t="n">
        <v>1058</v>
      </c>
      <c r="E628" t="n">
        <v>103</v>
      </c>
      <c r="F628" t="n">
        <v>222</v>
      </c>
      <c r="G628" t="inlineStr">
        <is>
          <t>Mumbai</t>
        </is>
      </c>
      <c r="H628" t="inlineStr">
        <is>
          <t>Italian</t>
        </is>
      </c>
      <c r="I628" t="n">
        <v>666</v>
      </c>
      <c r="J628" t="n">
        <v>33.46</v>
      </c>
      <c r="K628" t="n">
        <v>27</v>
      </c>
      <c r="L628" t="n">
        <v>0.18</v>
      </c>
      <c r="M628" t="n">
        <v>126.63</v>
      </c>
      <c r="N628" t="n">
        <v>3.4</v>
      </c>
      <c r="O628" t="n">
        <v>32</v>
      </c>
      <c r="P628" t="inlineStr">
        <is>
          <t>UPI</t>
        </is>
      </c>
      <c r="Q628" t="inlineStr">
        <is>
          <t>Delivered</t>
        </is>
      </c>
      <c r="R628" t="n">
        <v>3</v>
      </c>
    </row>
    <row r="629">
      <c r="A629" t="inlineStr">
        <is>
          <t>ORD1628</t>
        </is>
      </c>
      <c r="B629" t="inlineStr">
        <is>
          <t>2025-03-25</t>
        </is>
      </c>
      <c r="C629" t="inlineStr">
        <is>
          <t>10:37:03</t>
        </is>
      </c>
      <c r="D629" t="n">
        <v>1170</v>
      </c>
      <c r="E629" t="n">
        <v>117</v>
      </c>
      <c r="F629" t="n">
        <v>206</v>
      </c>
      <c r="G629" t="inlineStr">
        <is>
          <t>Mumbai</t>
        </is>
      </c>
      <c r="H629" t="inlineStr">
        <is>
          <t>Chinese</t>
        </is>
      </c>
      <c r="I629" t="n">
        <v>369</v>
      </c>
      <c r="J629" t="n">
        <v>0</v>
      </c>
      <c r="K629" t="n">
        <v>47.5</v>
      </c>
      <c r="L629" t="n">
        <v>0.2</v>
      </c>
      <c r="M629" t="n">
        <v>85.68000000000001</v>
      </c>
      <c r="N629" t="n">
        <v>7.5</v>
      </c>
      <c r="O629" t="n">
        <v>43.7</v>
      </c>
      <c r="P629" t="inlineStr">
        <is>
          <t>Credit Card</t>
        </is>
      </c>
      <c r="Q629" t="inlineStr">
        <is>
          <t>Delivered</t>
        </is>
      </c>
      <c r="R629" t="n">
        <v>1</v>
      </c>
    </row>
    <row r="630">
      <c r="A630" t="inlineStr">
        <is>
          <t>ORD1629</t>
        </is>
      </c>
      <c r="B630" t="inlineStr">
        <is>
          <t>2025-05-20</t>
        </is>
      </c>
      <c r="C630" t="inlineStr">
        <is>
          <t>10:23:26</t>
        </is>
      </c>
      <c r="D630" t="n">
        <v>1293</v>
      </c>
      <c r="E630" t="n">
        <v>102</v>
      </c>
      <c r="F630" t="n">
        <v>216</v>
      </c>
      <c r="G630" t="inlineStr">
        <is>
          <t>Hyderabad</t>
        </is>
      </c>
      <c r="H630" t="inlineStr">
        <is>
          <t>Biryani</t>
        </is>
      </c>
      <c r="I630" t="n">
        <v>871</v>
      </c>
      <c r="J630" t="n">
        <v>99.16</v>
      </c>
      <c r="K630" t="n">
        <v>25</v>
      </c>
      <c r="L630" t="n">
        <v>0.22</v>
      </c>
      <c r="M630" t="n">
        <v>197.87</v>
      </c>
      <c r="N630" t="n">
        <v>1.3</v>
      </c>
      <c r="O630" t="n">
        <v>20</v>
      </c>
      <c r="P630" t="inlineStr">
        <is>
          <t>Debit Card</t>
        </is>
      </c>
      <c r="Q630" t="inlineStr">
        <is>
          <t>Delivered</t>
        </is>
      </c>
      <c r="R630" t="n">
        <v>4</v>
      </c>
    </row>
    <row r="631">
      <c r="A631" t="inlineStr">
        <is>
          <t>ORD1630</t>
        </is>
      </c>
      <c r="B631" t="inlineStr">
        <is>
          <t>2025-11-18</t>
        </is>
      </c>
      <c r="C631" t="inlineStr">
        <is>
          <t>21:11:48</t>
        </is>
      </c>
      <c r="D631" t="n">
        <v>1136</v>
      </c>
      <c r="E631" t="n">
        <v>102</v>
      </c>
      <c r="F631" t="n">
        <v>216</v>
      </c>
      <c r="G631" t="inlineStr">
        <is>
          <t>Hyderabad</t>
        </is>
      </c>
      <c r="H631" t="inlineStr">
        <is>
          <t>Biryani</t>
        </is>
      </c>
      <c r="I631" t="n">
        <v>316</v>
      </c>
      <c r="J631" t="n">
        <v>4.23</v>
      </c>
      <c r="K631" t="n">
        <v>25</v>
      </c>
      <c r="L631" t="n">
        <v>0.22</v>
      </c>
      <c r="M631" t="n">
        <v>75.77</v>
      </c>
      <c r="N631" t="n">
        <v>2.3</v>
      </c>
      <c r="O631" t="n">
        <v>25.7</v>
      </c>
      <c r="P631" t="inlineStr">
        <is>
          <t>Debit Card</t>
        </is>
      </c>
      <c r="Q631" t="inlineStr">
        <is>
          <t>Delivered</t>
        </is>
      </c>
      <c r="R631" t="n">
        <v>3</v>
      </c>
    </row>
    <row r="632">
      <c r="A632" t="inlineStr">
        <is>
          <t>ORD1631</t>
        </is>
      </c>
      <c r="B632" t="inlineStr">
        <is>
          <t>2025-02-19</t>
        </is>
      </c>
      <c r="C632" t="inlineStr">
        <is>
          <t>19:34:37</t>
        </is>
      </c>
      <c r="D632" t="n">
        <v>1148</v>
      </c>
      <c r="E632" t="n">
        <v>115</v>
      </c>
      <c r="F632" t="n">
        <v>210</v>
      </c>
      <c r="G632" t="inlineStr">
        <is>
          <t>Bangalore</t>
        </is>
      </c>
      <c r="H632" t="inlineStr">
        <is>
          <t>Italian</t>
        </is>
      </c>
      <c r="I632" t="n">
        <v>580</v>
      </c>
      <c r="J632" t="n">
        <v>0.6</v>
      </c>
      <c r="K632" t="n">
        <v>25</v>
      </c>
      <c r="L632" t="n">
        <v>0.2</v>
      </c>
      <c r="M632" t="n">
        <v>122.25</v>
      </c>
      <c r="N632" t="n">
        <v>2.9</v>
      </c>
      <c r="O632" t="n">
        <v>28.8</v>
      </c>
      <c r="P632" t="inlineStr">
        <is>
          <t>Debit Card</t>
        </is>
      </c>
      <c r="Q632" t="inlineStr">
        <is>
          <t>Delivered</t>
        </is>
      </c>
      <c r="R632" t="n">
        <v>3</v>
      </c>
    </row>
    <row r="633">
      <c r="A633" t="inlineStr">
        <is>
          <t>ORD1632</t>
        </is>
      </c>
      <c r="B633" t="inlineStr">
        <is>
          <t>2025-03-25</t>
        </is>
      </c>
      <c r="C633" t="inlineStr">
        <is>
          <t>17:06:13</t>
        </is>
      </c>
      <c r="D633" t="n">
        <v>1049</v>
      </c>
      <c r="E633" t="n">
        <v>107</v>
      </c>
      <c r="F633" t="n">
        <v>206</v>
      </c>
      <c r="G633" t="inlineStr">
        <is>
          <t>Mumbai</t>
        </is>
      </c>
      <c r="H633" t="inlineStr">
        <is>
          <t>Desserts</t>
        </is>
      </c>
      <c r="I633" t="n">
        <v>378</v>
      </c>
      <c r="J633" t="n">
        <v>25.15</v>
      </c>
      <c r="K633" t="n">
        <v>29.5</v>
      </c>
      <c r="L633" t="n">
        <v>0.25</v>
      </c>
      <c r="M633" t="n">
        <v>101.88</v>
      </c>
      <c r="N633" t="n">
        <v>3.9</v>
      </c>
      <c r="O633" t="n">
        <v>30.9</v>
      </c>
      <c r="P633" t="inlineStr">
        <is>
          <t>Digital Wallet</t>
        </is>
      </c>
      <c r="Q633" t="inlineStr">
        <is>
          <t>Delivered</t>
        </is>
      </c>
      <c r="R633" t="n">
        <v>4</v>
      </c>
    </row>
    <row r="634">
      <c r="A634" t="inlineStr">
        <is>
          <t>ORD1633</t>
        </is>
      </c>
      <c r="B634" t="inlineStr">
        <is>
          <t>2025-02-09</t>
        </is>
      </c>
      <c r="C634" t="inlineStr">
        <is>
          <t>17:07:52</t>
        </is>
      </c>
      <c r="D634" t="n">
        <v>1166</v>
      </c>
      <c r="E634" t="n">
        <v>115</v>
      </c>
      <c r="F634" t="n">
        <v>203</v>
      </c>
      <c r="G634" t="inlineStr">
        <is>
          <t>Bangalore</t>
        </is>
      </c>
      <c r="H634" t="inlineStr">
        <is>
          <t>Italian</t>
        </is>
      </c>
      <c r="I634" t="n">
        <v>354</v>
      </c>
      <c r="J634" t="n">
        <v>40.58</v>
      </c>
      <c r="K634" t="n">
        <v>41</v>
      </c>
      <c r="L634" t="n">
        <v>0.2</v>
      </c>
      <c r="M634" t="n">
        <v>81.05</v>
      </c>
      <c r="N634" t="n">
        <v>6.2</v>
      </c>
      <c r="O634" t="n">
        <v>35</v>
      </c>
      <c r="P634" t="inlineStr">
        <is>
          <t>Debit Card</t>
        </is>
      </c>
      <c r="Q634" t="inlineStr">
        <is>
          <t>Delivered</t>
        </is>
      </c>
      <c r="R634" t="n">
        <v>3</v>
      </c>
    </row>
    <row r="635">
      <c r="A635" t="inlineStr">
        <is>
          <t>ORD1634</t>
        </is>
      </c>
      <c r="B635" t="inlineStr">
        <is>
          <t>2025-11-02</t>
        </is>
      </c>
      <c r="C635" t="inlineStr">
        <is>
          <t>20:33:48</t>
        </is>
      </c>
      <c r="D635" t="n">
        <v>1028</v>
      </c>
      <c r="E635" t="n">
        <v>114</v>
      </c>
      <c r="F635" t="n">
        <v>215</v>
      </c>
      <c r="G635" t="inlineStr">
        <is>
          <t>Hyderabad</t>
        </is>
      </c>
      <c r="H635" t="inlineStr">
        <is>
          <t>Biryani</t>
        </is>
      </c>
      <c r="I635" t="n">
        <v>570</v>
      </c>
      <c r="J635" t="n">
        <v>0</v>
      </c>
      <c r="K635" t="n">
        <v>31.5</v>
      </c>
      <c r="L635" t="n">
        <v>0.22</v>
      </c>
      <c r="M635" t="n">
        <v>133.28</v>
      </c>
      <c r="N635" t="n">
        <v>4.3</v>
      </c>
      <c r="O635" t="n">
        <v>32.3</v>
      </c>
      <c r="P635" t="inlineStr">
        <is>
          <t>UPI</t>
        </is>
      </c>
      <c r="Q635" t="inlineStr">
        <is>
          <t>Delivered</t>
        </is>
      </c>
      <c r="R635" t="n">
        <v>4</v>
      </c>
    </row>
    <row r="636">
      <c r="A636" t="inlineStr">
        <is>
          <t>ORD1635</t>
        </is>
      </c>
      <c r="B636" t="inlineStr">
        <is>
          <t>2025-12-22</t>
        </is>
      </c>
      <c r="C636" t="inlineStr">
        <is>
          <t>10:09:44</t>
        </is>
      </c>
      <c r="D636" t="n">
        <v>1145</v>
      </c>
      <c r="E636" t="n">
        <v>120</v>
      </c>
      <c r="F636" t="n">
        <v>209</v>
      </c>
      <c r="G636" t="inlineStr">
        <is>
          <t>Pune</t>
        </is>
      </c>
      <c r="H636" t="inlineStr">
        <is>
          <t>Fast Food</t>
        </is>
      </c>
      <c r="I636" t="n">
        <v>452</v>
      </c>
      <c r="J636" t="n">
        <v>0</v>
      </c>
      <c r="K636" t="n">
        <v>32</v>
      </c>
      <c r="L636" t="n">
        <v>0.18</v>
      </c>
      <c r="M636" t="n">
        <v>89.36</v>
      </c>
      <c r="N636" t="n">
        <v>4.4</v>
      </c>
      <c r="O636" t="n">
        <v>27</v>
      </c>
      <c r="P636" t="inlineStr">
        <is>
          <t>UPI</t>
        </is>
      </c>
      <c r="Q636" t="inlineStr">
        <is>
          <t>Delivered</t>
        </is>
      </c>
      <c r="R636" t="n">
        <v>5</v>
      </c>
    </row>
    <row r="637">
      <c r="A637" t="inlineStr">
        <is>
          <t>ORD1636</t>
        </is>
      </c>
      <c r="B637" t="inlineStr">
        <is>
          <t>2025-01-10</t>
        </is>
      </c>
      <c r="C637" t="inlineStr">
        <is>
          <t>19:49:30</t>
        </is>
      </c>
      <c r="D637" t="n">
        <v>1292</v>
      </c>
      <c r="E637" t="n">
        <v>116</v>
      </c>
      <c r="F637" t="n">
        <v>214</v>
      </c>
      <c r="G637" t="inlineStr">
        <is>
          <t>Pune</t>
        </is>
      </c>
      <c r="H637" t="inlineStr">
        <is>
          <t>Desserts</t>
        </is>
      </c>
      <c r="I637" t="n">
        <v>661</v>
      </c>
      <c r="J637" t="n">
        <v>0</v>
      </c>
      <c r="K637" t="n">
        <v>25</v>
      </c>
      <c r="L637" t="n">
        <v>0.25</v>
      </c>
      <c r="M637" t="n">
        <v>171.5</v>
      </c>
      <c r="N637" t="n">
        <v>2.9</v>
      </c>
      <c r="O637" t="n">
        <v>25.3</v>
      </c>
      <c r="P637" t="inlineStr">
        <is>
          <t>Digital Wallet</t>
        </is>
      </c>
      <c r="Q637" t="inlineStr">
        <is>
          <t>Delivered</t>
        </is>
      </c>
      <c r="R637" t="n">
        <v>5</v>
      </c>
    </row>
    <row r="638">
      <c r="A638" t="inlineStr">
        <is>
          <t>ORD1637</t>
        </is>
      </c>
      <c r="B638" t="inlineStr">
        <is>
          <t>2025-05-10</t>
        </is>
      </c>
      <c r="C638" t="inlineStr">
        <is>
          <t>20:02:04</t>
        </is>
      </c>
      <c r="D638" t="n">
        <v>1199</v>
      </c>
      <c r="E638" t="n">
        <v>119</v>
      </c>
      <c r="F638" t="n">
        <v>216</v>
      </c>
      <c r="G638" t="inlineStr">
        <is>
          <t>Hyderabad</t>
        </is>
      </c>
      <c r="H638" t="inlineStr">
        <is>
          <t>Biryani</t>
        </is>
      </c>
      <c r="I638" t="n">
        <v>798</v>
      </c>
      <c r="J638" t="n">
        <v>80.62</v>
      </c>
      <c r="K638" t="n">
        <v>0</v>
      </c>
      <c r="L638" t="n">
        <v>0.2</v>
      </c>
      <c r="M638" t="n">
        <v>159.6</v>
      </c>
      <c r="N638" t="n">
        <v>5.8</v>
      </c>
      <c r="O638" t="n">
        <v/>
      </c>
      <c r="P638" t="inlineStr">
        <is>
          <t>UPI</t>
        </is>
      </c>
      <c r="Q638" t="inlineStr">
        <is>
          <t>Cancelled</t>
        </is>
      </c>
      <c r="R638" t="n">
        <v/>
      </c>
    </row>
    <row r="639">
      <c r="A639" t="inlineStr">
        <is>
          <t>ORD1638</t>
        </is>
      </c>
      <c r="B639" t="inlineStr">
        <is>
          <t>2025-12-10</t>
        </is>
      </c>
      <c r="C639" t="inlineStr">
        <is>
          <t>23:22:01</t>
        </is>
      </c>
      <c r="D639" t="n">
        <v>1050</v>
      </c>
      <c r="E639" t="n">
        <v>116</v>
      </c>
      <c r="F639" t="n">
        <v>207</v>
      </c>
      <c r="G639" t="inlineStr">
        <is>
          <t>Pune</t>
        </is>
      </c>
      <c r="H639" t="inlineStr">
        <is>
          <t>Desserts</t>
        </is>
      </c>
      <c r="I639" t="n">
        <v>312</v>
      </c>
      <c r="J639" t="n">
        <v>0</v>
      </c>
      <c r="K639" t="n">
        <v>37</v>
      </c>
      <c r="L639" t="n">
        <v>0.25</v>
      </c>
      <c r="M639" t="n">
        <v>87.25</v>
      </c>
      <c r="N639" t="n">
        <v>5.4</v>
      </c>
      <c r="O639" t="n">
        <v>35.1</v>
      </c>
      <c r="P639" t="inlineStr">
        <is>
          <t>Debit Card</t>
        </is>
      </c>
      <c r="Q639" t="inlineStr">
        <is>
          <t>Delivered</t>
        </is>
      </c>
      <c r="R639" t="n">
        <v>4</v>
      </c>
    </row>
    <row r="640">
      <c r="A640" t="inlineStr">
        <is>
          <t>ORD1639</t>
        </is>
      </c>
      <c r="B640" t="inlineStr">
        <is>
          <t>2025-09-14</t>
        </is>
      </c>
      <c r="C640" t="inlineStr">
        <is>
          <t>13:49:46</t>
        </is>
      </c>
      <c r="D640" t="n">
        <v>1208</v>
      </c>
      <c r="E640" t="n">
        <v>120</v>
      </c>
      <c r="F640" t="n">
        <v>207</v>
      </c>
      <c r="G640" t="inlineStr">
        <is>
          <t>Pune</t>
        </is>
      </c>
      <c r="H640" t="inlineStr">
        <is>
          <t>Fast Food</t>
        </is>
      </c>
      <c r="I640" t="n">
        <v>847</v>
      </c>
      <c r="J640" t="n">
        <v>56.69</v>
      </c>
      <c r="K640" t="n">
        <v>25</v>
      </c>
      <c r="L640" t="n">
        <v>0.18</v>
      </c>
      <c r="M640" t="n">
        <v>158.71</v>
      </c>
      <c r="N640" t="n">
        <v>1.8</v>
      </c>
      <c r="O640" t="n">
        <v>26.4</v>
      </c>
      <c r="P640" t="inlineStr">
        <is>
          <t>UPI</t>
        </is>
      </c>
      <c r="Q640" t="inlineStr">
        <is>
          <t>Returned</t>
        </is>
      </c>
      <c r="R640" t="n">
        <v>5</v>
      </c>
    </row>
    <row r="641">
      <c r="A641" t="inlineStr">
        <is>
          <t>ORD1640</t>
        </is>
      </c>
      <c r="B641" t="inlineStr">
        <is>
          <t>2025-05-25</t>
        </is>
      </c>
      <c r="C641" t="inlineStr">
        <is>
          <t>15:10:57</t>
        </is>
      </c>
      <c r="D641" t="n">
        <v>1120</v>
      </c>
      <c r="E641" t="n">
        <v>116</v>
      </c>
      <c r="F641" t="n">
        <v>209</v>
      </c>
      <c r="G641" t="inlineStr">
        <is>
          <t>Pune</t>
        </is>
      </c>
      <c r="H641" t="inlineStr">
        <is>
          <t>Desserts</t>
        </is>
      </c>
      <c r="I641" t="n">
        <v>770</v>
      </c>
      <c r="J641" t="n">
        <v>0</v>
      </c>
      <c r="K641" t="n">
        <v>25</v>
      </c>
      <c r="L641" t="n">
        <v>0.25</v>
      </c>
      <c r="M641" t="n">
        <v>198.75</v>
      </c>
      <c r="N641" t="n">
        <v>2.7</v>
      </c>
      <c r="O641" t="n">
        <v>28.7</v>
      </c>
      <c r="P641" t="inlineStr">
        <is>
          <t>Credit Card</t>
        </is>
      </c>
      <c r="Q641" t="inlineStr">
        <is>
          <t>Delivered</t>
        </is>
      </c>
      <c r="R641" t="n">
        <v>4</v>
      </c>
    </row>
    <row r="642">
      <c r="A642" t="inlineStr">
        <is>
          <t>ORD1641</t>
        </is>
      </c>
      <c r="B642" t="inlineStr">
        <is>
          <t>2025-08-14</t>
        </is>
      </c>
      <c r="C642" t="inlineStr">
        <is>
          <t>20:43:06</t>
        </is>
      </c>
      <c r="D642" t="n">
        <v>1298</v>
      </c>
      <c r="E642" t="n">
        <v>119</v>
      </c>
      <c r="F642" t="n">
        <v>225</v>
      </c>
      <c r="G642" t="inlineStr">
        <is>
          <t>Hyderabad</t>
        </is>
      </c>
      <c r="H642" t="inlineStr">
        <is>
          <t>Biryani</t>
        </is>
      </c>
      <c r="I642" t="n">
        <v>405</v>
      </c>
      <c r="J642" t="n">
        <v>31.79</v>
      </c>
      <c r="K642" t="n">
        <v>25</v>
      </c>
      <c r="L642" t="n">
        <v>0.2</v>
      </c>
      <c r="M642" t="n">
        <v>87.25</v>
      </c>
      <c r="N642" t="n">
        <v>1.9</v>
      </c>
      <c r="O642" t="n">
        <v>26.5</v>
      </c>
      <c r="P642" t="inlineStr">
        <is>
          <t>Digital Wallet</t>
        </is>
      </c>
      <c r="Q642" t="inlineStr">
        <is>
          <t>Delivered</t>
        </is>
      </c>
      <c r="R642" t="n">
        <v>4</v>
      </c>
    </row>
    <row r="643">
      <c r="A643" t="inlineStr">
        <is>
          <t>ORD1642</t>
        </is>
      </c>
      <c r="B643" t="inlineStr">
        <is>
          <t>2025-02-27</t>
        </is>
      </c>
      <c r="C643" t="inlineStr">
        <is>
          <t>21:48:20</t>
        </is>
      </c>
      <c r="D643" t="n">
        <v>1043</v>
      </c>
      <c r="E643" t="n">
        <v>119</v>
      </c>
      <c r="F643" t="n">
        <v>216</v>
      </c>
      <c r="G643" t="inlineStr">
        <is>
          <t>Hyderabad</t>
        </is>
      </c>
      <c r="H643" t="inlineStr">
        <is>
          <t>Biryani</t>
        </is>
      </c>
      <c r="I643" t="n">
        <v>346</v>
      </c>
      <c r="J643" t="n">
        <v>0</v>
      </c>
      <c r="K643" t="n">
        <v>26</v>
      </c>
      <c r="L643" t="n">
        <v>0.2</v>
      </c>
      <c r="M643" t="n">
        <v>75.7</v>
      </c>
      <c r="N643" t="n">
        <v>3.2</v>
      </c>
      <c r="O643" t="n">
        <v>30.2</v>
      </c>
      <c r="P643" t="inlineStr">
        <is>
          <t>Cash on Delivery</t>
        </is>
      </c>
      <c r="Q643" t="inlineStr">
        <is>
          <t>Delivered</t>
        </is>
      </c>
      <c r="R643" t="n">
        <v>4</v>
      </c>
    </row>
    <row r="644">
      <c r="A644" t="inlineStr">
        <is>
          <t>ORD1643</t>
        </is>
      </c>
      <c r="B644" t="inlineStr">
        <is>
          <t>2025-02-12</t>
        </is>
      </c>
      <c r="C644" t="inlineStr">
        <is>
          <t>10:20:31</t>
        </is>
      </c>
      <c r="D644" t="n">
        <v>1253</v>
      </c>
      <c r="E644" t="n">
        <v>102</v>
      </c>
      <c r="F644" t="n">
        <v>216</v>
      </c>
      <c r="G644" t="inlineStr">
        <is>
          <t>Hyderabad</t>
        </is>
      </c>
      <c r="H644" t="inlineStr">
        <is>
          <t>Biryani</t>
        </is>
      </c>
      <c r="I644" t="n">
        <v>536</v>
      </c>
      <c r="J644" t="n">
        <v>68.8</v>
      </c>
      <c r="K644" t="n">
        <v>0</v>
      </c>
      <c r="L644" t="n">
        <v>0.22</v>
      </c>
      <c r="M644" t="n">
        <v>117.92</v>
      </c>
      <c r="N644" t="n">
        <v>5.3</v>
      </c>
      <c r="O644" t="n">
        <v>33.3</v>
      </c>
      <c r="P644" t="inlineStr">
        <is>
          <t>Debit Card</t>
        </is>
      </c>
      <c r="Q644" t="inlineStr">
        <is>
          <t>Delivered</t>
        </is>
      </c>
      <c r="R644" t="n">
        <v>5</v>
      </c>
    </row>
    <row r="645">
      <c r="A645" t="inlineStr">
        <is>
          <t>ORD1644</t>
        </is>
      </c>
      <c r="B645" t="inlineStr">
        <is>
          <t>2025-05-29</t>
        </is>
      </c>
      <c r="C645" t="inlineStr">
        <is>
          <t>09:54:27</t>
        </is>
      </c>
      <c r="D645" t="n">
        <v>1201</v>
      </c>
      <c r="E645" t="n">
        <v>105</v>
      </c>
      <c r="F645" t="n">
        <v>203</v>
      </c>
      <c r="G645" t="inlineStr">
        <is>
          <t>Bangalore</t>
        </is>
      </c>
      <c r="H645" t="inlineStr">
        <is>
          <t>Chinese</t>
        </is>
      </c>
      <c r="I645" t="n">
        <v>413</v>
      </c>
      <c r="J645" t="n">
        <v>45.42</v>
      </c>
      <c r="K645" t="n">
        <v>48</v>
      </c>
      <c r="L645" t="n">
        <v>0.2</v>
      </c>
      <c r="M645" t="n">
        <v>94.59999999999999</v>
      </c>
      <c r="N645" t="n">
        <v>7.6</v>
      </c>
      <c r="O645" t="n">
        <v>42.5</v>
      </c>
      <c r="P645" t="inlineStr">
        <is>
          <t>Cash on Delivery</t>
        </is>
      </c>
      <c r="Q645" t="inlineStr">
        <is>
          <t>Delivered</t>
        </is>
      </c>
      <c r="R645" t="n">
        <v>1</v>
      </c>
    </row>
    <row r="646">
      <c r="A646" t="inlineStr">
        <is>
          <t>ORD1645</t>
        </is>
      </c>
      <c r="B646" t="inlineStr">
        <is>
          <t>2025-12-12</t>
        </is>
      </c>
      <c r="C646" t="inlineStr">
        <is>
          <t>12:31:43</t>
        </is>
      </c>
      <c r="D646" t="n">
        <v>1175</v>
      </c>
      <c r="E646" t="n">
        <v>115</v>
      </c>
      <c r="F646" t="n">
        <v>227</v>
      </c>
      <c r="G646" t="inlineStr">
        <is>
          <t>Bangalore</t>
        </is>
      </c>
      <c r="H646" t="inlineStr">
        <is>
          <t>Italian</t>
        </is>
      </c>
      <c r="I646" t="n">
        <v>327</v>
      </c>
      <c r="J646" t="n">
        <v>25.42</v>
      </c>
      <c r="K646" t="n">
        <v>30.5</v>
      </c>
      <c r="L646" t="n">
        <v>0.2</v>
      </c>
      <c r="M646" t="n">
        <v>73.03</v>
      </c>
      <c r="N646" t="n">
        <v>4.1</v>
      </c>
      <c r="O646" t="n">
        <v>34.1</v>
      </c>
      <c r="P646" t="inlineStr">
        <is>
          <t>UPI</t>
        </is>
      </c>
      <c r="Q646" t="inlineStr">
        <is>
          <t>Delivered</t>
        </is>
      </c>
      <c r="R646" t="n">
        <v>5</v>
      </c>
    </row>
    <row r="647">
      <c r="A647" t="inlineStr">
        <is>
          <t>ORD1646</t>
        </is>
      </c>
      <c r="B647" t="inlineStr">
        <is>
          <t>2025-07-22</t>
        </is>
      </c>
      <c r="C647" t="inlineStr">
        <is>
          <t>15:25:44</t>
        </is>
      </c>
      <c r="D647" t="n">
        <v>1068</v>
      </c>
      <c r="E647" t="n">
        <v>120</v>
      </c>
      <c r="F647" t="n">
        <v>208</v>
      </c>
      <c r="G647" t="inlineStr">
        <is>
          <t>Pune</t>
        </is>
      </c>
      <c r="H647" t="inlineStr">
        <is>
          <t>Fast Food</t>
        </is>
      </c>
      <c r="I647" t="n">
        <v>824</v>
      </c>
      <c r="J647" t="n">
        <v>97.59</v>
      </c>
      <c r="K647" t="n">
        <v>26</v>
      </c>
      <c r="L647" t="n">
        <v>0.18</v>
      </c>
      <c r="M647" t="n">
        <v>154.82</v>
      </c>
      <c r="N647" t="n">
        <v>3.2</v>
      </c>
      <c r="O647" t="n">
        <v>35.9</v>
      </c>
      <c r="P647" t="inlineStr">
        <is>
          <t>Credit Card</t>
        </is>
      </c>
      <c r="Q647" t="inlineStr">
        <is>
          <t>Delivered</t>
        </is>
      </c>
      <c r="R647" t="n">
        <v>5</v>
      </c>
    </row>
    <row r="648">
      <c r="A648" t="inlineStr">
        <is>
          <t>ORD1647</t>
        </is>
      </c>
      <c r="B648" t="inlineStr">
        <is>
          <t>2025-04-12</t>
        </is>
      </c>
      <c r="C648" t="inlineStr">
        <is>
          <t>20:21:12</t>
        </is>
      </c>
      <c r="D648" t="n">
        <v>1018</v>
      </c>
      <c r="E648" t="n">
        <v>108</v>
      </c>
      <c r="F648" t="n">
        <v>230</v>
      </c>
      <c r="G648" t="inlineStr">
        <is>
          <t>Delhi NCR</t>
        </is>
      </c>
      <c r="H648" t="inlineStr">
        <is>
          <t>Fast Food</t>
        </is>
      </c>
      <c r="I648" t="n">
        <v>829</v>
      </c>
      <c r="J648" t="n">
        <v>26.81</v>
      </c>
      <c r="K648" t="n">
        <v>25</v>
      </c>
      <c r="L648" t="n">
        <v>0.18</v>
      </c>
      <c r="M648" t="n">
        <v>155.47</v>
      </c>
      <c r="N648" t="n">
        <v>1.5</v>
      </c>
      <c r="O648" t="n">
        <v>23.9</v>
      </c>
      <c r="P648" t="inlineStr">
        <is>
          <t>Cash on Delivery</t>
        </is>
      </c>
      <c r="Q648" t="inlineStr">
        <is>
          <t>Delivered</t>
        </is>
      </c>
      <c r="R648" t="n">
        <v>5</v>
      </c>
    </row>
    <row r="649">
      <c r="A649" t="inlineStr">
        <is>
          <t>ORD1648</t>
        </is>
      </c>
      <c r="B649" t="inlineStr">
        <is>
          <t>2025-11-26</t>
        </is>
      </c>
      <c r="C649" t="inlineStr">
        <is>
          <t>11:25:22</t>
        </is>
      </c>
      <c r="D649" t="n">
        <v>1281</v>
      </c>
      <c r="E649" t="n">
        <v>115</v>
      </c>
      <c r="F649" t="n">
        <v>227</v>
      </c>
      <c r="G649" t="inlineStr">
        <is>
          <t>Bangalore</t>
        </is>
      </c>
      <c r="H649" t="inlineStr">
        <is>
          <t>Italian</t>
        </is>
      </c>
      <c r="I649" t="n">
        <v>977</v>
      </c>
      <c r="J649" t="n">
        <v>156.63</v>
      </c>
      <c r="K649" t="n">
        <v>0</v>
      </c>
      <c r="L649" t="n">
        <v>0.2</v>
      </c>
      <c r="M649" t="n">
        <v>195.4</v>
      </c>
      <c r="N649" t="n">
        <v>4.1</v>
      </c>
      <c r="O649" t="n">
        <v>28.1</v>
      </c>
      <c r="P649" t="inlineStr">
        <is>
          <t>Cash on Delivery</t>
        </is>
      </c>
      <c r="Q649" t="inlineStr">
        <is>
          <t>Delivered</t>
        </is>
      </c>
      <c r="R649" t="n">
        <v>4</v>
      </c>
    </row>
    <row r="650">
      <c r="A650" t="inlineStr">
        <is>
          <t>ORD1649</t>
        </is>
      </c>
      <c r="B650" t="inlineStr">
        <is>
          <t>2025-02-25</t>
        </is>
      </c>
      <c r="C650" t="inlineStr">
        <is>
          <t>22:07:16</t>
        </is>
      </c>
      <c r="D650" t="n">
        <v>1282</v>
      </c>
      <c r="E650" t="n">
        <v>108</v>
      </c>
      <c r="F650" t="n">
        <v>219</v>
      </c>
      <c r="G650" t="inlineStr">
        <is>
          <t>Delhi NCR</t>
        </is>
      </c>
      <c r="H650" t="inlineStr">
        <is>
          <t>Fast Food</t>
        </is>
      </c>
      <c r="I650" t="n">
        <v>721</v>
      </c>
      <c r="J650" t="n">
        <v>0</v>
      </c>
      <c r="K650" t="n">
        <v>39.5</v>
      </c>
      <c r="L650" t="n">
        <v>0.18</v>
      </c>
      <c r="M650" t="n">
        <v>139.66</v>
      </c>
      <c r="N650" t="n">
        <v>5.9</v>
      </c>
      <c r="O650" t="n">
        <v>36.1</v>
      </c>
      <c r="P650" t="inlineStr">
        <is>
          <t>Credit Card</t>
        </is>
      </c>
      <c r="Q650" t="inlineStr">
        <is>
          <t>Delivered</t>
        </is>
      </c>
      <c r="R650" t="n">
        <v>2</v>
      </c>
    </row>
    <row r="651">
      <c r="A651" t="inlineStr">
        <is>
          <t>ORD1650</t>
        </is>
      </c>
      <c r="B651" t="inlineStr">
        <is>
          <t>2025-01-28</t>
        </is>
      </c>
      <c r="C651" t="inlineStr">
        <is>
          <t>18:53:04</t>
        </is>
      </c>
      <c r="D651" t="n">
        <v>1262</v>
      </c>
      <c r="E651" t="n">
        <v>112</v>
      </c>
      <c r="F651" t="n">
        <v>212</v>
      </c>
      <c r="G651" t="inlineStr">
        <is>
          <t>Delhi NCR</t>
        </is>
      </c>
      <c r="H651" t="inlineStr">
        <is>
          <t>North Indian</t>
        </is>
      </c>
      <c r="I651" t="n">
        <v>1003</v>
      </c>
      <c r="J651" t="n">
        <v>102.98</v>
      </c>
      <c r="K651" t="n">
        <v>0</v>
      </c>
      <c r="L651" t="n">
        <v>0.22</v>
      </c>
      <c r="M651" t="n">
        <v>220.66</v>
      </c>
      <c r="N651" t="n">
        <v>8.4</v>
      </c>
      <c r="O651" t="n">
        <v>41.4</v>
      </c>
      <c r="P651" t="inlineStr">
        <is>
          <t>Digital Wallet</t>
        </is>
      </c>
      <c r="Q651" t="inlineStr">
        <is>
          <t>Delivered</t>
        </is>
      </c>
      <c r="R651" t="n">
        <v>2</v>
      </c>
    </row>
    <row r="652">
      <c r="A652" t="inlineStr">
        <is>
          <t>ORD1651</t>
        </is>
      </c>
      <c r="B652" t="inlineStr">
        <is>
          <t>2025-11-15</t>
        </is>
      </c>
      <c r="C652" t="inlineStr">
        <is>
          <t>16:39:06</t>
        </is>
      </c>
      <c r="D652" t="n">
        <v>1191</v>
      </c>
      <c r="E652" t="n">
        <v>104</v>
      </c>
      <c r="F652" t="n">
        <v>228</v>
      </c>
      <c r="G652" t="inlineStr">
        <is>
          <t>Delhi NCR</t>
        </is>
      </c>
      <c r="H652" t="inlineStr">
        <is>
          <t>Fast Food</t>
        </is>
      </c>
      <c r="I652" t="n">
        <v>298</v>
      </c>
      <c r="J652" t="n">
        <v>12.4</v>
      </c>
      <c r="K652" t="n">
        <v>35.5</v>
      </c>
      <c r="L652" t="n">
        <v>0.18</v>
      </c>
      <c r="M652" t="n">
        <v>62.52</v>
      </c>
      <c r="N652" t="n">
        <v>5.1</v>
      </c>
      <c r="O652" t="n">
        <v>34.1</v>
      </c>
      <c r="P652" t="inlineStr">
        <is>
          <t>Cash on Delivery</t>
        </is>
      </c>
      <c r="Q652" t="inlineStr">
        <is>
          <t>Delivered</t>
        </is>
      </c>
      <c r="R652" t="n">
        <v>4</v>
      </c>
    </row>
    <row r="653">
      <c r="A653" t="inlineStr">
        <is>
          <t>ORD1652</t>
        </is>
      </c>
      <c r="B653" t="inlineStr">
        <is>
          <t>2025-12-05</t>
        </is>
      </c>
      <c r="C653" t="inlineStr">
        <is>
          <t>12:31:31</t>
        </is>
      </c>
      <c r="D653" t="n">
        <v>1276</v>
      </c>
      <c r="E653" t="n">
        <v>105</v>
      </c>
      <c r="F653" t="n">
        <v>213</v>
      </c>
      <c r="G653" t="inlineStr">
        <is>
          <t>Bangalore</t>
        </is>
      </c>
      <c r="H653" t="inlineStr">
        <is>
          <t>Chinese</t>
        </is>
      </c>
      <c r="I653" t="n">
        <v>736</v>
      </c>
      <c r="J653" t="n">
        <v>0</v>
      </c>
      <c r="K653" t="n">
        <v>42.5</v>
      </c>
      <c r="L653" t="n">
        <v>0.2</v>
      </c>
      <c r="M653" t="n">
        <v>157.83</v>
      </c>
      <c r="N653" t="n">
        <v>6.5</v>
      </c>
      <c r="O653" t="n">
        <v>40.9</v>
      </c>
      <c r="P653" t="inlineStr">
        <is>
          <t>Digital Wallet</t>
        </is>
      </c>
      <c r="Q653" t="inlineStr">
        <is>
          <t>Delivered</t>
        </is>
      </c>
      <c r="R653" t="n">
        <v>3</v>
      </c>
    </row>
    <row r="654">
      <c r="A654" t="inlineStr">
        <is>
          <t>ORD1653</t>
        </is>
      </c>
      <c r="B654" t="inlineStr">
        <is>
          <t>2025-03-02</t>
        </is>
      </c>
      <c r="C654" t="inlineStr">
        <is>
          <t>20:24:28</t>
        </is>
      </c>
      <c r="D654" t="n">
        <v>1121</v>
      </c>
      <c r="E654" t="n">
        <v>101</v>
      </c>
      <c r="F654" t="n">
        <v>218</v>
      </c>
      <c r="G654" t="inlineStr">
        <is>
          <t>Bangalore</t>
        </is>
      </c>
      <c r="H654" t="inlineStr">
        <is>
          <t>North Indian</t>
        </is>
      </c>
      <c r="I654" t="n">
        <v>542</v>
      </c>
      <c r="J654" t="n">
        <v>59.46</v>
      </c>
      <c r="K654" t="n">
        <v>33</v>
      </c>
      <c r="L654" t="n">
        <v>0.2</v>
      </c>
      <c r="M654" t="n">
        <v>116.65</v>
      </c>
      <c r="N654" t="n">
        <v>4.6</v>
      </c>
      <c r="O654" t="n">
        <v>37.1</v>
      </c>
      <c r="P654" t="inlineStr">
        <is>
          <t>UPI</t>
        </is>
      </c>
      <c r="Q654" t="inlineStr">
        <is>
          <t>Delivered</t>
        </is>
      </c>
      <c r="R654" t="n">
        <v>4</v>
      </c>
    </row>
    <row r="655">
      <c r="A655" t="inlineStr">
        <is>
          <t>ORD1654</t>
        </is>
      </c>
      <c r="B655" t="inlineStr">
        <is>
          <t>2025-10-13</t>
        </is>
      </c>
      <c r="C655" t="inlineStr">
        <is>
          <t>15:42:55</t>
        </is>
      </c>
      <c r="D655" t="n">
        <v>1233</v>
      </c>
      <c r="E655" t="n">
        <v>106</v>
      </c>
      <c r="F655" t="n">
        <v>224</v>
      </c>
      <c r="G655" t="inlineStr">
        <is>
          <t>Pune</t>
        </is>
      </c>
      <c r="H655" t="inlineStr">
        <is>
          <t>South Indian</t>
        </is>
      </c>
      <c r="I655" t="n">
        <v>530</v>
      </c>
      <c r="J655" t="n">
        <v>6.96</v>
      </c>
      <c r="K655" t="n">
        <v>25</v>
      </c>
      <c r="L655" t="n">
        <v>0.15</v>
      </c>
      <c r="M655" t="n">
        <v>85.75</v>
      </c>
      <c r="N655" t="n">
        <v>2.1</v>
      </c>
      <c r="O655" t="n">
        <v>30.1</v>
      </c>
      <c r="P655" t="inlineStr">
        <is>
          <t>Debit Card</t>
        </is>
      </c>
      <c r="Q655" t="inlineStr">
        <is>
          <t>Delivered</t>
        </is>
      </c>
      <c r="R655" t="n">
        <v>4</v>
      </c>
    </row>
    <row r="656">
      <c r="A656" t="inlineStr">
        <is>
          <t>ORD1655</t>
        </is>
      </c>
      <c r="B656" t="inlineStr">
        <is>
          <t>2025-10-19</t>
        </is>
      </c>
      <c r="C656" t="inlineStr">
        <is>
          <t>16:43:31</t>
        </is>
      </c>
      <c r="D656" t="n">
        <v>1182</v>
      </c>
      <c r="E656" t="n">
        <v>109</v>
      </c>
      <c r="F656" t="n">
        <v>216</v>
      </c>
      <c r="G656" t="inlineStr">
        <is>
          <t>Hyderabad</t>
        </is>
      </c>
      <c r="H656" t="inlineStr">
        <is>
          <t>Biryani</t>
        </is>
      </c>
      <c r="I656" t="n">
        <v>895</v>
      </c>
      <c r="J656" t="n">
        <v>38.62</v>
      </c>
      <c r="K656" t="n">
        <v>25</v>
      </c>
      <c r="L656" t="n">
        <v>0.2</v>
      </c>
      <c r="M656" t="n">
        <v>185.25</v>
      </c>
      <c r="N656" t="n">
        <v>2.2</v>
      </c>
      <c r="O656" t="n">
        <v>24.3</v>
      </c>
      <c r="P656" t="inlineStr">
        <is>
          <t>Digital Wallet</t>
        </is>
      </c>
      <c r="Q656" t="inlineStr">
        <is>
          <t>Delivered</t>
        </is>
      </c>
      <c r="R656" t="n">
        <v>5</v>
      </c>
    </row>
    <row r="657">
      <c r="A657" t="inlineStr">
        <is>
          <t>ORD1656</t>
        </is>
      </c>
      <c r="B657" t="inlineStr">
        <is>
          <t>2025-07-20</t>
        </is>
      </c>
      <c r="C657" t="inlineStr">
        <is>
          <t>19:16:31</t>
        </is>
      </c>
      <c r="D657" t="n">
        <v>1146</v>
      </c>
      <c r="E657" t="n">
        <v>117</v>
      </c>
      <c r="F657" t="n">
        <v>202</v>
      </c>
      <c r="G657" t="inlineStr">
        <is>
          <t>Mumbai</t>
        </is>
      </c>
      <c r="H657" t="inlineStr">
        <is>
          <t>Chinese</t>
        </is>
      </c>
      <c r="I657" t="n">
        <v>825</v>
      </c>
      <c r="J657" t="n">
        <v>40.72</v>
      </c>
      <c r="K657" t="n">
        <v>35</v>
      </c>
      <c r="L657" t="n">
        <v>0.2</v>
      </c>
      <c r="M657" t="n">
        <v>173.75</v>
      </c>
      <c r="N657" t="n">
        <v>5</v>
      </c>
      <c r="O657" t="n">
        <v>39.7</v>
      </c>
      <c r="P657" t="inlineStr">
        <is>
          <t>Debit Card</t>
        </is>
      </c>
      <c r="Q657" t="inlineStr">
        <is>
          <t>Delivered</t>
        </is>
      </c>
      <c r="R657" t="n">
        <v>4</v>
      </c>
    </row>
    <row r="658">
      <c r="A658" t="inlineStr">
        <is>
          <t>ORD1657</t>
        </is>
      </c>
      <c r="B658" t="inlineStr">
        <is>
          <t>2025-10-30</t>
        </is>
      </c>
      <c r="C658" t="inlineStr">
        <is>
          <t>12:02:08</t>
        </is>
      </c>
      <c r="D658" t="n">
        <v>1144</v>
      </c>
      <c r="E658" t="n">
        <v>111</v>
      </c>
      <c r="F658" t="n">
        <v>210</v>
      </c>
      <c r="G658" t="inlineStr">
        <is>
          <t>Bangalore</t>
        </is>
      </c>
      <c r="H658" t="inlineStr">
        <is>
          <t>South Indian</t>
        </is>
      </c>
      <c r="I658" t="n">
        <v>595</v>
      </c>
      <c r="J658" t="n">
        <v>0</v>
      </c>
      <c r="K658" t="n">
        <v>26</v>
      </c>
      <c r="L658" t="n">
        <v>0.15</v>
      </c>
      <c r="M658" t="n">
        <v>95.75</v>
      </c>
      <c r="N658" t="n">
        <v>3.2</v>
      </c>
      <c r="O658" t="n">
        <v>39</v>
      </c>
      <c r="P658" t="inlineStr">
        <is>
          <t>UPI</t>
        </is>
      </c>
      <c r="Q658" t="inlineStr">
        <is>
          <t>Delivered</t>
        </is>
      </c>
      <c r="R658" t="n">
        <v>4</v>
      </c>
    </row>
    <row r="659">
      <c r="A659" t="inlineStr">
        <is>
          <t>ORD1658</t>
        </is>
      </c>
      <c r="B659" t="inlineStr">
        <is>
          <t>2025-08-08</t>
        </is>
      </c>
      <c r="C659" t="inlineStr">
        <is>
          <t>13:22:22</t>
        </is>
      </c>
      <c r="D659" t="n">
        <v>1060</v>
      </c>
      <c r="E659" t="n">
        <v>104</v>
      </c>
      <c r="F659" t="n">
        <v>219</v>
      </c>
      <c r="G659" t="inlineStr">
        <is>
          <t>Delhi NCR</t>
        </is>
      </c>
      <c r="H659" t="inlineStr">
        <is>
          <t>Fast Food</t>
        </is>
      </c>
      <c r="I659" t="n">
        <v>641</v>
      </c>
      <c r="J659" t="n">
        <v>0</v>
      </c>
      <c r="K659" t="n">
        <v>25</v>
      </c>
      <c r="L659" t="n">
        <v>0.18</v>
      </c>
      <c r="M659" t="n">
        <v>121.63</v>
      </c>
      <c r="N659" t="n">
        <v>2.7</v>
      </c>
      <c r="O659" t="n">
        <v>41.7</v>
      </c>
      <c r="P659" t="inlineStr">
        <is>
          <t>Credit Card</t>
        </is>
      </c>
      <c r="Q659" t="inlineStr">
        <is>
          <t>Returned</t>
        </is>
      </c>
      <c r="R659" t="n">
        <v>3</v>
      </c>
    </row>
    <row r="660">
      <c r="A660" t="inlineStr">
        <is>
          <t>ORD1659</t>
        </is>
      </c>
      <c r="B660" t="inlineStr">
        <is>
          <t>2025-10-31</t>
        </is>
      </c>
      <c r="C660" t="inlineStr">
        <is>
          <t>20:05:58</t>
        </is>
      </c>
      <c r="D660" t="n">
        <v>1172</v>
      </c>
      <c r="E660" t="n">
        <v>110</v>
      </c>
      <c r="F660" t="n">
        <v>208</v>
      </c>
      <c r="G660" t="inlineStr">
        <is>
          <t>Pune</t>
        </is>
      </c>
      <c r="H660" t="inlineStr">
        <is>
          <t>North Indian</t>
        </is>
      </c>
      <c r="I660" t="n">
        <v>924</v>
      </c>
      <c r="J660" t="n">
        <v>0</v>
      </c>
      <c r="K660" t="n">
        <v>25</v>
      </c>
      <c r="L660" t="n">
        <v>0.18</v>
      </c>
      <c r="M660" t="n">
        <v>172.57</v>
      </c>
      <c r="N660" t="n">
        <v>2.6</v>
      </c>
      <c r="O660" t="n">
        <v>29.9</v>
      </c>
      <c r="P660" t="inlineStr">
        <is>
          <t>Debit Card</t>
        </is>
      </c>
      <c r="Q660" t="inlineStr">
        <is>
          <t>Delivered</t>
        </is>
      </c>
      <c r="R660" t="n">
        <v>2</v>
      </c>
    </row>
    <row r="661">
      <c r="A661" t="inlineStr">
        <is>
          <t>ORD1660</t>
        </is>
      </c>
      <c r="B661" t="inlineStr">
        <is>
          <t>2025-10-03</t>
        </is>
      </c>
      <c r="C661" t="inlineStr">
        <is>
          <t>23:20:02</t>
        </is>
      </c>
      <c r="D661" t="n">
        <v>1273</v>
      </c>
      <c r="E661" t="n">
        <v>119</v>
      </c>
      <c r="F661" t="n">
        <v>215</v>
      </c>
      <c r="G661" t="inlineStr">
        <is>
          <t>Hyderabad</t>
        </is>
      </c>
      <c r="H661" t="inlineStr">
        <is>
          <t>Biryani</t>
        </is>
      </c>
      <c r="I661" t="n">
        <v>959</v>
      </c>
      <c r="J661" t="n">
        <v>178.7</v>
      </c>
      <c r="K661" t="n">
        <v>0</v>
      </c>
      <c r="L661" t="n">
        <v>0.2</v>
      </c>
      <c r="M661" t="n">
        <v>191.8</v>
      </c>
      <c r="N661" t="n">
        <v>3.6</v>
      </c>
      <c r="O661" t="n">
        <v>30.4</v>
      </c>
      <c r="P661" t="inlineStr">
        <is>
          <t>Cash on Delivery</t>
        </is>
      </c>
      <c r="Q661" t="inlineStr">
        <is>
          <t>Delivered</t>
        </is>
      </c>
      <c r="R661" t="n">
        <v>4</v>
      </c>
    </row>
    <row r="662">
      <c r="A662" t="inlineStr">
        <is>
          <t>ORD1661</t>
        </is>
      </c>
      <c r="B662" t="inlineStr">
        <is>
          <t>2025-10-29</t>
        </is>
      </c>
      <c r="C662" t="inlineStr">
        <is>
          <t>22:01:20</t>
        </is>
      </c>
      <c r="D662" t="n">
        <v>1174</v>
      </c>
      <c r="E662" t="n">
        <v>114</v>
      </c>
      <c r="F662" t="n">
        <v>216</v>
      </c>
      <c r="G662" t="inlineStr">
        <is>
          <t>Hyderabad</t>
        </is>
      </c>
      <c r="H662" t="inlineStr">
        <is>
          <t>Biryani</t>
        </is>
      </c>
      <c r="I662" t="n">
        <v>606</v>
      </c>
      <c r="J662" t="n">
        <v>15.63</v>
      </c>
      <c r="K662" t="n">
        <v>25.5</v>
      </c>
      <c r="L662" t="n">
        <v>0.22</v>
      </c>
      <c r="M662" t="n">
        <v>139.7</v>
      </c>
      <c r="N662" t="n">
        <v>3.1</v>
      </c>
      <c r="O662" t="n">
        <v>22.3</v>
      </c>
      <c r="P662" t="inlineStr">
        <is>
          <t>Cash on Delivery</t>
        </is>
      </c>
      <c r="Q662" t="inlineStr">
        <is>
          <t>Delivered</t>
        </is>
      </c>
      <c r="R662" t="n">
        <v>4</v>
      </c>
    </row>
    <row r="663">
      <c r="A663" t="inlineStr">
        <is>
          <t>ORD1662</t>
        </is>
      </c>
      <c r="B663" t="inlineStr">
        <is>
          <t>2025-06-22</t>
        </is>
      </c>
      <c r="C663" t="inlineStr">
        <is>
          <t>19:31:32</t>
        </is>
      </c>
      <c r="D663" t="n">
        <v>1235</v>
      </c>
      <c r="E663" t="n">
        <v>102</v>
      </c>
      <c r="F663" t="n">
        <v>216</v>
      </c>
      <c r="G663" t="inlineStr">
        <is>
          <t>Hyderabad</t>
        </is>
      </c>
      <c r="H663" t="inlineStr">
        <is>
          <t>Biryani</t>
        </is>
      </c>
      <c r="I663" t="n">
        <v>903</v>
      </c>
      <c r="J663" t="n">
        <v>0</v>
      </c>
      <c r="K663" t="n">
        <v>25</v>
      </c>
      <c r="L663" t="n">
        <v>0.22</v>
      </c>
      <c r="M663" t="n">
        <v>204.91</v>
      </c>
      <c r="N663" t="n">
        <v>2.4</v>
      </c>
      <c r="O663" t="n">
        <v>29.2</v>
      </c>
      <c r="P663" t="inlineStr">
        <is>
          <t>Debit Card</t>
        </is>
      </c>
      <c r="Q663" t="inlineStr">
        <is>
          <t>Delivered</t>
        </is>
      </c>
      <c r="R663" t="n">
        <v>3</v>
      </c>
    </row>
    <row r="664">
      <c r="A664" t="inlineStr">
        <is>
          <t>ORD1663</t>
        </is>
      </c>
      <c r="B664" t="inlineStr">
        <is>
          <t>2025-11-22</t>
        </is>
      </c>
      <c r="C664" t="inlineStr">
        <is>
          <t>18:54:50</t>
        </is>
      </c>
      <c r="D664" t="n">
        <v>1017</v>
      </c>
      <c r="E664" t="n">
        <v>103</v>
      </c>
      <c r="F664" t="n">
        <v>202</v>
      </c>
      <c r="G664" t="inlineStr">
        <is>
          <t>Mumbai</t>
        </is>
      </c>
      <c r="H664" t="inlineStr">
        <is>
          <t>Italian</t>
        </is>
      </c>
      <c r="I664" t="n">
        <v>297</v>
      </c>
      <c r="J664" t="n">
        <v>12.73</v>
      </c>
      <c r="K664" t="n">
        <v>32.5</v>
      </c>
      <c r="L664" t="n">
        <v>0.18</v>
      </c>
      <c r="M664" t="n">
        <v>61.58</v>
      </c>
      <c r="N664" t="n">
        <v>4.5</v>
      </c>
      <c r="O664" t="n">
        <v>30.5</v>
      </c>
      <c r="P664" t="inlineStr">
        <is>
          <t>UPI</t>
        </is>
      </c>
      <c r="Q664" t="inlineStr">
        <is>
          <t>Delivered</t>
        </is>
      </c>
      <c r="R664" t="n">
        <v>4</v>
      </c>
    </row>
    <row r="665">
      <c r="A665" t="inlineStr">
        <is>
          <t>ORD1664</t>
        </is>
      </c>
      <c r="B665" t="inlineStr">
        <is>
          <t>2025-11-16</t>
        </is>
      </c>
      <c r="C665" t="inlineStr">
        <is>
          <t>18:47:05</t>
        </is>
      </c>
      <c r="D665" t="n">
        <v>1129</v>
      </c>
      <c r="E665" t="n">
        <v>116</v>
      </c>
      <c r="F665" t="n">
        <v>214</v>
      </c>
      <c r="G665" t="inlineStr">
        <is>
          <t>Pune</t>
        </is>
      </c>
      <c r="H665" t="inlineStr">
        <is>
          <t>Desserts</t>
        </is>
      </c>
      <c r="I665" t="n">
        <v>812</v>
      </c>
      <c r="J665" t="n">
        <v>0</v>
      </c>
      <c r="K665" t="n">
        <v>31</v>
      </c>
      <c r="L665" t="n">
        <v>0.25</v>
      </c>
      <c r="M665" t="n">
        <v>210.75</v>
      </c>
      <c r="N665" t="n">
        <v>4.2</v>
      </c>
      <c r="O665" t="n">
        <v>32</v>
      </c>
      <c r="P665" t="inlineStr">
        <is>
          <t>UPI</t>
        </is>
      </c>
      <c r="Q665" t="inlineStr">
        <is>
          <t>Delivered</t>
        </is>
      </c>
      <c r="R665" t="n">
        <v>5</v>
      </c>
    </row>
    <row r="666">
      <c r="A666" t="inlineStr">
        <is>
          <t>ORD1665</t>
        </is>
      </c>
      <c r="B666" t="inlineStr">
        <is>
          <t>2025-06-27</t>
        </is>
      </c>
      <c r="C666" t="inlineStr">
        <is>
          <t>12:50:04</t>
        </is>
      </c>
      <c r="D666" t="n">
        <v>1090</v>
      </c>
      <c r="E666" t="n">
        <v>111</v>
      </c>
      <c r="F666" t="n">
        <v>227</v>
      </c>
      <c r="G666" t="inlineStr">
        <is>
          <t>Bangalore</t>
        </is>
      </c>
      <c r="H666" t="inlineStr">
        <is>
          <t>South Indian</t>
        </is>
      </c>
      <c r="I666" t="n">
        <v>887</v>
      </c>
      <c r="J666" t="n">
        <v>35.81</v>
      </c>
      <c r="K666" t="n">
        <v>25</v>
      </c>
      <c r="L666" t="n">
        <v>0.15</v>
      </c>
      <c r="M666" t="n">
        <v>139.3</v>
      </c>
      <c r="N666" t="n">
        <v>2.3</v>
      </c>
      <c r="O666" t="n">
        <v>25.2</v>
      </c>
      <c r="P666" t="inlineStr">
        <is>
          <t>Digital Wallet</t>
        </is>
      </c>
      <c r="Q666" t="inlineStr">
        <is>
          <t>Delivered</t>
        </is>
      </c>
      <c r="R666" t="n">
        <v>2</v>
      </c>
    </row>
    <row r="667">
      <c r="A667" t="inlineStr">
        <is>
          <t>ORD1666</t>
        </is>
      </c>
      <c r="B667" t="inlineStr">
        <is>
          <t>2025-07-25</t>
        </is>
      </c>
      <c r="C667" t="inlineStr">
        <is>
          <t>17:16:39</t>
        </is>
      </c>
      <c r="D667" t="n">
        <v>1003</v>
      </c>
      <c r="E667" t="n">
        <v>120</v>
      </c>
      <c r="F667" t="n">
        <v>204</v>
      </c>
      <c r="G667" t="inlineStr">
        <is>
          <t>Pune</t>
        </is>
      </c>
      <c r="H667" t="inlineStr">
        <is>
          <t>Fast Food</t>
        </is>
      </c>
      <c r="I667" t="n">
        <v>747</v>
      </c>
      <c r="J667" t="n">
        <v>61.05</v>
      </c>
      <c r="K667" t="n">
        <v>26.5</v>
      </c>
      <c r="L667" t="n">
        <v>0.18</v>
      </c>
      <c r="M667" t="n">
        <v>141.08</v>
      </c>
      <c r="N667" t="n">
        <v>3.3</v>
      </c>
      <c r="O667" t="n">
        <v>35</v>
      </c>
      <c r="P667" t="inlineStr">
        <is>
          <t>Credit Card</t>
        </is>
      </c>
      <c r="Q667" t="inlineStr">
        <is>
          <t>Delivered</t>
        </is>
      </c>
      <c r="R667" t="n">
        <v>5</v>
      </c>
    </row>
    <row r="668">
      <c r="A668" t="inlineStr">
        <is>
          <t>ORD1667</t>
        </is>
      </c>
      <c r="B668" t="inlineStr">
        <is>
          <t>2025-10-23</t>
        </is>
      </c>
      <c r="C668" t="inlineStr">
        <is>
          <t>11:31:13</t>
        </is>
      </c>
      <c r="D668" t="n">
        <v>1234</v>
      </c>
      <c r="E668" t="n">
        <v>106</v>
      </c>
      <c r="F668" t="n">
        <v>217</v>
      </c>
      <c r="G668" t="inlineStr">
        <is>
          <t>Pune</t>
        </is>
      </c>
      <c r="H668" t="inlineStr">
        <is>
          <t>South Indian</t>
        </is>
      </c>
      <c r="I668" t="n">
        <v>896</v>
      </c>
      <c r="J668" t="n">
        <v>53.2</v>
      </c>
      <c r="K668" t="n">
        <v>30</v>
      </c>
      <c r="L668" t="n">
        <v>0.15</v>
      </c>
      <c r="M668" t="n">
        <v>141.9</v>
      </c>
      <c r="N668" t="n">
        <v>4</v>
      </c>
      <c r="O668" t="n">
        <v/>
      </c>
      <c r="P668" t="inlineStr">
        <is>
          <t>Digital Wallet</t>
        </is>
      </c>
      <c r="Q668" t="inlineStr">
        <is>
          <t>Cancelled</t>
        </is>
      </c>
      <c r="R668" t="n">
        <v/>
      </c>
    </row>
    <row r="669">
      <c r="A669" t="inlineStr">
        <is>
          <t>ORD1668</t>
        </is>
      </c>
      <c r="B669" t="inlineStr">
        <is>
          <t>2025-07-06</t>
        </is>
      </c>
      <c r="C669" t="inlineStr">
        <is>
          <t>11:29:09</t>
        </is>
      </c>
      <c r="D669" t="n">
        <v>1200</v>
      </c>
      <c r="E669" t="n">
        <v>103</v>
      </c>
      <c r="F669" t="n">
        <v>202</v>
      </c>
      <c r="G669" t="inlineStr">
        <is>
          <t>Mumbai</t>
        </is>
      </c>
      <c r="H669" t="inlineStr">
        <is>
          <t>Italian</t>
        </is>
      </c>
      <c r="I669" t="n">
        <v>466</v>
      </c>
      <c r="J669" t="n">
        <v>28.21</v>
      </c>
      <c r="K669" t="n">
        <v>25.5</v>
      </c>
      <c r="L669" t="n">
        <v>0.18</v>
      </c>
      <c r="M669" t="n">
        <v>90.26000000000001</v>
      </c>
      <c r="N669" t="n">
        <v>3.1</v>
      </c>
      <c r="O669" t="n">
        <v>37.1</v>
      </c>
      <c r="P669" t="inlineStr">
        <is>
          <t>Debit Card</t>
        </is>
      </c>
      <c r="Q669" t="inlineStr">
        <is>
          <t>Delivered</t>
        </is>
      </c>
      <c r="R669" t="n">
        <v>2</v>
      </c>
    </row>
    <row r="670">
      <c r="A670" t="inlineStr">
        <is>
          <t>ORD1669</t>
        </is>
      </c>
      <c r="B670" t="inlineStr">
        <is>
          <t>2025-02-02</t>
        </is>
      </c>
      <c r="C670" t="inlineStr">
        <is>
          <t>20:40:13</t>
        </is>
      </c>
      <c r="D670" t="n">
        <v>1075</v>
      </c>
      <c r="E670" t="n">
        <v>104</v>
      </c>
      <c r="F670" t="n">
        <v>228</v>
      </c>
      <c r="G670" t="inlineStr">
        <is>
          <t>Delhi NCR</t>
        </is>
      </c>
      <c r="H670" t="inlineStr">
        <is>
          <t>Fast Food</t>
        </is>
      </c>
      <c r="I670" t="n">
        <v>642</v>
      </c>
      <c r="J670" t="n">
        <v>44.1</v>
      </c>
      <c r="K670" t="n">
        <v>25</v>
      </c>
      <c r="L670" t="n">
        <v>0.18</v>
      </c>
      <c r="M670" t="n">
        <v>121.81</v>
      </c>
      <c r="N670" t="n">
        <v>2.9</v>
      </c>
      <c r="O670" t="n">
        <v>26.9</v>
      </c>
      <c r="P670" t="inlineStr">
        <is>
          <t>Credit Card</t>
        </is>
      </c>
      <c r="Q670" t="inlineStr">
        <is>
          <t>Delivered</t>
        </is>
      </c>
      <c r="R670" t="n">
        <v>2</v>
      </c>
    </row>
    <row r="671">
      <c r="A671" t="inlineStr">
        <is>
          <t>ORD1670</t>
        </is>
      </c>
      <c r="B671" t="inlineStr">
        <is>
          <t>2025-05-03</t>
        </is>
      </c>
      <c r="C671" t="inlineStr">
        <is>
          <t>14:07:09</t>
        </is>
      </c>
      <c r="D671" t="n">
        <v>1137</v>
      </c>
      <c r="E671" t="n">
        <v>116</v>
      </c>
      <c r="F671" t="n">
        <v>226</v>
      </c>
      <c r="G671" t="inlineStr">
        <is>
          <t>Pune</t>
        </is>
      </c>
      <c r="H671" t="inlineStr">
        <is>
          <t>Desserts</t>
        </is>
      </c>
      <c r="I671" t="n">
        <v>416</v>
      </c>
      <c r="J671" t="n">
        <v>0</v>
      </c>
      <c r="K671" t="n">
        <v>28</v>
      </c>
      <c r="L671" t="n">
        <v>0.25</v>
      </c>
      <c r="M671" t="n">
        <v>111</v>
      </c>
      <c r="N671" t="n">
        <v>3.6</v>
      </c>
      <c r="O671" t="n">
        <v>34.3</v>
      </c>
      <c r="P671" t="inlineStr">
        <is>
          <t>Debit Card</t>
        </is>
      </c>
      <c r="Q671" t="inlineStr">
        <is>
          <t>Delivered</t>
        </is>
      </c>
      <c r="R671" t="n">
        <v>1</v>
      </c>
    </row>
    <row r="672">
      <c r="A672" t="inlineStr">
        <is>
          <t>ORD1671</t>
        </is>
      </c>
      <c r="B672" t="inlineStr">
        <is>
          <t>2025-08-05</t>
        </is>
      </c>
      <c r="C672" t="inlineStr">
        <is>
          <t>11:41:57</t>
        </is>
      </c>
      <c r="D672" t="n">
        <v>1041</v>
      </c>
      <c r="E672" t="n">
        <v>102</v>
      </c>
      <c r="F672" t="n">
        <v>215</v>
      </c>
      <c r="G672" t="inlineStr">
        <is>
          <t>Hyderabad</t>
        </is>
      </c>
      <c r="H672" t="inlineStr">
        <is>
          <t>Biryani</t>
        </is>
      </c>
      <c r="I672" t="n">
        <v>257</v>
      </c>
      <c r="J672" t="n">
        <v>0</v>
      </c>
      <c r="K672" t="n">
        <v>25</v>
      </c>
      <c r="L672" t="n">
        <v>0.22</v>
      </c>
      <c r="M672" t="n">
        <v>62.79</v>
      </c>
      <c r="N672" t="n">
        <v>2.1</v>
      </c>
      <c r="O672" t="n">
        <v>21.8</v>
      </c>
      <c r="P672" t="inlineStr">
        <is>
          <t>UPI</t>
        </is>
      </c>
      <c r="Q672" t="inlineStr">
        <is>
          <t>Delivered</t>
        </is>
      </c>
      <c r="R672" t="n">
        <v>4</v>
      </c>
    </row>
    <row r="673">
      <c r="A673" t="inlineStr">
        <is>
          <t>ORD1672</t>
        </is>
      </c>
      <c r="B673" t="inlineStr">
        <is>
          <t>2025-11-26</t>
        </is>
      </c>
      <c r="C673" t="inlineStr">
        <is>
          <t>22:54:02</t>
        </is>
      </c>
      <c r="D673" t="n">
        <v>1089</v>
      </c>
      <c r="E673" t="n">
        <v>101</v>
      </c>
      <c r="F673" t="n">
        <v>210</v>
      </c>
      <c r="G673" t="inlineStr">
        <is>
          <t>Bangalore</t>
        </is>
      </c>
      <c r="H673" t="inlineStr">
        <is>
          <t>North Indian</t>
        </is>
      </c>
      <c r="I673" t="n">
        <v>1017</v>
      </c>
      <c r="J673" t="n">
        <v>103.72</v>
      </c>
      <c r="K673" t="n">
        <v>0</v>
      </c>
      <c r="L673" t="n">
        <v>0.2</v>
      </c>
      <c r="M673" t="n">
        <v>203.4</v>
      </c>
      <c r="N673" t="n">
        <v>5.7</v>
      </c>
      <c r="O673" t="n">
        <v>37.7</v>
      </c>
      <c r="P673" t="inlineStr">
        <is>
          <t>UPI</t>
        </is>
      </c>
      <c r="Q673" t="inlineStr">
        <is>
          <t>Delivered</t>
        </is>
      </c>
      <c r="R673" t="n">
        <v>5</v>
      </c>
    </row>
    <row r="674">
      <c r="A674" t="inlineStr">
        <is>
          <t>ORD1673</t>
        </is>
      </c>
      <c r="B674" t="inlineStr">
        <is>
          <t>2025-07-28</t>
        </is>
      </c>
      <c r="C674" t="inlineStr">
        <is>
          <t>14:57:23</t>
        </is>
      </c>
      <c r="D674" t="n">
        <v>1107</v>
      </c>
      <c r="E674" t="n">
        <v>113</v>
      </c>
      <c r="F674" t="n">
        <v>229</v>
      </c>
      <c r="G674" t="inlineStr">
        <is>
          <t>Mumbai</t>
        </is>
      </c>
      <c r="H674" t="inlineStr">
        <is>
          <t>Fast Food</t>
        </is>
      </c>
      <c r="I674" t="n">
        <v>907</v>
      </c>
      <c r="J674" t="n">
        <v>6.55</v>
      </c>
      <c r="K674" t="n">
        <v>28.5</v>
      </c>
      <c r="L674" t="n">
        <v>0.18</v>
      </c>
      <c r="M674" t="n">
        <v>170.38</v>
      </c>
      <c r="N674" t="n">
        <v>3.7</v>
      </c>
      <c r="O674" t="n">
        <v>38.3</v>
      </c>
      <c r="P674" t="inlineStr">
        <is>
          <t>Credit Card</t>
        </is>
      </c>
      <c r="Q674" t="inlineStr">
        <is>
          <t>Delivered</t>
        </is>
      </c>
      <c r="R674" t="n">
        <v>3</v>
      </c>
    </row>
    <row r="675">
      <c r="A675" t="inlineStr">
        <is>
          <t>ORD1674</t>
        </is>
      </c>
      <c r="B675" t="inlineStr">
        <is>
          <t>2025-10-20</t>
        </is>
      </c>
      <c r="C675" t="inlineStr">
        <is>
          <t>12:47:32</t>
        </is>
      </c>
      <c r="D675" t="n">
        <v>1122</v>
      </c>
      <c r="E675" t="n">
        <v>116</v>
      </c>
      <c r="F675" t="n">
        <v>214</v>
      </c>
      <c r="G675" t="inlineStr">
        <is>
          <t>Pune</t>
        </is>
      </c>
      <c r="H675" t="inlineStr">
        <is>
          <t>Desserts</t>
        </is>
      </c>
      <c r="I675" t="n">
        <v>576</v>
      </c>
      <c r="J675" t="n">
        <v>95.86</v>
      </c>
      <c r="K675" t="n">
        <v>0</v>
      </c>
      <c r="L675" t="n">
        <v>0.25</v>
      </c>
      <c r="M675" t="n">
        <v>144</v>
      </c>
      <c r="N675" t="n">
        <v>6.8</v>
      </c>
      <c r="O675" t="n">
        <v>47.4</v>
      </c>
      <c r="P675" t="inlineStr">
        <is>
          <t>Digital Wallet</t>
        </is>
      </c>
      <c r="Q675" t="inlineStr">
        <is>
          <t>Delivered</t>
        </is>
      </c>
      <c r="R675" t="n">
        <v>1</v>
      </c>
    </row>
    <row r="676">
      <c r="A676" t="inlineStr">
        <is>
          <t>ORD1675</t>
        </is>
      </c>
      <c r="B676" t="inlineStr">
        <is>
          <t>2025-05-02</t>
        </is>
      </c>
      <c r="C676" t="inlineStr">
        <is>
          <t>17:38:07</t>
        </is>
      </c>
      <c r="D676" t="n">
        <v>1236</v>
      </c>
      <c r="E676" t="n">
        <v>108</v>
      </c>
      <c r="F676" t="n">
        <v>230</v>
      </c>
      <c r="G676" t="inlineStr">
        <is>
          <t>Delhi NCR</t>
        </is>
      </c>
      <c r="H676" t="inlineStr">
        <is>
          <t>Fast Food</t>
        </is>
      </c>
      <c r="I676" t="n">
        <v>540</v>
      </c>
      <c r="J676" t="n">
        <v>39.45</v>
      </c>
      <c r="K676" t="n">
        <v>25</v>
      </c>
      <c r="L676" t="n">
        <v>0.18</v>
      </c>
      <c r="M676" t="n">
        <v>103.45</v>
      </c>
      <c r="N676" t="n">
        <v>2.6</v>
      </c>
      <c r="O676" t="n">
        <v>29.7</v>
      </c>
      <c r="P676" t="inlineStr">
        <is>
          <t>Cash on Delivery</t>
        </is>
      </c>
      <c r="Q676" t="inlineStr">
        <is>
          <t>Delivered</t>
        </is>
      </c>
      <c r="R676" t="n">
        <v>5</v>
      </c>
    </row>
    <row r="677">
      <c r="A677" t="inlineStr">
        <is>
          <t>ORD1676</t>
        </is>
      </c>
      <c r="B677" t="inlineStr">
        <is>
          <t>2025-03-15</t>
        </is>
      </c>
      <c r="C677" t="inlineStr">
        <is>
          <t>20:06:11</t>
        </is>
      </c>
      <c r="D677" t="n">
        <v>1129</v>
      </c>
      <c r="E677" t="n">
        <v>116</v>
      </c>
      <c r="F677" t="n">
        <v>209</v>
      </c>
      <c r="G677" t="inlineStr">
        <is>
          <t>Pune</t>
        </is>
      </c>
      <c r="H677" t="inlineStr">
        <is>
          <t>Desserts</t>
        </is>
      </c>
      <c r="I677" t="n">
        <v>439</v>
      </c>
      <c r="J677" t="n">
        <v>15.43</v>
      </c>
      <c r="K677" t="n">
        <v>29</v>
      </c>
      <c r="L677" t="n">
        <v>0.25</v>
      </c>
      <c r="M677" t="n">
        <v>117</v>
      </c>
      <c r="N677" t="n">
        <v>3.8</v>
      </c>
      <c r="O677" t="n">
        <v/>
      </c>
      <c r="P677" t="inlineStr">
        <is>
          <t>Digital Wallet</t>
        </is>
      </c>
      <c r="Q677" t="inlineStr">
        <is>
          <t>Cancelled</t>
        </is>
      </c>
      <c r="R677" t="n">
        <v/>
      </c>
    </row>
    <row r="678">
      <c r="A678" t="inlineStr">
        <is>
          <t>ORD1677</t>
        </is>
      </c>
      <c r="B678" t="inlineStr">
        <is>
          <t>2025-10-01</t>
        </is>
      </c>
      <c r="C678" t="inlineStr">
        <is>
          <t>21:23:44</t>
        </is>
      </c>
      <c r="D678" t="n">
        <v>1296</v>
      </c>
      <c r="E678" t="n">
        <v>118</v>
      </c>
      <c r="F678" t="n">
        <v>219</v>
      </c>
      <c r="G678" t="inlineStr">
        <is>
          <t>Delhi NCR</t>
        </is>
      </c>
      <c r="H678" t="inlineStr">
        <is>
          <t>North Indian</t>
        </is>
      </c>
      <c r="I678" t="n">
        <v>335</v>
      </c>
      <c r="J678" t="n">
        <v>0</v>
      </c>
      <c r="K678" t="n">
        <v>41</v>
      </c>
      <c r="L678" t="n">
        <v>0.2</v>
      </c>
      <c r="M678" t="n">
        <v>77.25</v>
      </c>
      <c r="N678" t="n">
        <v>6.2</v>
      </c>
      <c r="O678" t="n">
        <v>44.9</v>
      </c>
      <c r="P678" t="inlineStr">
        <is>
          <t>Credit Card</t>
        </is>
      </c>
      <c r="Q678" t="inlineStr">
        <is>
          <t>Delivered</t>
        </is>
      </c>
      <c r="R678" t="n">
        <v>1</v>
      </c>
    </row>
    <row r="679">
      <c r="A679" t="inlineStr">
        <is>
          <t>ORD1678</t>
        </is>
      </c>
      <c r="B679" t="inlineStr">
        <is>
          <t>2025-09-01</t>
        </is>
      </c>
      <c r="C679" t="inlineStr">
        <is>
          <t>12:45:23</t>
        </is>
      </c>
      <c r="D679" t="n">
        <v>1101</v>
      </c>
      <c r="E679" t="n">
        <v>105</v>
      </c>
      <c r="F679" t="n">
        <v>213</v>
      </c>
      <c r="G679" t="inlineStr">
        <is>
          <t>Bangalore</t>
        </is>
      </c>
      <c r="H679" t="inlineStr">
        <is>
          <t>Chinese</t>
        </is>
      </c>
      <c r="I679" t="n">
        <v>535</v>
      </c>
      <c r="J679" t="n">
        <v>0</v>
      </c>
      <c r="K679" t="n">
        <v>29.5</v>
      </c>
      <c r="L679" t="n">
        <v>0.2</v>
      </c>
      <c r="M679" t="n">
        <v>114.38</v>
      </c>
      <c r="N679" t="n">
        <v>3.9</v>
      </c>
      <c r="O679" t="n">
        <v>37.8</v>
      </c>
      <c r="P679" t="inlineStr">
        <is>
          <t>Digital Wallet</t>
        </is>
      </c>
      <c r="Q679" t="inlineStr">
        <is>
          <t>Delivered</t>
        </is>
      </c>
      <c r="R679" t="n">
        <v>4</v>
      </c>
    </row>
    <row r="680">
      <c r="A680" t="inlineStr">
        <is>
          <t>ORD1679</t>
        </is>
      </c>
      <c r="B680" t="inlineStr">
        <is>
          <t>2025-12-20</t>
        </is>
      </c>
      <c r="C680" t="inlineStr">
        <is>
          <t>11:58:50</t>
        </is>
      </c>
      <c r="D680" t="n">
        <v>1290</v>
      </c>
      <c r="E680" t="n">
        <v>113</v>
      </c>
      <c r="F680" t="n">
        <v>229</v>
      </c>
      <c r="G680" t="inlineStr">
        <is>
          <t>Mumbai</t>
        </is>
      </c>
      <c r="H680" t="inlineStr">
        <is>
          <t>Fast Food</t>
        </is>
      </c>
      <c r="I680" t="n">
        <v>907</v>
      </c>
      <c r="J680" t="n">
        <v>0</v>
      </c>
      <c r="K680" t="n">
        <v>25</v>
      </c>
      <c r="L680" t="n">
        <v>0.18</v>
      </c>
      <c r="M680" t="n">
        <v>169.51</v>
      </c>
      <c r="N680" t="n">
        <v>2.8</v>
      </c>
      <c r="O680" t="n">
        <v>25.6</v>
      </c>
      <c r="P680" t="inlineStr">
        <is>
          <t>Debit Card</t>
        </is>
      </c>
      <c r="Q680" t="inlineStr">
        <is>
          <t>Delivered</t>
        </is>
      </c>
      <c r="R680" t="n">
        <v>3</v>
      </c>
    </row>
    <row r="681">
      <c r="A681" t="inlineStr">
        <is>
          <t>ORD1680</t>
        </is>
      </c>
      <c r="B681" t="inlineStr">
        <is>
          <t>2025-08-15</t>
        </is>
      </c>
      <c r="C681" t="inlineStr">
        <is>
          <t>23:24:00</t>
        </is>
      </c>
      <c r="D681" t="n">
        <v>1134</v>
      </c>
      <c r="E681" t="n">
        <v>109</v>
      </c>
      <c r="F681" t="n">
        <v>225</v>
      </c>
      <c r="G681" t="inlineStr">
        <is>
          <t>Hyderabad</t>
        </is>
      </c>
      <c r="H681" t="inlineStr">
        <is>
          <t>Biryani</t>
        </is>
      </c>
      <c r="I681" t="n">
        <v>622</v>
      </c>
      <c r="J681" t="n">
        <v>45.68</v>
      </c>
      <c r="K681" t="n">
        <v>25.5</v>
      </c>
      <c r="L681" t="n">
        <v>0.2</v>
      </c>
      <c r="M681" t="n">
        <v>130.78</v>
      </c>
      <c r="N681" t="n">
        <v>3.1</v>
      </c>
      <c r="O681" t="n">
        <v>26.3</v>
      </c>
      <c r="P681" t="inlineStr">
        <is>
          <t>Credit Card</t>
        </is>
      </c>
      <c r="Q681" t="inlineStr">
        <is>
          <t>Delivered</t>
        </is>
      </c>
      <c r="R681" t="n">
        <v>4</v>
      </c>
    </row>
    <row r="682">
      <c r="A682" t="inlineStr">
        <is>
          <t>ORD1681</t>
        </is>
      </c>
      <c r="B682" t="inlineStr">
        <is>
          <t>2025-08-13</t>
        </is>
      </c>
      <c r="C682" t="inlineStr">
        <is>
          <t>11:40:20</t>
        </is>
      </c>
      <c r="D682" t="n">
        <v>1243</v>
      </c>
      <c r="E682" t="n">
        <v>104</v>
      </c>
      <c r="F682" t="n">
        <v>228</v>
      </c>
      <c r="G682" t="inlineStr">
        <is>
          <t>Delhi NCR</t>
        </is>
      </c>
      <c r="H682" t="inlineStr">
        <is>
          <t>Fast Food</t>
        </is>
      </c>
      <c r="I682" t="n">
        <v>1083</v>
      </c>
      <c r="J682" t="n">
        <v>193.78</v>
      </c>
      <c r="K682" t="n">
        <v>0</v>
      </c>
      <c r="L682" t="n">
        <v>0.18</v>
      </c>
      <c r="M682" t="n">
        <v>194.94</v>
      </c>
      <c r="N682" t="n">
        <v>3.5</v>
      </c>
      <c r="O682" t="n">
        <v>26.9</v>
      </c>
      <c r="P682" t="inlineStr">
        <is>
          <t>UPI</t>
        </is>
      </c>
      <c r="Q682" t="inlineStr">
        <is>
          <t>Delivered</t>
        </is>
      </c>
      <c r="R682" t="n">
        <v>4</v>
      </c>
    </row>
    <row r="683">
      <c r="A683" t="inlineStr">
        <is>
          <t>ORD1682</t>
        </is>
      </c>
      <c r="B683" t="inlineStr">
        <is>
          <t>2025-06-20</t>
        </is>
      </c>
      <c r="C683" t="inlineStr">
        <is>
          <t>14:45:27</t>
        </is>
      </c>
      <c r="D683" t="n">
        <v>1251</v>
      </c>
      <c r="E683" t="n">
        <v>102</v>
      </c>
      <c r="F683" t="n">
        <v>225</v>
      </c>
      <c r="G683" t="inlineStr">
        <is>
          <t>Hyderabad</t>
        </is>
      </c>
      <c r="H683" t="inlineStr">
        <is>
          <t>Biryani</t>
        </is>
      </c>
      <c r="I683" t="n">
        <v>322</v>
      </c>
      <c r="J683" t="n">
        <v>17.99</v>
      </c>
      <c r="K683" t="n">
        <v>27</v>
      </c>
      <c r="L683" t="n">
        <v>0.22</v>
      </c>
      <c r="M683" t="n">
        <v>77.59</v>
      </c>
      <c r="N683" t="n">
        <v>3.4</v>
      </c>
      <c r="O683" t="n">
        <v>39.2</v>
      </c>
      <c r="P683" t="inlineStr">
        <is>
          <t>Debit Card</t>
        </is>
      </c>
      <c r="Q683" t="inlineStr">
        <is>
          <t>Delivered</t>
        </is>
      </c>
      <c r="R683" t="n">
        <v>5</v>
      </c>
    </row>
    <row r="684">
      <c r="A684" t="inlineStr">
        <is>
          <t>ORD1683</t>
        </is>
      </c>
      <c r="B684" t="inlineStr">
        <is>
          <t>2025-12-22</t>
        </is>
      </c>
      <c r="C684" t="inlineStr">
        <is>
          <t>13:01:48</t>
        </is>
      </c>
      <c r="D684" t="n">
        <v>1212</v>
      </c>
      <c r="E684" t="n">
        <v>114</v>
      </c>
      <c r="F684" t="n">
        <v>225</v>
      </c>
      <c r="G684" t="inlineStr">
        <is>
          <t>Hyderabad</t>
        </is>
      </c>
      <c r="H684" t="inlineStr">
        <is>
          <t>Biryani</t>
        </is>
      </c>
      <c r="I684" t="n">
        <v>273</v>
      </c>
      <c r="J684" t="n">
        <v>25.91</v>
      </c>
      <c r="K684" t="n">
        <v>25</v>
      </c>
      <c r="L684" t="n">
        <v>0.22</v>
      </c>
      <c r="M684" t="n">
        <v>66.31</v>
      </c>
      <c r="N684" t="n">
        <v>2.1</v>
      </c>
      <c r="O684" t="n">
        <v>21.9</v>
      </c>
      <c r="P684" t="inlineStr">
        <is>
          <t>Cash on Delivery</t>
        </is>
      </c>
      <c r="Q684" t="inlineStr">
        <is>
          <t>Delivered</t>
        </is>
      </c>
      <c r="R684" t="n">
        <v>1</v>
      </c>
    </row>
    <row r="685">
      <c r="A685" t="inlineStr">
        <is>
          <t>ORD1684</t>
        </is>
      </c>
      <c r="B685" t="inlineStr">
        <is>
          <t>2025-04-13</t>
        </is>
      </c>
      <c r="C685" t="inlineStr">
        <is>
          <t>13:40:19</t>
        </is>
      </c>
      <c r="D685" t="n">
        <v>1137</v>
      </c>
      <c r="E685" t="n">
        <v>110</v>
      </c>
      <c r="F685" t="n">
        <v>214</v>
      </c>
      <c r="G685" t="inlineStr">
        <is>
          <t>Pune</t>
        </is>
      </c>
      <c r="H685" t="inlineStr">
        <is>
          <t>North Indian</t>
        </is>
      </c>
      <c r="I685" t="n">
        <v>541</v>
      </c>
      <c r="J685" t="n">
        <v>4.8</v>
      </c>
      <c r="K685" t="n">
        <v>25</v>
      </c>
      <c r="L685" t="n">
        <v>0.18</v>
      </c>
      <c r="M685" t="n">
        <v>103.63</v>
      </c>
      <c r="N685" t="n">
        <v>2.4</v>
      </c>
      <c r="O685" t="n">
        <v>24.6</v>
      </c>
      <c r="P685" t="inlineStr">
        <is>
          <t>Credit Card</t>
        </is>
      </c>
      <c r="Q685" t="inlineStr">
        <is>
          <t>Delivered</t>
        </is>
      </c>
      <c r="R685" t="n">
        <v>5</v>
      </c>
    </row>
    <row r="686">
      <c r="A686" t="inlineStr">
        <is>
          <t>ORD1685</t>
        </is>
      </c>
      <c r="B686" t="inlineStr">
        <is>
          <t>2025-09-02</t>
        </is>
      </c>
      <c r="C686" t="inlineStr">
        <is>
          <t>13:55:47</t>
        </is>
      </c>
      <c r="D686" t="n">
        <v>1146</v>
      </c>
      <c r="E686" t="n">
        <v>103</v>
      </c>
      <c r="F686" t="n">
        <v>229</v>
      </c>
      <c r="G686" t="inlineStr">
        <is>
          <t>Mumbai</t>
        </is>
      </c>
      <c r="H686" t="inlineStr">
        <is>
          <t>Italian</t>
        </is>
      </c>
      <c r="I686" t="n">
        <v>356</v>
      </c>
      <c r="J686" t="n">
        <v>0</v>
      </c>
      <c r="K686" t="n">
        <v>27.5</v>
      </c>
      <c r="L686" t="n">
        <v>0.18</v>
      </c>
      <c r="M686" t="n">
        <v>70.95999999999999</v>
      </c>
      <c r="N686" t="n">
        <v>3.5</v>
      </c>
      <c r="O686" t="n">
        <v>37.6</v>
      </c>
      <c r="P686" t="inlineStr">
        <is>
          <t>Debit Card</t>
        </is>
      </c>
      <c r="Q686" t="inlineStr">
        <is>
          <t>Delivered</t>
        </is>
      </c>
      <c r="R686" t="n">
        <v>1</v>
      </c>
    </row>
    <row r="687">
      <c r="A687" t="inlineStr">
        <is>
          <t>ORD1686</t>
        </is>
      </c>
      <c r="B687" t="inlineStr">
        <is>
          <t>2025-08-01</t>
        </is>
      </c>
      <c r="C687" t="inlineStr">
        <is>
          <t>19:23:11</t>
        </is>
      </c>
      <c r="D687" t="n">
        <v>1162</v>
      </c>
      <c r="E687" t="n">
        <v>114</v>
      </c>
      <c r="F687" t="n">
        <v>225</v>
      </c>
      <c r="G687" t="inlineStr">
        <is>
          <t>Hyderabad</t>
        </is>
      </c>
      <c r="H687" t="inlineStr">
        <is>
          <t>Biryani</t>
        </is>
      </c>
      <c r="I687" t="n">
        <v>622</v>
      </c>
      <c r="J687" t="n">
        <v>69.26000000000001</v>
      </c>
      <c r="K687" t="n">
        <v>32.5</v>
      </c>
      <c r="L687" t="n">
        <v>0.22</v>
      </c>
      <c r="M687" t="n">
        <v>144.96</v>
      </c>
      <c r="N687" t="n">
        <v>4.5</v>
      </c>
      <c r="O687" t="n">
        <v>39.6</v>
      </c>
      <c r="P687" t="inlineStr">
        <is>
          <t>Digital Wallet</t>
        </is>
      </c>
      <c r="Q687" t="inlineStr">
        <is>
          <t>Delivered</t>
        </is>
      </c>
      <c r="R687" t="n">
        <v>5</v>
      </c>
    </row>
    <row r="688">
      <c r="A688" t="inlineStr">
        <is>
          <t>ORD1687</t>
        </is>
      </c>
      <c r="B688" t="inlineStr">
        <is>
          <t>2025-01-12</t>
        </is>
      </c>
      <c r="C688" t="inlineStr">
        <is>
          <t>19:59:35</t>
        </is>
      </c>
      <c r="D688" t="n">
        <v>1003</v>
      </c>
      <c r="E688" t="n">
        <v>120</v>
      </c>
      <c r="F688" t="n">
        <v>217</v>
      </c>
      <c r="G688" t="inlineStr">
        <is>
          <t>Pune</t>
        </is>
      </c>
      <c r="H688" t="inlineStr">
        <is>
          <t>Fast Food</t>
        </is>
      </c>
      <c r="I688" t="n">
        <v>882</v>
      </c>
      <c r="J688" t="n">
        <v>81.89</v>
      </c>
      <c r="K688" t="n">
        <v>27.5</v>
      </c>
      <c r="L688" t="n">
        <v>0.18</v>
      </c>
      <c r="M688" t="n">
        <v>165.64</v>
      </c>
      <c r="N688" t="n">
        <v>3.5</v>
      </c>
      <c r="O688" t="n">
        <v>28.5</v>
      </c>
      <c r="P688" t="inlineStr">
        <is>
          <t>UPI</t>
        </is>
      </c>
      <c r="Q688" t="inlineStr">
        <is>
          <t>Delivered</t>
        </is>
      </c>
      <c r="R688" t="n">
        <v>4</v>
      </c>
    </row>
    <row r="689">
      <c r="A689" t="inlineStr">
        <is>
          <t>ORD1688</t>
        </is>
      </c>
      <c r="B689" t="inlineStr">
        <is>
          <t>2025-12-26</t>
        </is>
      </c>
      <c r="C689" t="inlineStr">
        <is>
          <t>14:54:10</t>
        </is>
      </c>
      <c r="D689" t="n">
        <v>1151</v>
      </c>
      <c r="E689" t="n">
        <v>113</v>
      </c>
      <c r="F689" t="n">
        <v>229</v>
      </c>
      <c r="G689" t="inlineStr">
        <is>
          <t>Mumbai</t>
        </is>
      </c>
      <c r="H689" t="inlineStr">
        <is>
          <t>Fast Food</t>
        </is>
      </c>
      <c r="I689" t="n">
        <v>472</v>
      </c>
      <c r="J689" t="n">
        <v>76.37</v>
      </c>
      <c r="K689" t="n">
        <v>27</v>
      </c>
      <c r="L689" t="n">
        <v>0.18</v>
      </c>
      <c r="M689" t="n">
        <v>91.70999999999999</v>
      </c>
      <c r="N689" t="n">
        <v>3.4</v>
      </c>
      <c r="O689" t="n">
        <v>37.2</v>
      </c>
      <c r="P689" t="inlineStr">
        <is>
          <t>Credit Card</t>
        </is>
      </c>
      <c r="Q689" t="inlineStr">
        <is>
          <t>Delivered</t>
        </is>
      </c>
      <c r="R689" t="n">
        <v>5</v>
      </c>
    </row>
    <row r="690">
      <c r="A690" t="inlineStr">
        <is>
          <t>ORD1689</t>
        </is>
      </c>
      <c r="B690" t="inlineStr">
        <is>
          <t>2025-03-29</t>
        </is>
      </c>
      <c r="C690" t="inlineStr">
        <is>
          <t>21:36:07</t>
        </is>
      </c>
      <c r="D690" t="n">
        <v>1096</v>
      </c>
      <c r="E690" t="n">
        <v>102</v>
      </c>
      <c r="F690" t="n">
        <v>215</v>
      </c>
      <c r="G690" t="inlineStr">
        <is>
          <t>Hyderabad</t>
        </is>
      </c>
      <c r="H690" t="inlineStr">
        <is>
          <t>Biryani</t>
        </is>
      </c>
      <c r="I690" t="n">
        <v>234</v>
      </c>
      <c r="J690" t="n">
        <v>8.15</v>
      </c>
      <c r="K690" t="n">
        <v>38</v>
      </c>
      <c r="L690" t="n">
        <v>0.22</v>
      </c>
      <c r="M690" t="n">
        <v>60.98</v>
      </c>
      <c r="N690" t="n">
        <v>5.6</v>
      </c>
      <c r="O690" t="n">
        <v>53.7</v>
      </c>
      <c r="P690" t="inlineStr">
        <is>
          <t>Cash on Delivery</t>
        </is>
      </c>
      <c r="Q690" t="inlineStr">
        <is>
          <t>Delivered</t>
        </is>
      </c>
      <c r="R690" t="n">
        <v>1</v>
      </c>
    </row>
    <row r="691">
      <c r="A691" t="inlineStr">
        <is>
          <t>ORD1690</t>
        </is>
      </c>
      <c r="B691" t="inlineStr">
        <is>
          <t>2025-04-15</t>
        </is>
      </c>
      <c r="C691" t="inlineStr">
        <is>
          <t>21:12:55</t>
        </is>
      </c>
      <c r="D691" t="n">
        <v>1246</v>
      </c>
      <c r="E691" t="n">
        <v>106</v>
      </c>
      <c r="F691" t="n">
        <v>224</v>
      </c>
      <c r="G691" t="inlineStr">
        <is>
          <t>Pune</t>
        </is>
      </c>
      <c r="H691" t="inlineStr">
        <is>
          <t>South Indian</t>
        </is>
      </c>
      <c r="I691" t="n">
        <v>665</v>
      </c>
      <c r="J691" t="n">
        <v>116.14</v>
      </c>
      <c r="K691" t="n">
        <v>0</v>
      </c>
      <c r="L691" t="n">
        <v>0.15</v>
      </c>
      <c r="M691" t="n">
        <v>99.75</v>
      </c>
      <c r="N691" t="n">
        <v>2.4</v>
      </c>
      <c r="O691" t="n">
        <v>27.9</v>
      </c>
      <c r="P691" t="inlineStr">
        <is>
          <t>Cash on Delivery</t>
        </is>
      </c>
      <c r="Q691" t="inlineStr">
        <is>
          <t>Delivered</t>
        </is>
      </c>
      <c r="R691" t="n">
        <v>5</v>
      </c>
    </row>
    <row r="692">
      <c r="A692" t="inlineStr">
        <is>
          <t>ORD1691</t>
        </is>
      </c>
      <c r="B692" t="inlineStr">
        <is>
          <t>2025-05-25</t>
        </is>
      </c>
      <c r="C692" t="inlineStr">
        <is>
          <t>20:46:43</t>
        </is>
      </c>
      <c r="D692" t="n">
        <v>1079</v>
      </c>
      <c r="E692" t="n">
        <v>115</v>
      </c>
      <c r="F692" t="n">
        <v>203</v>
      </c>
      <c r="G692" t="inlineStr">
        <is>
          <t>Bangalore</t>
        </is>
      </c>
      <c r="H692" t="inlineStr">
        <is>
          <t>Italian</t>
        </is>
      </c>
      <c r="I692" t="n">
        <v>413</v>
      </c>
      <c r="J692" t="n">
        <v>0</v>
      </c>
      <c r="K692" t="n">
        <v>40.5</v>
      </c>
      <c r="L692" t="n">
        <v>0.2</v>
      </c>
      <c r="M692" t="n">
        <v>92.72</v>
      </c>
      <c r="N692" t="n">
        <v>6.1</v>
      </c>
      <c r="O692" t="n">
        <v>42</v>
      </c>
      <c r="P692" t="inlineStr">
        <is>
          <t>Credit Card</t>
        </is>
      </c>
      <c r="Q692" t="inlineStr">
        <is>
          <t>Delivered</t>
        </is>
      </c>
      <c r="R692" t="n">
        <v>3</v>
      </c>
    </row>
    <row r="693">
      <c r="A693" t="inlineStr">
        <is>
          <t>ORD1692</t>
        </is>
      </c>
      <c r="B693" t="inlineStr">
        <is>
          <t>2025-05-15</t>
        </is>
      </c>
      <c r="C693" t="inlineStr">
        <is>
          <t>21:15:39</t>
        </is>
      </c>
      <c r="D693" t="n">
        <v>1127</v>
      </c>
      <c r="E693" t="n">
        <v>104</v>
      </c>
      <c r="F693" t="n">
        <v>211</v>
      </c>
      <c r="G693" t="inlineStr">
        <is>
          <t>Delhi NCR</t>
        </is>
      </c>
      <c r="H693" t="inlineStr">
        <is>
          <t>Fast Food</t>
        </is>
      </c>
      <c r="I693" t="n">
        <v>681</v>
      </c>
      <c r="J693" t="n">
        <v>77.3</v>
      </c>
      <c r="K693" t="n">
        <v>28.5</v>
      </c>
      <c r="L693" t="n">
        <v>0.18</v>
      </c>
      <c r="M693" t="n">
        <v>129.7</v>
      </c>
      <c r="N693" t="n">
        <v>3.7</v>
      </c>
      <c r="O693" t="n">
        <v>54.4</v>
      </c>
      <c r="P693" t="inlineStr">
        <is>
          <t>Cash on Delivery</t>
        </is>
      </c>
      <c r="Q693" t="inlineStr">
        <is>
          <t>Delivered</t>
        </is>
      </c>
      <c r="R693" t="n">
        <v>4</v>
      </c>
    </row>
    <row r="694">
      <c r="A694" t="inlineStr">
        <is>
          <t>ORD1693</t>
        </is>
      </c>
      <c r="B694" t="inlineStr">
        <is>
          <t>2025-08-29</t>
        </is>
      </c>
      <c r="C694" t="inlineStr">
        <is>
          <t>22:08:55</t>
        </is>
      </c>
      <c r="D694" t="n">
        <v>1144</v>
      </c>
      <c r="E694" t="n">
        <v>101</v>
      </c>
      <c r="F694" t="n">
        <v>220</v>
      </c>
      <c r="G694" t="inlineStr">
        <is>
          <t>Bangalore</t>
        </is>
      </c>
      <c r="H694" t="inlineStr">
        <is>
          <t>North Indian</t>
        </is>
      </c>
      <c r="I694" t="n">
        <v>551</v>
      </c>
      <c r="J694" t="n">
        <v>17.52</v>
      </c>
      <c r="K694" t="n">
        <v>25</v>
      </c>
      <c r="L694" t="n">
        <v>0.2</v>
      </c>
      <c r="M694" t="n">
        <v>116.45</v>
      </c>
      <c r="N694" t="n">
        <v>2.7</v>
      </c>
      <c r="O694" t="n">
        <v>25</v>
      </c>
      <c r="P694" t="inlineStr">
        <is>
          <t>Cash on Delivery</t>
        </is>
      </c>
      <c r="Q694" t="inlineStr">
        <is>
          <t>Delivered</t>
        </is>
      </c>
      <c r="R694" t="n">
        <v>4</v>
      </c>
    </row>
    <row r="695">
      <c r="A695" t="inlineStr">
        <is>
          <t>ORD1694</t>
        </is>
      </c>
      <c r="B695" t="inlineStr">
        <is>
          <t>2025-02-18</t>
        </is>
      </c>
      <c r="C695" t="inlineStr">
        <is>
          <t>20:35:03</t>
        </is>
      </c>
      <c r="D695" t="n">
        <v>1163</v>
      </c>
      <c r="E695" t="n">
        <v>103</v>
      </c>
      <c r="F695" t="n">
        <v>202</v>
      </c>
      <c r="G695" t="inlineStr">
        <is>
          <t>Mumbai</t>
        </is>
      </c>
      <c r="H695" t="inlineStr">
        <is>
          <t>Italian</t>
        </is>
      </c>
      <c r="I695" t="n">
        <v>273</v>
      </c>
      <c r="J695" t="n">
        <v>20.01</v>
      </c>
      <c r="K695" t="n">
        <v>25</v>
      </c>
      <c r="L695" t="n">
        <v>0.18</v>
      </c>
      <c r="M695" t="n">
        <v>55.39</v>
      </c>
      <c r="N695" t="n">
        <v>2.5</v>
      </c>
      <c r="O695" t="n">
        <v>24</v>
      </c>
      <c r="P695" t="inlineStr">
        <is>
          <t>Debit Card</t>
        </is>
      </c>
      <c r="Q695" t="inlineStr">
        <is>
          <t>Delivered</t>
        </is>
      </c>
      <c r="R695" t="n">
        <v>3</v>
      </c>
    </row>
    <row r="696">
      <c r="A696" t="inlineStr">
        <is>
          <t>ORD1695</t>
        </is>
      </c>
      <c r="B696" t="inlineStr">
        <is>
          <t>2025-09-16</t>
        </is>
      </c>
      <c r="C696" t="inlineStr">
        <is>
          <t>13:39:24</t>
        </is>
      </c>
      <c r="D696" t="n">
        <v>1120</v>
      </c>
      <c r="E696" t="n">
        <v>110</v>
      </c>
      <c r="F696" t="n">
        <v>209</v>
      </c>
      <c r="G696" t="inlineStr">
        <is>
          <t>Pune</t>
        </is>
      </c>
      <c r="H696" t="inlineStr">
        <is>
          <t>North Indian</t>
        </is>
      </c>
      <c r="I696" t="n">
        <v>529</v>
      </c>
      <c r="J696" t="n">
        <v>28.41</v>
      </c>
      <c r="K696" t="n">
        <v>32.5</v>
      </c>
      <c r="L696" t="n">
        <v>0.18</v>
      </c>
      <c r="M696" t="n">
        <v>103.34</v>
      </c>
      <c r="N696" t="n">
        <v>4.5</v>
      </c>
      <c r="O696" t="n">
        <v>32.5</v>
      </c>
      <c r="P696" t="inlineStr">
        <is>
          <t>Digital Wallet</t>
        </is>
      </c>
      <c r="Q696" t="inlineStr">
        <is>
          <t>Delivered</t>
        </is>
      </c>
      <c r="R696" t="n">
        <v>3</v>
      </c>
    </row>
    <row r="697">
      <c r="A697" t="inlineStr">
        <is>
          <t>ORD1696</t>
        </is>
      </c>
      <c r="B697" t="inlineStr">
        <is>
          <t>2025-05-14</t>
        </is>
      </c>
      <c r="C697" t="inlineStr">
        <is>
          <t>20:10:32</t>
        </is>
      </c>
      <c r="D697" t="n">
        <v>1220</v>
      </c>
      <c r="E697" t="n">
        <v>114</v>
      </c>
      <c r="F697" t="n">
        <v>216</v>
      </c>
      <c r="G697" t="inlineStr">
        <is>
          <t>Hyderabad</t>
        </is>
      </c>
      <c r="H697" t="inlineStr">
        <is>
          <t>Biryani</t>
        </is>
      </c>
      <c r="I697" t="n">
        <v>724</v>
      </c>
      <c r="J697" t="n">
        <v>83.34999999999999</v>
      </c>
      <c r="K697" t="n">
        <v>36</v>
      </c>
      <c r="L697" t="n">
        <v>0.22</v>
      </c>
      <c r="M697" t="n">
        <v>168.28</v>
      </c>
      <c r="N697" t="n">
        <v>5.2</v>
      </c>
      <c r="O697" t="n">
        <v>41.3</v>
      </c>
      <c r="P697" t="inlineStr">
        <is>
          <t>Credit Card</t>
        </is>
      </c>
      <c r="Q697" t="inlineStr">
        <is>
          <t>Delivered</t>
        </is>
      </c>
      <c r="R697" t="n">
        <v>2</v>
      </c>
    </row>
    <row r="698">
      <c r="A698" t="inlineStr">
        <is>
          <t>ORD1697</t>
        </is>
      </c>
      <c r="B698" t="inlineStr">
        <is>
          <t>2025-12-30</t>
        </is>
      </c>
      <c r="C698" t="inlineStr">
        <is>
          <t>22:33:27</t>
        </is>
      </c>
      <c r="D698" t="n">
        <v>1134</v>
      </c>
      <c r="E698" t="n">
        <v>114</v>
      </c>
      <c r="F698" t="n">
        <v>215</v>
      </c>
      <c r="G698" t="inlineStr">
        <is>
          <t>Hyderabad</t>
        </is>
      </c>
      <c r="H698" t="inlineStr">
        <is>
          <t>Biryani</t>
        </is>
      </c>
      <c r="I698" t="n">
        <v>365</v>
      </c>
      <c r="J698" t="n">
        <v>0</v>
      </c>
      <c r="K698" t="n">
        <v>25</v>
      </c>
      <c r="L698" t="n">
        <v>0.22</v>
      </c>
      <c r="M698" t="n">
        <v>86.55</v>
      </c>
      <c r="N698" t="n">
        <v>2.8</v>
      </c>
      <c r="O698" t="n">
        <v>26.5</v>
      </c>
      <c r="P698" t="inlineStr">
        <is>
          <t>Credit Card</t>
        </is>
      </c>
      <c r="Q698" t="inlineStr">
        <is>
          <t>Delivered</t>
        </is>
      </c>
      <c r="R698" t="n">
        <v>5</v>
      </c>
    </row>
    <row r="699">
      <c r="A699" t="inlineStr">
        <is>
          <t>ORD1698</t>
        </is>
      </c>
      <c r="B699" t="inlineStr">
        <is>
          <t>2025-08-09</t>
        </is>
      </c>
      <c r="C699" t="inlineStr">
        <is>
          <t>15:18:57</t>
        </is>
      </c>
      <c r="D699" t="n">
        <v>1052</v>
      </c>
      <c r="E699" t="n">
        <v>114</v>
      </c>
      <c r="F699" t="n">
        <v>225</v>
      </c>
      <c r="G699" t="inlineStr">
        <is>
          <t>Hyderabad</t>
        </is>
      </c>
      <c r="H699" t="inlineStr">
        <is>
          <t>Biryani</t>
        </is>
      </c>
      <c r="I699" t="n">
        <v>489</v>
      </c>
      <c r="J699" t="n">
        <v>45.43</v>
      </c>
      <c r="K699" t="n">
        <v>25.5</v>
      </c>
      <c r="L699" t="n">
        <v>0.22</v>
      </c>
      <c r="M699" t="n">
        <v>113.96</v>
      </c>
      <c r="N699" t="n">
        <v>3.1</v>
      </c>
      <c r="O699" t="n">
        <v>44.4</v>
      </c>
      <c r="P699" t="inlineStr">
        <is>
          <t>Debit Card</t>
        </is>
      </c>
      <c r="Q699" t="inlineStr">
        <is>
          <t>Delivered</t>
        </is>
      </c>
      <c r="R699" t="n">
        <v>1</v>
      </c>
    </row>
    <row r="700">
      <c r="A700" t="inlineStr">
        <is>
          <t>ORD1699</t>
        </is>
      </c>
      <c r="B700" t="inlineStr">
        <is>
          <t>2025-06-11</t>
        </is>
      </c>
      <c r="C700" t="inlineStr">
        <is>
          <t>06:47:31</t>
        </is>
      </c>
      <c r="D700" t="n">
        <v>1228</v>
      </c>
      <c r="E700" t="n">
        <v>109</v>
      </c>
      <c r="F700" t="n">
        <v>225</v>
      </c>
      <c r="G700" t="inlineStr">
        <is>
          <t>Hyderabad</t>
        </is>
      </c>
      <c r="H700" t="inlineStr">
        <is>
          <t>Biryani</t>
        </is>
      </c>
      <c r="I700" t="n">
        <v>374</v>
      </c>
      <c r="J700" t="n">
        <v>27.61</v>
      </c>
      <c r="K700" t="n">
        <v>39</v>
      </c>
      <c r="L700" t="n">
        <v>0.2</v>
      </c>
      <c r="M700" t="n">
        <v>84.55</v>
      </c>
      <c r="N700" t="n">
        <v>5.8</v>
      </c>
      <c r="O700" t="n">
        <v>35.7</v>
      </c>
      <c r="P700" t="inlineStr">
        <is>
          <t>Cash on Delivery</t>
        </is>
      </c>
      <c r="Q700" t="inlineStr">
        <is>
          <t>Delivered</t>
        </is>
      </c>
      <c r="R700" t="n">
        <v>5</v>
      </c>
    </row>
    <row r="701">
      <c r="A701" t="inlineStr">
        <is>
          <t>ORD1700</t>
        </is>
      </c>
      <c r="B701" t="inlineStr">
        <is>
          <t>2025-03-18</t>
        </is>
      </c>
      <c r="C701" t="inlineStr">
        <is>
          <t>19:03:14</t>
        </is>
      </c>
      <c r="D701" t="n">
        <v>1212</v>
      </c>
      <c r="E701" t="n">
        <v>102</v>
      </c>
      <c r="F701" t="n">
        <v>225</v>
      </c>
      <c r="G701" t="inlineStr">
        <is>
          <t>Hyderabad</t>
        </is>
      </c>
      <c r="H701" t="inlineStr">
        <is>
          <t>Biryani</t>
        </is>
      </c>
      <c r="I701" t="n">
        <v>407</v>
      </c>
      <c r="J701" t="n">
        <v>21.37</v>
      </c>
      <c r="K701" t="n">
        <v>29.5</v>
      </c>
      <c r="L701" t="n">
        <v>0.22</v>
      </c>
      <c r="M701" t="n">
        <v>96.92</v>
      </c>
      <c r="N701" t="n">
        <v>3.9</v>
      </c>
      <c r="O701" t="n">
        <v>32.1</v>
      </c>
      <c r="P701" t="inlineStr">
        <is>
          <t>Cash on Delivery</t>
        </is>
      </c>
      <c r="Q701" t="inlineStr">
        <is>
          <t>Delivered</t>
        </is>
      </c>
      <c r="R701" t="n">
        <v>5</v>
      </c>
    </row>
    <row r="702">
      <c r="A702" t="inlineStr">
        <is>
          <t>ORD1701</t>
        </is>
      </c>
      <c r="B702" t="inlineStr">
        <is>
          <t>2025-01-21</t>
        </is>
      </c>
      <c r="C702" t="inlineStr">
        <is>
          <t>19:28:22</t>
        </is>
      </c>
      <c r="D702" t="n">
        <v>1056</v>
      </c>
      <c r="E702" t="n">
        <v>102</v>
      </c>
      <c r="F702" t="n">
        <v>215</v>
      </c>
      <c r="G702" t="inlineStr">
        <is>
          <t>Hyderabad</t>
        </is>
      </c>
      <c r="H702" t="inlineStr">
        <is>
          <t>Biryani</t>
        </is>
      </c>
      <c r="I702" t="n">
        <v>1189</v>
      </c>
      <c r="J702" t="n">
        <v>176.59</v>
      </c>
      <c r="K702" t="n">
        <v>0</v>
      </c>
      <c r="L702" t="n">
        <v>0.22</v>
      </c>
      <c r="M702" t="n">
        <v>261.58</v>
      </c>
      <c r="N702" t="n">
        <v>4.6</v>
      </c>
      <c r="O702" t="n">
        <v>46.7</v>
      </c>
      <c r="P702" t="inlineStr">
        <is>
          <t>Credit Card</t>
        </is>
      </c>
      <c r="Q702" t="inlineStr">
        <is>
          <t>Delivered</t>
        </is>
      </c>
      <c r="R702" t="n">
        <v>3</v>
      </c>
    </row>
    <row r="703">
      <c r="A703" t="inlineStr">
        <is>
          <t>ORD1702</t>
        </is>
      </c>
      <c r="B703" t="inlineStr">
        <is>
          <t>2025-02-17</t>
        </is>
      </c>
      <c r="C703" t="inlineStr">
        <is>
          <t>12:13:55</t>
        </is>
      </c>
      <c r="D703" t="n">
        <v>1231</v>
      </c>
      <c r="E703" t="n">
        <v>111</v>
      </c>
      <c r="F703" t="n">
        <v>205</v>
      </c>
      <c r="G703" t="inlineStr">
        <is>
          <t>Bangalore</t>
        </is>
      </c>
      <c r="H703" t="inlineStr">
        <is>
          <t>South Indian</t>
        </is>
      </c>
      <c r="I703" t="n">
        <v>510</v>
      </c>
      <c r="J703" t="n">
        <v>31.95</v>
      </c>
      <c r="K703" t="n">
        <v>27.5</v>
      </c>
      <c r="L703" t="n">
        <v>0.15</v>
      </c>
      <c r="M703" t="n">
        <v>83.38</v>
      </c>
      <c r="N703" t="n">
        <v>3.5</v>
      </c>
      <c r="O703" t="n">
        <v>27.9</v>
      </c>
      <c r="P703" t="inlineStr">
        <is>
          <t>Digital Wallet</t>
        </is>
      </c>
      <c r="Q703" t="inlineStr">
        <is>
          <t>Delivered</t>
        </is>
      </c>
      <c r="R703" t="n">
        <v>5</v>
      </c>
    </row>
    <row r="704">
      <c r="A704" t="inlineStr">
        <is>
          <t>ORD1703</t>
        </is>
      </c>
      <c r="B704" t="inlineStr">
        <is>
          <t>2025-09-27</t>
        </is>
      </c>
      <c r="C704" t="inlineStr">
        <is>
          <t>08:49:36</t>
        </is>
      </c>
      <c r="D704" t="n">
        <v>1133</v>
      </c>
      <c r="E704" t="n">
        <v>108</v>
      </c>
      <c r="F704" t="n">
        <v>221</v>
      </c>
      <c r="G704" t="inlineStr">
        <is>
          <t>Delhi NCR</t>
        </is>
      </c>
      <c r="H704" t="inlineStr">
        <is>
          <t>Fast Food</t>
        </is>
      </c>
      <c r="I704" t="n">
        <v>404</v>
      </c>
      <c r="J704" t="n">
        <v>0</v>
      </c>
      <c r="K704" t="n">
        <v>31</v>
      </c>
      <c r="L704" t="n">
        <v>0.18</v>
      </c>
      <c r="M704" t="n">
        <v>80.47</v>
      </c>
      <c r="N704" t="n">
        <v>4.2</v>
      </c>
      <c r="O704" t="n">
        <v>25.3</v>
      </c>
      <c r="P704" t="inlineStr">
        <is>
          <t>Cash on Delivery</t>
        </is>
      </c>
      <c r="Q704" t="inlineStr">
        <is>
          <t>Delivered</t>
        </is>
      </c>
      <c r="R704" t="n">
        <v>3</v>
      </c>
    </row>
    <row r="705">
      <c r="A705" t="inlineStr">
        <is>
          <t>ORD1704</t>
        </is>
      </c>
      <c r="B705" t="inlineStr">
        <is>
          <t>2025-05-26</t>
        </is>
      </c>
      <c r="C705" t="inlineStr">
        <is>
          <t>21:43:43</t>
        </is>
      </c>
      <c r="D705" t="n">
        <v>1223</v>
      </c>
      <c r="E705" t="n">
        <v>119</v>
      </c>
      <c r="F705" t="n">
        <v>225</v>
      </c>
      <c r="G705" t="inlineStr">
        <is>
          <t>Hyderabad</t>
        </is>
      </c>
      <c r="H705" t="inlineStr">
        <is>
          <t>Biryani</t>
        </is>
      </c>
      <c r="I705" t="n">
        <v>344</v>
      </c>
      <c r="J705" t="n">
        <v>0</v>
      </c>
      <c r="K705" t="n">
        <v>38</v>
      </c>
      <c r="L705" t="n">
        <v>0.2</v>
      </c>
      <c r="M705" t="n">
        <v>78.3</v>
      </c>
      <c r="N705" t="n">
        <v>5.6</v>
      </c>
      <c r="O705" t="n">
        <v>51.9</v>
      </c>
      <c r="P705" t="inlineStr">
        <is>
          <t>UPI</t>
        </is>
      </c>
      <c r="Q705" t="inlineStr">
        <is>
          <t>Delivered</t>
        </is>
      </c>
      <c r="R705" t="n">
        <v>2</v>
      </c>
    </row>
    <row r="706">
      <c r="A706" t="inlineStr">
        <is>
          <t>ORD1705</t>
        </is>
      </c>
      <c r="B706" t="inlineStr">
        <is>
          <t>2025-02-11</t>
        </is>
      </c>
      <c r="C706" t="inlineStr">
        <is>
          <t>23:29:53</t>
        </is>
      </c>
      <c r="D706" t="n">
        <v>1182</v>
      </c>
      <c r="E706" t="n">
        <v>119</v>
      </c>
      <c r="F706" t="n">
        <v>216</v>
      </c>
      <c r="G706" t="inlineStr">
        <is>
          <t>Hyderabad</t>
        </is>
      </c>
      <c r="H706" t="inlineStr">
        <is>
          <t>Biryani</t>
        </is>
      </c>
      <c r="I706" t="n">
        <v>944</v>
      </c>
      <c r="J706" t="n">
        <v>34.29</v>
      </c>
      <c r="K706" t="n">
        <v>50</v>
      </c>
      <c r="L706" t="n">
        <v>0.2</v>
      </c>
      <c r="M706" t="n">
        <v>201.3</v>
      </c>
      <c r="N706" t="n">
        <v>8</v>
      </c>
      <c r="O706" t="n">
        <v>44.4</v>
      </c>
      <c r="P706" t="inlineStr">
        <is>
          <t>Digital Wallet</t>
        </is>
      </c>
      <c r="Q706" t="inlineStr">
        <is>
          <t>Delivered</t>
        </is>
      </c>
      <c r="R706" t="n">
        <v>4</v>
      </c>
    </row>
    <row r="707">
      <c r="A707" t="inlineStr">
        <is>
          <t>ORD1706</t>
        </is>
      </c>
      <c r="B707" t="inlineStr">
        <is>
          <t>2025-12-02</t>
        </is>
      </c>
      <c r="C707" t="inlineStr">
        <is>
          <t>10:39:28</t>
        </is>
      </c>
      <c r="D707" t="n">
        <v>1189</v>
      </c>
      <c r="E707" t="n">
        <v>114</v>
      </c>
      <c r="F707" t="n">
        <v>216</v>
      </c>
      <c r="G707" t="inlineStr">
        <is>
          <t>Hyderabad</t>
        </is>
      </c>
      <c r="H707" t="inlineStr">
        <is>
          <t>Biryani</t>
        </is>
      </c>
      <c r="I707" t="n">
        <v>552</v>
      </c>
      <c r="J707" t="n">
        <v>44.15</v>
      </c>
      <c r="K707" t="n">
        <v>54</v>
      </c>
      <c r="L707" t="n">
        <v>0.22</v>
      </c>
      <c r="M707" t="n">
        <v>134.94</v>
      </c>
      <c r="N707" t="n">
        <v>8.800000000000001</v>
      </c>
      <c r="O707" t="n">
        <v>47.4</v>
      </c>
      <c r="P707" t="inlineStr">
        <is>
          <t>Digital Wallet</t>
        </is>
      </c>
      <c r="Q707" t="inlineStr">
        <is>
          <t>Delivered</t>
        </is>
      </c>
      <c r="R707" t="n">
        <v>5</v>
      </c>
    </row>
    <row r="708">
      <c r="A708" t="inlineStr">
        <is>
          <t>ORD1707</t>
        </is>
      </c>
      <c r="B708" t="inlineStr">
        <is>
          <t>2025-01-25</t>
        </is>
      </c>
      <c r="C708" t="inlineStr">
        <is>
          <t>20:51:41</t>
        </is>
      </c>
      <c r="D708" t="n">
        <v>1014</v>
      </c>
      <c r="E708" t="n">
        <v>118</v>
      </c>
      <c r="F708" t="n">
        <v>221</v>
      </c>
      <c r="G708" t="inlineStr">
        <is>
          <t>Delhi NCR</t>
        </is>
      </c>
      <c r="H708" t="inlineStr">
        <is>
          <t>North Indian</t>
        </is>
      </c>
      <c r="I708" t="n">
        <v>509</v>
      </c>
      <c r="J708" t="n">
        <v>0</v>
      </c>
      <c r="K708" t="n">
        <v>25</v>
      </c>
      <c r="L708" t="n">
        <v>0.2</v>
      </c>
      <c r="M708" t="n">
        <v>108.05</v>
      </c>
      <c r="N708" t="n">
        <v>2.6</v>
      </c>
      <c r="O708" t="n">
        <v>23</v>
      </c>
      <c r="P708" t="inlineStr">
        <is>
          <t>UPI</t>
        </is>
      </c>
      <c r="Q708" t="inlineStr">
        <is>
          <t>Delivered</t>
        </is>
      </c>
      <c r="R708" t="n">
        <v>4</v>
      </c>
    </row>
    <row r="709">
      <c r="A709" t="inlineStr">
        <is>
          <t>ORD1708</t>
        </is>
      </c>
      <c r="B709" t="inlineStr">
        <is>
          <t>2025-05-11</t>
        </is>
      </c>
      <c r="C709" t="inlineStr">
        <is>
          <t>20:11:15</t>
        </is>
      </c>
      <c r="D709" t="n">
        <v>1129</v>
      </c>
      <c r="E709" t="n">
        <v>106</v>
      </c>
      <c r="F709" t="n">
        <v>226</v>
      </c>
      <c r="G709" t="inlineStr">
        <is>
          <t>Pune</t>
        </is>
      </c>
      <c r="H709" t="inlineStr">
        <is>
          <t>South Indian</t>
        </is>
      </c>
      <c r="I709" t="n">
        <v>628</v>
      </c>
      <c r="J709" t="n">
        <v>0</v>
      </c>
      <c r="K709" t="n">
        <v>35.5</v>
      </c>
      <c r="L709" t="n">
        <v>0.15</v>
      </c>
      <c r="M709" t="n">
        <v>103.08</v>
      </c>
      <c r="N709" t="n">
        <v>5.1</v>
      </c>
      <c r="O709" t="n">
        <v>43.5</v>
      </c>
      <c r="P709" t="inlineStr">
        <is>
          <t>Credit Card</t>
        </is>
      </c>
      <c r="Q709" t="inlineStr">
        <is>
          <t>Delivered</t>
        </is>
      </c>
      <c r="R709" t="n">
        <v>3</v>
      </c>
    </row>
    <row r="710">
      <c r="A710" t="inlineStr">
        <is>
          <t>ORD1709</t>
        </is>
      </c>
      <c r="B710" t="inlineStr">
        <is>
          <t>2025-11-28</t>
        </is>
      </c>
      <c r="C710" t="inlineStr">
        <is>
          <t>20:48:41</t>
        </is>
      </c>
      <c r="D710" t="n">
        <v>1141</v>
      </c>
      <c r="E710" t="n">
        <v>118</v>
      </c>
      <c r="F710" t="n">
        <v>211</v>
      </c>
      <c r="G710" t="inlineStr">
        <is>
          <t>Delhi NCR</t>
        </is>
      </c>
      <c r="H710" t="inlineStr">
        <is>
          <t>North Indian</t>
        </is>
      </c>
      <c r="I710" t="n">
        <v>507</v>
      </c>
      <c r="J710" t="n">
        <v>65.84</v>
      </c>
      <c r="K710" t="n">
        <v>0</v>
      </c>
      <c r="L710" t="n">
        <v>0.2</v>
      </c>
      <c r="M710" t="n">
        <v>101.4</v>
      </c>
      <c r="N710" t="n">
        <v>1.9</v>
      </c>
      <c r="O710" t="n">
        <v>30.2</v>
      </c>
      <c r="P710" t="inlineStr">
        <is>
          <t>Debit Card</t>
        </is>
      </c>
      <c r="Q710" t="inlineStr">
        <is>
          <t>Delivered</t>
        </is>
      </c>
      <c r="R710" t="n">
        <v>4</v>
      </c>
    </row>
    <row r="711">
      <c r="A711" t="inlineStr">
        <is>
          <t>ORD1710</t>
        </is>
      </c>
      <c r="B711" t="inlineStr">
        <is>
          <t>2025-07-08</t>
        </is>
      </c>
      <c r="C711" t="inlineStr">
        <is>
          <t>16:32:12</t>
        </is>
      </c>
      <c r="D711" t="n">
        <v>1254</v>
      </c>
      <c r="E711" t="n">
        <v>109</v>
      </c>
      <c r="F711" t="n">
        <v>215</v>
      </c>
      <c r="G711" t="inlineStr">
        <is>
          <t>Hyderabad</t>
        </is>
      </c>
      <c r="H711" t="inlineStr">
        <is>
          <t>Biryani</t>
        </is>
      </c>
      <c r="I711" t="n">
        <v>721</v>
      </c>
      <c r="J711" t="n">
        <v>0</v>
      </c>
      <c r="K711" t="n">
        <v>31</v>
      </c>
      <c r="L711" t="n">
        <v>0.2</v>
      </c>
      <c r="M711" t="n">
        <v>151.95</v>
      </c>
      <c r="N711" t="n">
        <v>4.2</v>
      </c>
      <c r="O711" t="n">
        <v>29.6</v>
      </c>
      <c r="P711" t="inlineStr">
        <is>
          <t>Debit Card</t>
        </is>
      </c>
      <c r="Q711" t="inlineStr">
        <is>
          <t>Delivered</t>
        </is>
      </c>
      <c r="R711" t="n">
        <v>4</v>
      </c>
    </row>
    <row r="712">
      <c r="A712" t="inlineStr">
        <is>
          <t>ORD1711</t>
        </is>
      </c>
      <c r="B712" t="inlineStr">
        <is>
          <t>2025-07-08</t>
        </is>
      </c>
      <c r="C712" t="inlineStr">
        <is>
          <t>13:39:11</t>
        </is>
      </c>
      <c r="D712" t="n">
        <v>1042</v>
      </c>
      <c r="E712" t="n">
        <v>113</v>
      </c>
      <c r="F712" t="n">
        <v>206</v>
      </c>
      <c r="G712" t="inlineStr">
        <is>
          <t>Mumbai</t>
        </is>
      </c>
      <c r="H712" t="inlineStr">
        <is>
          <t>Fast Food</t>
        </is>
      </c>
      <c r="I712" t="n">
        <v>664</v>
      </c>
      <c r="J712" t="n">
        <v>4.94</v>
      </c>
      <c r="K712" t="n">
        <v>40.5</v>
      </c>
      <c r="L712" t="n">
        <v>0.18</v>
      </c>
      <c r="M712" t="n">
        <v>129.64</v>
      </c>
      <c r="N712" t="n">
        <v>6.1</v>
      </c>
      <c r="O712" t="n">
        <v>41.1</v>
      </c>
      <c r="P712" t="inlineStr">
        <is>
          <t>Cash on Delivery</t>
        </is>
      </c>
      <c r="Q712" t="inlineStr">
        <is>
          <t>Delivered</t>
        </is>
      </c>
      <c r="R712" t="n">
        <v>1</v>
      </c>
    </row>
    <row r="713">
      <c r="A713" t="inlineStr">
        <is>
          <t>ORD1712</t>
        </is>
      </c>
      <c r="B713" t="inlineStr">
        <is>
          <t>2025-09-27</t>
        </is>
      </c>
      <c r="C713" t="inlineStr">
        <is>
          <t>10:40:41</t>
        </is>
      </c>
      <c r="D713" t="n">
        <v>1144</v>
      </c>
      <c r="E713" t="n">
        <v>111</v>
      </c>
      <c r="F713" t="n">
        <v>205</v>
      </c>
      <c r="G713" t="inlineStr">
        <is>
          <t>Bangalore</t>
        </is>
      </c>
      <c r="H713" t="inlineStr">
        <is>
          <t>South Indian</t>
        </is>
      </c>
      <c r="I713" t="n">
        <v>757</v>
      </c>
      <c r="J713" t="n">
        <v>0</v>
      </c>
      <c r="K713" t="n">
        <v>34</v>
      </c>
      <c r="L713" t="n">
        <v>0.15</v>
      </c>
      <c r="M713" t="n">
        <v>122.05</v>
      </c>
      <c r="N713" t="n">
        <v>4.8</v>
      </c>
      <c r="O713" t="n">
        <v>38.7</v>
      </c>
      <c r="P713" t="inlineStr">
        <is>
          <t>UPI</t>
        </is>
      </c>
      <c r="Q713" t="inlineStr">
        <is>
          <t>Delivered</t>
        </is>
      </c>
      <c r="R713" t="n">
        <v>4</v>
      </c>
    </row>
    <row r="714">
      <c r="A714" t="inlineStr">
        <is>
          <t>ORD1713</t>
        </is>
      </c>
      <c r="B714" t="inlineStr">
        <is>
          <t>2025-03-07</t>
        </is>
      </c>
      <c r="C714" t="inlineStr">
        <is>
          <t>13:43:57</t>
        </is>
      </c>
      <c r="D714" t="n">
        <v>1123</v>
      </c>
      <c r="E714" t="n">
        <v>101</v>
      </c>
      <c r="F714" t="n">
        <v>205</v>
      </c>
      <c r="G714" t="inlineStr">
        <is>
          <t>Bangalore</t>
        </is>
      </c>
      <c r="H714" t="inlineStr">
        <is>
          <t>North Indian</t>
        </is>
      </c>
      <c r="I714" t="n">
        <v>527</v>
      </c>
      <c r="J714" t="n">
        <v>22.05</v>
      </c>
      <c r="K714" t="n">
        <v>28.5</v>
      </c>
      <c r="L714" t="n">
        <v>0.2</v>
      </c>
      <c r="M714" t="n">
        <v>112.52</v>
      </c>
      <c r="N714" t="n">
        <v>3.7</v>
      </c>
      <c r="O714" t="n">
        <v>31.6</v>
      </c>
      <c r="P714" t="inlineStr">
        <is>
          <t>UPI</t>
        </is>
      </c>
      <c r="Q714" t="inlineStr">
        <is>
          <t>Delivered</t>
        </is>
      </c>
      <c r="R714" t="n">
        <v>2</v>
      </c>
    </row>
    <row r="715">
      <c r="A715" t="inlineStr">
        <is>
          <t>ORD1714</t>
        </is>
      </c>
      <c r="B715" t="inlineStr">
        <is>
          <t>2025-09-19</t>
        </is>
      </c>
      <c r="C715" t="inlineStr">
        <is>
          <t>19:27:26</t>
        </is>
      </c>
      <c r="D715" t="n">
        <v>1220</v>
      </c>
      <c r="E715" t="n">
        <v>102</v>
      </c>
      <c r="F715" t="n">
        <v>225</v>
      </c>
      <c r="G715" t="inlineStr">
        <is>
          <t>Hyderabad</t>
        </is>
      </c>
      <c r="H715" t="inlineStr">
        <is>
          <t>Biryani</t>
        </is>
      </c>
      <c r="I715" t="n">
        <v>316</v>
      </c>
      <c r="J715" t="n">
        <v>26.08</v>
      </c>
      <c r="K715" t="n">
        <v>26.5</v>
      </c>
      <c r="L715" t="n">
        <v>0.22</v>
      </c>
      <c r="M715" t="n">
        <v>76.14</v>
      </c>
      <c r="N715" t="n">
        <v>3.3</v>
      </c>
      <c r="O715" t="n">
        <v>40.1</v>
      </c>
      <c r="P715" t="inlineStr">
        <is>
          <t>Debit Card</t>
        </is>
      </c>
      <c r="Q715" t="inlineStr">
        <is>
          <t>Delivered</t>
        </is>
      </c>
      <c r="R715" t="n">
        <v>1</v>
      </c>
    </row>
    <row r="716">
      <c r="A716" t="inlineStr">
        <is>
          <t>ORD1715</t>
        </is>
      </c>
      <c r="B716" t="inlineStr">
        <is>
          <t>2025-09-15</t>
        </is>
      </c>
      <c r="C716" t="inlineStr">
        <is>
          <t>00:01:07</t>
        </is>
      </c>
      <c r="D716" t="n">
        <v>1148</v>
      </c>
      <c r="E716" t="n">
        <v>101</v>
      </c>
      <c r="F716" t="n">
        <v>223</v>
      </c>
      <c r="G716" t="inlineStr">
        <is>
          <t>Bangalore</t>
        </is>
      </c>
      <c r="H716" t="inlineStr">
        <is>
          <t>North Indian</t>
        </is>
      </c>
      <c r="I716" t="n">
        <v>897</v>
      </c>
      <c r="J716" t="n">
        <v>0</v>
      </c>
      <c r="K716" t="n">
        <v>58.5</v>
      </c>
      <c r="L716" t="n">
        <v>0.2</v>
      </c>
      <c r="M716" t="n">
        <v>194.02</v>
      </c>
      <c r="N716" t="n">
        <v>9.699999999999999</v>
      </c>
      <c r="O716" t="n">
        <v>100.5</v>
      </c>
      <c r="P716" t="inlineStr">
        <is>
          <t>UPI</t>
        </is>
      </c>
      <c r="Q716" t="inlineStr">
        <is>
          <t>Delivered</t>
        </is>
      </c>
      <c r="R716" t="n">
        <v>4</v>
      </c>
    </row>
    <row r="717">
      <c r="A717" t="inlineStr">
        <is>
          <t>ORD1716</t>
        </is>
      </c>
      <c r="B717" t="inlineStr">
        <is>
          <t>2025-12-27</t>
        </is>
      </c>
      <c r="C717" t="inlineStr">
        <is>
          <t>09:19:20</t>
        </is>
      </c>
      <c r="D717" t="n">
        <v>1087</v>
      </c>
      <c r="E717" t="n">
        <v>116</v>
      </c>
      <c r="F717" t="n">
        <v>224</v>
      </c>
      <c r="G717" t="inlineStr">
        <is>
          <t>Pune</t>
        </is>
      </c>
      <c r="H717" t="inlineStr">
        <is>
          <t>Desserts</t>
        </is>
      </c>
      <c r="I717" t="n">
        <v>821</v>
      </c>
      <c r="J717" t="n">
        <v>82.66</v>
      </c>
      <c r="K717" t="n">
        <v>45.5</v>
      </c>
      <c r="L717" t="n">
        <v>0.25</v>
      </c>
      <c r="M717" t="n">
        <v>216.62</v>
      </c>
      <c r="N717" t="n">
        <v>7.1</v>
      </c>
      <c r="O717" t="n">
        <v>43.1</v>
      </c>
      <c r="P717" t="inlineStr">
        <is>
          <t>Cash on Delivery</t>
        </is>
      </c>
      <c r="Q717" t="inlineStr">
        <is>
          <t>Delivered</t>
        </is>
      </c>
      <c r="R717" t="n">
        <v>1</v>
      </c>
    </row>
    <row r="718">
      <c r="A718" t="inlineStr">
        <is>
          <t>ORD1717</t>
        </is>
      </c>
      <c r="B718" t="inlineStr">
        <is>
          <t>2025-04-19</t>
        </is>
      </c>
      <c r="C718" t="inlineStr">
        <is>
          <t>12:11:05</t>
        </is>
      </c>
      <c r="D718" t="n">
        <v>1234</v>
      </c>
      <c r="E718" t="n">
        <v>116</v>
      </c>
      <c r="F718" t="n">
        <v>207</v>
      </c>
      <c r="G718" t="inlineStr">
        <is>
          <t>Pune</t>
        </is>
      </c>
      <c r="H718" t="inlineStr">
        <is>
          <t>Desserts</t>
        </is>
      </c>
      <c r="I718" t="n">
        <v>838</v>
      </c>
      <c r="J718" t="n">
        <v>0</v>
      </c>
      <c r="K718" t="n">
        <v>31</v>
      </c>
      <c r="L718" t="n">
        <v>0.25</v>
      </c>
      <c r="M718" t="n">
        <v>217.25</v>
      </c>
      <c r="N718" t="n">
        <v>4.2</v>
      </c>
      <c r="O718" t="n">
        <v>37.8</v>
      </c>
      <c r="P718" t="inlineStr">
        <is>
          <t>Cash on Delivery</t>
        </is>
      </c>
      <c r="Q718" t="inlineStr">
        <is>
          <t>Delivered</t>
        </is>
      </c>
      <c r="R718" t="n">
        <v>4</v>
      </c>
    </row>
    <row r="719">
      <c r="A719" t="inlineStr">
        <is>
          <t>ORD1718</t>
        </is>
      </c>
      <c r="B719" t="inlineStr">
        <is>
          <t>2025-03-01</t>
        </is>
      </c>
      <c r="C719" t="inlineStr">
        <is>
          <t>21:00:10</t>
        </is>
      </c>
      <c r="D719" t="n">
        <v>1228</v>
      </c>
      <c r="E719" t="n">
        <v>119</v>
      </c>
      <c r="F719" t="n">
        <v>216</v>
      </c>
      <c r="G719" t="inlineStr">
        <is>
          <t>Hyderabad</t>
        </is>
      </c>
      <c r="H719" t="inlineStr">
        <is>
          <t>Biryani</t>
        </is>
      </c>
      <c r="I719" t="n">
        <v>891</v>
      </c>
      <c r="J719" t="n">
        <v>0</v>
      </c>
      <c r="K719" t="n">
        <v>60.5</v>
      </c>
      <c r="L719" t="n">
        <v>0.2</v>
      </c>
      <c r="M719" t="n">
        <v>193.32</v>
      </c>
      <c r="N719" t="n">
        <v>10.1</v>
      </c>
      <c r="O719" t="n">
        <v>58.2</v>
      </c>
      <c r="P719" t="inlineStr">
        <is>
          <t>Digital Wallet</t>
        </is>
      </c>
      <c r="Q719" t="inlineStr">
        <is>
          <t>Delivered</t>
        </is>
      </c>
      <c r="R719" t="n">
        <v>2</v>
      </c>
    </row>
    <row r="720">
      <c r="A720" t="inlineStr">
        <is>
          <t>ORD1719</t>
        </is>
      </c>
      <c r="B720" t="inlineStr">
        <is>
          <t>2025-12-20</t>
        </is>
      </c>
      <c r="C720" t="inlineStr">
        <is>
          <t>21:43:44</t>
        </is>
      </c>
      <c r="D720" t="n">
        <v>1065</v>
      </c>
      <c r="E720" t="n">
        <v>118</v>
      </c>
      <c r="F720" t="n">
        <v>228</v>
      </c>
      <c r="G720" t="inlineStr">
        <is>
          <t>Delhi NCR</t>
        </is>
      </c>
      <c r="H720" t="inlineStr">
        <is>
          <t>North Indian</t>
        </is>
      </c>
      <c r="I720" t="n">
        <v>911</v>
      </c>
      <c r="J720" t="n">
        <v>0</v>
      </c>
      <c r="K720" t="n">
        <v>25</v>
      </c>
      <c r="L720" t="n">
        <v>0.2</v>
      </c>
      <c r="M720" t="n">
        <v>188.45</v>
      </c>
      <c r="N720" t="n">
        <v>3</v>
      </c>
      <c r="O720" t="n">
        <v>30.4</v>
      </c>
      <c r="P720" t="inlineStr">
        <is>
          <t>Credit Card</t>
        </is>
      </c>
      <c r="Q720" t="inlineStr">
        <is>
          <t>Delivered</t>
        </is>
      </c>
      <c r="R720" t="n">
        <v>3</v>
      </c>
    </row>
    <row r="721">
      <c r="A721" t="inlineStr">
        <is>
          <t>ORD1720</t>
        </is>
      </c>
      <c r="B721" t="inlineStr">
        <is>
          <t>2025-04-08</t>
        </is>
      </c>
      <c r="C721" t="inlineStr">
        <is>
          <t>16:07:52</t>
        </is>
      </c>
      <c r="D721" t="n">
        <v>1118</v>
      </c>
      <c r="E721" t="n">
        <v>108</v>
      </c>
      <c r="F721" t="n">
        <v>219</v>
      </c>
      <c r="G721" t="inlineStr">
        <is>
          <t>Delhi NCR</t>
        </is>
      </c>
      <c r="H721" t="inlineStr">
        <is>
          <t>Fast Food</t>
        </is>
      </c>
      <c r="I721" t="n">
        <v>236</v>
      </c>
      <c r="J721" t="n">
        <v>3.55</v>
      </c>
      <c r="K721" t="n">
        <v>39</v>
      </c>
      <c r="L721" t="n">
        <v>0.18</v>
      </c>
      <c r="M721" t="n">
        <v>52.23</v>
      </c>
      <c r="N721" t="n">
        <v>5.8</v>
      </c>
      <c r="O721" t="n">
        <v>40.7</v>
      </c>
      <c r="P721" t="inlineStr">
        <is>
          <t>Cash on Delivery</t>
        </is>
      </c>
      <c r="Q721" t="inlineStr">
        <is>
          <t>Delivered</t>
        </is>
      </c>
      <c r="R721" t="n">
        <v>3</v>
      </c>
    </row>
    <row r="722">
      <c r="A722" t="inlineStr">
        <is>
          <t>ORD1721</t>
        </is>
      </c>
      <c r="B722" t="inlineStr">
        <is>
          <t>2025-11-17</t>
        </is>
      </c>
      <c r="C722" t="inlineStr">
        <is>
          <t>13:54:50</t>
        </is>
      </c>
      <c r="D722" t="n">
        <v>1177</v>
      </c>
      <c r="E722" t="n">
        <v>112</v>
      </c>
      <c r="F722" t="n">
        <v>230</v>
      </c>
      <c r="G722" t="inlineStr">
        <is>
          <t>Delhi NCR</t>
        </is>
      </c>
      <c r="H722" t="inlineStr">
        <is>
          <t>North Indian</t>
        </is>
      </c>
      <c r="I722" t="n">
        <v>771</v>
      </c>
      <c r="J722" t="n">
        <v>48.85</v>
      </c>
      <c r="K722" t="n">
        <v>28</v>
      </c>
      <c r="L722" t="n">
        <v>0.22</v>
      </c>
      <c r="M722" t="n">
        <v>176.62</v>
      </c>
      <c r="N722" t="n">
        <v>3.6</v>
      </c>
      <c r="O722" t="n">
        <v>34</v>
      </c>
      <c r="P722" t="inlineStr">
        <is>
          <t>Cash on Delivery</t>
        </is>
      </c>
      <c r="Q722" t="inlineStr">
        <is>
          <t>Delivered</t>
        </is>
      </c>
      <c r="R722" t="n">
        <v>5</v>
      </c>
    </row>
    <row r="723">
      <c r="A723" t="inlineStr">
        <is>
          <t>ORD1722</t>
        </is>
      </c>
      <c r="B723" t="inlineStr">
        <is>
          <t>2025-08-05</t>
        </is>
      </c>
      <c r="C723" t="inlineStr">
        <is>
          <t>21:01:07</t>
        </is>
      </c>
      <c r="D723" t="n">
        <v>1218</v>
      </c>
      <c r="E723" t="n">
        <v>108</v>
      </c>
      <c r="F723" t="n">
        <v>230</v>
      </c>
      <c r="G723" t="inlineStr">
        <is>
          <t>Delhi NCR</t>
        </is>
      </c>
      <c r="H723" t="inlineStr">
        <is>
          <t>Fast Food</t>
        </is>
      </c>
      <c r="I723" t="n">
        <v>390</v>
      </c>
      <c r="J723" t="n">
        <v>44.14</v>
      </c>
      <c r="K723" t="n">
        <v>25</v>
      </c>
      <c r="L723" t="n">
        <v>0.18</v>
      </c>
      <c r="M723" t="n">
        <v>76.45</v>
      </c>
      <c r="N723" t="n">
        <v>1.8</v>
      </c>
      <c r="O723" t="n">
        <v>26.6</v>
      </c>
      <c r="P723" t="inlineStr">
        <is>
          <t>Cash on Delivery</t>
        </is>
      </c>
      <c r="Q723" t="inlineStr">
        <is>
          <t>Delivered</t>
        </is>
      </c>
      <c r="R723" t="n">
        <v>4</v>
      </c>
    </row>
    <row r="724">
      <c r="A724" t="inlineStr">
        <is>
          <t>ORD1723</t>
        </is>
      </c>
      <c r="B724" t="inlineStr">
        <is>
          <t>2025-08-19</t>
        </is>
      </c>
      <c r="C724" t="inlineStr">
        <is>
          <t>17:37:15</t>
        </is>
      </c>
      <c r="D724" t="n">
        <v>1123</v>
      </c>
      <c r="E724" t="n">
        <v>101</v>
      </c>
      <c r="F724" t="n">
        <v>205</v>
      </c>
      <c r="G724" t="inlineStr">
        <is>
          <t>Bangalore</t>
        </is>
      </c>
      <c r="H724" t="inlineStr">
        <is>
          <t>North Indian</t>
        </is>
      </c>
      <c r="I724" t="n">
        <v>426</v>
      </c>
      <c r="J724" t="n">
        <v>0</v>
      </c>
      <c r="K724" t="n">
        <v>34</v>
      </c>
      <c r="L724" t="n">
        <v>0.2</v>
      </c>
      <c r="M724" t="n">
        <v>93.7</v>
      </c>
      <c r="N724" t="n">
        <v>4.8</v>
      </c>
      <c r="O724" t="n">
        <v>40.2</v>
      </c>
      <c r="P724" t="inlineStr">
        <is>
          <t>Cash on Delivery</t>
        </is>
      </c>
      <c r="Q724" t="inlineStr">
        <is>
          <t>Delivered</t>
        </is>
      </c>
      <c r="R724" t="n">
        <v>3</v>
      </c>
    </row>
    <row r="725">
      <c r="A725" t="inlineStr">
        <is>
          <t>ORD1724</t>
        </is>
      </c>
      <c r="B725" t="inlineStr">
        <is>
          <t>2025-01-05</t>
        </is>
      </c>
      <c r="C725" t="inlineStr">
        <is>
          <t>23:06:40</t>
        </is>
      </c>
      <c r="D725" t="n">
        <v>1140</v>
      </c>
      <c r="E725" t="n">
        <v>116</v>
      </c>
      <c r="F725" t="n">
        <v>208</v>
      </c>
      <c r="G725" t="inlineStr">
        <is>
          <t>Pune</t>
        </is>
      </c>
      <c r="H725" t="inlineStr">
        <is>
          <t>Desserts</t>
        </is>
      </c>
      <c r="I725" t="n">
        <v>1160</v>
      </c>
      <c r="J725" t="n">
        <v>229.62</v>
      </c>
      <c r="K725" t="n">
        <v>0</v>
      </c>
      <c r="L725" t="n">
        <v>0.25</v>
      </c>
      <c r="M725" t="n">
        <v>290</v>
      </c>
      <c r="N725" t="n">
        <v>5.1</v>
      </c>
      <c r="O725" t="n">
        <v>35.6</v>
      </c>
      <c r="P725" t="inlineStr">
        <is>
          <t>Digital Wallet</t>
        </is>
      </c>
      <c r="Q725" t="inlineStr">
        <is>
          <t>Delivered</t>
        </is>
      </c>
      <c r="R725" t="n">
        <v>5</v>
      </c>
    </row>
    <row r="726">
      <c r="A726" t="inlineStr">
        <is>
          <t>ORD1725</t>
        </is>
      </c>
      <c r="B726" t="inlineStr">
        <is>
          <t>2025-07-24</t>
        </is>
      </c>
      <c r="C726" t="inlineStr">
        <is>
          <t>18:31:32</t>
        </is>
      </c>
      <c r="D726" t="n">
        <v>1237</v>
      </c>
      <c r="E726" t="n">
        <v>104</v>
      </c>
      <c r="F726" t="n">
        <v>211</v>
      </c>
      <c r="G726" t="inlineStr">
        <is>
          <t>Delhi NCR</t>
        </is>
      </c>
      <c r="H726" t="inlineStr">
        <is>
          <t>Fast Food</t>
        </is>
      </c>
      <c r="I726" t="n">
        <v>825</v>
      </c>
      <c r="J726" t="n">
        <v>61.73</v>
      </c>
      <c r="K726" t="n">
        <v>34.5</v>
      </c>
      <c r="L726" t="n">
        <v>0.18</v>
      </c>
      <c r="M726" t="n">
        <v>157.12</v>
      </c>
      <c r="N726" t="n">
        <v>4.9</v>
      </c>
      <c r="O726" t="n">
        <v>37.7</v>
      </c>
      <c r="P726" t="inlineStr">
        <is>
          <t>Cash on Delivery</t>
        </is>
      </c>
      <c r="Q726" t="inlineStr">
        <is>
          <t>Delivered</t>
        </is>
      </c>
      <c r="R726" t="n">
        <v>5</v>
      </c>
    </row>
    <row r="727">
      <c r="A727" t="inlineStr">
        <is>
          <t>ORD1726</t>
        </is>
      </c>
      <c r="B727" t="inlineStr">
        <is>
          <t>2025-09-28</t>
        </is>
      </c>
      <c r="C727" t="inlineStr">
        <is>
          <t>11:01:27</t>
        </is>
      </c>
      <c r="D727" t="n">
        <v>1004</v>
      </c>
      <c r="E727" t="n">
        <v>106</v>
      </c>
      <c r="F727" t="n">
        <v>208</v>
      </c>
      <c r="G727" t="inlineStr">
        <is>
          <t>Pune</t>
        </is>
      </c>
      <c r="H727" t="inlineStr">
        <is>
          <t>South Indian</t>
        </is>
      </c>
      <c r="I727" t="n">
        <v>810</v>
      </c>
      <c r="J727" t="n">
        <v>0</v>
      </c>
      <c r="K727" t="n">
        <v>25</v>
      </c>
      <c r="L727" t="n">
        <v>0.15</v>
      </c>
      <c r="M727" t="n">
        <v>127.75</v>
      </c>
      <c r="N727" t="n">
        <v>2.6</v>
      </c>
      <c r="O727" t="n">
        <v>28</v>
      </c>
      <c r="P727" t="inlineStr">
        <is>
          <t>Cash on Delivery</t>
        </is>
      </c>
      <c r="Q727" t="inlineStr">
        <is>
          <t>Delivered</t>
        </is>
      </c>
      <c r="R727" t="n">
        <v>4</v>
      </c>
    </row>
    <row r="728">
      <c r="A728" t="inlineStr">
        <is>
          <t>ORD1727</t>
        </is>
      </c>
      <c r="B728" t="inlineStr">
        <is>
          <t>2025-11-15</t>
        </is>
      </c>
      <c r="C728" t="inlineStr">
        <is>
          <t>22:41:22</t>
        </is>
      </c>
      <c r="D728" t="n">
        <v>1279</v>
      </c>
      <c r="E728" t="n">
        <v>118</v>
      </c>
      <c r="F728" t="n">
        <v>230</v>
      </c>
      <c r="G728" t="inlineStr">
        <is>
          <t>Delhi NCR</t>
        </is>
      </c>
      <c r="H728" t="inlineStr">
        <is>
          <t>North Indian</t>
        </is>
      </c>
      <c r="I728" t="n">
        <v>679</v>
      </c>
      <c r="J728" t="n">
        <v>67.09999999999999</v>
      </c>
      <c r="K728" t="n">
        <v>26.5</v>
      </c>
      <c r="L728" t="n">
        <v>0.2</v>
      </c>
      <c r="M728" t="n">
        <v>142.43</v>
      </c>
      <c r="N728" t="n">
        <v>3.3</v>
      </c>
      <c r="O728" t="n">
        <v>21.9</v>
      </c>
      <c r="P728" t="inlineStr">
        <is>
          <t>Debit Card</t>
        </is>
      </c>
      <c r="Q728" t="inlineStr">
        <is>
          <t>Delivered</t>
        </is>
      </c>
      <c r="R728" t="n">
        <v>5</v>
      </c>
    </row>
    <row r="729">
      <c r="A729" t="inlineStr">
        <is>
          <t>ORD1728</t>
        </is>
      </c>
      <c r="B729" t="inlineStr">
        <is>
          <t>2025-08-13</t>
        </is>
      </c>
      <c r="C729" t="inlineStr">
        <is>
          <t>19:14:32</t>
        </is>
      </c>
      <c r="D729" t="n">
        <v>1216</v>
      </c>
      <c r="E729" t="n">
        <v>106</v>
      </c>
      <c r="F729" t="n">
        <v>204</v>
      </c>
      <c r="G729" t="inlineStr">
        <is>
          <t>Pune</t>
        </is>
      </c>
      <c r="H729" t="inlineStr">
        <is>
          <t>South Indian</t>
        </is>
      </c>
      <c r="I729" t="n">
        <v>444</v>
      </c>
      <c r="J729" t="n">
        <v>24.33</v>
      </c>
      <c r="K729" t="n">
        <v>25</v>
      </c>
      <c r="L729" t="n">
        <v>0.15</v>
      </c>
      <c r="M729" t="n">
        <v>72.84999999999999</v>
      </c>
      <c r="N729" t="n">
        <v>3</v>
      </c>
      <c r="O729" t="n">
        <v>32.6</v>
      </c>
      <c r="P729" t="inlineStr">
        <is>
          <t>Cash on Delivery</t>
        </is>
      </c>
      <c r="Q729" t="inlineStr">
        <is>
          <t>Delivered</t>
        </is>
      </c>
      <c r="R729" t="n">
        <v>3</v>
      </c>
    </row>
    <row r="730">
      <c r="A730" t="inlineStr">
        <is>
          <t>ORD1729</t>
        </is>
      </c>
      <c r="B730" t="inlineStr">
        <is>
          <t>2025-12-31</t>
        </is>
      </c>
      <c r="C730" t="inlineStr">
        <is>
          <t>11:24:26</t>
        </is>
      </c>
      <c r="D730" t="n">
        <v>1280</v>
      </c>
      <c r="E730" t="n">
        <v>110</v>
      </c>
      <c r="F730" t="n">
        <v>208</v>
      </c>
      <c r="G730" t="inlineStr">
        <is>
          <t>Pune</t>
        </is>
      </c>
      <c r="H730" t="inlineStr">
        <is>
          <t>North Indian</t>
        </is>
      </c>
      <c r="I730" t="n">
        <v>909</v>
      </c>
      <c r="J730" t="n">
        <v>86.97</v>
      </c>
      <c r="K730" t="n">
        <v>25</v>
      </c>
      <c r="L730" t="n">
        <v>0.18</v>
      </c>
      <c r="M730" t="n">
        <v>169.87</v>
      </c>
      <c r="N730" t="n">
        <v>2.5</v>
      </c>
      <c r="O730" t="n">
        <v>22.6</v>
      </c>
      <c r="P730" t="inlineStr">
        <is>
          <t>Cash on Delivery</t>
        </is>
      </c>
      <c r="Q730" t="inlineStr">
        <is>
          <t>Delivered</t>
        </is>
      </c>
      <c r="R730" t="n">
        <v>4</v>
      </c>
    </row>
    <row r="731">
      <c r="A731" t="inlineStr">
        <is>
          <t>ORD1730</t>
        </is>
      </c>
      <c r="B731" t="inlineStr">
        <is>
          <t>2025-05-25</t>
        </is>
      </c>
      <c r="C731" t="inlineStr">
        <is>
          <t>20:44:47</t>
        </is>
      </c>
      <c r="D731" t="n">
        <v>1253</v>
      </c>
      <c r="E731" t="n">
        <v>102</v>
      </c>
      <c r="F731" t="n">
        <v>225</v>
      </c>
      <c r="G731" t="inlineStr">
        <is>
          <t>Hyderabad</t>
        </is>
      </c>
      <c r="H731" t="inlineStr">
        <is>
          <t>Biryani</t>
        </is>
      </c>
      <c r="I731" t="n">
        <v>578</v>
      </c>
      <c r="J731" t="n">
        <v>85.70999999999999</v>
      </c>
      <c r="K731" t="n">
        <v>0</v>
      </c>
      <c r="L731" t="n">
        <v>0.22</v>
      </c>
      <c r="M731" t="n">
        <v>127.16</v>
      </c>
      <c r="N731" t="n">
        <v>4.3</v>
      </c>
      <c r="O731" t="n">
        <v>36.9</v>
      </c>
      <c r="P731" t="inlineStr">
        <is>
          <t>Credit Card</t>
        </is>
      </c>
      <c r="Q731" t="inlineStr">
        <is>
          <t>Delivered</t>
        </is>
      </c>
      <c r="R731" t="n">
        <v>5</v>
      </c>
    </row>
    <row r="732">
      <c r="A732" t="inlineStr">
        <is>
          <t>ORD1731</t>
        </is>
      </c>
      <c r="B732" t="inlineStr">
        <is>
          <t>2025-09-10</t>
        </is>
      </c>
      <c r="C732" t="inlineStr">
        <is>
          <t>16:19:15</t>
        </is>
      </c>
      <c r="D732" t="n">
        <v>1079</v>
      </c>
      <c r="E732" t="n">
        <v>105</v>
      </c>
      <c r="F732" t="n">
        <v>203</v>
      </c>
      <c r="G732" t="inlineStr">
        <is>
          <t>Bangalore</t>
        </is>
      </c>
      <c r="H732" t="inlineStr">
        <is>
          <t>Chinese</t>
        </is>
      </c>
      <c r="I732" t="n">
        <v>434</v>
      </c>
      <c r="J732" t="n">
        <v>34.69</v>
      </c>
      <c r="K732" t="n">
        <v>34.5</v>
      </c>
      <c r="L732" t="n">
        <v>0.2</v>
      </c>
      <c r="M732" t="n">
        <v>95.43000000000001</v>
      </c>
      <c r="N732" t="n">
        <v>4.9</v>
      </c>
      <c r="O732" t="n">
        <v>29.4</v>
      </c>
      <c r="P732" t="inlineStr">
        <is>
          <t>Debit Card</t>
        </is>
      </c>
      <c r="Q732" t="inlineStr">
        <is>
          <t>Delivered</t>
        </is>
      </c>
      <c r="R732" t="n">
        <v>4</v>
      </c>
    </row>
    <row r="733">
      <c r="A733" t="inlineStr">
        <is>
          <t>ORD1732</t>
        </is>
      </c>
      <c r="B733" t="inlineStr">
        <is>
          <t>2025-09-15</t>
        </is>
      </c>
      <c r="C733" t="inlineStr">
        <is>
          <t>23:02:51</t>
        </is>
      </c>
      <c r="D733" t="n">
        <v>1053</v>
      </c>
      <c r="E733" t="n">
        <v>109</v>
      </c>
      <c r="F733" t="n">
        <v>216</v>
      </c>
      <c r="G733" t="inlineStr">
        <is>
          <t>Hyderabad</t>
        </is>
      </c>
      <c r="H733" t="inlineStr">
        <is>
          <t>Biryani</t>
        </is>
      </c>
      <c r="I733" t="n">
        <v>471</v>
      </c>
      <c r="J733" t="n">
        <v>67.38</v>
      </c>
      <c r="K733" t="n">
        <v>30.5</v>
      </c>
      <c r="L733" t="n">
        <v>0.2</v>
      </c>
      <c r="M733" t="n">
        <v>101.82</v>
      </c>
      <c r="N733" t="n">
        <v>4.1</v>
      </c>
      <c r="O733" t="n">
        <v>32.1</v>
      </c>
      <c r="P733" t="inlineStr">
        <is>
          <t>UPI</t>
        </is>
      </c>
      <c r="Q733" t="inlineStr">
        <is>
          <t>Delivered</t>
        </is>
      </c>
      <c r="R733" t="n">
        <v>4</v>
      </c>
    </row>
    <row r="734">
      <c r="A734" t="inlineStr">
        <is>
          <t>ORD1733</t>
        </is>
      </c>
      <c r="B734" t="inlineStr">
        <is>
          <t>2025-06-24</t>
        </is>
      </c>
      <c r="C734" t="inlineStr">
        <is>
          <t>20:50:22</t>
        </is>
      </c>
      <c r="D734" t="n">
        <v>1283</v>
      </c>
      <c r="E734" t="n">
        <v>106</v>
      </c>
      <c r="F734" t="n">
        <v>209</v>
      </c>
      <c r="G734" t="inlineStr">
        <is>
          <t>Pune</t>
        </is>
      </c>
      <c r="H734" t="inlineStr">
        <is>
          <t>South Indian</t>
        </is>
      </c>
      <c r="I734" t="n">
        <v>267</v>
      </c>
      <c r="J734" t="n">
        <v>11.9</v>
      </c>
      <c r="K734" t="n">
        <v>48</v>
      </c>
      <c r="L734" t="n">
        <v>0.15</v>
      </c>
      <c r="M734" t="n">
        <v>52.05</v>
      </c>
      <c r="N734" t="n">
        <v>7.6</v>
      </c>
      <c r="O734" t="n">
        <v>51.2</v>
      </c>
      <c r="P734" t="inlineStr">
        <is>
          <t>Digital Wallet</t>
        </is>
      </c>
      <c r="Q734" t="inlineStr">
        <is>
          <t>Delivered</t>
        </is>
      </c>
      <c r="R734" t="n">
        <v>2</v>
      </c>
    </row>
    <row r="735">
      <c r="A735" t="inlineStr">
        <is>
          <t>ORD1734</t>
        </is>
      </c>
      <c r="B735" t="inlineStr">
        <is>
          <t>2025-08-23</t>
        </is>
      </c>
      <c r="C735" t="inlineStr">
        <is>
          <t>12:53:48</t>
        </is>
      </c>
      <c r="D735" t="n">
        <v>1241</v>
      </c>
      <c r="E735" t="n">
        <v>114</v>
      </c>
      <c r="F735" t="n">
        <v>216</v>
      </c>
      <c r="G735" t="inlineStr">
        <is>
          <t>Hyderabad</t>
        </is>
      </c>
      <c r="H735" t="inlineStr">
        <is>
          <t>Biryani</t>
        </is>
      </c>
      <c r="I735" t="n">
        <v>682</v>
      </c>
      <c r="J735" t="n">
        <v>75.42</v>
      </c>
      <c r="K735" t="n">
        <v>0</v>
      </c>
      <c r="L735" t="n">
        <v>0.22</v>
      </c>
      <c r="M735" t="n">
        <v>150.04</v>
      </c>
      <c r="N735" t="n">
        <v>4.7</v>
      </c>
      <c r="O735" t="n">
        <v>37.8</v>
      </c>
      <c r="P735" t="inlineStr">
        <is>
          <t>UPI</t>
        </is>
      </c>
      <c r="Q735" t="inlineStr">
        <is>
          <t>Delivered</t>
        </is>
      </c>
      <c r="R735" t="n">
        <v>3</v>
      </c>
    </row>
    <row r="736">
      <c r="A736" t="inlineStr">
        <is>
          <t>ORD1735</t>
        </is>
      </c>
      <c r="B736" t="inlineStr">
        <is>
          <t>2025-11-19</t>
        </is>
      </c>
      <c r="C736" t="inlineStr">
        <is>
          <t>22:07:55</t>
        </is>
      </c>
      <c r="D736" t="n">
        <v>1225</v>
      </c>
      <c r="E736" t="n">
        <v>110</v>
      </c>
      <c r="F736" t="n">
        <v>209</v>
      </c>
      <c r="G736" t="inlineStr">
        <is>
          <t>Pune</t>
        </is>
      </c>
      <c r="H736" t="inlineStr">
        <is>
          <t>North Indian</t>
        </is>
      </c>
      <c r="I736" t="n">
        <v>430</v>
      </c>
      <c r="J736" t="n">
        <v>5.4</v>
      </c>
      <c r="K736" t="n">
        <v>25</v>
      </c>
      <c r="L736" t="n">
        <v>0.18</v>
      </c>
      <c r="M736" t="n">
        <v>83.65000000000001</v>
      </c>
      <c r="N736" t="n">
        <v>2.8</v>
      </c>
      <c r="O736" t="n">
        <v>28</v>
      </c>
      <c r="P736" t="inlineStr">
        <is>
          <t>Cash on Delivery</t>
        </is>
      </c>
      <c r="Q736" t="inlineStr">
        <is>
          <t>Delivered</t>
        </is>
      </c>
      <c r="R736" t="n">
        <v>3</v>
      </c>
    </row>
    <row r="737">
      <c r="A737" t="inlineStr">
        <is>
          <t>ORD1736</t>
        </is>
      </c>
      <c r="B737" t="inlineStr">
        <is>
          <t>2025-11-28</t>
        </is>
      </c>
      <c r="C737" t="inlineStr">
        <is>
          <t>19:23:21</t>
        </is>
      </c>
      <c r="D737" t="n">
        <v>1054</v>
      </c>
      <c r="E737" t="n">
        <v>115</v>
      </c>
      <c r="F737" t="n">
        <v>201</v>
      </c>
      <c r="G737" t="inlineStr">
        <is>
          <t>Bangalore</t>
        </is>
      </c>
      <c r="H737" t="inlineStr">
        <is>
          <t>Italian</t>
        </is>
      </c>
      <c r="I737" t="n">
        <v>492</v>
      </c>
      <c r="J737" t="n">
        <v>90.95</v>
      </c>
      <c r="K737" t="n">
        <v>37</v>
      </c>
      <c r="L737" t="n">
        <v>0.2</v>
      </c>
      <c r="M737" t="n">
        <v>107.65</v>
      </c>
      <c r="N737" t="n">
        <v>5.4</v>
      </c>
      <c r="O737" t="n">
        <v>38</v>
      </c>
      <c r="P737" t="inlineStr">
        <is>
          <t>Cash on Delivery</t>
        </is>
      </c>
      <c r="Q737" t="inlineStr">
        <is>
          <t>Delivered</t>
        </is>
      </c>
      <c r="R737" t="n">
        <v>4</v>
      </c>
    </row>
    <row r="738">
      <c r="A738" t="inlineStr">
        <is>
          <t>ORD1737</t>
        </is>
      </c>
      <c r="B738" t="inlineStr">
        <is>
          <t>2025-08-31</t>
        </is>
      </c>
      <c r="C738" t="inlineStr">
        <is>
          <t>11:21:18</t>
        </is>
      </c>
      <c r="D738" t="n">
        <v>1263</v>
      </c>
      <c r="E738" t="n">
        <v>118</v>
      </c>
      <c r="F738" t="n">
        <v>228</v>
      </c>
      <c r="G738" t="inlineStr">
        <is>
          <t>Delhi NCR</t>
        </is>
      </c>
      <c r="H738" t="inlineStr">
        <is>
          <t>North Indian</t>
        </is>
      </c>
      <c r="I738" t="n">
        <v>737</v>
      </c>
      <c r="J738" t="n">
        <v>0</v>
      </c>
      <c r="K738" t="n">
        <v>32.5</v>
      </c>
      <c r="L738" t="n">
        <v>0.2</v>
      </c>
      <c r="M738" t="n">
        <v>155.52</v>
      </c>
      <c r="N738" t="n">
        <v>4.5</v>
      </c>
      <c r="O738" t="n">
        <v>28.4</v>
      </c>
      <c r="P738" t="inlineStr">
        <is>
          <t>Cash on Delivery</t>
        </is>
      </c>
      <c r="Q738" t="inlineStr">
        <is>
          <t>Delivered</t>
        </is>
      </c>
      <c r="R738" t="n">
        <v>5</v>
      </c>
    </row>
    <row r="739">
      <c r="A739" t="inlineStr">
        <is>
          <t>ORD1738</t>
        </is>
      </c>
      <c r="B739" t="inlineStr">
        <is>
          <t>2025-09-29</t>
        </is>
      </c>
      <c r="C739" t="inlineStr">
        <is>
          <t>20:26:50</t>
        </is>
      </c>
      <c r="D739" t="n">
        <v>1104</v>
      </c>
      <c r="E739" t="n">
        <v>103</v>
      </c>
      <c r="F739" t="n">
        <v>206</v>
      </c>
      <c r="G739" t="inlineStr">
        <is>
          <t>Mumbai</t>
        </is>
      </c>
      <c r="H739" t="inlineStr">
        <is>
          <t>Italian</t>
        </is>
      </c>
      <c r="I739" t="n">
        <v>453</v>
      </c>
      <c r="J739" t="n">
        <v>0</v>
      </c>
      <c r="K739" t="n">
        <v>25</v>
      </c>
      <c r="L739" t="n">
        <v>0.18</v>
      </c>
      <c r="M739" t="n">
        <v>87.79000000000001</v>
      </c>
      <c r="N739" t="n">
        <v>1.3</v>
      </c>
      <c r="O739" t="n">
        <v>27.1</v>
      </c>
      <c r="P739" t="inlineStr">
        <is>
          <t>Cash on Delivery</t>
        </is>
      </c>
      <c r="Q739" t="inlineStr">
        <is>
          <t>Delivered</t>
        </is>
      </c>
      <c r="R739" t="n">
        <v>4</v>
      </c>
    </row>
    <row r="740">
      <c r="A740" t="inlineStr">
        <is>
          <t>ORD1739</t>
        </is>
      </c>
      <c r="B740" t="inlineStr">
        <is>
          <t>2025-08-15</t>
        </is>
      </c>
      <c r="C740" t="inlineStr">
        <is>
          <t>06:09:49</t>
        </is>
      </c>
      <c r="D740" t="n">
        <v>1133</v>
      </c>
      <c r="E740" t="n">
        <v>108</v>
      </c>
      <c r="F740" t="n">
        <v>230</v>
      </c>
      <c r="G740" t="inlineStr">
        <is>
          <t>Delhi NCR</t>
        </is>
      </c>
      <c r="H740" t="inlineStr">
        <is>
          <t>Fast Food</t>
        </is>
      </c>
      <c r="I740" t="n">
        <v>230</v>
      </c>
      <c r="J740" t="n">
        <v>9.52</v>
      </c>
      <c r="K740" t="n">
        <v>46.5</v>
      </c>
      <c r="L740" t="n">
        <v>0.18</v>
      </c>
      <c r="M740" t="n">
        <v>53.02</v>
      </c>
      <c r="N740" t="n">
        <v>7.3</v>
      </c>
      <c r="O740" t="n">
        <v>38.4</v>
      </c>
      <c r="P740" t="inlineStr">
        <is>
          <t>Debit Card</t>
        </is>
      </c>
      <c r="Q740" t="inlineStr">
        <is>
          <t>Delivered</t>
        </is>
      </c>
      <c r="R740" t="n">
        <v>5</v>
      </c>
    </row>
    <row r="741">
      <c r="A741" t="inlineStr">
        <is>
          <t>ORD1740</t>
        </is>
      </c>
      <c r="B741" t="inlineStr">
        <is>
          <t>2025-08-11</t>
        </is>
      </c>
      <c r="C741" t="inlineStr">
        <is>
          <t>11:03:25</t>
        </is>
      </c>
      <c r="D741" t="n">
        <v>1065</v>
      </c>
      <c r="E741" t="n">
        <v>118</v>
      </c>
      <c r="F741" t="n">
        <v>219</v>
      </c>
      <c r="G741" t="inlineStr">
        <is>
          <t>Delhi NCR</t>
        </is>
      </c>
      <c r="H741" t="inlineStr">
        <is>
          <t>North Indian</t>
        </is>
      </c>
      <c r="I741" t="n">
        <v>257</v>
      </c>
      <c r="J741" t="n">
        <v>13.19</v>
      </c>
      <c r="K741" t="n">
        <v>35.5</v>
      </c>
      <c r="L741" t="n">
        <v>0.2</v>
      </c>
      <c r="M741" t="n">
        <v>60.28</v>
      </c>
      <c r="N741" t="n">
        <v>5.1</v>
      </c>
      <c r="O741" t="n">
        <v>35.6</v>
      </c>
      <c r="P741" t="inlineStr">
        <is>
          <t>UPI</t>
        </is>
      </c>
      <c r="Q741" t="inlineStr">
        <is>
          <t>Delivered</t>
        </is>
      </c>
      <c r="R741" t="n">
        <v>4</v>
      </c>
    </row>
    <row r="742">
      <c r="A742" t="inlineStr">
        <is>
          <t>ORD1741</t>
        </is>
      </c>
      <c r="B742" t="inlineStr">
        <is>
          <t>2025-12-15</t>
        </is>
      </c>
      <c r="C742" t="inlineStr">
        <is>
          <t>20:44:35</t>
        </is>
      </c>
      <c r="D742" t="n">
        <v>1158</v>
      </c>
      <c r="E742" t="n">
        <v>110</v>
      </c>
      <c r="F742" t="n">
        <v>217</v>
      </c>
      <c r="G742" t="inlineStr">
        <is>
          <t>Pune</t>
        </is>
      </c>
      <c r="H742" t="inlineStr">
        <is>
          <t>North Indian</t>
        </is>
      </c>
      <c r="I742" t="n">
        <v>531</v>
      </c>
      <c r="J742" t="n">
        <v>53.37</v>
      </c>
      <c r="K742" t="n">
        <v>25</v>
      </c>
      <c r="L742" t="n">
        <v>0.18</v>
      </c>
      <c r="M742" t="n">
        <v>101.83</v>
      </c>
      <c r="N742" t="n">
        <v>1.6</v>
      </c>
      <c r="O742" t="n">
        <v>21.3</v>
      </c>
      <c r="P742" t="inlineStr">
        <is>
          <t>Debit Card</t>
        </is>
      </c>
      <c r="Q742" t="inlineStr">
        <is>
          <t>Delivered</t>
        </is>
      </c>
      <c r="R742" t="n">
        <v>4</v>
      </c>
    </row>
    <row r="743">
      <c r="A743" t="inlineStr">
        <is>
          <t>ORD1742</t>
        </is>
      </c>
      <c r="B743" t="inlineStr">
        <is>
          <t>2025-09-28</t>
        </is>
      </c>
      <c r="C743" t="inlineStr">
        <is>
          <t>13:39:58</t>
        </is>
      </c>
      <c r="D743" t="n">
        <v>1201</v>
      </c>
      <c r="E743" t="n">
        <v>101</v>
      </c>
      <c r="F743" t="n">
        <v>220</v>
      </c>
      <c r="G743" t="inlineStr">
        <is>
          <t>Bangalore</t>
        </is>
      </c>
      <c r="H743" t="inlineStr">
        <is>
          <t>North Indian</t>
        </is>
      </c>
      <c r="I743" t="n">
        <v>370</v>
      </c>
      <c r="J743" t="n">
        <v>36.64</v>
      </c>
      <c r="K743" t="n">
        <v>72.5</v>
      </c>
      <c r="L743" t="n">
        <v>0.2</v>
      </c>
      <c r="M743" t="n">
        <v>92.12</v>
      </c>
      <c r="N743" t="n">
        <v>12.5</v>
      </c>
      <c r="O743" t="n">
        <v>64.3</v>
      </c>
      <c r="P743" t="inlineStr">
        <is>
          <t>Credit Card</t>
        </is>
      </c>
      <c r="Q743" t="inlineStr">
        <is>
          <t>Delivered</t>
        </is>
      </c>
      <c r="R743" t="n">
        <v>1</v>
      </c>
    </row>
    <row r="744">
      <c r="A744" t="inlineStr">
        <is>
          <t>ORD1743</t>
        </is>
      </c>
      <c r="B744" t="inlineStr">
        <is>
          <t>2025-04-12</t>
        </is>
      </c>
      <c r="C744" t="inlineStr">
        <is>
          <t>21:56:19</t>
        </is>
      </c>
      <c r="D744" t="n">
        <v>1146</v>
      </c>
      <c r="E744" t="n">
        <v>107</v>
      </c>
      <c r="F744" t="n">
        <v>206</v>
      </c>
      <c r="G744" t="inlineStr">
        <is>
          <t>Mumbai</t>
        </is>
      </c>
      <c r="H744" t="inlineStr">
        <is>
          <t>Desserts</t>
        </is>
      </c>
      <c r="I744" t="n">
        <v>306</v>
      </c>
      <c r="J744" t="n">
        <v>0</v>
      </c>
      <c r="K744" t="n">
        <v>27.5</v>
      </c>
      <c r="L744" t="n">
        <v>0.25</v>
      </c>
      <c r="M744" t="n">
        <v>83.38</v>
      </c>
      <c r="N744" t="n">
        <v>3.5</v>
      </c>
      <c r="O744" t="n">
        <v>33.2</v>
      </c>
      <c r="P744" t="inlineStr">
        <is>
          <t>Credit Card</t>
        </is>
      </c>
      <c r="Q744" t="inlineStr">
        <is>
          <t>Delivered</t>
        </is>
      </c>
      <c r="R744" t="n">
        <v>4</v>
      </c>
    </row>
    <row r="745">
      <c r="A745" t="inlineStr">
        <is>
          <t>ORD1744</t>
        </is>
      </c>
      <c r="B745" t="inlineStr">
        <is>
          <t>2025-09-19</t>
        </is>
      </c>
      <c r="C745" t="inlineStr">
        <is>
          <t>15:35:19</t>
        </is>
      </c>
      <c r="D745" t="n">
        <v>1008</v>
      </c>
      <c r="E745" t="n">
        <v>117</v>
      </c>
      <c r="F745" t="n">
        <v>229</v>
      </c>
      <c r="G745" t="inlineStr">
        <is>
          <t>Mumbai</t>
        </is>
      </c>
      <c r="H745" t="inlineStr">
        <is>
          <t>Chinese</t>
        </is>
      </c>
      <c r="I745" t="n">
        <v>940</v>
      </c>
      <c r="J745" t="n">
        <v>165.16</v>
      </c>
      <c r="K745" t="n">
        <v>0</v>
      </c>
      <c r="L745" t="n">
        <v>0.2</v>
      </c>
      <c r="M745" t="n">
        <v>188</v>
      </c>
      <c r="N745" t="n">
        <v>7.6</v>
      </c>
      <c r="O745" t="n">
        <v>37.9</v>
      </c>
      <c r="P745" t="inlineStr">
        <is>
          <t>UPI</t>
        </is>
      </c>
      <c r="Q745" t="inlineStr">
        <is>
          <t>Delivered</t>
        </is>
      </c>
      <c r="R745" t="n">
        <v>5</v>
      </c>
    </row>
    <row r="746">
      <c r="A746" t="inlineStr">
        <is>
          <t>ORD1745</t>
        </is>
      </c>
      <c r="B746" t="inlineStr">
        <is>
          <t>2025-08-05</t>
        </is>
      </c>
      <c r="C746" t="inlineStr">
        <is>
          <t>20:32:07</t>
        </is>
      </c>
      <c r="D746" t="n">
        <v>1130</v>
      </c>
      <c r="E746" t="n">
        <v>119</v>
      </c>
      <c r="F746" t="n">
        <v>216</v>
      </c>
      <c r="G746" t="inlineStr">
        <is>
          <t>Hyderabad</t>
        </is>
      </c>
      <c r="H746" t="inlineStr">
        <is>
          <t>Biryani</t>
        </is>
      </c>
      <c r="I746" t="n">
        <v>281</v>
      </c>
      <c r="J746" t="n">
        <v>5.84</v>
      </c>
      <c r="K746" t="n">
        <v>25</v>
      </c>
      <c r="L746" t="n">
        <v>0.2</v>
      </c>
      <c r="M746" t="n">
        <v>62.45</v>
      </c>
      <c r="N746" t="n">
        <v>2.3</v>
      </c>
      <c r="O746" t="n">
        <v/>
      </c>
      <c r="P746" t="inlineStr">
        <is>
          <t>UPI</t>
        </is>
      </c>
      <c r="Q746" t="inlineStr">
        <is>
          <t>Cancelled</t>
        </is>
      </c>
      <c r="R746" t="n">
        <v/>
      </c>
    </row>
    <row r="747">
      <c r="A747" t="inlineStr">
        <is>
          <t>ORD1746</t>
        </is>
      </c>
      <c r="B747" t="inlineStr">
        <is>
          <t>2025-08-18</t>
        </is>
      </c>
      <c r="C747" t="inlineStr">
        <is>
          <t>14:19:36</t>
        </is>
      </c>
      <c r="D747" t="n">
        <v>1180</v>
      </c>
      <c r="E747" t="n">
        <v>112</v>
      </c>
      <c r="F747" t="n">
        <v>212</v>
      </c>
      <c r="G747" t="inlineStr">
        <is>
          <t>Delhi NCR</t>
        </is>
      </c>
      <c r="H747" t="inlineStr">
        <is>
          <t>North Indian</t>
        </is>
      </c>
      <c r="I747" t="n">
        <v>225</v>
      </c>
      <c r="J747" t="n">
        <v>0</v>
      </c>
      <c r="K747" t="n">
        <v>25</v>
      </c>
      <c r="L747" t="n">
        <v>0.22</v>
      </c>
      <c r="M747" t="n">
        <v>55.75</v>
      </c>
      <c r="N747" t="n">
        <v>2.1</v>
      </c>
      <c r="O747" t="n">
        <v/>
      </c>
      <c r="P747" t="inlineStr">
        <is>
          <t>Digital Wallet</t>
        </is>
      </c>
      <c r="Q747" t="inlineStr">
        <is>
          <t>Cancelled</t>
        </is>
      </c>
      <c r="R747" t="n">
        <v/>
      </c>
    </row>
    <row r="748">
      <c r="A748" t="inlineStr">
        <is>
          <t>ORD1747</t>
        </is>
      </c>
      <c r="B748" t="inlineStr">
        <is>
          <t>2025-05-26</t>
        </is>
      </c>
      <c r="C748" t="inlineStr">
        <is>
          <t>22:42:50</t>
        </is>
      </c>
      <c r="D748" t="n">
        <v>1074</v>
      </c>
      <c r="E748" t="n">
        <v>116</v>
      </c>
      <c r="F748" t="n">
        <v>208</v>
      </c>
      <c r="G748" t="inlineStr">
        <is>
          <t>Pune</t>
        </is>
      </c>
      <c r="H748" t="inlineStr">
        <is>
          <t>Desserts</t>
        </is>
      </c>
      <c r="I748" t="n">
        <v>806</v>
      </c>
      <c r="J748" t="n">
        <v>78.23999999999999</v>
      </c>
      <c r="K748" t="n">
        <v>29</v>
      </c>
      <c r="L748" t="n">
        <v>0.25</v>
      </c>
      <c r="M748" t="n">
        <v>208.75</v>
      </c>
      <c r="N748" t="n">
        <v>3.8</v>
      </c>
      <c r="O748" t="n">
        <v>31.9</v>
      </c>
      <c r="P748" t="inlineStr">
        <is>
          <t>Digital Wallet</t>
        </is>
      </c>
      <c r="Q748" t="inlineStr">
        <is>
          <t>Delivered</t>
        </is>
      </c>
      <c r="R748" t="n">
        <v>5</v>
      </c>
    </row>
    <row r="749">
      <c r="A749" t="inlineStr">
        <is>
          <t>ORD1748</t>
        </is>
      </c>
      <c r="B749" t="inlineStr">
        <is>
          <t>2025-09-22</t>
        </is>
      </c>
      <c r="C749" t="inlineStr">
        <is>
          <t>19:37:12</t>
        </is>
      </c>
      <c r="D749" t="n">
        <v>1013</v>
      </c>
      <c r="E749" t="n">
        <v>101</v>
      </c>
      <c r="F749" t="n">
        <v>203</v>
      </c>
      <c r="G749" t="inlineStr">
        <is>
          <t>Bangalore</t>
        </is>
      </c>
      <c r="H749" t="inlineStr">
        <is>
          <t>North Indian</t>
        </is>
      </c>
      <c r="I749" t="n">
        <v>589</v>
      </c>
      <c r="J749" t="n">
        <v>48.18</v>
      </c>
      <c r="K749" t="n">
        <v>25</v>
      </c>
      <c r="L749" t="n">
        <v>0.2</v>
      </c>
      <c r="M749" t="n">
        <v>124.05</v>
      </c>
      <c r="N749" t="n">
        <v>2.9</v>
      </c>
      <c r="O749" t="n">
        <v>25.6</v>
      </c>
      <c r="P749" t="inlineStr">
        <is>
          <t>Cash on Delivery</t>
        </is>
      </c>
      <c r="Q749" t="inlineStr">
        <is>
          <t>Delivered</t>
        </is>
      </c>
      <c r="R749" t="n">
        <v>4</v>
      </c>
    </row>
    <row r="750">
      <c r="A750" t="inlineStr">
        <is>
          <t>ORD1749</t>
        </is>
      </c>
      <c r="B750" t="inlineStr">
        <is>
          <t>2025-02-01</t>
        </is>
      </c>
      <c r="C750" t="inlineStr">
        <is>
          <t>13:27:56</t>
        </is>
      </c>
      <c r="D750" t="n">
        <v>1136</v>
      </c>
      <c r="E750" t="n">
        <v>102</v>
      </c>
      <c r="F750" t="n">
        <v>225</v>
      </c>
      <c r="G750" t="inlineStr">
        <is>
          <t>Hyderabad</t>
        </is>
      </c>
      <c r="H750" t="inlineStr">
        <is>
          <t>Biryani</t>
        </is>
      </c>
      <c r="I750" t="n">
        <v>353</v>
      </c>
      <c r="J750" t="n">
        <v>0</v>
      </c>
      <c r="K750" t="n">
        <v>32.5</v>
      </c>
      <c r="L750" t="n">
        <v>0.22</v>
      </c>
      <c r="M750" t="n">
        <v>85.78</v>
      </c>
      <c r="N750" t="n">
        <v>4.5</v>
      </c>
      <c r="O750" t="n">
        <v/>
      </c>
      <c r="P750" t="inlineStr">
        <is>
          <t>Debit Card</t>
        </is>
      </c>
      <c r="Q750" t="inlineStr">
        <is>
          <t>Cancelled</t>
        </is>
      </c>
      <c r="R750" t="n">
        <v/>
      </c>
    </row>
    <row r="751">
      <c r="A751" t="inlineStr">
        <is>
          <t>ORD1750</t>
        </is>
      </c>
      <c r="B751" t="inlineStr">
        <is>
          <t>2025-10-27</t>
        </is>
      </c>
      <c r="C751" t="inlineStr">
        <is>
          <t>17:31:40</t>
        </is>
      </c>
      <c r="D751" t="n">
        <v>1052</v>
      </c>
      <c r="E751" t="n">
        <v>114</v>
      </c>
      <c r="F751" t="n">
        <v>216</v>
      </c>
      <c r="G751" t="inlineStr">
        <is>
          <t>Hyderabad</t>
        </is>
      </c>
      <c r="H751" t="inlineStr">
        <is>
          <t>Biryani</t>
        </is>
      </c>
      <c r="I751" t="n">
        <v>653</v>
      </c>
      <c r="J751" t="n">
        <v>78.2</v>
      </c>
      <c r="K751" t="n">
        <v>25</v>
      </c>
      <c r="L751" t="n">
        <v>0.22</v>
      </c>
      <c r="M751" t="n">
        <v>149.91</v>
      </c>
      <c r="N751" t="n">
        <v>1.7</v>
      </c>
      <c r="O751" t="n">
        <v>24.9</v>
      </c>
      <c r="P751" t="inlineStr">
        <is>
          <t>Cash on Delivery</t>
        </is>
      </c>
      <c r="Q751" t="inlineStr">
        <is>
          <t>Delivered</t>
        </is>
      </c>
      <c r="R751" t="n">
        <v>3</v>
      </c>
    </row>
    <row r="752">
      <c r="A752" t="inlineStr">
        <is>
          <t>ORD1751</t>
        </is>
      </c>
      <c r="B752" t="inlineStr">
        <is>
          <t>2025-09-16</t>
        </is>
      </c>
      <c r="C752" t="inlineStr">
        <is>
          <t>11:08:31</t>
        </is>
      </c>
      <c r="D752" t="n">
        <v>1290</v>
      </c>
      <c r="E752" t="n">
        <v>117</v>
      </c>
      <c r="F752" t="n">
        <v>222</v>
      </c>
      <c r="G752" t="inlineStr">
        <is>
          <t>Mumbai</t>
        </is>
      </c>
      <c r="H752" t="inlineStr">
        <is>
          <t>Chinese</t>
        </is>
      </c>
      <c r="I752" t="n">
        <v>948</v>
      </c>
      <c r="J752" t="n">
        <v>0</v>
      </c>
      <c r="K752" t="n">
        <v>32</v>
      </c>
      <c r="L752" t="n">
        <v>0.2</v>
      </c>
      <c r="M752" t="n">
        <v>197.6</v>
      </c>
      <c r="N752" t="n">
        <v>4.4</v>
      </c>
      <c r="O752" t="n">
        <v>38.4</v>
      </c>
      <c r="P752" t="inlineStr">
        <is>
          <t>Digital Wallet</t>
        </is>
      </c>
      <c r="Q752" t="inlineStr">
        <is>
          <t>Delivered</t>
        </is>
      </c>
      <c r="R752" t="n">
        <v>5</v>
      </c>
    </row>
    <row r="753">
      <c r="A753" t="inlineStr">
        <is>
          <t>ORD1752</t>
        </is>
      </c>
      <c r="B753" t="inlineStr">
        <is>
          <t>2025-08-31</t>
        </is>
      </c>
      <c r="C753" t="inlineStr">
        <is>
          <t>13:02:47</t>
        </is>
      </c>
      <c r="D753" t="n">
        <v>1176</v>
      </c>
      <c r="E753" t="n">
        <v>119</v>
      </c>
      <c r="F753" t="n">
        <v>225</v>
      </c>
      <c r="G753" t="inlineStr">
        <is>
          <t>Hyderabad</t>
        </is>
      </c>
      <c r="H753" t="inlineStr">
        <is>
          <t>Biryani</t>
        </is>
      </c>
      <c r="I753" t="n">
        <v>380</v>
      </c>
      <c r="J753" t="n">
        <v>11.23</v>
      </c>
      <c r="K753" t="n">
        <v>27.5</v>
      </c>
      <c r="L753" t="n">
        <v>0.2</v>
      </c>
      <c r="M753" t="n">
        <v>82.88</v>
      </c>
      <c r="N753" t="n">
        <v>3.5</v>
      </c>
      <c r="O753" t="n">
        <v>35.8</v>
      </c>
      <c r="P753" t="inlineStr">
        <is>
          <t>Digital Wallet</t>
        </is>
      </c>
      <c r="Q753" t="inlineStr">
        <is>
          <t>Delivered</t>
        </is>
      </c>
      <c r="R753" t="n">
        <v>5</v>
      </c>
    </row>
    <row r="754">
      <c r="A754" t="inlineStr">
        <is>
          <t>ORD1753</t>
        </is>
      </c>
      <c r="B754" t="inlineStr">
        <is>
          <t>2025-07-09</t>
        </is>
      </c>
      <c r="C754" t="inlineStr">
        <is>
          <t>18:36:18</t>
        </is>
      </c>
      <c r="D754" t="n">
        <v>1120</v>
      </c>
      <c r="E754" t="n">
        <v>120</v>
      </c>
      <c r="F754" t="n">
        <v>214</v>
      </c>
      <c r="G754" t="inlineStr">
        <is>
          <t>Pune</t>
        </is>
      </c>
      <c r="H754" t="inlineStr">
        <is>
          <t>Fast Food</t>
        </is>
      </c>
      <c r="I754" t="n">
        <v>261</v>
      </c>
      <c r="J754" t="n">
        <v>2.46</v>
      </c>
      <c r="K754" t="n">
        <v>26.5</v>
      </c>
      <c r="L754" t="n">
        <v>0.18</v>
      </c>
      <c r="M754" t="n">
        <v>53.6</v>
      </c>
      <c r="N754" t="n">
        <v>3.3</v>
      </c>
      <c r="O754" t="n">
        <v>29.8</v>
      </c>
      <c r="P754" t="inlineStr">
        <is>
          <t>Debit Card</t>
        </is>
      </c>
      <c r="Q754" t="inlineStr">
        <is>
          <t>Delivered</t>
        </is>
      </c>
      <c r="R754" t="n">
        <v>5</v>
      </c>
    </row>
    <row r="755">
      <c r="A755" t="inlineStr">
        <is>
          <t>ORD1754</t>
        </is>
      </c>
      <c r="B755" t="inlineStr">
        <is>
          <t>2025-01-15</t>
        </is>
      </c>
      <c r="C755" t="inlineStr">
        <is>
          <t>18:50:09</t>
        </is>
      </c>
      <c r="D755" t="n">
        <v>1283</v>
      </c>
      <c r="E755" t="n">
        <v>116</v>
      </c>
      <c r="F755" t="n">
        <v>204</v>
      </c>
      <c r="G755" t="inlineStr">
        <is>
          <t>Pune</t>
        </is>
      </c>
      <c r="H755" t="inlineStr">
        <is>
          <t>Desserts</t>
        </is>
      </c>
      <c r="I755" t="n">
        <v>365</v>
      </c>
      <c r="J755" t="n">
        <v>12.32</v>
      </c>
      <c r="K755" t="n">
        <v>48</v>
      </c>
      <c r="L755" t="n">
        <v>0.25</v>
      </c>
      <c r="M755" t="n">
        <v>103.25</v>
      </c>
      <c r="N755" t="n">
        <v>7.6</v>
      </c>
      <c r="O755" t="n">
        <v>44</v>
      </c>
      <c r="P755" t="inlineStr">
        <is>
          <t>Debit Card</t>
        </is>
      </c>
      <c r="Q755" t="inlineStr">
        <is>
          <t>Delivered</t>
        </is>
      </c>
      <c r="R755" t="n">
        <v>4</v>
      </c>
    </row>
    <row r="756">
      <c r="A756" t="inlineStr">
        <is>
          <t>ORD1755</t>
        </is>
      </c>
      <c r="B756" t="inlineStr">
        <is>
          <t>2025-09-08</t>
        </is>
      </c>
      <c r="C756" t="inlineStr">
        <is>
          <t>20:00:07</t>
        </is>
      </c>
      <c r="D756" t="n">
        <v>1128</v>
      </c>
      <c r="E756" t="n">
        <v>102</v>
      </c>
      <c r="F756" t="n">
        <v>225</v>
      </c>
      <c r="G756" t="inlineStr">
        <is>
          <t>Hyderabad</t>
        </is>
      </c>
      <c r="H756" t="inlineStr">
        <is>
          <t>Biryani</t>
        </is>
      </c>
      <c r="I756" t="n">
        <v>969</v>
      </c>
      <c r="J756" t="n">
        <v>103.45</v>
      </c>
      <c r="K756" t="n">
        <v>0</v>
      </c>
      <c r="L756" t="n">
        <v>0.22</v>
      </c>
      <c r="M756" t="n">
        <v>213.18</v>
      </c>
      <c r="N756" t="n">
        <v>3.6</v>
      </c>
      <c r="O756" t="n">
        <v>30.2</v>
      </c>
      <c r="P756" t="inlineStr">
        <is>
          <t>Cash on Delivery</t>
        </is>
      </c>
      <c r="Q756" t="inlineStr">
        <is>
          <t>Delivered</t>
        </is>
      </c>
      <c r="R756" t="n">
        <v>4</v>
      </c>
    </row>
    <row r="757">
      <c r="A757" t="inlineStr">
        <is>
          <t>ORD1756</t>
        </is>
      </c>
      <c r="B757" t="inlineStr">
        <is>
          <t>2025-07-13</t>
        </is>
      </c>
      <c r="C757" t="inlineStr">
        <is>
          <t>10:30:53</t>
        </is>
      </c>
      <c r="D757" t="n">
        <v>1028</v>
      </c>
      <c r="E757" t="n">
        <v>114</v>
      </c>
      <c r="F757" t="n">
        <v>225</v>
      </c>
      <c r="G757" t="inlineStr">
        <is>
          <t>Hyderabad</t>
        </is>
      </c>
      <c r="H757" t="inlineStr">
        <is>
          <t>Biryani</t>
        </is>
      </c>
      <c r="I757" t="n">
        <v>840</v>
      </c>
      <c r="J757" t="n">
        <v>0</v>
      </c>
      <c r="K757" t="n">
        <v>34</v>
      </c>
      <c r="L757" t="n">
        <v>0.22</v>
      </c>
      <c r="M757" t="n">
        <v>193.3</v>
      </c>
      <c r="N757" t="n">
        <v>4.8</v>
      </c>
      <c r="O757" t="n">
        <v>29.2</v>
      </c>
      <c r="P757" t="inlineStr">
        <is>
          <t>Cash on Delivery</t>
        </is>
      </c>
      <c r="Q757" t="inlineStr">
        <is>
          <t>Delivered</t>
        </is>
      </c>
      <c r="R757" t="n">
        <v>4</v>
      </c>
    </row>
    <row r="758">
      <c r="A758" t="inlineStr">
        <is>
          <t>ORD1757</t>
        </is>
      </c>
      <c r="B758" t="inlineStr">
        <is>
          <t>2025-06-16</t>
        </is>
      </c>
      <c r="C758" t="inlineStr">
        <is>
          <t>09:05:51</t>
        </is>
      </c>
      <c r="D758" t="n">
        <v>1263</v>
      </c>
      <c r="E758" t="n">
        <v>108</v>
      </c>
      <c r="F758" t="n">
        <v>228</v>
      </c>
      <c r="G758" t="inlineStr">
        <is>
          <t>Delhi NCR</t>
        </is>
      </c>
      <c r="H758" t="inlineStr">
        <is>
          <t>Fast Food</t>
        </is>
      </c>
      <c r="I758" t="n">
        <v>859</v>
      </c>
      <c r="J758" t="n">
        <v>28.15</v>
      </c>
      <c r="K758" t="n">
        <v>44.5</v>
      </c>
      <c r="L758" t="n">
        <v>0.18</v>
      </c>
      <c r="M758" t="n">
        <v>165.74</v>
      </c>
      <c r="N758" t="n">
        <v>6.9</v>
      </c>
      <c r="O758" t="n">
        <v>38.6</v>
      </c>
      <c r="P758" t="inlineStr">
        <is>
          <t>Cash on Delivery</t>
        </is>
      </c>
      <c r="Q758" t="inlineStr">
        <is>
          <t>Delivered</t>
        </is>
      </c>
      <c r="R758" t="n">
        <v>4</v>
      </c>
    </row>
    <row r="759">
      <c r="A759" t="inlineStr">
        <is>
          <t>ORD1758</t>
        </is>
      </c>
      <c r="B759" t="inlineStr">
        <is>
          <t>2025-05-23</t>
        </is>
      </c>
      <c r="C759" t="inlineStr">
        <is>
          <t>22:41:05</t>
        </is>
      </c>
      <c r="D759" t="n">
        <v>1037</v>
      </c>
      <c r="E759" t="n">
        <v>101</v>
      </c>
      <c r="F759" t="n">
        <v>205</v>
      </c>
      <c r="G759" t="inlineStr">
        <is>
          <t>Bangalore</t>
        </is>
      </c>
      <c r="H759" t="inlineStr">
        <is>
          <t>North Indian</t>
        </is>
      </c>
      <c r="I759" t="n">
        <v>389</v>
      </c>
      <c r="J759" t="n">
        <v>17.8</v>
      </c>
      <c r="K759" t="n">
        <v>43.5</v>
      </c>
      <c r="L759" t="n">
        <v>0.2</v>
      </c>
      <c r="M759" t="n">
        <v>88.68000000000001</v>
      </c>
      <c r="N759" t="n">
        <v>6.7</v>
      </c>
      <c r="O759" t="n">
        <v>38.8</v>
      </c>
      <c r="P759" t="inlineStr">
        <is>
          <t>Debit Card</t>
        </is>
      </c>
      <c r="Q759" t="inlineStr">
        <is>
          <t>Delivered</t>
        </is>
      </c>
      <c r="R759" t="n">
        <v>3</v>
      </c>
    </row>
    <row r="760">
      <c r="A760" t="inlineStr">
        <is>
          <t>ORD1759</t>
        </is>
      </c>
      <c r="B760" t="inlineStr">
        <is>
          <t>2025-11-13</t>
        </is>
      </c>
      <c r="C760" t="inlineStr">
        <is>
          <t>13:34:36</t>
        </is>
      </c>
      <c r="D760" t="n">
        <v>1100</v>
      </c>
      <c r="E760" t="n">
        <v>114</v>
      </c>
      <c r="F760" t="n">
        <v>225</v>
      </c>
      <c r="G760" t="inlineStr">
        <is>
          <t>Hyderabad</t>
        </is>
      </c>
      <c r="H760" t="inlineStr">
        <is>
          <t>Biryani</t>
        </is>
      </c>
      <c r="I760" t="n">
        <v>274</v>
      </c>
      <c r="J760" t="n">
        <v>11.44</v>
      </c>
      <c r="K760" t="n">
        <v>25</v>
      </c>
      <c r="L760" t="n">
        <v>0.22</v>
      </c>
      <c r="M760" t="n">
        <v>66.53</v>
      </c>
      <c r="N760" t="n">
        <v>2</v>
      </c>
      <c r="O760" t="n">
        <v>27.8</v>
      </c>
      <c r="P760" t="inlineStr">
        <is>
          <t>Digital Wallet</t>
        </is>
      </c>
      <c r="Q760" t="inlineStr">
        <is>
          <t>Delivered</t>
        </is>
      </c>
      <c r="R760" t="n">
        <v>5</v>
      </c>
    </row>
    <row r="761">
      <c r="A761" t="inlineStr">
        <is>
          <t>ORD1760</t>
        </is>
      </c>
      <c r="B761" t="inlineStr">
        <is>
          <t>2025-12-04</t>
        </is>
      </c>
      <c r="C761" t="inlineStr">
        <is>
          <t>09:59:34</t>
        </is>
      </c>
      <c r="D761" t="n">
        <v>1032</v>
      </c>
      <c r="E761" t="n">
        <v>112</v>
      </c>
      <c r="F761" t="n">
        <v>221</v>
      </c>
      <c r="G761" t="inlineStr">
        <is>
          <t>Delhi NCR</t>
        </is>
      </c>
      <c r="H761" t="inlineStr">
        <is>
          <t>North Indian</t>
        </is>
      </c>
      <c r="I761" t="n">
        <v>404</v>
      </c>
      <c r="J761" t="n">
        <v>8.890000000000001</v>
      </c>
      <c r="K761" t="n">
        <v>36.5</v>
      </c>
      <c r="L761" t="n">
        <v>0.22</v>
      </c>
      <c r="M761" t="n">
        <v>98</v>
      </c>
      <c r="N761" t="n">
        <v>5.3</v>
      </c>
      <c r="O761" t="n">
        <v>29.2</v>
      </c>
      <c r="P761" t="inlineStr">
        <is>
          <t>Digital Wallet</t>
        </is>
      </c>
      <c r="Q761" t="inlineStr">
        <is>
          <t>Delivered</t>
        </is>
      </c>
      <c r="R761" t="n">
        <v>4</v>
      </c>
    </row>
    <row r="762">
      <c r="A762" t="inlineStr">
        <is>
          <t>ORD1761</t>
        </is>
      </c>
      <c r="B762" t="inlineStr">
        <is>
          <t>2025-07-25</t>
        </is>
      </c>
      <c r="C762" t="inlineStr">
        <is>
          <t>20:37:02</t>
        </is>
      </c>
      <c r="D762" t="n">
        <v>1179</v>
      </c>
      <c r="E762" t="n">
        <v>117</v>
      </c>
      <c r="F762" t="n">
        <v>229</v>
      </c>
      <c r="G762" t="inlineStr">
        <is>
          <t>Mumbai</t>
        </is>
      </c>
      <c r="H762" t="inlineStr">
        <is>
          <t>Chinese</t>
        </is>
      </c>
      <c r="I762" t="n">
        <v>1043</v>
      </c>
      <c r="J762" t="n">
        <v>201.7</v>
      </c>
      <c r="K762" t="n">
        <v>0</v>
      </c>
      <c r="L762" t="n">
        <v>0.2</v>
      </c>
      <c r="M762" t="n">
        <v>208.6</v>
      </c>
      <c r="N762" t="n">
        <v>4</v>
      </c>
      <c r="O762" t="n">
        <v>36.4</v>
      </c>
      <c r="P762" t="inlineStr">
        <is>
          <t>Credit Card</t>
        </is>
      </c>
      <c r="Q762" t="inlineStr">
        <is>
          <t>Delivered</t>
        </is>
      </c>
      <c r="R762" t="n">
        <v>4</v>
      </c>
    </row>
    <row r="763">
      <c r="A763" t="inlineStr">
        <is>
          <t>ORD1762</t>
        </is>
      </c>
      <c r="B763" t="inlineStr">
        <is>
          <t>2025-07-15</t>
        </is>
      </c>
      <c r="C763" t="inlineStr">
        <is>
          <t>13:16:05</t>
        </is>
      </c>
      <c r="D763" t="n">
        <v>1153</v>
      </c>
      <c r="E763" t="n">
        <v>101</v>
      </c>
      <c r="F763" t="n">
        <v>220</v>
      </c>
      <c r="G763" t="inlineStr">
        <is>
          <t>Bangalore</t>
        </is>
      </c>
      <c r="H763" t="inlineStr">
        <is>
          <t>North Indian</t>
        </is>
      </c>
      <c r="I763" t="n">
        <v>337</v>
      </c>
      <c r="J763" t="n">
        <v>14.61</v>
      </c>
      <c r="K763" t="n">
        <v>35.5</v>
      </c>
      <c r="L763" t="n">
        <v>0.2</v>
      </c>
      <c r="M763" t="n">
        <v>76.28</v>
      </c>
      <c r="N763" t="n">
        <v>5.1</v>
      </c>
      <c r="O763" t="n">
        <v>35.9</v>
      </c>
      <c r="P763" t="inlineStr">
        <is>
          <t>Credit Card</t>
        </is>
      </c>
      <c r="Q763" t="inlineStr">
        <is>
          <t>Delivered</t>
        </is>
      </c>
      <c r="R763" t="n">
        <v>5</v>
      </c>
    </row>
    <row r="764">
      <c r="A764" t="inlineStr">
        <is>
          <t>ORD1763</t>
        </is>
      </c>
      <c r="B764" t="inlineStr">
        <is>
          <t>2025-06-07</t>
        </is>
      </c>
      <c r="C764" t="inlineStr">
        <is>
          <t>13:26:43</t>
        </is>
      </c>
      <c r="D764" t="n">
        <v>1266</v>
      </c>
      <c r="E764" t="n">
        <v>107</v>
      </c>
      <c r="F764" t="n">
        <v>229</v>
      </c>
      <c r="G764" t="inlineStr">
        <is>
          <t>Mumbai</t>
        </is>
      </c>
      <c r="H764" t="inlineStr">
        <is>
          <t>Desserts</t>
        </is>
      </c>
      <c r="I764" t="n">
        <v>393</v>
      </c>
      <c r="J764" t="n">
        <v>21.27</v>
      </c>
      <c r="K764" t="n">
        <v>28.5</v>
      </c>
      <c r="L764" t="n">
        <v>0.25</v>
      </c>
      <c r="M764" t="n">
        <v>105.38</v>
      </c>
      <c r="N764" t="n">
        <v>3.7</v>
      </c>
      <c r="O764" t="n">
        <v>35.9</v>
      </c>
      <c r="P764" t="inlineStr">
        <is>
          <t>Credit Card</t>
        </is>
      </c>
      <c r="Q764" t="inlineStr">
        <is>
          <t>Delivered</t>
        </is>
      </c>
      <c r="R764" t="n">
        <v>4</v>
      </c>
    </row>
    <row r="765">
      <c r="A765" t="inlineStr">
        <is>
          <t>ORD1764</t>
        </is>
      </c>
      <c r="B765" t="inlineStr">
        <is>
          <t>2025-06-02</t>
        </is>
      </c>
      <c r="C765" t="inlineStr">
        <is>
          <t>09:24:06</t>
        </is>
      </c>
      <c r="D765" t="n">
        <v>1119</v>
      </c>
      <c r="E765" t="n">
        <v>104</v>
      </c>
      <c r="F765" t="n">
        <v>230</v>
      </c>
      <c r="G765" t="inlineStr">
        <is>
          <t>Delhi NCR</t>
        </is>
      </c>
      <c r="H765" t="inlineStr">
        <is>
          <t>Fast Food</t>
        </is>
      </c>
      <c r="I765" t="n">
        <v>683</v>
      </c>
      <c r="J765" t="n">
        <v>96.5</v>
      </c>
      <c r="K765" t="n">
        <v>0</v>
      </c>
      <c r="L765" t="n">
        <v>0.18</v>
      </c>
      <c r="M765" t="n">
        <v>122.94</v>
      </c>
      <c r="N765" t="n">
        <v>12.3</v>
      </c>
      <c r="O765" t="n">
        <v>52.3</v>
      </c>
      <c r="P765" t="inlineStr">
        <is>
          <t>Cash on Delivery</t>
        </is>
      </c>
      <c r="Q765" t="inlineStr">
        <is>
          <t>Delivered</t>
        </is>
      </c>
      <c r="R765" t="n">
        <v>2</v>
      </c>
    </row>
    <row r="766">
      <c r="A766" t="inlineStr">
        <is>
          <t>ORD1765</t>
        </is>
      </c>
      <c r="B766" t="inlineStr">
        <is>
          <t>2025-04-14</t>
        </is>
      </c>
      <c r="C766" t="inlineStr">
        <is>
          <t>16:15:48</t>
        </is>
      </c>
      <c r="D766" t="n">
        <v>1115</v>
      </c>
      <c r="E766" t="n">
        <v>114</v>
      </c>
      <c r="F766" t="n">
        <v>215</v>
      </c>
      <c r="G766" t="inlineStr">
        <is>
          <t>Hyderabad</t>
        </is>
      </c>
      <c r="H766" t="inlineStr">
        <is>
          <t>Biryani</t>
        </is>
      </c>
      <c r="I766" t="n">
        <v>831</v>
      </c>
      <c r="J766" t="n">
        <v>75.64</v>
      </c>
      <c r="K766" t="n">
        <v>44</v>
      </c>
      <c r="L766" t="n">
        <v>0.22</v>
      </c>
      <c r="M766" t="n">
        <v>193.82</v>
      </c>
      <c r="N766" t="n">
        <v>6.8</v>
      </c>
      <c r="O766" t="n">
        <v>37.6</v>
      </c>
      <c r="P766" t="inlineStr">
        <is>
          <t>Digital Wallet</t>
        </is>
      </c>
      <c r="Q766" t="inlineStr">
        <is>
          <t>Delivered</t>
        </is>
      </c>
      <c r="R766" t="n">
        <v>5</v>
      </c>
    </row>
    <row r="767">
      <c r="A767" t="inlineStr">
        <is>
          <t>ORD1766</t>
        </is>
      </c>
      <c r="B767" t="inlineStr">
        <is>
          <t>2025-02-01</t>
        </is>
      </c>
      <c r="C767" t="inlineStr">
        <is>
          <t>22:20:29</t>
        </is>
      </c>
      <c r="D767" t="n">
        <v>1150</v>
      </c>
      <c r="E767" t="n">
        <v>119</v>
      </c>
      <c r="F767" t="n">
        <v>215</v>
      </c>
      <c r="G767" t="inlineStr">
        <is>
          <t>Hyderabad</t>
        </is>
      </c>
      <c r="H767" t="inlineStr">
        <is>
          <t>Biryani</t>
        </is>
      </c>
      <c r="I767" t="n">
        <v>786</v>
      </c>
      <c r="J767" t="n">
        <v>0</v>
      </c>
      <c r="K767" t="n">
        <v>28</v>
      </c>
      <c r="L767" t="n">
        <v>0.2</v>
      </c>
      <c r="M767" t="n">
        <v>164.2</v>
      </c>
      <c r="N767" t="n">
        <v>3.6</v>
      </c>
      <c r="O767" t="n">
        <v>28.7</v>
      </c>
      <c r="P767" t="inlineStr">
        <is>
          <t>Cash on Delivery</t>
        </is>
      </c>
      <c r="Q767" t="inlineStr">
        <is>
          <t>Delivered</t>
        </is>
      </c>
      <c r="R767" t="n">
        <v>4</v>
      </c>
    </row>
    <row r="768">
      <c r="A768" t="inlineStr">
        <is>
          <t>ORD1767</t>
        </is>
      </c>
      <c r="B768" t="inlineStr">
        <is>
          <t>2025-10-11</t>
        </is>
      </c>
      <c r="C768" t="inlineStr">
        <is>
          <t>19:37:43</t>
        </is>
      </c>
      <c r="D768" t="n">
        <v>1261</v>
      </c>
      <c r="E768" t="n">
        <v>102</v>
      </c>
      <c r="F768" t="n">
        <v>225</v>
      </c>
      <c r="G768" t="inlineStr">
        <is>
          <t>Hyderabad</t>
        </is>
      </c>
      <c r="H768" t="inlineStr">
        <is>
          <t>Biryani</t>
        </is>
      </c>
      <c r="I768" t="n">
        <v>323</v>
      </c>
      <c r="J768" t="n">
        <v>21.72</v>
      </c>
      <c r="K768" t="n">
        <v>26.5</v>
      </c>
      <c r="L768" t="n">
        <v>0.22</v>
      </c>
      <c r="M768" t="n">
        <v>77.68000000000001</v>
      </c>
      <c r="N768" t="n">
        <v>3.3</v>
      </c>
      <c r="O768" t="n">
        <v>34.8</v>
      </c>
      <c r="P768" t="inlineStr">
        <is>
          <t>Credit Card</t>
        </is>
      </c>
      <c r="Q768" t="inlineStr">
        <is>
          <t>Delivered</t>
        </is>
      </c>
      <c r="R768" t="n">
        <v>4</v>
      </c>
    </row>
    <row r="769">
      <c r="A769" t="inlineStr">
        <is>
          <t>ORD1768</t>
        </is>
      </c>
      <c r="B769" t="inlineStr">
        <is>
          <t>2025-02-12</t>
        </is>
      </c>
      <c r="C769" t="inlineStr">
        <is>
          <t>19:54:40</t>
        </is>
      </c>
      <c r="D769" t="n">
        <v>1258</v>
      </c>
      <c r="E769" t="n">
        <v>113</v>
      </c>
      <c r="F769" t="n">
        <v>229</v>
      </c>
      <c r="G769" t="inlineStr">
        <is>
          <t>Mumbai</t>
        </is>
      </c>
      <c r="H769" t="inlineStr">
        <is>
          <t>Fast Food</t>
        </is>
      </c>
      <c r="I769" t="n">
        <v>732</v>
      </c>
      <c r="J769" t="n">
        <v>47.03</v>
      </c>
      <c r="K769" t="n">
        <v>29.5</v>
      </c>
      <c r="L769" t="n">
        <v>0.18</v>
      </c>
      <c r="M769" t="n">
        <v>139.14</v>
      </c>
      <c r="N769" t="n">
        <v>3.9</v>
      </c>
      <c r="O769" t="n">
        <v>40.3</v>
      </c>
      <c r="P769" t="inlineStr">
        <is>
          <t>Debit Card</t>
        </is>
      </c>
      <c r="Q769" t="inlineStr">
        <is>
          <t>Delivered</t>
        </is>
      </c>
      <c r="R769" t="n">
        <v>1</v>
      </c>
    </row>
    <row r="770">
      <c r="A770" t="inlineStr">
        <is>
          <t>ORD1769</t>
        </is>
      </c>
      <c r="B770" t="inlineStr">
        <is>
          <t>2025-10-12</t>
        </is>
      </c>
      <c r="C770" t="inlineStr">
        <is>
          <t>18:28:02</t>
        </is>
      </c>
      <c r="D770" t="n">
        <v>1128</v>
      </c>
      <c r="E770" t="n">
        <v>102</v>
      </c>
      <c r="F770" t="n">
        <v>215</v>
      </c>
      <c r="G770" t="inlineStr">
        <is>
          <t>Hyderabad</t>
        </is>
      </c>
      <c r="H770" t="inlineStr">
        <is>
          <t>Biryani</t>
        </is>
      </c>
      <c r="I770" t="n">
        <v>529</v>
      </c>
      <c r="J770" t="n">
        <v>77.48</v>
      </c>
      <c r="K770" t="n">
        <v>0</v>
      </c>
      <c r="L770" t="n">
        <v>0.22</v>
      </c>
      <c r="M770" t="n">
        <v>116.38</v>
      </c>
      <c r="N770" t="n">
        <v>4.1</v>
      </c>
      <c r="O770" t="n">
        <v>33.4</v>
      </c>
      <c r="P770" t="inlineStr">
        <is>
          <t>Debit Card</t>
        </is>
      </c>
      <c r="Q770" t="inlineStr">
        <is>
          <t>Delivered</t>
        </is>
      </c>
      <c r="R770" t="n">
        <v>3</v>
      </c>
    </row>
    <row r="771">
      <c r="A771" t="inlineStr">
        <is>
          <t>ORD1770</t>
        </is>
      </c>
      <c r="B771" t="inlineStr">
        <is>
          <t>2025-09-04</t>
        </is>
      </c>
      <c r="C771" t="inlineStr">
        <is>
          <t>09:17:38</t>
        </is>
      </c>
      <c r="D771" t="n">
        <v>1251</v>
      </c>
      <c r="E771" t="n">
        <v>109</v>
      </c>
      <c r="F771" t="n">
        <v>215</v>
      </c>
      <c r="G771" t="inlineStr">
        <is>
          <t>Hyderabad</t>
        </is>
      </c>
      <c r="H771" t="inlineStr">
        <is>
          <t>Biryani</t>
        </is>
      </c>
      <c r="I771" t="n">
        <v>476</v>
      </c>
      <c r="J771" t="n">
        <v>14.48</v>
      </c>
      <c r="K771" t="n">
        <v>25</v>
      </c>
      <c r="L771" t="n">
        <v>0.2</v>
      </c>
      <c r="M771" t="n">
        <v>101.45</v>
      </c>
      <c r="N771" t="n">
        <v>3</v>
      </c>
      <c r="O771" t="n">
        <v>24.8</v>
      </c>
      <c r="P771" t="inlineStr">
        <is>
          <t>Credit Card</t>
        </is>
      </c>
      <c r="Q771" t="inlineStr">
        <is>
          <t>Delivered</t>
        </is>
      </c>
      <c r="R771" t="n">
        <v>4</v>
      </c>
    </row>
    <row r="772">
      <c r="A772" t="inlineStr">
        <is>
          <t>ORD1771</t>
        </is>
      </c>
      <c r="B772" t="inlineStr">
        <is>
          <t>2025-10-01</t>
        </is>
      </c>
      <c r="C772" t="inlineStr">
        <is>
          <t>17:36:04</t>
        </is>
      </c>
      <c r="D772" t="n">
        <v>1270</v>
      </c>
      <c r="E772" t="n">
        <v>102</v>
      </c>
      <c r="F772" t="n">
        <v>225</v>
      </c>
      <c r="G772" t="inlineStr">
        <is>
          <t>Hyderabad</t>
        </is>
      </c>
      <c r="H772" t="inlineStr">
        <is>
          <t>Biryani</t>
        </is>
      </c>
      <c r="I772" t="n">
        <v>527</v>
      </c>
      <c r="J772" t="n">
        <v>0</v>
      </c>
      <c r="K772" t="n">
        <v>32</v>
      </c>
      <c r="L772" t="n">
        <v>0.22</v>
      </c>
      <c r="M772" t="n">
        <v>123.94</v>
      </c>
      <c r="N772" t="n">
        <v>4.4</v>
      </c>
      <c r="O772" t="n">
        <v>39.1</v>
      </c>
      <c r="P772" t="inlineStr">
        <is>
          <t>Credit Card</t>
        </is>
      </c>
      <c r="Q772" t="inlineStr">
        <is>
          <t>Delivered</t>
        </is>
      </c>
      <c r="R772" t="n">
        <v>4</v>
      </c>
    </row>
    <row r="773">
      <c r="A773" t="inlineStr">
        <is>
          <t>ORD1772</t>
        </is>
      </c>
      <c r="B773" t="inlineStr">
        <is>
          <t>2025-11-09</t>
        </is>
      </c>
      <c r="C773" t="inlineStr">
        <is>
          <t>11:32:51</t>
        </is>
      </c>
      <c r="D773" t="n">
        <v>1053</v>
      </c>
      <c r="E773" t="n">
        <v>119</v>
      </c>
      <c r="F773" t="n">
        <v>225</v>
      </c>
      <c r="G773" t="inlineStr">
        <is>
          <t>Hyderabad</t>
        </is>
      </c>
      <c r="H773" t="inlineStr">
        <is>
          <t>Biryani</t>
        </is>
      </c>
      <c r="I773" t="n">
        <v>871</v>
      </c>
      <c r="J773" t="n">
        <v>146.51</v>
      </c>
      <c r="K773" t="n">
        <v>0</v>
      </c>
      <c r="L773" t="n">
        <v>0.2</v>
      </c>
      <c r="M773" t="n">
        <v>174.2</v>
      </c>
      <c r="N773" t="n">
        <v>3.7</v>
      </c>
      <c r="O773" t="n">
        <v>28.4</v>
      </c>
      <c r="P773" t="inlineStr">
        <is>
          <t>Debit Card</t>
        </is>
      </c>
      <c r="Q773" t="inlineStr">
        <is>
          <t>Delivered</t>
        </is>
      </c>
      <c r="R773" t="n">
        <v>2</v>
      </c>
    </row>
    <row r="774">
      <c r="A774" t="inlineStr">
        <is>
          <t>ORD1773</t>
        </is>
      </c>
      <c r="B774" t="inlineStr">
        <is>
          <t>2025-12-06</t>
        </is>
      </c>
      <c r="C774" t="inlineStr">
        <is>
          <t>11:20:21</t>
        </is>
      </c>
      <c r="D774" t="n">
        <v>1103</v>
      </c>
      <c r="E774" t="n">
        <v>108</v>
      </c>
      <c r="F774" t="n">
        <v>219</v>
      </c>
      <c r="G774" t="inlineStr">
        <is>
          <t>Delhi NCR</t>
        </is>
      </c>
      <c r="H774" t="inlineStr">
        <is>
          <t>Fast Food</t>
        </is>
      </c>
      <c r="I774" t="n">
        <v>435</v>
      </c>
      <c r="J774" t="n">
        <v>0</v>
      </c>
      <c r="K774" t="n">
        <v>27</v>
      </c>
      <c r="L774" t="n">
        <v>0.18</v>
      </c>
      <c r="M774" t="n">
        <v>85.05</v>
      </c>
      <c r="N774" t="n">
        <v>3.4</v>
      </c>
      <c r="O774" t="n">
        <v>29.3</v>
      </c>
      <c r="P774" t="inlineStr">
        <is>
          <t>UPI</t>
        </is>
      </c>
      <c r="Q774" t="inlineStr">
        <is>
          <t>Delivered</t>
        </is>
      </c>
      <c r="R774" t="n">
        <v>5</v>
      </c>
    </row>
    <row r="775">
      <c r="A775" t="inlineStr">
        <is>
          <t>ORD1774</t>
        </is>
      </c>
      <c r="B775" t="inlineStr">
        <is>
          <t>2025-01-03</t>
        </is>
      </c>
      <c r="C775" t="inlineStr">
        <is>
          <t>13:57:00</t>
        </is>
      </c>
      <c r="D775" t="n">
        <v>1045</v>
      </c>
      <c r="E775" t="n">
        <v>101</v>
      </c>
      <c r="F775" t="n">
        <v>210</v>
      </c>
      <c r="G775" t="inlineStr">
        <is>
          <t>Bangalore</t>
        </is>
      </c>
      <c r="H775" t="inlineStr">
        <is>
          <t>North Indian</t>
        </is>
      </c>
      <c r="I775" t="n">
        <v>908</v>
      </c>
      <c r="J775" t="n">
        <v>0</v>
      </c>
      <c r="K775" t="n">
        <v>29</v>
      </c>
      <c r="L775" t="n">
        <v>0.2</v>
      </c>
      <c r="M775" t="n">
        <v>188.85</v>
      </c>
      <c r="N775" t="n">
        <v>3.8</v>
      </c>
      <c r="O775" t="n">
        <v>53.9</v>
      </c>
      <c r="P775" t="inlineStr">
        <is>
          <t>Cash on Delivery</t>
        </is>
      </c>
      <c r="Q775" t="inlineStr">
        <is>
          <t>Delivered</t>
        </is>
      </c>
      <c r="R775" t="n">
        <v>2</v>
      </c>
    </row>
    <row r="776">
      <c r="A776" t="inlineStr">
        <is>
          <t>ORD1775</t>
        </is>
      </c>
      <c r="B776" t="inlineStr">
        <is>
          <t>2025-10-03</t>
        </is>
      </c>
      <c r="C776" t="inlineStr">
        <is>
          <t>21:01:57</t>
        </is>
      </c>
      <c r="D776" t="n">
        <v>1018</v>
      </c>
      <c r="E776" t="n">
        <v>104</v>
      </c>
      <c r="F776" t="n">
        <v>219</v>
      </c>
      <c r="G776" t="inlineStr">
        <is>
          <t>Delhi NCR</t>
        </is>
      </c>
      <c r="H776" t="inlineStr">
        <is>
          <t>Fast Food</t>
        </is>
      </c>
      <c r="I776" t="n">
        <v>907</v>
      </c>
      <c r="J776" t="n">
        <v>0</v>
      </c>
      <c r="K776" t="n">
        <v>42.5</v>
      </c>
      <c r="L776" t="n">
        <v>0.18</v>
      </c>
      <c r="M776" t="n">
        <v>173.88</v>
      </c>
      <c r="N776" t="n">
        <v>6.5</v>
      </c>
      <c r="O776" t="n">
        <v>38.8</v>
      </c>
      <c r="P776" t="inlineStr">
        <is>
          <t>Cash on Delivery</t>
        </is>
      </c>
      <c r="Q776" t="inlineStr">
        <is>
          <t>Delivered</t>
        </is>
      </c>
      <c r="R776" t="n">
        <v>5</v>
      </c>
    </row>
    <row r="777">
      <c r="A777" t="inlineStr">
        <is>
          <t>ORD1776</t>
        </is>
      </c>
      <c r="B777" t="inlineStr">
        <is>
          <t>2025-12-23</t>
        </is>
      </c>
      <c r="C777" t="inlineStr">
        <is>
          <t>22:00:07</t>
        </is>
      </c>
      <c r="D777" t="n">
        <v>1032</v>
      </c>
      <c r="E777" t="n">
        <v>112</v>
      </c>
      <c r="F777" t="n">
        <v>221</v>
      </c>
      <c r="G777" t="inlineStr">
        <is>
          <t>Delhi NCR</t>
        </is>
      </c>
      <c r="H777" t="inlineStr">
        <is>
          <t>North Indian</t>
        </is>
      </c>
      <c r="I777" t="n">
        <v>693</v>
      </c>
      <c r="J777" t="n">
        <v>0</v>
      </c>
      <c r="K777" t="n">
        <v>25</v>
      </c>
      <c r="L777" t="n">
        <v>0.22</v>
      </c>
      <c r="M777" t="n">
        <v>158.71</v>
      </c>
      <c r="N777" t="n">
        <v>2</v>
      </c>
      <c r="O777" t="n">
        <v>37.3</v>
      </c>
      <c r="P777" t="inlineStr">
        <is>
          <t>UPI</t>
        </is>
      </c>
      <c r="Q777" t="inlineStr">
        <is>
          <t>Delivered</t>
        </is>
      </c>
      <c r="R777" t="n">
        <v>3</v>
      </c>
    </row>
    <row r="778">
      <c r="A778" t="inlineStr">
        <is>
          <t>ORD1777</t>
        </is>
      </c>
      <c r="B778" t="inlineStr">
        <is>
          <t>2025-05-24</t>
        </is>
      </c>
      <c r="C778" t="inlineStr">
        <is>
          <t>11:43:58</t>
        </is>
      </c>
      <c r="D778" t="n">
        <v>1172</v>
      </c>
      <c r="E778" t="n">
        <v>120</v>
      </c>
      <c r="F778" t="n">
        <v>226</v>
      </c>
      <c r="G778" t="inlineStr">
        <is>
          <t>Pune</t>
        </is>
      </c>
      <c r="H778" t="inlineStr">
        <is>
          <t>Fast Food</t>
        </is>
      </c>
      <c r="I778" t="n">
        <v>946</v>
      </c>
      <c r="J778" t="n">
        <v>0</v>
      </c>
      <c r="K778" t="n">
        <v>29.5</v>
      </c>
      <c r="L778" t="n">
        <v>0.18</v>
      </c>
      <c r="M778" t="n">
        <v>177.66</v>
      </c>
      <c r="N778" t="n">
        <v>3.9</v>
      </c>
      <c r="O778" t="n">
        <v>27.5</v>
      </c>
      <c r="P778" t="inlineStr">
        <is>
          <t>Digital Wallet</t>
        </is>
      </c>
      <c r="Q778" t="inlineStr">
        <is>
          <t>Delivered</t>
        </is>
      </c>
      <c r="R778" t="n">
        <v>4</v>
      </c>
    </row>
    <row r="779">
      <c r="A779" t="inlineStr">
        <is>
          <t>ORD1778</t>
        </is>
      </c>
      <c r="B779" t="inlineStr">
        <is>
          <t>2025-09-10</t>
        </is>
      </c>
      <c r="C779" t="inlineStr">
        <is>
          <t>12:23:02</t>
        </is>
      </c>
      <c r="D779" t="n">
        <v>1058</v>
      </c>
      <c r="E779" t="n">
        <v>103</v>
      </c>
      <c r="F779" t="n">
        <v>222</v>
      </c>
      <c r="G779" t="inlineStr">
        <is>
          <t>Mumbai</t>
        </is>
      </c>
      <c r="H779" t="inlineStr">
        <is>
          <t>Italian</t>
        </is>
      </c>
      <c r="I779" t="n">
        <v>507</v>
      </c>
      <c r="J779" t="n">
        <v>0</v>
      </c>
      <c r="K779" t="n">
        <v>25</v>
      </c>
      <c r="L779" t="n">
        <v>0.18</v>
      </c>
      <c r="M779" t="n">
        <v>97.51000000000001</v>
      </c>
      <c r="N779" t="n">
        <v>2.9</v>
      </c>
      <c r="O779" t="n">
        <v>35.1</v>
      </c>
      <c r="P779" t="inlineStr">
        <is>
          <t>Digital Wallet</t>
        </is>
      </c>
      <c r="Q779" t="inlineStr">
        <is>
          <t>Delivered</t>
        </is>
      </c>
      <c r="R779" t="n">
        <v>4</v>
      </c>
    </row>
    <row r="780">
      <c r="A780" t="inlineStr">
        <is>
          <t>ORD1779</t>
        </is>
      </c>
      <c r="B780" t="inlineStr">
        <is>
          <t>2025-04-11</t>
        </is>
      </c>
      <c r="C780" t="inlineStr">
        <is>
          <t>12:52:40</t>
        </is>
      </c>
      <c r="D780" t="n">
        <v>1241</v>
      </c>
      <c r="E780" t="n">
        <v>119</v>
      </c>
      <c r="F780" t="n">
        <v>225</v>
      </c>
      <c r="G780" t="inlineStr">
        <is>
          <t>Hyderabad</t>
        </is>
      </c>
      <c r="H780" t="inlineStr">
        <is>
          <t>Biryani</t>
        </is>
      </c>
      <c r="I780" t="n">
        <v>753</v>
      </c>
      <c r="J780" t="n">
        <v>140.8</v>
      </c>
      <c r="K780" t="n">
        <v>0</v>
      </c>
      <c r="L780" t="n">
        <v>0.2</v>
      </c>
      <c r="M780" t="n">
        <v>150.6</v>
      </c>
      <c r="N780" t="n">
        <v>2</v>
      </c>
      <c r="O780" t="n">
        <v>28.5</v>
      </c>
      <c r="P780" t="inlineStr">
        <is>
          <t>Cash on Delivery</t>
        </is>
      </c>
      <c r="Q780" t="inlineStr">
        <is>
          <t>Delivered</t>
        </is>
      </c>
      <c r="R780" t="n">
        <v>4</v>
      </c>
    </row>
    <row r="781">
      <c r="A781" t="inlineStr">
        <is>
          <t>ORD1780</t>
        </is>
      </c>
      <c r="B781" t="inlineStr">
        <is>
          <t>2025-12-04</t>
        </is>
      </c>
      <c r="C781" t="inlineStr">
        <is>
          <t>21:47:36</t>
        </is>
      </c>
      <c r="D781" t="n">
        <v>1008</v>
      </c>
      <c r="E781" t="n">
        <v>103</v>
      </c>
      <c r="F781" t="n">
        <v>202</v>
      </c>
      <c r="G781" t="inlineStr">
        <is>
          <t>Mumbai</t>
        </is>
      </c>
      <c r="H781" t="inlineStr">
        <is>
          <t>Italian</t>
        </is>
      </c>
      <c r="I781" t="n">
        <v>1182</v>
      </c>
      <c r="J781" t="n">
        <v>189.47</v>
      </c>
      <c r="K781" t="n">
        <v>0</v>
      </c>
      <c r="L781" t="n">
        <v>0.18</v>
      </c>
      <c r="M781" t="n">
        <v>212.76</v>
      </c>
      <c r="N781" t="n">
        <v>6.1</v>
      </c>
      <c r="O781" t="n">
        <v>42.2</v>
      </c>
      <c r="P781" t="inlineStr">
        <is>
          <t>Digital Wallet</t>
        </is>
      </c>
      <c r="Q781" t="inlineStr">
        <is>
          <t>Delivered</t>
        </is>
      </c>
      <c r="R781" t="n">
        <v>2</v>
      </c>
    </row>
    <row r="782">
      <c r="A782" t="inlineStr">
        <is>
          <t>ORD1781</t>
        </is>
      </c>
      <c r="B782" t="inlineStr">
        <is>
          <t>2025-03-07</t>
        </is>
      </c>
      <c r="C782" t="inlineStr">
        <is>
          <t>13:16:59</t>
        </is>
      </c>
      <c r="D782" t="n">
        <v>1075</v>
      </c>
      <c r="E782" t="n">
        <v>118</v>
      </c>
      <c r="F782" t="n">
        <v>219</v>
      </c>
      <c r="G782" t="inlineStr">
        <is>
          <t>Delhi NCR</t>
        </is>
      </c>
      <c r="H782" t="inlineStr">
        <is>
          <t>North Indian</t>
        </is>
      </c>
      <c r="I782" t="n">
        <v>803</v>
      </c>
      <c r="J782" t="n">
        <v>88.23999999999999</v>
      </c>
      <c r="K782" t="n">
        <v>25</v>
      </c>
      <c r="L782" t="n">
        <v>0.2</v>
      </c>
      <c r="M782" t="n">
        <v>166.85</v>
      </c>
      <c r="N782" t="n">
        <v>1.7</v>
      </c>
      <c r="O782" t="n">
        <v/>
      </c>
      <c r="P782" t="inlineStr">
        <is>
          <t>Debit Card</t>
        </is>
      </c>
      <c r="Q782" t="inlineStr">
        <is>
          <t>Cancelled</t>
        </is>
      </c>
      <c r="R782" t="n">
        <v/>
      </c>
    </row>
    <row r="783">
      <c r="A783" t="inlineStr">
        <is>
          <t>ORD1782</t>
        </is>
      </c>
      <c r="B783" t="inlineStr">
        <is>
          <t>2025-12-21</t>
        </is>
      </c>
      <c r="C783" t="inlineStr">
        <is>
          <t>12:43:34</t>
        </is>
      </c>
      <c r="D783" t="n">
        <v>1274</v>
      </c>
      <c r="E783" t="n">
        <v>103</v>
      </c>
      <c r="F783" t="n">
        <v>202</v>
      </c>
      <c r="G783" t="inlineStr">
        <is>
          <t>Mumbai</t>
        </is>
      </c>
      <c r="H783" t="inlineStr">
        <is>
          <t>Italian</t>
        </is>
      </c>
      <c r="I783" t="n">
        <v>1013</v>
      </c>
      <c r="J783" t="n">
        <v>170.25</v>
      </c>
      <c r="K783" t="n">
        <v>0</v>
      </c>
      <c r="L783" t="n">
        <v>0.18</v>
      </c>
      <c r="M783" t="n">
        <v>182.34</v>
      </c>
      <c r="N783" t="n">
        <v>13.1</v>
      </c>
      <c r="O783" t="n">
        <v>77.3</v>
      </c>
      <c r="P783" t="inlineStr">
        <is>
          <t>UPI</t>
        </is>
      </c>
      <c r="Q783" t="inlineStr">
        <is>
          <t>Delivered</t>
        </is>
      </c>
      <c r="R783" t="n">
        <v>2</v>
      </c>
    </row>
    <row r="784">
      <c r="A784" t="inlineStr">
        <is>
          <t>ORD1783</t>
        </is>
      </c>
      <c r="B784" t="inlineStr">
        <is>
          <t>2025-08-10</t>
        </is>
      </c>
      <c r="C784" t="inlineStr">
        <is>
          <t>19:54:26</t>
        </is>
      </c>
      <c r="D784" t="n">
        <v>1263</v>
      </c>
      <c r="E784" t="n">
        <v>104</v>
      </c>
      <c r="F784" t="n">
        <v>230</v>
      </c>
      <c r="G784" t="inlineStr">
        <is>
          <t>Delhi NCR</t>
        </is>
      </c>
      <c r="H784" t="inlineStr">
        <is>
          <t>Fast Food</t>
        </is>
      </c>
      <c r="I784" t="n">
        <v>500</v>
      </c>
      <c r="J784" t="n">
        <v>0</v>
      </c>
      <c r="K784" t="n">
        <v>25</v>
      </c>
      <c r="L784" t="n">
        <v>0.18</v>
      </c>
      <c r="M784" t="n">
        <v>96.25</v>
      </c>
      <c r="N784" t="n">
        <v>2.9</v>
      </c>
      <c r="O784" t="n">
        <v>34.9</v>
      </c>
      <c r="P784" t="inlineStr">
        <is>
          <t>Cash on Delivery</t>
        </is>
      </c>
      <c r="Q784" t="inlineStr">
        <is>
          <t>Delivered</t>
        </is>
      </c>
      <c r="R784" t="n">
        <v>4</v>
      </c>
    </row>
    <row r="785">
      <c r="A785" t="inlineStr">
        <is>
          <t>ORD1784</t>
        </is>
      </c>
      <c r="B785" t="inlineStr">
        <is>
          <t>2025-01-25</t>
        </is>
      </c>
      <c r="C785" t="inlineStr">
        <is>
          <t>17:17:58</t>
        </is>
      </c>
      <c r="D785" t="n">
        <v>1062</v>
      </c>
      <c r="E785" t="n">
        <v>117</v>
      </c>
      <c r="F785" t="n">
        <v>229</v>
      </c>
      <c r="G785" t="inlineStr">
        <is>
          <t>Mumbai</t>
        </is>
      </c>
      <c r="H785" t="inlineStr">
        <is>
          <t>Chinese</t>
        </is>
      </c>
      <c r="I785" t="n">
        <v>650</v>
      </c>
      <c r="J785" t="n">
        <v>16.44</v>
      </c>
      <c r="K785" t="n">
        <v>26</v>
      </c>
      <c r="L785" t="n">
        <v>0.2</v>
      </c>
      <c r="M785" t="n">
        <v>136.5</v>
      </c>
      <c r="N785" t="n">
        <v>3.2</v>
      </c>
      <c r="O785" t="n">
        <v>31.8</v>
      </c>
      <c r="P785" t="inlineStr">
        <is>
          <t>Debit Card</t>
        </is>
      </c>
      <c r="Q785" t="inlineStr">
        <is>
          <t>Delivered</t>
        </is>
      </c>
      <c r="R785" t="n">
        <v>5</v>
      </c>
    </row>
    <row r="786">
      <c r="A786" t="inlineStr">
        <is>
          <t>ORD1785</t>
        </is>
      </c>
      <c r="B786" t="inlineStr">
        <is>
          <t>2025-04-26</t>
        </is>
      </c>
      <c r="C786" t="inlineStr">
        <is>
          <t>15:44:27</t>
        </is>
      </c>
      <c r="D786" t="n">
        <v>1017</v>
      </c>
      <c r="E786" t="n">
        <v>107</v>
      </c>
      <c r="F786" t="n">
        <v>229</v>
      </c>
      <c r="G786" t="inlineStr">
        <is>
          <t>Mumbai</t>
        </is>
      </c>
      <c r="H786" t="inlineStr">
        <is>
          <t>Desserts</t>
        </is>
      </c>
      <c r="I786" t="n">
        <v>296</v>
      </c>
      <c r="J786" t="n">
        <v>4.66</v>
      </c>
      <c r="K786" t="n">
        <v>25.5</v>
      </c>
      <c r="L786" t="n">
        <v>0.25</v>
      </c>
      <c r="M786" t="n">
        <v>80.38</v>
      </c>
      <c r="N786" t="n">
        <v>3.1</v>
      </c>
      <c r="O786" t="n">
        <v>32.2</v>
      </c>
      <c r="P786" t="inlineStr">
        <is>
          <t>UPI</t>
        </is>
      </c>
      <c r="Q786" t="inlineStr">
        <is>
          <t>Delivered</t>
        </is>
      </c>
      <c r="R786" t="n">
        <v>4</v>
      </c>
    </row>
    <row r="787">
      <c r="A787" t="inlineStr">
        <is>
          <t>ORD1786</t>
        </is>
      </c>
      <c r="B787" t="inlineStr">
        <is>
          <t>2025-08-10</t>
        </is>
      </c>
      <c r="C787" t="inlineStr">
        <is>
          <t>11:51:01</t>
        </is>
      </c>
      <c r="D787" t="n">
        <v>1040</v>
      </c>
      <c r="E787" t="n">
        <v>110</v>
      </c>
      <c r="F787" t="n">
        <v>209</v>
      </c>
      <c r="G787" t="inlineStr">
        <is>
          <t>Pune</t>
        </is>
      </c>
      <c r="H787" t="inlineStr">
        <is>
          <t>North Indian</t>
        </is>
      </c>
      <c r="I787" t="n">
        <v>826</v>
      </c>
      <c r="J787" t="n">
        <v>61.79</v>
      </c>
      <c r="K787" t="n">
        <v>26</v>
      </c>
      <c r="L787" t="n">
        <v>0.18</v>
      </c>
      <c r="M787" t="n">
        <v>155.18</v>
      </c>
      <c r="N787" t="n">
        <v>3.2</v>
      </c>
      <c r="O787" t="n">
        <v>30.1</v>
      </c>
      <c r="P787" t="inlineStr">
        <is>
          <t>Credit Card</t>
        </is>
      </c>
      <c r="Q787" t="inlineStr">
        <is>
          <t>Delivered</t>
        </is>
      </c>
      <c r="R787" t="n">
        <v>2</v>
      </c>
    </row>
    <row r="788">
      <c r="A788" t="inlineStr">
        <is>
          <t>ORD1787</t>
        </is>
      </c>
      <c r="B788" t="inlineStr">
        <is>
          <t>2025-05-03</t>
        </is>
      </c>
      <c r="C788" t="inlineStr">
        <is>
          <t>12:21:53</t>
        </is>
      </c>
      <c r="D788" t="n">
        <v>1283</v>
      </c>
      <c r="E788" t="n">
        <v>120</v>
      </c>
      <c r="F788" t="n">
        <v>204</v>
      </c>
      <c r="G788" t="inlineStr">
        <is>
          <t>Pune</t>
        </is>
      </c>
      <c r="H788" t="inlineStr">
        <is>
          <t>Fast Food</t>
        </is>
      </c>
      <c r="I788" t="n">
        <v>275</v>
      </c>
      <c r="J788" t="n">
        <v>11.43</v>
      </c>
      <c r="K788" t="n">
        <v>25</v>
      </c>
      <c r="L788" t="n">
        <v>0.18</v>
      </c>
      <c r="M788" t="n">
        <v>55.75</v>
      </c>
      <c r="N788" t="n">
        <v>2.5</v>
      </c>
      <c r="O788" t="n">
        <v>26.9</v>
      </c>
      <c r="P788" t="inlineStr">
        <is>
          <t>UPI</t>
        </is>
      </c>
      <c r="Q788" t="inlineStr">
        <is>
          <t>Delivered</t>
        </is>
      </c>
      <c r="R788" t="n">
        <v>2</v>
      </c>
    </row>
    <row r="789">
      <c r="A789" t="inlineStr">
        <is>
          <t>ORD1788</t>
        </is>
      </c>
      <c r="B789" t="inlineStr">
        <is>
          <t>2025-10-24</t>
        </is>
      </c>
      <c r="C789" t="inlineStr">
        <is>
          <t>11:07:05</t>
        </is>
      </c>
      <c r="D789" t="n">
        <v>1063</v>
      </c>
      <c r="E789" t="n">
        <v>115</v>
      </c>
      <c r="F789" t="n">
        <v>213</v>
      </c>
      <c r="G789" t="inlineStr">
        <is>
          <t>Bangalore</t>
        </is>
      </c>
      <c r="H789" t="inlineStr">
        <is>
          <t>Italian</t>
        </is>
      </c>
      <c r="I789" t="n">
        <v>282</v>
      </c>
      <c r="J789" t="n">
        <v>32.2</v>
      </c>
      <c r="K789" t="n">
        <v>35.5</v>
      </c>
      <c r="L789" t="n">
        <v>0.2</v>
      </c>
      <c r="M789" t="n">
        <v>65.28</v>
      </c>
      <c r="N789" t="n">
        <v>5.1</v>
      </c>
      <c r="O789" t="n">
        <v>32.7</v>
      </c>
      <c r="P789" t="inlineStr">
        <is>
          <t>UPI</t>
        </is>
      </c>
      <c r="Q789" t="inlineStr">
        <is>
          <t>Delivered</t>
        </is>
      </c>
      <c r="R789" t="n">
        <v>5</v>
      </c>
    </row>
    <row r="790">
      <c r="A790" t="inlineStr">
        <is>
          <t>ORD1789</t>
        </is>
      </c>
      <c r="B790" t="inlineStr">
        <is>
          <t>2025-08-15</t>
        </is>
      </c>
      <c r="C790" t="inlineStr">
        <is>
          <t>17:03:19</t>
        </is>
      </c>
      <c r="D790" t="n">
        <v>1250</v>
      </c>
      <c r="E790" t="n">
        <v>106</v>
      </c>
      <c r="F790" t="n">
        <v>208</v>
      </c>
      <c r="G790" t="inlineStr">
        <is>
          <t>Pune</t>
        </is>
      </c>
      <c r="H790" t="inlineStr">
        <is>
          <t>South Indian</t>
        </is>
      </c>
      <c r="I790" t="n">
        <v>1105</v>
      </c>
      <c r="J790" t="n">
        <v>158.22</v>
      </c>
      <c r="K790" t="n">
        <v>0</v>
      </c>
      <c r="L790" t="n">
        <v>0.15</v>
      </c>
      <c r="M790" t="n">
        <v>165.75</v>
      </c>
      <c r="N790" t="n">
        <v>4.2</v>
      </c>
      <c r="O790" t="n">
        <v/>
      </c>
      <c r="P790" t="inlineStr">
        <is>
          <t>UPI</t>
        </is>
      </c>
      <c r="Q790" t="inlineStr">
        <is>
          <t>Cancelled</t>
        </is>
      </c>
      <c r="R790" t="n">
        <v/>
      </c>
    </row>
    <row r="791">
      <c r="A791" t="inlineStr">
        <is>
          <t>ORD1790</t>
        </is>
      </c>
      <c r="B791" t="inlineStr">
        <is>
          <t>2025-07-25</t>
        </is>
      </c>
      <c r="C791" t="inlineStr">
        <is>
          <t>12:06:39</t>
        </is>
      </c>
      <c r="D791" t="n">
        <v>1119</v>
      </c>
      <c r="E791" t="n">
        <v>118</v>
      </c>
      <c r="F791" t="n">
        <v>230</v>
      </c>
      <c r="G791" t="inlineStr">
        <is>
          <t>Delhi NCR</t>
        </is>
      </c>
      <c r="H791" t="inlineStr">
        <is>
          <t>North Indian</t>
        </is>
      </c>
      <c r="I791" t="n">
        <v>799</v>
      </c>
      <c r="J791" t="n">
        <v>148.98</v>
      </c>
      <c r="K791" t="n">
        <v>0</v>
      </c>
      <c r="L791" t="n">
        <v>0.2</v>
      </c>
      <c r="M791" t="n">
        <v>159.8</v>
      </c>
      <c r="N791" t="n">
        <v>3.5</v>
      </c>
      <c r="O791" t="n">
        <v>33.4</v>
      </c>
      <c r="P791" t="inlineStr">
        <is>
          <t>Digital Wallet</t>
        </is>
      </c>
      <c r="Q791" t="inlineStr">
        <is>
          <t>Delivered</t>
        </is>
      </c>
      <c r="R791" t="n">
        <v>4</v>
      </c>
    </row>
    <row r="792">
      <c r="A792" t="inlineStr">
        <is>
          <t>ORD1791</t>
        </is>
      </c>
      <c r="B792" t="inlineStr">
        <is>
          <t>2025-07-16</t>
        </is>
      </c>
      <c r="C792" t="inlineStr">
        <is>
          <t>13:29:50</t>
        </is>
      </c>
      <c r="D792" t="n">
        <v>1045</v>
      </c>
      <c r="E792" t="n">
        <v>101</v>
      </c>
      <c r="F792" t="n">
        <v>218</v>
      </c>
      <c r="G792" t="inlineStr">
        <is>
          <t>Bangalore</t>
        </is>
      </c>
      <c r="H792" t="inlineStr">
        <is>
          <t>North Indian</t>
        </is>
      </c>
      <c r="I792" t="n">
        <v>658</v>
      </c>
      <c r="J792" t="n">
        <v>32.6</v>
      </c>
      <c r="K792" t="n">
        <v>40</v>
      </c>
      <c r="L792" t="n">
        <v>0.2</v>
      </c>
      <c r="M792" t="n">
        <v>141.6</v>
      </c>
      <c r="N792" t="n">
        <v>6</v>
      </c>
      <c r="O792" t="n">
        <v>41.2</v>
      </c>
      <c r="P792" t="inlineStr">
        <is>
          <t>UPI</t>
        </is>
      </c>
      <c r="Q792" t="inlineStr">
        <is>
          <t>Delivered</t>
        </is>
      </c>
      <c r="R792" t="n">
        <v>3</v>
      </c>
    </row>
    <row r="793">
      <c r="A793" t="inlineStr">
        <is>
          <t>ORD1792</t>
        </is>
      </c>
      <c r="B793" t="inlineStr">
        <is>
          <t>2025-02-25</t>
        </is>
      </c>
      <c r="C793" t="inlineStr">
        <is>
          <t>01:06:00</t>
        </is>
      </c>
      <c r="D793" t="n">
        <v>1071</v>
      </c>
      <c r="E793" t="n">
        <v>106</v>
      </c>
      <c r="F793" t="n">
        <v>226</v>
      </c>
      <c r="G793" t="inlineStr">
        <is>
          <t>Pune</t>
        </is>
      </c>
      <c r="H793" t="inlineStr">
        <is>
          <t>South Indian</t>
        </is>
      </c>
      <c r="I793" t="n">
        <v>829</v>
      </c>
      <c r="J793" t="n">
        <v>82.84</v>
      </c>
      <c r="K793" t="n">
        <v>25</v>
      </c>
      <c r="L793" t="n">
        <v>0.15</v>
      </c>
      <c r="M793" t="n">
        <v>130.6</v>
      </c>
      <c r="N793" t="n">
        <v>2.2</v>
      </c>
      <c r="O793" t="n">
        <v>25.2</v>
      </c>
      <c r="P793" t="inlineStr">
        <is>
          <t>Credit Card</t>
        </is>
      </c>
      <c r="Q793" t="inlineStr">
        <is>
          <t>Delivered</t>
        </is>
      </c>
      <c r="R793" t="n">
        <v>4</v>
      </c>
    </row>
    <row r="794">
      <c r="A794" t="inlineStr">
        <is>
          <t>ORD1793</t>
        </is>
      </c>
      <c r="B794" t="inlineStr">
        <is>
          <t>2025-08-04</t>
        </is>
      </c>
      <c r="C794" t="inlineStr">
        <is>
          <t>22:30:46</t>
        </is>
      </c>
      <c r="D794" t="n">
        <v>1023</v>
      </c>
      <c r="E794" t="n">
        <v>101</v>
      </c>
      <c r="F794" t="n">
        <v>205</v>
      </c>
      <c r="G794" t="inlineStr">
        <is>
          <t>Bangalore</t>
        </is>
      </c>
      <c r="H794" t="inlineStr">
        <is>
          <t>North Indian</t>
        </is>
      </c>
      <c r="I794" t="n">
        <v>855</v>
      </c>
      <c r="J794" t="n">
        <v>0</v>
      </c>
      <c r="K794" t="n">
        <v>32</v>
      </c>
      <c r="L794" t="n">
        <v>0.2</v>
      </c>
      <c r="M794" t="n">
        <v>179</v>
      </c>
      <c r="N794" t="n">
        <v>4.4</v>
      </c>
      <c r="O794" t="n">
        <v>27.8</v>
      </c>
      <c r="P794" t="inlineStr">
        <is>
          <t>UPI</t>
        </is>
      </c>
      <c r="Q794" t="inlineStr">
        <is>
          <t>Delivered</t>
        </is>
      </c>
      <c r="R794" t="n">
        <v>4</v>
      </c>
    </row>
    <row r="795">
      <c r="A795" t="inlineStr">
        <is>
          <t>ORD1794</t>
        </is>
      </c>
      <c r="B795" t="inlineStr">
        <is>
          <t>2025-06-09</t>
        </is>
      </c>
      <c r="C795" t="inlineStr">
        <is>
          <t>08:37:27</t>
        </is>
      </c>
      <c r="D795" t="n">
        <v>1072</v>
      </c>
      <c r="E795" t="n">
        <v>116</v>
      </c>
      <c r="F795" t="n">
        <v>224</v>
      </c>
      <c r="G795" t="inlineStr">
        <is>
          <t>Pune</t>
        </is>
      </c>
      <c r="H795" t="inlineStr">
        <is>
          <t>Desserts</t>
        </is>
      </c>
      <c r="I795" t="n">
        <v>745</v>
      </c>
      <c r="J795" t="n">
        <v>44.96</v>
      </c>
      <c r="K795" t="n">
        <v>25</v>
      </c>
      <c r="L795" t="n">
        <v>0.25</v>
      </c>
      <c r="M795" t="n">
        <v>192.5</v>
      </c>
      <c r="N795" t="n">
        <v>3</v>
      </c>
      <c r="O795" t="n">
        <v>23.6</v>
      </c>
      <c r="P795" t="inlineStr">
        <is>
          <t>Digital Wallet</t>
        </is>
      </c>
      <c r="Q795" t="inlineStr">
        <is>
          <t>Delivered</t>
        </is>
      </c>
      <c r="R795" t="n">
        <v>5</v>
      </c>
    </row>
    <row r="796">
      <c r="A796" t="inlineStr">
        <is>
          <t>ORD1795</t>
        </is>
      </c>
      <c r="B796" t="inlineStr">
        <is>
          <t>2025-08-29</t>
        </is>
      </c>
      <c r="C796" t="inlineStr">
        <is>
          <t>15:19:38</t>
        </is>
      </c>
      <c r="D796" t="n">
        <v>1148</v>
      </c>
      <c r="E796" t="n">
        <v>111</v>
      </c>
      <c r="F796" t="n">
        <v>213</v>
      </c>
      <c r="G796" t="inlineStr">
        <is>
          <t>Bangalore</t>
        </is>
      </c>
      <c r="H796" t="inlineStr">
        <is>
          <t>South Indian</t>
        </is>
      </c>
      <c r="I796" t="n">
        <v>571</v>
      </c>
      <c r="J796" t="n">
        <v>0</v>
      </c>
      <c r="K796" t="n">
        <v>25</v>
      </c>
      <c r="L796" t="n">
        <v>0.15</v>
      </c>
      <c r="M796" t="n">
        <v>91.90000000000001</v>
      </c>
      <c r="N796" t="n">
        <v>1.9</v>
      </c>
      <c r="O796" t="n">
        <v/>
      </c>
      <c r="P796" t="inlineStr">
        <is>
          <t>Digital Wallet</t>
        </is>
      </c>
      <c r="Q796" t="inlineStr">
        <is>
          <t>Cancelled</t>
        </is>
      </c>
      <c r="R796" t="n">
        <v/>
      </c>
    </row>
    <row r="797">
      <c r="A797" t="inlineStr">
        <is>
          <t>ORD1796</t>
        </is>
      </c>
      <c r="B797" t="inlineStr">
        <is>
          <t>2025-09-17</t>
        </is>
      </c>
      <c r="C797" t="inlineStr">
        <is>
          <t>19:52:53</t>
        </is>
      </c>
      <c r="D797" t="n">
        <v>1100</v>
      </c>
      <c r="E797" t="n">
        <v>109</v>
      </c>
      <c r="F797" t="n">
        <v>216</v>
      </c>
      <c r="G797" t="inlineStr">
        <is>
          <t>Hyderabad</t>
        </is>
      </c>
      <c r="H797" t="inlineStr">
        <is>
          <t>Biryani</t>
        </is>
      </c>
      <c r="I797" t="n">
        <v>792</v>
      </c>
      <c r="J797" t="n">
        <v>26.74</v>
      </c>
      <c r="K797" t="n">
        <v>29.5</v>
      </c>
      <c r="L797" t="n">
        <v>0.2</v>
      </c>
      <c r="M797" t="n">
        <v>165.78</v>
      </c>
      <c r="N797" t="n">
        <v>3.9</v>
      </c>
      <c r="O797" t="n">
        <v>39.7</v>
      </c>
      <c r="P797" t="inlineStr">
        <is>
          <t>Credit Card</t>
        </is>
      </c>
      <c r="Q797" t="inlineStr">
        <is>
          <t>Delivered</t>
        </is>
      </c>
      <c r="R797" t="n">
        <v>3</v>
      </c>
    </row>
    <row r="798">
      <c r="A798" t="inlineStr">
        <is>
          <t>ORD1797</t>
        </is>
      </c>
      <c r="B798" t="inlineStr">
        <is>
          <t>2025-04-07</t>
        </is>
      </c>
      <c r="C798" t="inlineStr">
        <is>
          <t>15:42:30</t>
        </is>
      </c>
      <c r="D798" t="n">
        <v>1045</v>
      </c>
      <c r="E798" t="n">
        <v>101</v>
      </c>
      <c r="F798" t="n">
        <v>220</v>
      </c>
      <c r="G798" t="inlineStr">
        <is>
          <t>Bangalore</t>
        </is>
      </c>
      <c r="H798" t="inlineStr">
        <is>
          <t>North Indian</t>
        </is>
      </c>
      <c r="I798" t="n">
        <v>931</v>
      </c>
      <c r="J798" t="n">
        <v>34.81</v>
      </c>
      <c r="K798" t="n">
        <v>31.5</v>
      </c>
      <c r="L798" t="n">
        <v>0.2</v>
      </c>
      <c r="M798" t="n">
        <v>194.08</v>
      </c>
      <c r="N798" t="n">
        <v>4.3</v>
      </c>
      <c r="O798" t="n">
        <v>37.3</v>
      </c>
      <c r="P798" t="inlineStr">
        <is>
          <t>Digital Wallet</t>
        </is>
      </c>
      <c r="Q798" t="inlineStr">
        <is>
          <t>Returned</t>
        </is>
      </c>
      <c r="R798" t="n">
        <v>4</v>
      </c>
    </row>
    <row r="799">
      <c r="A799" t="inlineStr">
        <is>
          <t>ORD1798</t>
        </is>
      </c>
      <c r="B799" t="inlineStr">
        <is>
          <t>2025-06-18</t>
        </is>
      </c>
      <c r="C799" t="inlineStr">
        <is>
          <t>18:10:06</t>
        </is>
      </c>
      <c r="D799" t="n">
        <v>1023</v>
      </c>
      <c r="E799" t="n">
        <v>101</v>
      </c>
      <c r="F799" t="n">
        <v>227</v>
      </c>
      <c r="G799" t="inlineStr">
        <is>
          <t>Bangalore</t>
        </is>
      </c>
      <c r="H799" t="inlineStr">
        <is>
          <t>North Indian</t>
        </is>
      </c>
      <c r="I799" t="n">
        <v>685</v>
      </c>
      <c r="J799" t="n">
        <v>49.9</v>
      </c>
      <c r="K799" t="n">
        <v>35</v>
      </c>
      <c r="L799" t="n">
        <v>0.2</v>
      </c>
      <c r="M799" t="n">
        <v>145.75</v>
      </c>
      <c r="N799" t="n">
        <v>5</v>
      </c>
      <c r="O799" t="n">
        <v>38.4</v>
      </c>
      <c r="P799" t="inlineStr">
        <is>
          <t>UPI</t>
        </is>
      </c>
      <c r="Q799" t="inlineStr">
        <is>
          <t>Delivered</t>
        </is>
      </c>
      <c r="R799" t="n">
        <v>5</v>
      </c>
    </row>
    <row r="800">
      <c r="A800" t="inlineStr">
        <is>
          <t>ORD1799</t>
        </is>
      </c>
      <c r="B800" t="inlineStr">
        <is>
          <t>2025-11-16</t>
        </is>
      </c>
      <c r="C800" t="inlineStr">
        <is>
          <t>22:13:15</t>
        </is>
      </c>
      <c r="D800" t="n">
        <v>1259</v>
      </c>
      <c r="E800" t="n">
        <v>102</v>
      </c>
      <c r="F800" t="n">
        <v>225</v>
      </c>
      <c r="G800" t="inlineStr">
        <is>
          <t>Hyderabad</t>
        </is>
      </c>
      <c r="H800" t="inlineStr">
        <is>
          <t>Biryani</t>
        </is>
      </c>
      <c r="I800" t="n">
        <v>712</v>
      </c>
      <c r="J800" t="n">
        <v>54.26</v>
      </c>
      <c r="K800" t="n">
        <v>25</v>
      </c>
      <c r="L800" t="n">
        <v>0.22</v>
      </c>
      <c r="M800" t="n">
        <v>162.89</v>
      </c>
      <c r="N800" t="n">
        <v>3</v>
      </c>
      <c r="O800" t="n">
        <v>26.6</v>
      </c>
      <c r="P800" t="inlineStr">
        <is>
          <t>Cash on Delivery</t>
        </is>
      </c>
      <c r="Q800" t="inlineStr">
        <is>
          <t>Delivered</t>
        </is>
      </c>
      <c r="R800" t="n">
        <v>3</v>
      </c>
    </row>
    <row r="801">
      <c r="A801" t="inlineStr">
        <is>
          <t>ORD1800</t>
        </is>
      </c>
      <c r="B801" t="inlineStr">
        <is>
          <t>2025-04-05</t>
        </is>
      </c>
      <c r="C801" t="inlineStr">
        <is>
          <t>12:52:00</t>
        </is>
      </c>
      <c r="D801" t="n">
        <v>1041</v>
      </c>
      <c r="E801" t="n">
        <v>109</v>
      </c>
      <c r="F801" t="n">
        <v>216</v>
      </c>
      <c r="G801" t="inlineStr">
        <is>
          <t>Hyderabad</t>
        </is>
      </c>
      <c r="H801" t="inlineStr">
        <is>
          <t>Biryani</t>
        </is>
      </c>
      <c r="I801" t="n">
        <v>591</v>
      </c>
      <c r="J801" t="n">
        <v>0</v>
      </c>
      <c r="K801" t="n">
        <v>40</v>
      </c>
      <c r="L801" t="n">
        <v>0.2</v>
      </c>
      <c r="M801" t="n">
        <v>128.2</v>
      </c>
      <c r="N801" t="n">
        <v>6</v>
      </c>
      <c r="O801" t="n">
        <v>40.2</v>
      </c>
      <c r="P801" t="inlineStr">
        <is>
          <t>Digital Wallet</t>
        </is>
      </c>
      <c r="Q801" t="inlineStr">
        <is>
          <t>Delivered</t>
        </is>
      </c>
      <c r="R801" t="n">
        <v>1</v>
      </c>
    </row>
    <row r="802">
      <c r="A802" t="inlineStr">
        <is>
          <t>ORD1801</t>
        </is>
      </c>
      <c r="B802" t="inlineStr">
        <is>
          <t>2025-05-29</t>
        </is>
      </c>
      <c r="C802" t="inlineStr">
        <is>
          <t>06:28:12</t>
        </is>
      </c>
      <c r="D802" t="n">
        <v>1054</v>
      </c>
      <c r="E802" t="n">
        <v>101</v>
      </c>
      <c r="F802" t="n">
        <v>213</v>
      </c>
      <c r="G802" t="inlineStr">
        <is>
          <t>Bangalore</t>
        </is>
      </c>
      <c r="H802" t="inlineStr">
        <is>
          <t>North Indian</t>
        </is>
      </c>
      <c r="I802" t="n">
        <v>1115</v>
      </c>
      <c r="J802" t="n">
        <v>213.27</v>
      </c>
      <c r="K802" t="n">
        <v>0</v>
      </c>
      <c r="L802" t="n">
        <v>0.2</v>
      </c>
      <c r="M802" t="n">
        <v>223</v>
      </c>
      <c r="N802" t="n">
        <v>5.5</v>
      </c>
      <c r="O802" t="n">
        <v>31.8</v>
      </c>
      <c r="P802" t="inlineStr">
        <is>
          <t>UPI</t>
        </is>
      </c>
      <c r="Q802" t="inlineStr">
        <is>
          <t>Delivered</t>
        </is>
      </c>
      <c r="R802" t="n">
        <v>3</v>
      </c>
    </row>
    <row r="803">
      <c r="A803" t="inlineStr">
        <is>
          <t>ORD1802</t>
        </is>
      </c>
      <c r="B803" t="inlineStr">
        <is>
          <t>2025-05-26</t>
        </is>
      </c>
      <c r="C803" t="inlineStr">
        <is>
          <t>21:11:14</t>
        </is>
      </c>
      <c r="D803" t="n">
        <v>1036</v>
      </c>
      <c r="E803" t="n">
        <v>113</v>
      </c>
      <c r="F803" t="n">
        <v>222</v>
      </c>
      <c r="G803" t="inlineStr">
        <is>
          <t>Mumbai</t>
        </is>
      </c>
      <c r="H803" t="inlineStr">
        <is>
          <t>Fast Food</t>
        </is>
      </c>
      <c r="I803" t="n">
        <v>488</v>
      </c>
      <c r="J803" t="n">
        <v>48.96</v>
      </c>
      <c r="K803" t="n">
        <v>26.5</v>
      </c>
      <c r="L803" t="n">
        <v>0.18</v>
      </c>
      <c r="M803" t="n">
        <v>94.45999999999999</v>
      </c>
      <c r="N803" t="n">
        <v>3.3</v>
      </c>
      <c r="O803" t="n">
        <v>33.1</v>
      </c>
      <c r="P803" t="inlineStr">
        <is>
          <t>Digital Wallet</t>
        </is>
      </c>
      <c r="Q803" t="inlineStr">
        <is>
          <t>Delivered</t>
        </is>
      </c>
      <c r="R803" t="n">
        <v>4</v>
      </c>
    </row>
    <row r="804">
      <c r="A804" t="inlineStr">
        <is>
          <t>ORD1803</t>
        </is>
      </c>
      <c r="B804" t="inlineStr">
        <is>
          <t>2025-04-11</t>
        </is>
      </c>
      <c r="C804" t="inlineStr">
        <is>
          <t>11:01:11</t>
        </is>
      </c>
      <c r="D804" t="n">
        <v>1225</v>
      </c>
      <c r="E804" t="n">
        <v>106</v>
      </c>
      <c r="F804" t="n">
        <v>208</v>
      </c>
      <c r="G804" t="inlineStr">
        <is>
          <t>Pune</t>
        </is>
      </c>
      <c r="H804" t="inlineStr">
        <is>
          <t>South Indian</t>
        </is>
      </c>
      <c r="I804" t="n">
        <v>488</v>
      </c>
      <c r="J804" t="n">
        <v>0.82</v>
      </c>
      <c r="K804" t="n">
        <v>29</v>
      </c>
      <c r="L804" t="n">
        <v>0.15</v>
      </c>
      <c r="M804" t="n">
        <v>80.45</v>
      </c>
      <c r="N804" t="n">
        <v>3.8</v>
      </c>
      <c r="O804" t="n">
        <v>36.1</v>
      </c>
      <c r="P804" t="inlineStr">
        <is>
          <t>Cash on Delivery</t>
        </is>
      </c>
      <c r="Q804" t="inlineStr">
        <is>
          <t>Delivered</t>
        </is>
      </c>
      <c r="R804" t="n">
        <v>5</v>
      </c>
    </row>
    <row r="805">
      <c r="A805" t="inlineStr">
        <is>
          <t>ORD1804</t>
        </is>
      </c>
      <c r="B805" t="inlineStr">
        <is>
          <t>2025-06-06</t>
        </is>
      </c>
      <c r="C805" t="inlineStr">
        <is>
          <t>17:29:15</t>
        </is>
      </c>
      <c r="D805" t="n">
        <v>1013</v>
      </c>
      <c r="E805" t="n">
        <v>111</v>
      </c>
      <c r="F805" t="n">
        <v>201</v>
      </c>
      <c r="G805" t="inlineStr">
        <is>
          <t>Bangalore</t>
        </is>
      </c>
      <c r="H805" t="inlineStr">
        <is>
          <t>South Indian</t>
        </is>
      </c>
      <c r="I805" t="n">
        <v>598</v>
      </c>
      <c r="J805" t="n">
        <v>63.79</v>
      </c>
      <c r="K805" t="n">
        <v>38</v>
      </c>
      <c r="L805" t="n">
        <v>0.15</v>
      </c>
      <c r="M805" t="n">
        <v>99.2</v>
      </c>
      <c r="N805" t="n">
        <v>5.6</v>
      </c>
      <c r="O805" t="n">
        <v>47.2</v>
      </c>
      <c r="P805" t="inlineStr">
        <is>
          <t>Digital Wallet</t>
        </is>
      </c>
      <c r="Q805" t="inlineStr">
        <is>
          <t>Delivered</t>
        </is>
      </c>
      <c r="R805" t="n">
        <v>4</v>
      </c>
    </row>
    <row r="806">
      <c r="A806" t="inlineStr">
        <is>
          <t>ORD1805</t>
        </is>
      </c>
      <c r="B806" t="inlineStr">
        <is>
          <t>2025-03-15</t>
        </is>
      </c>
      <c r="C806" t="inlineStr">
        <is>
          <t>16:56:59</t>
        </is>
      </c>
      <c r="D806" t="n">
        <v>1164</v>
      </c>
      <c r="E806" t="n">
        <v>116</v>
      </c>
      <c r="F806" t="n">
        <v>209</v>
      </c>
      <c r="G806" t="inlineStr">
        <is>
          <t>Pune</t>
        </is>
      </c>
      <c r="H806" t="inlineStr">
        <is>
          <t>Desserts</t>
        </is>
      </c>
      <c r="I806" t="n">
        <v>353</v>
      </c>
      <c r="J806" t="n">
        <v>5.41</v>
      </c>
      <c r="K806" t="n">
        <v>44</v>
      </c>
      <c r="L806" t="n">
        <v>0.25</v>
      </c>
      <c r="M806" t="n">
        <v>99.25</v>
      </c>
      <c r="N806" t="n">
        <v>6.8</v>
      </c>
      <c r="O806" t="n">
        <v>35.8</v>
      </c>
      <c r="P806" t="inlineStr">
        <is>
          <t>Debit Card</t>
        </is>
      </c>
      <c r="Q806" t="inlineStr">
        <is>
          <t>Delivered</t>
        </is>
      </c>
      <c r="R806" t="n">
        <v>5</v>
      </c>
    </row>
    <row r="807">
      <c r="A807" t="inlineStr">
        <is>
          <t>ORD1806</t>
        </is>
      </c>
      <c r="B807" t="inlineStr">
        <is>
          <t>2025-01-24</t>
        </is>
      </c>
      <c r="C807" t="inlineStr">
        <is>
          <t>22:48:39</t>
        </is>
      </c>
      <c r="D807" t="n">
        <v>1092</v>
      </c>
      <c r="E807" t="n">
        <v>118</v>
      </c>
      <c r="F807" t="n">
        <v>211</v>
      </c>
      <c r="G807" t="inlineStr">
        <is>
          <t>Delhi NCR</t>
        </is>
      </c>
      <c r="H807" t="inlineStr">
        <is>
          <t>North Indian</t>
        </is>
      </c>
      <c r="I807" t="n">
        <v>821</v>
      </c>
      <c r="J807" t="n">
        <v>51.92</v>
      </c>
      <c r="K807" t="n">
        <v>25</v>
      </c>
      <c r="L807" t="n">
        <v>0.2</v>
      </c>
      <c r="M807" t="n">
        <v>170.45</v>
      </c>
      <c r="N807" t="n">
        <v>2.9</v>
      </c>
      <c r="O807" t="n">
        <v>28.9</v>
      </c>
      <c r="P807" t="inlineStr">
        <is>
          <t>Credit Card</t>
        </is>
      </c>
      <c r="Q807" t="inlineStr">
        <is>
          <t>Delivered</t>
        </is>
      </c>
      <c r="R807" t="n">
        <v>5</v>
      </c>
    </row>
    <row r="808">
      <c r="A808" t="inlineStr">
        <is>
          <t>ORD1807</t>
        </is>
      </c>
      <c r="B808" t="inlineStr">
        <is>
          <t>2025-11-19</t>
        </is>
      </c>
      <c r="C808" t="inlineStr">
        <is>
          <t>19:50:17</t>
        </is>
      </c>
      <c r="D808" t="n">
        <v>1296</v>
      </c>
      <c r="E808" t="n">
        <v>112</v>
      </c>
      <c r="F808" t="n">
        <v>219</v>
      </c>
      <c r="G808" t="inlineStr">
        <is>
          <t>Delhi NCR</t>
        </is>
      </c>
      <c r="H808" t="inlineStr">
        <is>
          <t>North Indian</t>
        </is>
      </c>
      <c r="I808" t="n">
        <v>349</v>
      </c>
      <c r="J808" t="n">
        <v>27.04</v>
      </c>
      <c r="K808" t="n">
        <v>31.5</v>
      </c>
      <c r="L808" t="n">
        <v>0.22</v>
      </c>
      <c r="M808" t="n">
        <v>84.66</v>
      </c>
      <c r="N808" t="n">
        <v>4.3</v>
      </c>
      <c r="O808" t="n">
        <v>42.1</v>
      </c>
      <c r="P808" t="inlineStr">
        <is>
          <t>Credit Card</t>
        </is>
      </c>
      <c r="Q808" t="inlineStr">
        <is>
          <t>Delivered</t>
        </is>
      </c>
      <c r="R808" t="n">
        <v>4</v>
      </c>
    </row>
    <row r="809">
      <c r="A809" t="inlineStr">
        <is>
          <t>ORD1808</t>
        </is>
      </c>
      <c r="B809" t="inlineStr">
        <is>
          <t>2025-03-27</t>
        </is>
      </c>
      <c r="C809" t="inlineStr">
        <is>
          <t>13:32:24</t>
        </is>
      </c>
      <c r="D809" t="n">
        <v>1271</v>
      </c>
      <c r="E809" t="n">
        <v>112</v>
      </c>
      <c r="F809" t="n">
        <v>219</v>
      </c>
      <c r="G809" t="inlineStr">
        <is>
          <t>Delhi NCR</t>
        </is>
      </c>
      <c r="H809" t="inlineStr">
        <is>
          <t>North Indian</t>
        </is>
      </c>
      <c r="I809" t="n">
        <v>880</v>
      </c>
      <c r="J809" t="n">
        <v>90.27</v>
      </c>
      <c r="K809" t="n">
        <v>25</v>
      </c>
      <c r="L809" t="n">
        <v>0.22</v>
      </c>
      <c r="M809" t="n">
        <v>199.85</v>
      </c>
      <c r="N809" t="n">
        <v>2.1</v>
      </c>
      <c r="O809" t="n">
        <v>24.2</v>
      </c>
      <c r="P809" t="inlineStr">
        <is>
          <t>Digital Wallet</t>
        </is>
      </c>
      <c r="Q809" t="inlineStr">
        <is>
          <t>Delivered</t>
        </is>
      </c>
      <c r="R809" t="n">
        <v>3</v>
      </c>
    </row>
    <row r="810">
      <c r="A810" t="inlineStr">
        <is>
          <t>ORD1809</t>
        </is>
      </c>
      <c r="B810" t="inlineStr">
        <is>
          <t>2025-12-31</t>
        </is>
      </c>
      <c r="C810" t="inlineStr">
        <is>
          <t>13:23:33</t>
        </is>
      </c>
      <c r="D810" t="n">
        <v>1199</v>
      </c>
      <c r="E810" t="n">
        <v>119</v>
      </c>
      <c r="F810" t="n">
        <v>225</v>
      </c>
      <c r="G810" t="inlineStr">
        <is>
          <t>Hyderabad</t>
        </is>
      </c>
      <c r="H810" t="inlineStr">
        <is>
          <t>Biryani</t>
        </is>
      </c>
      <c r="I810" t="n">
        <v>1154</v>
      </c>
      <c r="J810" t="n">
        <v>197.99</v>
      </c>
      <c r="K810" t="n">
        <v>0</v>
      </c>
      <c r="L810" t="n">
        <v>0.2</v>
      </c>
      <c r="M810" t="n">
        <v>230.8</v>
      </c>
      <c r="N810" t="n">
        <v>3.4</v>
      </c>
      <c r="O810" t="n">
        <v>38.4</v>
      </c>
      <c r="P810" t="inlineStr">
        <is>
          <t>Debit Card</t>
        </is>
      </c>
      <c r="Q810" t="inlineStr">
        <is>
          <t>Delivered</t>
        </is>
      </c>
      <c r="R810" t="n">
        <v>4</v>
      </c>
    </row>
    <row r="811">
      <c r="A811" t="inlineStr">
        <is>
          <t>ORD1810</t>
        </is>
      </c>
      <c r="B811" t="inlineStr">
        <is>
          <t>2025-04-23</t>
        </is>
      </c>
      <c r="C811" t="inlineStr">
        <is>
          <t>23:57:12</t>
        </is>
      </c>
      <c r="D811" t="n">
        <v>1231</v>
      </c>
      <c r="E811" t="n">
        <v>111</v>
      </c>
      <c r="F811" t="n">
        <v>203</v>
      </c>
      <c r="G811" t="inlineStr">
        <is>
          <t>Bangalore</t>
        </is>
      </c>
      <c r="H811" t="inlineStr">
        <is>
          <t>South Indian</t>
        </is>
      </c>
      <c r="I811" t="n">
        <v>682</v>
      </c>
      <c r="J811" t="n">
        <v>75.31</v>
      </c>
      <c r="K811" t="n">
        <v>43</v>
      </c>
      <c r="L811" t="n">
        <v>0.15</v>
      </c>
      <c r="M811" t="n">
        <v>113.05</v>
      </c>
      <c r="N811" t="n">
        <v>6.6</v>
      </c>
      <c r="O811" t="n">
        <v>38.8</v>
      </c>
      <c r="P811" t="inlineStr">
        <is>
          <t>Debit Card</t>
        </is>
      </c>
      <c r="Q811" t="inlineStr">
        <is>
          <t>Delivered</t>
        </is>
      </c>
      <c r="R811" t="n">
        <v>5</v>
      </c>
    </row>
    <row r="812">
      <c r="A812" t="inlineStr">
        <is>
          <t>ORD1811</t>
        </is>
      </c>
      <c r="B812" t="inlineStr">
        <is>
          <t>2025-07-11</t>
        </is>
      </c>
      <c r="C812" t="inlineStr">
        <is>
          <t>13:16:35</t>
        </is>
      </c>
      <c r="D812" t="n">
        <v>1222</v>
      </c>
      <c r="E812" t="n">
        <v>109</v>
      </c>
      <c r="F812" t="n">
        <v>215</v>
      </c>
      <c r="G812" t="inlineStr">
        <is>
          <t>Hyderabad</t>
        </is>
      </c>
      <c r="H812" t="inlineStr">
        <is>
          <t>Biryani</t>
        </is>
      </c>
      <c r="I812" t="n">
        <v>306</v>
      </c>
      <c r="J812" t="n">
        <v>0</v>
      </c>
      <c r="K812" t="n">
        <v>25</v>
      </c>
      <c r="L812" t="n">
        <v>0.2</v>
      </c>
      <c r="M812" t="n">
        <v>67.45</v>
      </c>
      <c r="N812" t="n">
        <v>2.7</v>
      </c>
      <c r="O812" t="n">
        <v>23.1</v>
      </c>
      <c r="P812" t="inlineStr">
        <is>
          <t>Cash on Delivery</t>
        </is>
      </c>
      <c r="Q812" t="inlineStr">
        <is>
          <t>Delivered</t>
        </is>
      </c>
      <c r="R812" t="n">
        <v/>
      </c>
    </row>
    <row r="813">
      <c r="A813" t="inlineStr">
        <is>
          <t>ORD1812</t>
        </is>
      </c>
      <c r="B813" t="inlineStr">
        <is>
          <t>2025-08-27</t>
        </is>
      </c>
      <c r="C813" t="inlineStr">
        <is>
          <t>14:32:39</t>
        </is>
      </c>
      <c r="D813" t="n">
        <v>1113</v>
      </c>
      <c r="E813" t="n">
        <v>101</v>
      </c>
      <c r="F813" t="n">
        <v>201</v>
      </c>
      <c r="G813" t="inlineStr">
        <is>
          <t>Bangalore</t>
        </is>
      </c>
      <c r="H813" t="inlineStr">
        <is>
          <t>North Indian</t>
        </is>
      </c>
      <c r="I813" t="n">
        <v>773</v>
      </c>
      <c r="J813" t="n">
        <v>112.17</v>
      </c>
      <c r="K813" t="n">
        <v>0</v>
      </c>
      <c r="L813" t="n">
        <v>0.2</v>
      </c>
      <c r="M813" t="n">
        <v>154.6</v>
      </c>
      <c r="N813" t="n">
        <v>3.8</v>
      </c>
      <c r="O813" t="n">
        <v>34.2</v>
      </c>
      <c r="P813" t="inlineStr">
        <is>
          <t>Debit Card</t>
        </is>
      </c>
      <c r="Q813" t="inlineStr">
        <is>
          <t>Delivered</t>
        </is>
      </c>
      <c r="R813" t="n">
        <v>5</v>
      </c>
    </row>
    <row r="814">
      <c r="A814" t="inlineStr">
        <is>
          <t>ORD1813</t>
        </is>
      </c>
      <c r="B814" t="inlineStr">
        <is>
          <t>2025-07-15</t>
        </is>
      </c>
      <c r="C814" t="inlineStr">
        <is>
          <t>18:01:11</t>
        </is>
      </c>
      <c r="D814" t="n">
        <v>1104</v>
      </c>
      <c r="E814" t="n">
        <v>117</v>
      </c>
      <c r="F814" t="n">
        <v>222</v>
      </c>
      <c r="G814" t="inlineStr">
        <is>
          <t>Mumbai</t>
        </is>
      </c>
      <c r="H814" t="inlineStr">
        <is>
          <t>Chinese</t>
        </is>
      </c>
      <c r="I814" t="n">
        <v>672</v>
      </c>
      <c r="J814" t="n">
        <v>0</v>
      </c>
      <c r="K814" t="n">
        <v>26</v>
      </c>
      <c r="L814" t="n">
        <v>0.2</v>
      </c>
      <c r="M814" t="n">
        <v>140.9</v>
      </c>
      <c r="N814" t="n">
        <v>3.2</v>
      </c>
      <c r="O814" t="n">
        <v>37</v>
      </c>
      <c r="P814" t="inlineStr">
        <is>
          <t>Debit Card</t>
        </is>
      </c>
      <c r="Q814" t="inlineStr">
        <is>
          <t>Delivered</t>
        </is>
      </c>
      <c r="R814" t="n">
        <v>4</v>
      </c>
    </row>
    <row r="815">
      <c r="A815" t="inlineStr">
        <is>
          <t>ORD1814</t>
        </is>
      </c>
      <c r="B815" t="inlineStr">
        <is>
          <t>2025-09-14</t>
        </is>
      </c>
      <c r="C815" t="inlineStr">
        <is>
          <t>20:32:34</t>
        </is>
      </c>
      <c r="D815" t="n">
        <v>1159</v>
      </c>
      <c r="E815" t="n">
        <v>112</v>
      </c>
      <c r="F815" t="n">
        <v>212</v>
      </c>
      <c r="G815" t="inlineStr">
        <is>
          <t>Delhi NCR</t>
        </is>
      </c>
      <c r="H815" t="inlineStr">
        <is>
          <t>North Indian</t>
        </is>
      </c>
      <c r="I815" t="n">
        <v>879</v>
      </c>
      <c r="J815" t="n">
        <v>0</v>
      </c>
      <c r="K815" t="n">
        <v>26.5</v>
      </c>
      <c r="L815" t="n">
        <v>0.22</v>
      </c>
      <c r="M815" t="n">
        <v>200</v>
      </c>
      <c r="N815" t="n">
        <v>3.3</v>
      </c>
      <c r="O815" t="n">
        <v>27.4</v>
      </c>
      <c r="P815" t="inlineStr">
        <is>
          <t>Credit Card</t>
        </is>
      </c>
      <c r="Q815" t="inlineStr">
        <is>
          <t>Delivered</t>
        </is>
      </c>
      <c r="R815" t="n">
        <v>5</v>
      </c>
    </row>
    <row r="816">
      <c r="A816" t="inlineStr">
        <is>
          <t>ORD1815</t>
        </is>
      </c>
      <c r="B816" t="inlineStr">
        <is>
          <t>2025-02-06</t>
        </is>
      </c>
      <c r="C816" t="inlineStr">
        <is>
          <t>19:23:02</t>
        </is>
      </c>
      <c r="D816" t="n">
        <v>1135</v>
      </c>
      <c r="E816" t="n">
        <v>107</v>
      </c>
      <c r="F816" t="n">
        <v>206</v>
      </c>
      <c r="G816" t="inlineStr">
        <is>
          <t>Mumbai</t>
        </is>
      </c>
      <c r="H816" t="inlineStr">
        <is>
          <t>Desserts</t>
        </is>
      </c>
      <c r="I816" t="n">
        <v>930</v>
      </c>
      <c r="J816" t="n">
        <v>124.04</v>
      </c>
      <c r="K816" t="n">
        <v>0</v>
      </c>
      <c r="L816" t="n">
        <v>0.25</v>
      </c>
      <c r="M816" t="n">
        <v>232.5</v>
      </c>
      <c r="N816" t="n">
        <v>2.5</v>
      </c>
      <c r="O816" t="n">
        <v>29.4</v>
      </c>
      <c r="P816" t="inlineStr">
        <is>
          <t>Debit Card</t>
        </is>
      </c>
      <c r="Q816" t="inlineStr">
        <is>
          <t>Delivered</t>
        </is>
      </c>
      <c r="R816" t="n">
        <v>2</v>
      </c>
    </row>
    <row r="817">
      <c r="A817" t="inlineStr">
        <is>
          <t>ORD1816</t>
        </is>
      </c>
      <c r="B817" t="inlineStr">
        <is>
          <t>2025-12-28</t>
        </is>
      </c>
      <c r="C817" t="inlineStr">
        <is>
          <t>07:38:08</t>
        </is>
      </c>
      <c r="D817" t="n">
        <v>1199</v>
      </c>
      <c r="E817" t="n">
        <v>114</v>
      </c>
      <c r="F817" t="n">
        <v>225</v>
      </c>
      <c r="G817" t="inlineStr">
        <is>
          <t>Hyderabad</t>
        </is>
      </c>
      <c r="H817" t="inlineStr">
        <is>
          <t>Biryani</t>
        </is>
      </c>
      <c r="I817" t="n">
        <v>1109</v>
      </c>
      <c r="J817" t="n">
        <v>139.86</v>
      </c>
      <c r="K817" t="n">
        <v>0</v>
      </c>
      <c r="L817" t="n">
        <v>0.22</v>
      </c>
      <c r="M817" t="n">
        <v>243.98</v>
      </c>
      <c r="N817" t="n">
        <v>2.5</v>
      </c>
      <c r="O817" t="n">
        <v>29.4</v>
      </c>
      <c r="P817" t="inlineStr">
        <is>
          <t>Debit Card</t>
        </is>
      </c>
      <c r="Q817" t="inlineStr">
        <is>
          <t>Delivered</t>
        </is>
      </c>
      <c r="R817" t="n">
        <v>5</v>
      </c>
    </row>
    <row r="818">
      <c r="A818" t="inlineStr">
        <is>
          <t>ORD1817</t>
        </is>
      </c>
      <c r="B818" t="inlineStr">
        <is>
          <t>2025-10-24</t>
        </is>
      </c>
      <c r="C818" t="inlineStr">
        <is>
          <t>21:48:41</t>
        </is>
      </c>
      <c r="D818" t="n">
        <v>1060</v>
      </c>
      <c r="E818" t="n">
        <v>112</v>
      </c>
      <c r="F818" t="n">
        <v>211</v>
      </c>
      <c r="G818" t="inlineStr">
        <is>
          <t>Delhi NCR</t>
        </is>
      </c>
      <c r="H818" t="inlineStr">
        <is>
          <t>North Indian</t>
        </is>
      </c>
      <c r="I818" t="n">
        <v>232</v>
      </c>
      <c r="J818" t="n">
        <v>0</v>
      </c>
      <c r="K818" t="n">
        <v>32</v>
      </c>
      <c r="L818" t="n">
        <v>0.22</v>
      </c>
      <c r="M818" t="n">
        <v>59.04</v>
      </c>
      <c r="N818" t="n">
        <v>4.4</v>
      </c>
      <c r="O818" t="n">
        <v>34.7</v>
      </c>
      <c r="P818" t="inlineStr">
        <is>
          <t>Credit Card</t>
        </is>
      </c>
      <c r="Q818" t="inlineStr">
        <is>
          <t>Delivered</t>
        </is>
      </c>
      <c r="R818" t="n">
        <v>4</v>
      </c>
    </row>
    <row r="819">
      <c r="A819" t="inlineStr">
        <is>
          <t>ORD1818</t>
        </is>
      </c>
      <c r="B819" t="inlineStr">
        <is>
          <t>2025-04-18</t>
        </is>
      </c>
      <c r="C819" t="inlineStr">
        <is>
          <t>22:30:14</t>
        </is>
      </c>
      <c r="D819" t="n">
        <v>1169</v>
      </c>
      <c r="E819" t="n">
        <v>103</v>
      </c>
      <c r="F819" t="n">
        <v>202</v>
      </c>
      <c r="G819" t="inlineStr">
        <is>
          <t>Mumbai</t>
        </is>
      </c>
      <c r="H819" t="inlineStr">
        <is>
          <t>Italian</t>
        </is>
      </c>
      <c r="I819" t="n">
        <v>748</v>
      </c>
      <c r="J819" t="n">
        <v>33.07</v>
      </c>
      <c r="K819" t="n">
        <v>27</v>
      </c>
      <c r="L819" t="n">
        <v>0.18</v>
      </c>
      <c r="M819" t="n">
        <v>141.39</v>
      </c>
      <c r="N819" t="n">
        <v>3.4</v>
      </c>
      <c r="O819" t="n">
        <v>38.4</v>
      </c>
      <c r="P819" t="inlineStr">
        <is>
          <t>Cash on Delivery</t>
        </is>
      </c>
      <c r="Q819" t="inlineStr">
        <is>
          <t>Delivered</t>
        </is>
      </c>
      <c r="R819" t="n">
        <v>4</v>
      </c>
    </row>
    <row r="820">
      <c r="A820" t="inlineStr">
        <is>
          <t>ORD1819</t>
        </is>
      </c>
      <c r="B820" t="inlineStr">
        <is>
          <t>2025-04-07</t>
        </is>
      </c>
      <c r="C820" t="inlineStr">
        <is>
          <t>21:27:49</t>
        </is>
      </c>
      <c r="D820" t="n">
        <v>1121</v>
      </c>
      <c r="E820" t="n">
        <v>101</v>
      </c>
      <c r="F820" t="n">
        <v>205</v>
      </c>
      <c r="G820" t="inlineStr">
        <is>
          <t>Bangalore</t>
        </is>
      </c>
      <c r="H820" t="inlineStr">
        <is>
          <t>North Indian</t>
        </is>
      </c>
      <c r="I820" t="n">
        <v>934</v>
      </c>
      <c r="J820" t="n">
        <v>74.01000000000001</v>
      </c>
      <c r="K820" t="n">
        <v>32.5</v>
      </c>
      <c r="L820" t="n">
        <v>0.2</v>
      </c>
      <c r="M820" t="n">
        <v>194.92</v>
      </c>
      <c r="N820" t="n">
        <v>4.5</v>
      </c>
      <c r="O820" t="n">
        <v>34.4</v>
      </c>
      <c r="P820" t="inlineStr">
        <is>
          <t>Digital Wallet</t>
        </is>
      </c>
      <c r="Q820" t="inlineStr">
        <is>
          <t>Delivered</t>
        </is>
      </c>
      <c r="R820" t="n">
        <v>1</v>
      </c>
    </row>
    <row r="821">
      <c r="A821" t="inlineStr">
        <is>
          <t>ORD1820</t>
        </is>
      </c>
      <c r="B821" t="inlineStr">
        <is>
          <t>2025-03-13</t>
        </is>
      </c>
      <c r="C821" t="inlineStr">
        <is>
          <t>08:36:55</t>
        </is>
      </c>
      <c r="D821" t="n">
        <v>1217</v>
      </c>
      <c r="E821" t="n">
        <v>119</v>
      </c>
      <c r="F821" t="n">
        <v>225</v>
      </c>
      <c r="G821" t="inlineStr">
        <is>
          <t>Hyderabad</t>
        </is>
      </c>
      <c r="H821" t="inlineStr">
        <is>
          <t>Biryani</t>
        </is>
      </c>
      <c r="I821" t="n">
        <v>351</v>
      </c>
      <c r="J821" t="n">
        <v>0</v>
      </c>
      <c r="K821" t="n">
        <v>50.5</v>
      </c>
      <c r="L821" t="n">
        <v>0.2</v>
      </c>
      <c r="M821" t="n">
        <v>82.81999999999999</v>
      </c>
      <c r="N821" t="n">
        <v>8.1</v>
      </c>
      <c r="O821" t="n">
        <v>47.1</v>
      </c>
      <c r="P821" t="inlineStr">
        <is>
          <t>Cash on Delivery</t>
        </is>
      </c>
      <c r="Q821" t="inlineStr">
        <is>
          <t>Delivered</t>
        </is>
      </c>
      <c r="R821" t="n">
        <v>1</v>
      </c>
    </row>
    <row r="822">
      <c r="A822" t="inlineStr">
        <is>
          <t>ORD1821</t>
        </is>
      </c>
      <c r="B822" t="inlineStr">
        <is>
          <t>2025-08-03</t>
        </is>
      </c>
      <c r="C822" t="inlineStr">
        <is>
          <t>13:27:43</t>
        </is>
      </c>
      <c r="D822" t="n">
        <v>1206</v>
      </c>
      <c r="E822" t="n">
        <v>107</v>
      </c>
      <c r="F822" t="n">
        <v>229</v>
      </c>
      <c r="G822" t="inlineStr">
        <is>
          <t>Mumbai</t>
        </is>
      </c>
      <c r="H822" t="inlineStr">
        <is>
          <t>Desserts</t>
        </is>
      </c>
      <c r="I822" t="n">
        <v>633</v>
      </c>
      <c r="J822" t="n">
        <v>34.97</v>
      </c>
      <c r="K822" t="n">
        <v>28</v>
      </c>
      <c r="L822" t="n">
        <v>0.25</v>
      </c>
      <c r="M822" t="n">
        <v>165.25</v>
      </c>
      <c r="N822" t="n">
        <v>3.6</v>
      </c>
      <c r="O822" t="n">
        <v>31.8</v>
      </c>
      <c r="P822" t="inlineStr">
        <is>
          <t>Digital Wallet</t>
        </is>
      </c>
      <c r="Q822" t="inlineStr">
        <is>
          <t>Delivered</t>
        </is>
      </c>
      <c r="R822" t="n">
        <v>4</v>
      </c>
    </row>
    <row r="823">
      <c r="A823" t="inlineStr">
        <is>
          <t>ORD1822</t>
        </is>
      </c>
      <c r="B823" t="inlineStr">
        <is>
          <t>2025-03-13</t>
        </is>
      </c>
      <c r="C823" t="inlineStr">
        <is>
          <t>21:09:21</t>
        </is>
      </c>
      <c r="D823" t="n">
        <v>1206</v>
      </c>
      <c r="E823" t="n">
        <v>107</v>
      </c>
      <c r="F823" t="n">
        <v>229</v>
      </c>
      <c r="G823" t="inlineStr">
        <is>
          <t>Mumbai</t>
        </is>
      </c>
      <c r="H823" t="inlineStr">
        <is>
          <t>Desserts</t>
        </is>
      </c>
      <c r="I823" t="n">
        <v>801</v>
      </c>
      <c r="J823" t="n">
        <v>38.64</v>
      </c>
      <c r="K823" t="n">
        <v>37</v>
      </c>
      <c r="L823" t="n">
        <v>0.25</v>
      </c>
      <c r="M823" t="n">
        <v>209.5</v>
      </c>
      <c r="N823" t="n">
        <v>5.4</v>
      </c>
      <c r="O823" t="n">
        <v>45</v>
      </c>
      <c r="P823" t="inlineStr">
        <is>
          <t>Cash on Delivery</t>
        </is>
      </c>
      <c r="Q823" t="inlineStr">
        <is>
          <t>Delivered</t>
        </is>
      </c>
      <c r="R823" t="n">
        <v>1</v>
      </c>
    </row>
    <row r="824">
      <c r="A824" t="inlineStr">
        <is>
          <t>ORD1823</t>
        </is>
      </c>
      <c r="B824" t="inlineStr">
        <is>
          <t>2025-02-02</t>
        </is>
      </c>
      <c r="C824" t="inlineStr">
        <is>
          <t>20:34:24</t>
        </is>
      </c>
      <c r="D824" t="n">
        <v>1176</v>
      </c>
      <c r="E824" t="n">
        <v>119</v>
      </c>
      <c r="F824" t="n">
        <v>215</v>
      </c>
      <c r="G824" t="inlineStr">
        <is>
          <t>Hyderabad</t>
        </is>
      </c>
      <c r="H824" t="inlineStr">
        <is>
          <t>Biryani</t>
        </is>
      </c>
      <c r="I824" t="n">
        <v>412</v>
      </c>
      <c r="J824" t="n">
        <v>0</v>
      </c>
      <c r="K824" t="n">
        <v>42</v>
      </c>
      <c r="L824" t="n">
        <v>0.2</v>
      </c>
      <c r="M824" t="n">
        <v>92.90000000000001</v>
      </c>
      <c r="N824" t="n">
        <v>6.4</v>
      </c>
      <c r="O824" t="n">
        <v>41.3</v>
      </c>
      <c r="P824" t="inlineStr">
        <is>
          <t>Cash on Delivery</t>
        </is>
      </c>
      <c r="Q824" t="inlineStr">
        <is>
          <t>Delivered</t>
        </is>
      </c>
      <c r="R824" t="n">
        <v>3</v>
      </c>
    </row>
    <row r="825">
      <c r="A825" t="inlineStr">
        <is>
          <t>ORD1824</t>
        </is>
      </c>
      <c r="B825" t="inlineStr">
        <is>
          <t>2025-02-23</t>
        </is>
      </c>
      <c r="C825" t="inlineStr">
        <is>
          <t>20:43:35</t>
        </is>
      </c>
      <c r="D825" t="n">
        <v>1188</v>
      </c>
      <c r="E825" t="n">
        <v>102</v>
      </c>
      <c r="F825" t="n">
        <v>215</v>
      </c>
      <c r="G825" t="inlineStr">
        <is>
          <t>Hyderabad</t>
        </is>
      </c>
      <c r="H825" t="inlineStr">
        <is>
          <t>Biryani</t>
        </is>
      </c>
      <c r="I825" t="n">
        <v>401</v>
      </c>
      <c r="J825" t="n">
        <v>0</v>
      </c>
      <c r="K825" t="n">
        <v>25</v>
      </c>
      <c r="L825" t="n">
        <v>0.22</v>
      </c>
      <c r="M825" t="n">
        <v>94.47</v>
      </c>
      <c r="N825" t="n">
        <v>3</v>
      </c>
      <c r="O825" t="n">
        <v>31.8</v>
      </c>
      <c r="P825" t="inlineStr">
        <is>
          <t>Cash on Delivery</t>
        </is>
      </c>
      <c r="Q825" t="inlineStr">
        <is>
          <t>Delivered</t>
        </is>
      </c>
      <c r="R825" t="n">
        <v>5</v>
      </c>
    </row>
    <row r="826">
      <c r="A826" t="inlineStr">
        <is>
          <t>ORD1825</t>
        </is>
      </c>
      <c r="B826" t="inlineStr">
        <is>
          <t>2025-04-12</t>
        </is>
      </c>
      <c r="C826" t="inlineStr">
        <is>
          <t>12:04:58</t>
        </is>
      </c>
      <c r="D826" t="n">
        <v>1121</v>
      </c>
      <c r="E826" t="n">
        <v>105</v>
      </c>
      <c r="F826" t="n">
        <v>227</v>
      </c>
      <c r="G826" t="inlineStr">
        <is>
          <t>Bangalore</t>
        </is>
      </c>
      <c r="H826" t="inlineStr">
        <is>
          <t>Chinese</t>
        </is>
      </c>
      <c r="I826" t="n">
        <v>615</v>
      </c>
      <c r="J826" t="n">
        <v>42.97</v>
      </c>
      <c r="K826" t="n">
        <v>25</v>
      </c>
      <c r="L826" t="n">
        <v>0.2</v>
      </c>
      <c r="M826" t="n">
        <v>129.25</v>
      </c>
      <c r="N826" t="n">
        <v>3</v>
      </c>
      <c r="O826" t="n">
        <v>28.3</v>
      </c>
      <c r="P826" t="inlineStr">
        <is>
          <t>Digital Wallet</t>
        </is>
      </c>
      <c r="Q826" t="inlineStr">
        <is>
          <t>Delivered</t>
        </is>
      </c>
      <c r="R826" t="n">
        <v>4</v>
      </c>
    </row>
    <row r="827">
      <c r="A827" t="inlineStr">
        <is>
          <t>ORD1826</t>
        </is>
      </c>
      <c r="B827" t="inlineStr">
        <is>
          <t>2025-01-30</t>
        </is>
      </c>
      <c r="C827" t="inlineStr">
        <is>
          <t>21:23:33</t>
        </is>
      </c>
      <c r="D827" t="n">
        <v>1181</v>
      </c>
      <c r="E827" t="n">
        <v>115</v>
      </c>
      <c r="F827" t="n">
        <v>205</v>
      </c>
      <c r="G827" t="inlineStr">
        <is>
          <t>Bangalore</t>
        </is>
      </c>
      <c r="H827" t="inlineStr">
        <is>
          <t>Italian</t>
        </is>
      </c>
      <c r="I827" t="n">
        <v>231</v>
      </c>
      <c r="J827" t="n">
        <v>0</v>
      </c>
      <c r="K827" t="n">
        <v>35</v>
      </c>
      <c r="L827" t="n">
        <v>0.2</v>
      </c>
      <c r="M827" t="n">
        <v>54.95</v>
      </c>
      <c r="N827" t="n">
        <v>5</v>
      </c>
      <c r="O827" t="n">
        <v/>
      </c>
      <c r="P827" t="inlineStr">
        <is>
          <t>Cash on Delivery</t>
        </is>
      </c>
      <c r="Q827" t="inlineStr">
        <is>
          <t>Cancelled</t>
        </is>
      </c>
      <c r="R827" t="n">
        <v/>
      </c>
    </row>
    <row r="828">
      <c r="A828" t="inlineStr">
        <is>
          <t>ORD1827</t>
        </is>
      </c>
      <c r="B828" t="inlineStr">
        <is>
          <t>2025-03-08</t>
        </is>
      </c>
      <c r="C828" t="inlineStr">
        <is>
          <t>08:34:26</t>
        </is>
      </c>
      <c r="D828" t="n">
        <v>1209</v>
      </c>
      <c r="E828" t="n">
        <v>106</v>
      </c>
      <c r="F828" t="n">
        <v>226</v>
      </c>
      <c r="G828" t="inlineStr">
        <is>
          <t>Pune</t>
        </is>
      </c>
      <c r="H828" t="inlineStr">
        <is>
          <t>South Indian</t>
        </is>
      </c>
      <c r="I828" t="n">
        <v>709</v>
      </c>
      <c r="J828" t="n">
        <v>22.06</v>
      </c>
      <c r="K828" t="n">
        <v>25</v>
      </c>
      <c r="L828" t="n">
        <v>0.15</v>
      </c>
      <c r="M828" t="n">
        <v>112.6</v>
      </c>
      <c r="N828" t="n">
        <v>2.8</v>
      </c>
      <c r="O828" t="n">
        <v>33.2</v>
      </c>
      <c r="P828" t="inlineStr">
        <is>
          <t>Credit Card</t>
        </is>
      </c>
      <c r="Q828" t="inlineStr">
        <is>
          <t>Delivered</t>
        </is>
      </c>
      <c r="R828" t="n">
        <v>5</v>
      </c>
    </row>
    <row r="829">
      <c r="A829" t="inlineStr">
        <is>
          <t>ORD1828</t>
        </is>
      </c>
      <c r="B829" t="inlineStr">
        <is>
          <t>2025-06-08</t>
        </is>
      </c>
      <c r="C829" t="inlineStr">
        <is>
          <t>09:27:52</t>
        </is>
      </c>
      <c r="D829" t="n">
        <v>1059</v>
      </c>
      <c r="E829" t="n">
        <v>102</v>
      </c>
      <c r="F829" t="n">
        <v>216</v>
      </c>
      <c r="G829" t="inlineStr">
        <is>
          <t>Hyderabad</t>
        </is>
      </c>
      <c r="H829" t="inlineStr">
        <is>
          <t>Biryani</t>
        </is>
      </c>
      <c r="I829" t="n">
        <v>946</v>
      </c>
      <c r="J829" t="n">
        <v>12.02</v>
      </c>
      <c r="K829" t="n">
        <v>32</v>
      </c>
      <c r="L829" t="n">
        <v>0.22</v>
      </c>
      <c r="M829" t="n">
        <v>216.12</v>
      </c>
      <c r="N829" t="n">
        <v>4.4</v>
      </c>
      <c r="O829" t="n">
        <v>30.6</v>
      </c>
      <c r="P829" t="inlineStr">
        <is>
          <t>Debit Card</t>
        </is>
      </c>
      <c r="Q829" t="inlineStr">
        <is>
          <t>Delivered</t>
        </is>
      </c>
      <c r="R829" t="n">
        <v>5</v>
      </c>
    </row>
    <row r="830">
      <c r="A830" t="inlineStr">
        <is>
          <t>ORD1829</t>
        </is>
      </c>
      <c r="B830" t="inlineStr">
        <is>
          <t>2025-04-14</t>
        </is>
      </c>
      <c r="C830" t="inlineStr">
        <is>
          <t>21:00:09</t>
        </is>
      </c>
      <c r="D830" t="n">
        <v>1057</v>
      </c>
      <c r="E830" t="n">
        <v>117</v>
      </c>
      <c r="F830" t="n">
        <v>206</v>
      </c>
      <c r="G830" t="inlineStr">
        <is>
          <t>Mumbai</t>
        </is>
      </c>
      <c r="H830" t="inlineStr">
        <is>
          <t>Chinese</t>
        </is>
      </c>
      <c r="I830" t="n">
        <v>676</v>
      </c>
      <c r="J830" t="n">
        <v>0</v>
      </c>
      <c r="K830" t="n">
        <v>26</v>
      </c>
      <c r="L830" t="n">
        <v>0.2</v>
      </c>
      <c r="M830" t="n">
        <v>141.7</v>
      </c>
      <c r="N830" t="n">
        <v>3.2</v>
      </c>
      <c r="O830" t="n">
        <v>36.3</v>
      </c>
      <c r="P830" t="inlineStr">
        <is>
          <t>Credit Card</t>
        </is>
      </c>
      <c r="Q830" t="inlineStr">
        <is>
          <t>Delivered</t>
        </is>
      </c>
      <c r="R830" t="n">
        <v>5</v>
      </c>
    </row>
    <row r="831">
      <c r="A831" t="inlineStr">
        <is>
          <t>ORD1830</t>
        </is>
      </c>
      <c r="B831" t="inlineStr">
        <is>
          <t>2025-08-25</t>
        </is>
      </c>
      <c r="C831" t="inlineStr">
        <is>
          <t>21:36:02</t>
        </is>
      </c>
      <c r="D831" t="n">
        <v>1279</v>
      </c>
      <c r="E831" t="n">
        <v>118</v>
      </c>
      <c r="F831" t="n">
        <v>221</v>
      </c>
      <c r="G831" t="inlineStr">
        <is>
          <t>Delhi NCR</t>
        </is>
      </c>
      <c r="H831" t="inlineStr">
        <is>
          <t>North Indian</t>
        </is>
      </c>
      <c r="I831" t="n">
        <v>313</v>
      </c>
      <c r="J831" t="n">
        <v>21.96</v>
      </c>
      <c r="K831" t="n">
        <v>25</v>
      </c>
      <c r="L831" t="n">
        <v>0.2</v>
      </c>
      <c r="M831" t="n">
        <v>68.84999999999999</v>
      </c>
      <c r="N831" t="n">
        <v>1.2</v>
      </c>
      <c r="O831" t="n">
        <v>25.5</v>
      </c>
      <c r="P831" t="inlineStr">
        <is>
          <t>Cash on Delivery</t>
        </is>
      </c>
      <c r="Q831" t="inlineStr">
        <is>
          <t>Delivered</t>
        </is>
      </c>
      <c r="R831" t="n">
        <v>4</v>
      </c>
    </row>
    <row r="832">
      <c r="A832" t="inlineStr">
        <is>
          <t>ORD1831</t>
        </is>
      </c>
      <c r="B832" t="inlineStr">
        <is>
          <t>2025-11-10</t>
        </is>
      </c>
      <c r="C832" t="inlineStr">
        <is>
          <t>19:52:51</t>
        </is>
      </c>
      <c r="D832" t="n">
        <v>1210</v>
      </c>
      <c r="E832" t="n">
        <v>104</v>
      </c>
      <c r="F832" t="n">
        <v>221</v>
      </c>
      <c r="G832" t="inlineStr">
        <is>
          <t>Delhi NCR</t>
        </is>
      </c>
      <c r="H832" t="inlineStr">
        <is>
          <t>Fast Food</t>
        </is>
      </c>
      <c r="I832" t="n">
        <v>399</v>
      </c>
      <c r="J832" t="n">
        <v>0</v>
      </c>
      <c r="K832" t="n">
        <v>28.5</v>
      </c>
      <c r="L832" t="n">
        <v>0.18</v>
      </c>
      <c r="M832" t="n">
        <v>78.94</v>
      </c>
      <c r="N832" t="n">
        <v>3.7</v>
      </c>
      <c r="O832" t="n">
        <v>28</v>
      </c>
      <c r="P832" t="inlineStr">
        <is>
          <t>Digital Wallet</t>
        </is>
      </c>
      <c r="Q832" t="inlineStr">
        <is>
          <t>Delivered</t>
        </is>
      </c>
      <c r="R832" t="n">
        <v>4</v>
      </c>
    </row>
    <row r="833">
      <c r="A833" t="inlineStr">
        <is>
          <t>ORD1832</t>
        </is>
      </c>
      <c r="B833" t="inlineStr">
        <is>
          <t>2025-12-04</t>
        </is>
      </c>
      <c r="C833" t="inlineStr">
        <is>
          <t>20:11:44</t>
        </is>
      </c>
      <c r="D833" t="n">
        <v>1218</v>
      </c>
      <c r="E833" t="n">
        <v>118</v>
      </c>
      <c r="F833" t="n">
        <v>211</v>
      </c>
      <c r="G833" t="inlineStr">
        <is>
          <t>Delhi NCR</t>
        </is>
      </c>
      <c r="H833" t="inlineStr">
        <is>
          <t>North Indian</t>
        </is>
      </c>
      <c r="I833" t="n">
        <v>802</v>
      </c>
      <c r="J833" t="n">
        <v>45.46</v>
      </c>
      <c r="K833" t="n">
        <v>25</v>
      </c>
      <c r="L833" t="n">
        <v>0.2</v>
      </c>
      <c r="M833" t="n">
        <v>166.65</v>
      </c>
      <c r="N833" t="n">
        <v>1.8</v>
      </c>
      <c r="O833" t="n">
        <v>26.7</v>
      </c>
      <c r="P833" t="inlineStr">
        <is>
          <t>UPI</t>
        </is>
      </c>
      <c r="Q833" t="inlineStr">
        <is>
          <t>Delivered</t>
        </is>
      </c>
      <c r="R833" t="n">
        <v>5</v>
      </c>
    </row>
    <row r="834">
      <c r="A834" t="inlineStr">
        <is>
          <t>ORD1833</t>
        </is>
      </c>
      <c r="B834" t="inlineStr">
        <is>
          <t>2025-05-21</t>
        </is>
      </c>
      <c r="C834" t="inlineStr">
        <is>
          <t>21:56:40</t>
        </is>
      </c>
      <c r="D834" t="n">
        <v>1058</v>
      </c>
      <c r="E834" t="n">
        <v>103</v>
      </c>
      <c r="F834" t="n">
        <v>206</v>
      </c>
      <c r="G834" t="inlineStr">
        <is>
          <t>Mumbai</t>
        </is>
      </c>
      <c r="H834" t="inlineStr">
        <is>
          <t>Italian</t>
        </is>
      </c>
      <c r="I834" t="n">
        <v>770</v>
      </c>
      <c r="J834" t="n">
        <v>0</v>
      </c>
      <c r="K834" t="n">
        <v>25</v>
      </c>
      <c r="L834" t="n">
        <v>0.18</v>
      </c>
      <c r="M834" t="n">
        <v>144.85</v>
      </c>
      <c r="N834" t="n">
        <v>2.9</v>
      </c>
      <c r="O834" t="n">
        <v>39.9</v>
      </c>
      <c r="P834" t="inlineStr">
        <is>
          <t>Credit Card</t>
        </is>
      </c>
      <c r="Q834" t="inlineStr">
        <is>
          <t>Delivered</t>
        </is>
      </c>
      <c r="R834" t="n">
        <v>3</v>
      </c>
    </row>
    <row r="835">
      <c r="A835" t="inlineStr">
        <is>
          <t>ORD1834</t>
        </is>
      </c>
      <c r="B835" t="inlineStr">
        <is>
          <t>2025-07-08</t>
        </is>
      </c>
      <c r="C835" t="inlineStr">
        <is>
          <t>12:04:48</t>
        </is>
      </c>
      <c r="D835" t="n">
        <v>1274</v>
      </c>
      <c r="E835" t="n">
        <v>107</v>
      </c>
      <c r="F835" t="n">
        <v>229</v>
      </c>
      <c r="G835" t="inlineStr">
        <is>
          <t>Mumbai</t>
        </is>
      </c>
      <c r="H835" t="inlineStr">
        <is>
          <t>Desserts</t>
        </is>
      </c>
      <c r="I835" t="n">
        <v>556</v>
      </c>
      <c r="J835" t="n">
        <v>98.22</v>
      </c>
      <c r="K835" t="n">
        <v>0</v>
      </c>
      <c r="L835" t="n">
        <v>0.25</v>
      </c>
      <c r="M835" t="n">
        <v>139</v>
      </c>
      <c r="N835" t="n">
        <v>1.5</v>
      </c>
      <c r="O835" t="n">
        <v>21.6</v>
      </c>
      <c r="P835" t="inlineStr">
        <is>
          <t>Cash on Delivery</t>
        </is>
      </c>
      <c r="Q835" t="inlineStr">
        <is>
          <t>Delivered</t>
        </is>
      </c>
      <c r="R835" t="n">
        <v>1</v>
      </c>
    </row>
    <row r="836">
      <c r="A836" t="inlineStr">
        <is>
          <t>ORD1835</t>
        </is>
      </c>
      <c r="B836" t="inlineStr">
        <is>
          <t>2025-04-17</t>
        </is>
      </c>
      <c r="C836" t="inlineStr">
        <is>
          <t>11:32:02</t>
        </is>
      </c>
      <c r="D836" t="n">
        <v>1101</v>
      </c>
      <c r="E836" t="n">
        <v>115</v>
      </c>
      <c r="F836" t="n">
        <v>205</v>
      </c>
      <c r="G836" t="inlineStr">
        <is>
          <t>Bangalore</t>
        </is>
      </c>
      <c r="H836" t="inlineStr">
        <is>
          <t>Italian</t>
        </is>
      </c>
      <c r="I836" t="n">
        <v>693</v>
      </c>
      <c r="J836" t="n">
        <v>0</v>
      </c>
      <c r="K836" t="n">
        <v>28</v>
      </c>
      <c r="L836" t="n">
        <v>0.2</v>
      </c>
      <c r="M836" t="n">
        <v>145.6</v>
      </c>
      <c r="N836" t="n">
        <v>3.6</v>
      </c>
      <c r="O836" t="n">
        <v>30.6</v>
      </c>
      <c r="P836" t="inlineStr">
        <is>
          <t>Cash on Delivery</t>
        </is>
      </c>
      <c r="Q836" t="inlineStr">
        <is>
          <t>Delivered</t>
        </is>
      </c>
      <c r="R836" t="n">
        <v>4</v>
      </c>
    </row>
    <row r="837">
      <c r="A837" t="inlineStr">
        <is>
          <t>ORD1836</t>
        </is>
      </c>
      <c r="B837" t="inlineStr">
        <is>
          <t>2025-04-10</t>
        </is>
      </c>
      <c r="C837" t="inlineStr">
        <is>
          <t>22:25:02</t>
        </is>
      </c>
      <c r="D837" t="n">
        <v>1157</v>
      </c>
      <c r="E837" t="n">
        <v>119</v>
      </c>
      <c r="F837" t="n">
        <v>215</v>
      </c>
      <c r="G837" t="inlineStr">
        <is>
          <t>Hyderabad</t>
        </is>
      </c>
      <c r="H837" t="inlineStr">
        <is>
          <t>Biryani</t>
        </is>
      </c>
      <c r="I837" t="n">
        <v>230</v>
      </c>
      <c r="J837" t="n">
        <v>15.53</v>
      </c>
      <c r="K837" t="n">
        <v>36.5</v>
      </c>
      <c r="L837" t="n">
        <v>0.2</v>
      </c>
      <c r="M837" t="n">
        <v>55.12</v>
      </c>
      <c r="N837" t="n">
        <v>5.3</v>
      </c>
      <c r="O837" t="n">
        <v>38.1</v>
      </c>
      <c r="P837" t="inlineStr">
        <is>
          <t>Credit Card</t>
        </is>
      </c>
      <c r="Q837" t="inlineStr">
        <is>
          <t>Delivered</t>
        </is>
      </c>
      <c r="R837" t="n">
        <v>1</v>
      </c>
    </row>
    <row r="838">
      <c r="A838" t="inlineStr">
        <is>
          <t>ORD1837</t>
        </is>
      </c>
      <c r="B838" t="inlineStr">
        <is>
          <t>2025-08-25</t>
        </is>
      </c>
      <c r="C838" t="inlineStr">
        <is>
          <t>21:04:05</t>
        </is>
      </c>
      <c r="D838" t="n">
        <v>1255</v>
      </c>
      <c r="E838" t="n">
        <v>116</v>
      </c>
      <c r="F838" t="n">
        <v>208</v>
      </c>
      <c r="G838" t="inlineStr">
        <is>
          <t>Pune</t>
        </is>
      </c>
      <c r="H838" t="inlineStr">
        <is>
          <t>Desserts</t>
        </is>
      </c>
      <c r="I838" t="n">
        <v>781</v>
      </c>
      <c r="J838" t="n">
        <v>44.58</v>
      </c>
      <c r="K838" t="n">
        <v>25</v>
      </c>
      <c r="L838" t="n">
        <v>0.25</v>
      </c>
      <c r="M838" t="n">
        <v>201.5</v>
      </c>
      <c r="N838" t="n">
        <v>2.6</v>
      </c>
      <c r="O838" t="n">
        <v>30.7</v>
      </c>
      <c r="P838" t="inlineStr">
        <is>
          <t>Cash on Delivery</t>
        </is>
      </c>
      <c r="Q838" t="inlineStr">
        <is>
          <t>Delivered</t>
        </is>
      </c>
      <c r="R838" t="n">
        <v>2</v>
      </c>
    </row>
    <row r="839">
      <c r="A839" t="inlineStr">
        <is>
          <t>ORD1838</t>
        </is>
      </c>
      <c r="B839" t="inlineStr">
        <is>
          <t>2025-01-10</t>
        </is>
      </c>
      <c r="C839" t="inlineStr">
        <is>
          <t>08:38:06</t>
        </is>
      </c>
      <c r="D839" t="n">
        <v>1191</v>
      </c>
      <c r="E839" t="n">
        <v>118</v>
      </c>
      <c r="F839" t="n">
        <v>230</v>
      </c>
      <c r="G839" t="inlineStr">
        <is>
          <t>Delhi NCR</t>
        </is>
      </c>
      <c r="H839" t="inlineStr">
        <is>
          <t>North Indian</t>
        </is>
      </c>
      <c r="I839" t="n">
        <v>401</v>
      </c>
      <c r="J839" t="n">
        <v>0</v>
      </c>
      <c r="K839" t="n">
        <v>37</v>
      </c>
      <c r="L839" t="n">
        <v>0.2</v>
      </c>
      <c r="M839" t="n">
        <v>89.45</v>
      </c>
      <c r="N839" t="n">
        <v>5.4</v>
      </c>
      <c r="O839" t="n">
        <v>60</v>
      </c>
      <c r="P839" t="inlineStr">
        <is>
          <t>Cash on Delivery</t>
        </is>
      </c>
      <c r="Q839" t="inlineStr">
        <is>
          <t>Delivered</t>
        </is>
      </c>
      <c r="R839" t="n">
        <v>3</v>
      </c>
    </row>
    <row r="840">
      <c r="A840" t="inlineStr">
        <is>
          <t>ORD1839</t>
        </is>
      </c>
      <c r="B840" t="inlineStr">
        <is>
          <t>2025-12-10</t>
        </is>
      </c>
      <c r="C840" t="inlineStr">
        <is>
          <t>22:48:00</t>
        </is>
      </c>
      <c r="D840" t="n">
        <v>1131</v>
      </c>
      <c r="E840" t="n">
        <v>104</v>
      </c>
      <c r="F840" t="n">
        <v>221</v>
      </c>
      <c r="G840" t="inlineStr">
        <is>
          <t>Delhi NCR</t>
        </is>
      </c>
      <c r="H840" t="inlineStr">
        <is>
          <t>Fast Food</t>
        </is>
      </c>
      <c r="I840" t="n">
        <v>913</v>
      </c>
      <c r="J840" t="n">
        <v>0</v>
      </c>
      <c r="K840" t="n">
        <v>25</v>
      </c>
      <c r="L840" t="n">
        <v>0.18</v>
      </c>
      <c r="M840" t="n">
        <v>170.59</v>
      </c>
      <c r="N840" t="n">
        <v>2</v>
      </c>
      <c r="O840" t="n">
        <v/>
      </c>
      <c r="P840" t="inlineStr">
        <is>
          <t>Credit Card</t>
        </is>
      </c>
      <c r="Q840" t="inlineStr">
        <is>
          <t>Cancelled</t>
        </is>
      </c>
      <c r="R840" t="n">
        <v/>
      </c>
    </row>
    <row r="841">
      <c r="A841" t="inlineStr">
        <is>
          <t>ORD1840</t>
        </is>
      </c>
      <c r="B841" t="inlineStr">
        <is>
          <t>2025-12-12</t>
        </is>
      </c>
      <c r="C841" t="inlineStr">
        <is>
          <t>14:34:13</t>
        </is>
      </c>
      <c r="D841" t="n">
        <v>1283</v>
      </c>
      <c r="E841" t="n">
        <v>106</v>
      </c>
      <c r="F841" t="n">
        <v>214</v>
      </c>
      <c r="G841" t="inlineStr">
        <is>
          <t>Pune</t>
        </is>
      </c>
      <c r="H841" t="inlineStr">
        <is>
          <t>South Indian</t>
        </is>
      </c>
      <c r="I841" t="n">
        <v>672</v>
      </c>
      <c r="J841" t="n">
        <v>44.97</v>
      </c>
      <c r="K841" t="n">
        <v>27</v>
      </c>
      <c r="L841" t="n">
        <v>0.15</v>
      </c>
      <c r="M841" t="n">
        <v>107.55</v>
      </c>
      <c r="N841" t="n">
        <v>3.4</v>
      </c>
      <c r="O841" t="n">
        <v>34.4</v>
      </c>
      <c r="P841" t="inlineStr">
        <is>
          <t>UPI</t>
        </is>
      </c>
      <c r="Q841" t="inlineStr">
        <is>
          <t>Delivered</t>
        </is>
      </c>
      <c r="R841" t="n">
        <v>5</v>
      </c>
    </row>
    <row r="842">
      <c r="A842" t="inlineStr">
        <is>
          <t>ORD1841</t>
        </is>
      </c>
      <c r="B842" t="inlineStr">
        <is>
          <t>2025-01-27</t>
        </is>
      </c>
      <c r="C842" t="inlineStr">
        <is>
          <t>20:38:00</t>
        </is>
      </c>
      <c r="D842" t="n">
        <v>1055</v>
      </c>
      <c r="E842" t="n">
        <v>111</v>
      </c>
      <c r="F842" t="n">
        <v>220</v>
      </c>
      <c r="G842" t="inlineStr">
        <is>
          <t>Bangalore</t>
        </is>
      </c>
      <c r="H842" t="inlineStr">
        <is>
          <t>South Indian</t>
        </is>
      </c>
      <c r="I842" t="n">
        <v>269</v>
      </c>
      <c r="J842" t="n">
        <v>16.51</v>
      </c>
      <c r="K842" t="n">
        <v>31</v>
      </c>
      <c r="L842" t="n">
        <v>0.15</v>
      </c>
      <c r="M842" t="n">
        <v>48.1</v>
      </c>
      <c r="N842" t="n">
        <v>4.2</v>
      </c>
      <c r="O842" t="n">
        <v>40</v>
      </c>
      <c r="P842" t="inlineStr">
        <is>
          <t>Debit Card</t>
        </is>
      </c>
      <c r="Q842" t="inlineStr">
        <is>
          <t>Delivered</t>
        </is>
      </c>
      <c r="R842" t="n">
        <v>3</v>
      </c>
    </row>
    <row r="843">
      <c r="A843" t="inlineStr">
        <is>
          <t>ORD1842</t>
        </is>
      </c>
      <c r="B843" t="inlineStr">
        <is>
          <t>2025-02-16</t>
        </is>
      </c>
      <c r="C843" t="inlineStr">
        <is>
          <t>12:01:26</t>
        </is>
      </c>
      <c r="D843" t="n">
        <v>1236</v>
      </c>
      <c r="E843" t="n">
        <v>108</v>
      </c>
      <c r="F843" t="n">
        <v>221</v>
      </c>
      <c r="G843" t="inlineStr">
        <is>
          <t>Delhi NCR</t>
        </is>
      </c>
      <c r="H843" t="inlineStr">
        <is>
          <t>Fast Food</t>
        </is>
      </c>
      <c r="I843" t="n">
        <v>248</v>
      </c>
      <c r="J843" t="n">
        <v>29.57</v>
      </c>
      <c r="K843" t="n">
        <v>25</v>
      </c>
      <c r="L843" t="n">
        <v>0.18</v>
      </c>
      <c r="M843" t="n">
        <v>50.89</v>
      </c>
      <c r="N843" t="n">
        <v>2.9</v>
      </c>
      <c r="O843" t="n">
        <v>26.6</v>
      </c>
      <c r="P843" t="inlineStr">
        <is>
          <t>Credit Card</t>
        </is>
      </c>
      <c r="Q843" t="inlineStr">
        <is>
          <t>Delivered</t>
        </is>
      </c>
      <c r="R843" t="n">
        <v>4</v>
      </c>
    </row>
    <row r="844">
      <c r="A844" t="inlineStr">
        <is>
          <t>ORD1843</t>
        </is>
      </c>
      <c r="B844" t="inlineStr">
        <is>
          <t>2025-12-07</t>
        </is>
      </c>
      <c r="C844" t="inlineStr">
        <is>
          <t>19:10:46</t>
        </is>
      </c>
      <c r="D844" t="n">
        <v>1135</v>
      </c>
      <c r="E844" t="n">
        <v>103</v>
      </c>
      <c r="F844" t="n">
        <v>206</v>
      </c>
      <c r="G844" t="inlineStr">
        <is>
          <t>Mumbai</t>
        </is>
      </c>
      <c r="H844" t="inlineStr">
        <is>
          <t>Italian</t>
        </is>
      </c>
      <c r="I844" t="n">
        <v>502</v>
      </c>
      <c r="J844" t="n">
        <v>71.06999999999999</v>
      </c>
      <c r="K844" t="n">
        <v>0</v>
      </c>
      <c r="L844" t="n">
        <v>0.18</v>
      </c>
      <c r="M844" t="n">
        <v>90.36</v>
      </c>
      <c r="N844" t="n">
        <v>4.1</v>
      </c>
      <c r="O844" t="n">
        <v>33.6</v>
      </c>
      <c r="P844" t="inlineStr">
        <is>
          <t>Debit Card</t>
        </is>
      </c>
      <c r="Q844" t="inlineStr">
        <is>
          <t>Delivered</t>
        </is>
      </c>
      <c r="R844" t="n">
        <v>4</v>
      </c>
    </row>
    <row r="845">
      <c r="A845" t="inlineStr">
        <is>
          <t>ORD1844</t>
        </is>
      </c>
      <c r="B845" t="inlineStr">
        <is>
          <t>2025-10-05</t>
        </is>
      </c>
      <c r="C845" t="inlineStr">
        <is>
          <t>21:25:27</t>
        </is>
      </c>
      <c r="D845" t="n">
        <v>1029</v>
      </c>
      <c r="E845" t="n">
        <v>108</v>
      </c>
      <c r="F845" t="n">
        <v>211</v>
      </c>
      <c r="G845" t="inlineStr">
        <is>
          <t>Delhi NCR</t>
        </is>
      </c>
      <c r="H845" t="inlineStr">
        <is>
          <t>Fast Food</t>
        </is>
      </c>
      <c r="I845" t="n">
        <v>343</v>
      </c>
      <c r="J845" t="n">
        <v>0</v>
      </c>
      <c r="K845" t="n">
        <v>42.5</v>
      </c>
      <c r="L845" t="n">
        <v>0.18</v>
      </c>
      <c r="M845" t="n">
        <v>72.36</v>
      </c>
      <c r="N845" t="n">
        <v>6.5</v>
      </c>
      <c r="O845" t="n">
        <v>38.3</v>
      </c>
      <c r="P845" t="inlineStr">
        <is>
          <t>Debit Card</t>
        </is>
      </c>
      <c r="Q845" t="inlineStr">
        <is>
          <t>Delivered</t>
        </is>
      </c>
      <c r="R845" t="n">
        <v>5</v>
      </c>
    </row>
    <row r="846">
      <c r="A846" t="inlineStr">
        <is>
          <t>ORD1845</t>
        </is>
      </c>
      <c r="B846" t="inlineStr">
        <is>
          <t>2025-07-25</t>
        </is>
      </c>
      <c r="C846" t="inlineStr">
        <is>
          <t>19:41:20</t>
        </is>
      </c>
      <c r="D846" t="n">
        <v>1244</v>
      </c>
      <c r="E846" t="n">
        <v>108</v>
      </c>
      <c r="F846" t="n">
        <v>228</v>
      </c>
      <c r="G846" t="inlineStr">
        <is>
          <t>Delhi NCR</t>
        </is>
      </c>
      <c r="H846" t="inlineStr">
        <is>
          <t>Fast Food</t>
        </is>
      </c>
      <c r="I846" t="n">
        <v>232</v>
      </c>
      <c r="J846" t="n">
        <v>0</v>
      </c>
      <c r="K846" t="n">
        <v>28.5</v>
      </c>
      <c r="L846" t="n">
        <v>0.18</v>
      </c>
      <c r="M846" t="n">
        <v>48.88</v>
      </c>
      <c r="N846" t="n">
        <v>3.7</v>
      </c>
      <c r="O846" t="n">
        <v>35.3</v>
      </c>
      <c r="P846" t="inlineStr">
        <is>
          <t>UPI</t>
        </is>
      </c>
      <c r="Q846" t="inlineStr">
        <is>
          <t>Delivered</t>
        </is>
      </c>
      <c r="R846" t="n">
        <v>4</v>
      </c>
    </row>
    <row r="847">
      <c r="A847" t="inlineStr">
        <is>
          <t>ORD1846</t>
        </is>
      </c>
      <c r="B847" t="inlineStr">
        <is>
          <t>2025-02-04</t>
        </is>
      </c>
      <c r="C847" t="inlineStr">
        <is>
          <t>20:56:13</t>
        </is>
      </c>
      <c r="D847" t="n">
        <v>1188</v>
      </c>
      <c r="E847" t="n">
        <v>114</v>
      </c>
      <c r="F847" t="n">
        <v>225</v>
      </c>
      <c r="G847" t="inlineStr">
        <is>
          <t>Hyderabad</t>
        </is>
      </c>
      <c r="H847" t="inlineStr">
        <is>
          <t>Biryani</t>
        </is>
      </c>
      <c r="I847" t="n">
        <v>640</v>
      </c>
      <c r="J847" t="n">
        <v>0</v>
      </c>
      <c r="K847" t="n">
        <v>43</v>
      </c>
      <c r="L847" t="n">
        <v>0.22</v>
      </c>
      <c r="M847" t="n">
        <v>151.55</v>
      </c>
      <c r="N847" t="n">
        <v>6.6</v>
      </c>
      <c r="O847" t="n">
        <v>46.8</v>
      </c>
      <c r="P847" t="inlineStr">
        <is>
          <t>UPI</t>
        </is>
      </c>
      <c r="Q847" t="inlineStr">
        <is>
          <t>Delivered</t>
        </is>
      </c>
      <c r="R847" t="n">
        <v>1</v>
      </c>
    </row>
    <row r="848">
      <c r="A848" t="inlineStr">
        <is>
          <t>ORD1847</t>
        </is>
      </c>
      <c r="B848" t="inlineStr">
        <is>
          <t>2025-11-04</t>
        </is>
      </c>
      <c r="C848" t="inlineStr">
        <is>
          <t>22:20:40</t>
        </is>
      </c>
      <c r="D848" t="n">
        <v>1202</v>
      </c>
      <c r="E848" t="n">
        <v>115</v>
      </c>
      <c r="F848" t="n">
        <v>227</v>
      </c>
      <c r="G848" t="inlineStr">
        <is>
          <t>Bangalore</t>
        </is>
      </c>
      <c r="H848" t="inlineStr">
        <is>
          <t>Italian</t>
        </is>
      </c>
      <c r="I848" t="n">
        <v>933</v>
      </c>
      <c r="J848" t="n">
        <v>0</v>
      </c>
      <c r="K848" t="n">
        <v>25</v>
      </c>
      <c r="L848" t="n">
        <v>0.2</v>
      </c>
      <c r="M848" t="n">
        <v>192.85</v>
      </c>
      <c r="N848" t="n">
        <v>2.8</v>
      </c>
      <c r="O848" t="n">
        <v>30.6</v>
      </c>
      <c r="P848" t="inlineStr">
        <is>
          <t>Credit Card</t>
        </is>
      </c>
      <c r="Q848" t="inlineStr">
        <is>
          <t>Delivered</t>
        </is>
      </c>
      <c r="R848" t="n">
        <v>5</v>
      </c>
    </row>
    <row r="849">
      <c r="A849" t="inlineStr">
        <is>
          <t>ORD1848</t>
        </is>
      </c>
      <c r="B849" t="inlineStr">
        <is>
          <t>2025-12-08</t>
        </is>
      </c>
      <c r="C849" t="inlineStr">
        <is>
          <t>22:30:04</t>
        </is>
      </c>
      <c r="D849" t="n">
        <v>1258</v>
      </c>
      <c r="E849" t="n">
        <v>113</v>
      </c>
      <c r="F849" t="n">
        <v>206</v>
      </c>
      <c r="G849" t="inlineStr">
        <is>
          <t>Mumbai</t>
        </is>
      </c>
      <c r="H849" t="inlineStr">
        <is>
          <t>Fast Food</t>
        </is>
      </c>
      <c r="I849" t="n">
        <v>563</v>
      </c>
      <c r="J849" t="n">
        <v>28.85</v>
      </c>
      <c r="K849" t="n">
        <v>25</v>
      </c>
      <c r="L849" t="n">
        <v>0.18</v>
      </c>
      <c r="M849" t="n">
        <v>107.59</v>
      </c>
      <c r="N849" t="n">
        <v>3</v>
      </c>
      <c r="O849" t="n">
        <v>34.6</v>
      </c>
      <c r="P849" t="inlineStr">
        <is>
          <t>Cash on Delivery</t>
        </is>
      </c>
      <c r="Q849" t="inlineStr">
        <is>
          <t>Delivered</t>
        </is>
      </c>
      <c r="R849" t="n">
        <v>4</v>
      </c>
    </row>
    <row r="850">
      <c r="A850" t="inlineStr">
        <is>
          <t>ORD1849</t>
        </is>
      </c>
      <c r="B850" t="inlineStr">
        <is>
          <t>2025-04-30</t>
        </is>
      </c>
      <c r="C850" t="inlineStr">
        <is>
          <t>12:01:39</t>
        </is>
      </c>
      <c r="D850" t="n">
        <v>1034</v>
      </c>
      <c r="E850" t="n">
        <v>117</v>
      </c>
      <c r="F850" t="n">
        <v>206</v>
      </c>
      <c r="G850" t="inlineStr">
        <is>
          <t>Mumbai</t>
        </is>
      </c>
      <c r="H850" t="inlineStr">
        <is>
          <t>Chinese</t>
        </is>
      </c>
      <c r="I850" t="n">
        <v>526</v>
      </c>
      <c r="J850" t="n">
        <v>65.03</v>
      </c>
      <c r="K850" t="n">
        <v>0</v>
      </c>
      <c r="L850" t="n">
        <v>0.2</v>
      </c>
      <c r="M850" t="n">
        <v>105.2</v>
      </c>
      <c r="N850" t="n">
        <v>2.6</v>
      </c>
      <c r="O850" t="n">
        <v/>
      </c>
      <c r="P850" t="inlineStr">
        <is>
          <t>Credit Card</t>
        </is>
      </c>
      <c r="Q850" t="inlineStr">
        <is>
          <t>Cancelled</t>
        </is>
      </c>
      <c r="R850" t="n">
        <v/>
      </c>
    </row>
    <row r="851">
      <c r="A851" t="inlineStr">
        <is>
          <t>ORD1850</t>
        </is>
      </c>
      <c r="B851" t="inlineStr">
        <is>
          <t>2025-07-11</t>
        </is>
      </c>
      <c r="C851" t="inlineStr">
        <is>
          <t>12:31:18</t>
        </is>
      </c>
      <c r="D851" t="n">
        <v>1082</v>
      </c>
      <c r="E851" t="n">
        <v>116</v>
      </c>
      <c r="F851" t="n">
        <v>207</v>
      </c>
      <c r="G851" t="inlineStr">
        <is>
          <t>Pune</t>
        </is>
      </c>
      <c r="H851" t="inlineStr">
        <is>
          <t>Desserts</t>
        </is>
      </c>
      <c r="I851" t="n">
        <v>426</v>
      </c>
      <c r="J851" t="n">
        <v>25.82</v>
      </c>
      <c r="K851" t="n">
        <v>25</v>
      </c>
      <c r="L851" t="n">
        <v>0.25</v>
      </c>
      <c r="M851" t="n">
        <v>112.75</v>
      </c>
      <c r="N851" t="n">
        <v>2.8</v>
      </c>
      <c r="O851" t="n">
        <v>27.8</v>
      </c>
      <c r="P851" t="inlineStr">
        <is>
          <t>UPI</t>
        </is>
      </c>
      <c r="Q851" t="inlineStr">
        <is>
          <t>Delivered</t>
        </is>
      </c>
      <c r="R851" t="n">
        <v>5</v>
      </c>
    </row>
    <row r="852">
      <c r="A852" t="inlineStr">
        <is>
          <t>ORD1851</t>
        </is>
      </c>
      <c r="B852" t="inlineStr">
        <is>
          <t>2025-06-18</t>
        </is>
      </c>
      <c r="C852" t="inlineStr">
        <is>
          <t>19:08:17</t>
        </is>
      </c>
      <c r="D852" t="n">
        <v>1250</v>
      </c>
      <c r="E852" t="n">
        <v>116</v>
      </c>
      <c r="F852" t="n">
        <v>208</v>
      </c>
      <c r="G852" t="inlineStr">
        <is>
          <t>Pune</t>
        </is>
      </c>
      <c r="H852" t="inlineStr">
        <is>
          <t>Desserts</t>
        </is>
      </c>
      <c r="I852" t="n">
        <v>809</v>
      </c>
      <c r="J852" t="n">
        <v>144.57</v>
      </c>
      <c r="K852" t="n">
        <v>0</v>
      </c>
      <c r="L852" t="n">
        <v>0.25</v>
      </c>
      <c r="M852" t="n">
        <v>202.25</v>
      </c>
      <c r="N852" t="n">
        <v>2.7</v>
      </c>
      <c r="O852" t="n">
        <v>27.3</v>
      </c>
      <c r="P852" t="inlineStr">
        <is>
          <t>Cash on Delivery</t>
        </is>
      </c>
      <c r="Q852" t="inlineStr">
        <is>
          <t>Delivered</t>
        </is>
      </c>
      <c r="R852" t="n">
        <v>5</v>
      </c>
    </row>
    <row r="853">
      <c r="A853" t="inlineStr">
        <is>
          <t>ORD1852</t>
        </is>
      </c>
      <c r="B853" t="inlineStr">
        <is>
          <t>2025-06-19</t>
        </is>
      </c>
      <c r="C853" t="inlineStr">
        <is>
          <t>21:21:15</t>
        </is>
      </c>
      <c r="D853" t="n">
        <v>1007</v>
      </c>
      <c r="E853" t="n">
        <v>111</v>
      </c>
      <c r="F853" t="n">
        <v>223</v>
      </c>
      <c r="G853" t="inlineStr">
        <is>
          <t>Bangalore</t>
        </is>
      </c>
      <c r="H853" t="inlineStr">
        <is>
          <t>South Indian</t>
        </is>
      </c>
      <c r="I853" t="n">
        <v>430</v>
      </c>
      <c r="J853" t="n">
        <v>31.19</v>
      </c>
      <c r="K853" t="n">
        <v>41</v>
      </c>
      <c r="L853" t="n">
        <v>0.15</v>
      </c>
      <c r="M853" t="n">
        <v>74.75</v>
      </c>
      <c r="N853" t="n">
        <v>6.2</v>
      </c>
      <c r="O853" t="n">
        <v>45.7</v>
      </c>
      <c r="P853" t="inlineStr">
        <is>
          <t>Credit Card</t>
        </is>
      </c>
      <c r="Q853" t="inlineStr">
        <is>
          <t>Delivered</t>
        </is>
      </c>
      <c r="R853" t="n">
        <v>2</v>
      </c>
    </row>
    <row r="854">
      <c r="A854" t="inlineStr">
        <is>
          <t>ORD1853</t>
        </is>
      </c>
      <c r="B854" t="inlineStr">
        <is>
          <t>2025-04-04</t>
        </is>
      </c>
      <c r="C854" t="inlineStr">
        <is>
          <t>00:28:40</t>
        </is>
      </c>
      <c r="D854" t="n">
        <v>1238</v>
      </c>
      <c r="E854" t="n">
        <v>111</v>
      </c>
      <c r="F854" t="n">
        <v>205</v>
      </c>
      <c r="G854" t="inlineStr">
        <is>
          <t>Bangalore</t>
        </is>
      </c>
      <c r="H854" t="inlineStr">
        <is>
          <t>South Indian</t>
        </is>
      </c>
      <c r="I854" t="n">
        <v>226</v>
      </c>
      <c r="J854" t="n">
        <v>0</v>
      </c>
      <c r="K854" t="n">
        <v>25</v>
      </c>
      <c r="L854" t="n">
        <v>0.15</v>
      </c>
      <c r="M854" t="n">
        <v>40.15</v>
      </c>
      <c r="N854" t="n">
        <v>2.6</v>
      </c>
      <c r="O854" t="n">
        <v>24.2</v>
      </c>
      <c r="P854" t="inlineStr">
        <is>
          <t>Credit Card</t>
        </is>
      </c>
      <c r="Q854" t="inlineStr">
        <is>
          <t>Delivered</t>
        </is>
      </c>
      <c r="R854" t="n">
        <v>5</v>
      </c>
    </row>
    <row r="855">
      <c r="A855" t="inlineStr">
        <is>
          <t>ORD1854</t>
        </is>
      </c>
      <c r="B855" t="inlineStr">
        <is>
          <t>2025-04-15</t>
        </is>
      </c>
      <c r="C855" t="inlineStr">
        <is>
          <t>09:08:05</t>
        </is>
      </c>
      <c r="D855" t="n">
        <v>1147</v>
      </c>
      <c r="E855" t="n">
        <v>103</v>
      </c>
      <c r="F855" t="n">
        <v>229</v>
      </c>
      <c r="G855" t="inlineStr">
        <is>
          <t>Mumbai</t>
        </is>
      </c>
      <c r="H855" t="inlineStr">
        <is>
          <t>Italian</t>
        </is>
      </c>
      <c r="I855" t="n">
        <v>397</v>
      </c>
      <c r="J855" t="n">
        <v>36.32</v>
      </c>
      <c r="K855" t="n">
        <v>25</v>
      </c>
      <c r="L855" t="n">
        <v>0.18</v>
      </c>
      <c r="M855" t="n">
        <v>77.70999999999999</v>
      </c>
      <c r="N855" t="n">
        <v>2.8</v>
      </c>
      <c r="O855" t="n">
        <v>32.6</v>
      </c>
      <c r="P855" t="inlineStr">
        <is>
          <t>Credit Card</t>
        </is>
      </c>
      <c r="Q855" t="inlineStr">
        <is>
          <t>Delivered</t>
        </is>
      </c>
      <c r="R855" t="n">
        <v>5</v>
      </c>
    </row>
    <row r="856">
      <c r="A856" t="inlineStr">
        <is>
          <t>ORD1855</t>
        </is>
      </c>
      <c r="B856" t="inlineStr">
        <is>
          <t>2025-08-07</t>
        </is>
      </c>
      <c r="C856" t="inlineStr">
        <is>
          <t>16:46:29</t>
        </is>
      </c>
      <c r="D856" t="n">
        <v>1109</v>
      </c>
      <c r="E856" t="n">
        <v>117</v>
      </c>
      <c r="F856" t="n">
        <v>202</v>
      </c>
      <c r="G856" t="inlineStr">
        <is>
          <t>Mumbai</t>
        </is>
      </c>
      <c r="H856" t="inlineStr">
        <is>
          <t>Chinese</t>
        </is>
      </c>
      <c r="I856" t="n">
        <v>538</v>
      </c>
      <c r="J856" t="n">
        <v>0</v>
      </c>
      <c r="K856" t="n">
        <v>34.5</v>
      </c>
      <c r="L856" t="n">
        <v>0.2</v>
      </c>
      <c r="M856" t="n">
        <v>116.22</v>
      </c>
      <c r="N856" t="n">
        <v>4.9</v>
      </c>
      <c r="O856" t="n">
        <v/>
      </c>
      <c r="P856" t="inlineStr">
        <is>
          <t>Cash on Delivery</t>
        </is>
      </c>
      <c r="Q856" t="inlineStr">
        <is>
          <t>Cancelled</t>
        </is>
      </c>
      <c r="R856" t="n">
        <v/>
      </c>
    </row>
    <row r="857">
      <c r="A857" t="inlineStr">
        <is>
          <t>ORD1856</t>
        </is>
      </c>
      <c r="B857" t="inlineStr">
        <is>
          <t>2025-06-05</t>
        </is>
      </c>
      <c r="C857" t="inlineStr">
        <is>
          <t>21:18:36</t>
        </is>
      </c>
      <c r="D857" t="n">
        <v>1083</v>
      </c>
      <c r="E857" t="n">
        <v>108</v>
      </c>
      <c r="F857" t="n">
        <v>211</v>
      </c>
      <c r="G857" t="inlineStr">
        <is>
          <t>Delhi NCR</t>
        </is>
      </c>
      <c r="H857" t="inlineStr">
        <is>
          <t>Fast Food</t>
        </is>
      </c>
      <c r="I857" t="n">
        <v>679</v>
      </c>
      <c r="J857" t="n">
        <v>10.94</v>
      </c>
      <c r="K857" t="n">
        <v>25</v>
      </c>
      <c r="L857" t="n">
        <v>0.18</v>
      </c>
      <c r="M857" t="n">
        <v>128.47</v>
      </c>
      <c r="N857" t="n">
        <v>1.6</v>
      </c>
      <c r="O857" t="n">
        <v>27</v>
      </c>
      <c r="P857" t="inlineStr">
        <is>
          <t>Cash on Delivery</t>
        </is>
      </c>
      <c r="Q857" t="inlineStr">
        <is>
          <t>Delivered</t>
        </is>
      </c>
      <c r="R857" t="n">
        <v>4</v>
      </c>
    </row>
    <row r="858">
      <c r="A858" t="inlineStr">
        <is>
          <t>ORD1857</t>
        </is>
      </c>
      <c r="B858" t="inlineStr">
        <is>
          <t>2025-07-23</t>
        </is>
      </c>
      <c r="C858" t="inlineStr">
        <is>
          <t>13:24:10</t>
        </is>
      </c>
      <c r="D858" t="n">
        <v>1077</v>
      </c>
      <c r="E858" t="n">
        <v>109</v>
      </c>
      <c r="F858" t="n">
        <v>215</v>
      </c>
      <c r="G858" t="inlineStr">
        <is>
          <t>Hyderabad</t>
        </is>
      </c>
      <c r="H858" t="inlineStr">
        <is>
          <t>Biryani</t>
        </is>
      </c>
      <c r="I858" t="n">
        <v>702</v>
      </c>
      <c r="J858" t="n">
        <v>56.79</v>
      </c>
      <c r="K858" t="n">
        <v>28</v>
      </c>
      <c r="L858" t="n">
        <v>0.2</v>
      </c>
      <c r="M858" t="n">
        <v>147.4</v>
      </c>
      <c r="N858" t="n">
        <v>3.6</v>
      </c>
      <c r="O858" t="n">
        <v>32.9</v>
      </c>
      <c r="P858" t="inlineStr">
        <is>
          <t>Cash on Delivery</t>
        </is>
      </c>
      <c r="Q858" t="inlineStr">
        <is>
          <t>Delivered</t>
        </is>
      </c>
      <c r="R858" t="n">
        <v>2</v>
      </c>
    </row>
    <row r="859">
      <c r="A859" t="inlineStr">
        <is>
          <t>ORD1858</t>
        </is>
      </c>
      <c r="B859" t="inlineStr">
        <is>
          <t>2025-01-11</t>
        </is>
      </c>
      <c r="C859" t="inlineStr">
        <is>
          <t>09:48:24</t>
        </is>
      </c>
      <c r="D859" t="n">
        <v>1265</v>
      </c>
      <c r="E859" t="n">
        <v>115</v>
      </c>
      <c r="F859" t="n">
        <v>227</v>
      </c>
      <c r="G859" t="inlineStr">
        <is>
          <t>Bangalore</t>
        </is>
      </c>
      <c r="H859" t="inlineStr">
        <is>
          <t>Italian</t>
        </is>
      </c>
      <c r="I859" t="n">
        <v>975</v>
      </c>
      <c r="J859" t="n">
        <v>105.62</v>
      </c>
      <c r="K859" t="n">
        <v>0</v>
      </c>
      <c r="L859" t="n">
        <v>0.2</v>
      </c>
      <c r="M859" t="n">
        <v>195</v>
      </c>
      <c r="N859" t="n">
        <v>4.6</v>
      </c>
      <c r="O859" t="n">
        <v>34.1</v>
      </c>
      <c r="P859" t="inlineStr">
        <is>
          <t>Debit Card</t>
        </is>
      </c>
      <c r="Q859" t="inlineStr">
        <is>
          <t>Delivered</t>
        </is>
      </c>
      <c r="R859" t="n">
        <v>3</v>
      </c>
    </row>
    <row r="860">
      <c r="A860" t="inlineStr">
        <is>
          <t>ORD1859</t>
        </is>
      </c>
      <c r="B860" t="inlineStr">
        <is>
          <t>2025-07-14</t>
        </is>
      </c>
      <c r="C860" t="inlineStr">
        <is>
          <t>21:29:19</t>
        </is>
      </c>
      <c r="D860" t="n">
        <v>1085</v>
      </c>
      <c r="E860" t="n">
        <v>114</v>
      </c>
      <c r="F860" t="n">
        <v>225</v>
      </c>
      <c r="G860" t="inlineStr">
        <is>
          <t>Hyderabad</t>
        </is>
      </c>
      <c r="H860" t="inlineStr">
        <is>
          <t>Biryani</t>
        </is>
      </c>
      <c r="I860" t="n">
        <v>684</v>
      </c>
      <c r="J860" t="n">
        <v>0</v>
      </c>
      <c r="K860" t="n">
        <v>29.5</v>
      </c>
      <c r="L860" t="n">
        <v>0.22</v>
      </c>
      <c r="M860" t="n">
        <v>157.85</v>
      </c>
      <c r="N860" t="n">
        <v>3.9</v>
      </c>
      <c r="O860" t="n">
        <v>35.5</v>
      </c>
      <c r="P860" t="inlineStr">
        <is>
          <t>Cash on Delivery</t>
        </is>
      </c>
      <c r="Q860" t="inlineStr">
        <is>
          <t>Delivered</t>
        </is>
      </c>
      <c r="R860" t="n">
        <v>5</v>
      </c>
    </row>
    <row r="861">
      <c r="A861" t="inlineStr">
        <is>
          <t>ORD1860</t>
        </is>
      </c>
      <c r="B861" t="inlineStr">
        <is>
          <t>2025-03-11</t>
        </is>
      </c>
      <c r="C861" t="inlineStr">
        <is>
          <t>20:45:30</t>
        </is>
      </c>
      <c r="D861" t="n">
        <v>1103</v>
      </c>
      <c r="E861" t="n">
        <v>118</v>
      </c>
      <c r="F861" t="n">
        <v>212</v>
      </c>
      <c r="G861" t="inlineStr">
        <is>
          <t>Delhi NCR</t>
        </is>
      </c>
      <c r="H861" t="inlineStr">
        <is>
          <t>North Indian</t>
        </is>
      </c>
      <c r="I861" t="n">
        <v>420</v>
      </c>
      <c r="J861" t="n">
        <v>0</v>
      </c>
      <c r="K861" t="n">
        <v>34</v>
      </c>
      <c r="L861" t="n">
        <v>0.2</v>
      </c>
      <c r="M861" t="n">
        <v>92.5</v>
      </c>
      <c r="N861" t="n">
        <v>4.8</v>
      </c>
      <c r="O861" t="n">
        <v>34.1</v>
      </c>
      <c r="P861" t="inlineStr">
        <is>
          <t>UPI</t>
        </is>
      </c>
      <c r="Q861" t="inlineStr">
        <is>
          <t>Delivered</t>
        </is>
      </c>
      <c r="R861" t="n">
        <v>5</v>
      </c>
    </row>
    <row r="862">
      <c r="A862" t="inlineStr">
        <is>
          <t>ORD1861</t>
        </is>
      </c>
      <c r="B862" t="inlineStr">
        <is>
          <t>2025-08-01</t>
        </is>
      </c>
      <c r="C862" t="inlineStr">
        <is>
          <t>16:25:47</t>
        </is>
      </c>
      <c r="D862" t="n">
        <v>1017</v>
      </c>
      <c r="E862" t="n">
        <v>113</v>
      </c>
      <c r="F862" t="n">
        <v>222</v>
      </c>
      <c r="G862" t="inlineStr">
        <is>
          <t>Mumbai</t>
        </is>
      </c>
      <c r="H862" t="inlineStr">
        <is>
          <t>Fast Food</t>
        </is>
      </c>
      <c r="I862" t="n">
        <v>602</v>
      </c>
      <c r="J862" t="n">
        <v>0</v>
      </c>
      <c r="K862" t="n">
        <v>36.5</v>
      </c>
      <c r="L862" t="n">
        <v>0.18</v>
      </c>
      <c r="M862" t="n">
        <v>117.48</v>
      </c>
      <c r="N862" t="n">
        <v>5.3</v>
      </c>
      <c r="O862" t="n">
        <v>32.9</v>
      </c>
      <c r="P862" t="inlineStr">
        <is>
          <t>Digital Wallet</t>
        </is>
      </c>
      <c r="Q862" t="inlineStr">
        <is>
          <t>Delivered</t>
        </is>
      </c>
      <c r="R862" t="n">
        <v>4</v>
      </c>
    </row>
    <row r="863">
      <c r="A863" t="inlineStr">
        <is>
          <t>ORD1862</t>
        </is>
      </c>
      <c r="B863" t="inlineStr">
        <is>
          <t>2025-01-20</t>
        </is>
      </c>
      <c r="C863" t="inlineStr">
        <is>
          <t>14:58:07</t>
        </is>
      </c>
      <c r="D863" t="n">
        <v>1296</v>
      </c>
      <c r="E863" t="n">
        <v>112</v>
      </c>
      <c r="F863" t="n">
        <v>219</v>
      </c>
      <c r="G863" t="inlineStr">
        <is>
          <t>Delhi NCR</t>
        </is>
      </c>
      <c r="H863" t="inlineStr">
        <is>
          <t>North Indian</t>
        </is>
      </c>
      <c r="I863" t="n">
        <v>614</v>
      </c>
      <c r="J863" t="n">
        <v>7.98</v>
      </c>
      <c r="K863" t="n">
        <v>25</v>
      </c>
      <c r="L863" t="n">
        <v>0.22</v>
      </c>
      <c r="M863" t="n">
        <v>141.33</v>
      </c>
      <c r="N863" t="n">
        <v>3</v>
      </c>
      <c r="O863" t="n">
        <v>34.1</v>
      </c>
      <c r="P863" t="inlineStr">
        <is>
          <t>Debit Card</t>
        </is>
      </c>
      <c r="Q863" t="inlineStr">
        <is>
          <t>Delivered</t>
        </is>
      </c>
      <c r="R863" t="n">
        <v>3</v>
      </c>
    </row>
    <row r="864">
      <c r="A864" t="inlineStr">
        <is>
          <t>ORD1863</t>
        </is>
      </c>
      <c r="B864" t="inlineStr">
        <is>
          <t>2025-12-23</t>
        </is>
      </c>
      <c r="C864" t="inlineStr">
        <is>
          <t>18:03:41</t>
        </is>
      </c>
      <c r="D864" t="n">
        <v>1087</v>
      </c>
      <c r="E864" t="n">
        <v>120</v>
      </c>
      <c r="F864" t="n">
        <v>208</v>
      </c>
      <c r="G864" t="inlineStr">
        <is>
          <t>Pune</t>
        </is>
      </c>
      <c r="H864" t="inlineStr">
        <is>
          <t>Fast Food</t>
        </is>
      </c>
      <c r="I864" t="n">
        <v>614</v>
      </c>
      <c r="J864" t="n">
        <v>70.52</v>
      </c>
      <c r="K864" t="n">
        <v>32</v>
      </c>
      <c r="L864" t="n">
        <v>0.18</v>
      </c>
      <c r="M864" t="n">
        <v>118.52</v>
      </c>
      <c r="N864" t="n">
        <v>4.4</v>
      </c>
      <c r="O864" t="n">
        <v>34.7</v>
      </c>
      <c r="P864" t="inlineStr">
        <is>
          <t>Credit Card</t>
        </is>
      </c>
      <c r="Q864" t="inlineStr">
        <is>
          <t>Delivered</t>
        </is>
      </c>
      <c r="R864" t="n">
        <v>5</v>
      </c>
    </row>
    <row r="865">
      <c r="A865" t="inlineStr">
        <is>
          <t>ORD1864</t>
        </is>
      </c>
      <c r="B865" t="inlineStr">
        <is>
          <t>2025-11-20</t>
        </is>
      </c>
      <c r="C865" t="inlineStr">
        <is>
          <t>13:45:43</t>
        </is>
      </c>
      <c r="D865" t="n">
        <v>1155</v>
      </c>
      <c r="E865" t="n">
        <v>116</v>
      </c>
      <c r="F865" t="n">
        <v>207</v>
      </c>
      <c r="G865" t="inlineStr">
        <is>
          <t>Pune</t>
        </is>
      </c>
      <c r="H865" t="inlineStr">
        <is>
          <t>Desserts</t>
        </is>
      </c>
      <c r="I865" t="n">
        <v>526</v>
      </c>
      <c r="J865" t="n">
        <v>87.61</v>
      </c>
      <c r="K865" t="n">
        <v>0</v>
      </c>
      <c r="L865" t="n">
        <v>0.25</v>
      </c>
      <c r="M865" t="n">
        <v>131.5</v>
      </c>
      <c r="N865" t="n">
        <v>2.8</v>
      </c>
      <c r="O865" t="n">
        <v>25</v>
      </c>
      <c r="P865" t="inlineStr">
        <is>
          <t>Digital Wallet</t>
        </is>
      </c>
      <c r="Q865" t="inlineStr">
        <is>
          <t>Delivered</t>
        </is>
      </c>
      <c r="R865" t="n">
        <v>3</v>
      </c>
    </row>
    <row r="866">
      <c r="A866" t="inlineStr">
        <is>
          <t>ORD1865</t>
        </is>
      </c>
      <c r="B866" t="inlineStr">
        <is>
          <t>2025-05-07</t>
        </is>
      </c>
      <c r="C866" t="inlineStr">
        <is>
          <t>20:38:37</t>
        </is>
      </c>
      <c r="D866" t="n">
        <v>1148</v>
      </c>
      <c r="E866" t="n">
        <v>105</v>
      </c>
      <c r="F866" t="n">
        <v>203</v>
      </c>
      <c r="G866" t="inlineStr">
        <is>
          <t>Bangalore</t>
        </is>
      </c>
      <c r="H866" t="inlineStr">
        <is>
          <t>Chinese</t>
        </is>
      </c>
      <c r="I866" t="n">
        <v>898</v>
      </c>
      <c r="J866" t="n">
        <v>0.89</v>
      </c>
      <c r="K866" t="n">
        <v>25</v>
      </c>
      <c r="L866" t="n">
        <v>0.2</v>
      </c>
      <c r="M866" t="n">
        <v>185.85</v>
      </c>
      <c r="N866" t="n">
        <v>2.1</v>
      </c>
      <c r="O866" t="n">
        <v>41.8</v>
      </c>
      <c r="P866" t="inlineStr">
        <is>
          <t>Cash on Delivery</t>
        </is>
      </c>
      <c r="Q866" t="inlineStr">
        <is>
          <t>Delivered</t>
        </is>
      </c>
      <c r="R866" t="n">
        <v>3</v>
      </c>
    </row>
    <row r="867">
      <c r="A867" t="inlineStr">
        <is>
          <t>ORD1866</t>
        </is>
      </c>
      <c r="B867" t="inlineStr">
        <is>
          <t>2025-08-05</t>
        </is>
      </c>
      <c r="C867" t="inlineStr">
        <is>
          <t>17:10:53</t>
        </is>
      </c>
      <c r="D867" t="n">
        <v>1095</v>
      </c>
      <c r="E867" t="n">
        <v>112</v>
      </c>
      <c r="F867" t="n">
        <v>211</v>
      </c>
      <c r="G867" t="inlineStr">
        <is>
          <t>Delhi NCR</t>
        </is>
      </c>
      <c r="H867" t="inlineStr">
        <is>
          <t>North Indian</t>
        </is>
      </c>
      <c r="I867" t="n">
        <v>657</v>
      </c>
      <c r="J867" t="n">
        <v>44.48</v>
      </c>
      <c r="K867" t="n">
        <v>32</v>
      </c>
      <c r="L867" t="n">
        <v>0.22</v>
      </c>
      <c r="M867" t="n">
        <v>152.54</v>
      </c>
      <c r="N867" t="n">
        <v>4.4</v>
      </c>
      <c r="O867" t="n">
        <v>36.7</v>
      </c>
      <c r="P867" t="inlineStr">
        <is>
          <t>Digital Wallet</t>
        </is>
      </c>
      <c r="Q867" t="inlineStr">
        <is>
          <t>Delivered</t>
        </is>
      </c>
      <c r="R867" t="n">
        <v>5</v>
      </c>
    </row>
    <row r="868">
      <c r="A868" t="inlineStr">
        <is>
          <t>ORD1867</t>
        </is>
      </c>
      <c r="B868" t="inlineStr">
        <is>
          <t>2025-02-15</t>
        </is>
      </c>
      <c r="C868" t="inlineStr">
        <is>
          <t>13:06:40</t>
        </is>
      </c>
      <c r="D868" t="n">
        <v>1252</v>
      </c>
      <c r="E868" t="n">
        <v>103</v>
      </c>
      <c r="F868" t="n">
        <v>229</v>
      </c>
      <c r="G868" t="inlineStr">
        <is>
          <t>Mumbai</t>
        </is>
      </c>
      <c r="H868" t="inlineStr">
        <is>
          <t>Italian</t>
        </is>
      </c>
      <c r="I868" t="n">
        <v>806</v>
      </c>
      <c r="J868" t="n">
        <v>22.21</v>
      </c>
      <c r="K868" t="n">
        <v>47</v>
      </c>
      <c r="L868" t="n">
        <v>0.18</v>
      </c>
      <c r="M868" t="n">
        <v>156.83</v>
      </c>
      <c r="N868" t="n">
        <v>7.4</v>
      </c>
      <c r="O868" t="n">
        <v>48.6</v>
      </c>
      <c r="P868" t="inlineStr">
        <is>
          <t>Credit Card</t>
        </is>
      </c>
      <c r="Q868" t="inlineStr">
        <is>
          <t>Delivered</t>
        </is>
      </c>
      <c r="R868" t="n">
        <v>3</v>
      </c>
    </row>
    <row r="869">
      <c r="A869" t="inlineStr">
        <is>
          <t>ORD1868</t>
        </is>
      </c>
      <c r="B869" t="inlineStr">
        <is>
          <t>2025-03-28</t>
        </is>
      </c>
      <c r="C869" t="inlineStr">
        <is>
          <t>14:52:31</t>
        </is>
      </c>
      <c r="D869" t="n">
        <v>1074</v>
      </c>
      <c r="E869" t="n">
        <v>106</v>
      </c>
      <c r="F869" t="n">
        <v>226</v>
      </c>
      <c r="G869" t="inlineStr">
        <is>
          <t>Pune</t>
        </is>
      </c>
      <c r="H869" t="inlineStr">
        <is>
          <t>South Indian</t>
        </is>
      </c>
      <c r="I869" t="n">
        <v>221</v>
      </c>
      <c r="J869" t="n">
        <v>12.55</v>
      </c>
      <c r="K869" t="n">
        <v>25</v>
      </c>
      <c r="L869" t="n">
        <v>0.15</v>
      </c>
      <c r="M869" t="n">
        <v>39.4</v>
      </c>
      <c r="N869" t="n">
        <v>2.1</v>
      </c>
      <c r="O869" t="n">
        <v>30.8</v>
      </c>
      <c r="P869" t="inlineStr">
        <is>
          <t>Cash on Delivery</t>
        </is>
      </c>
      <c r="Q869" t="inlineStr">
        <is>
          <t>Delivered</t>
        </is>
      </c>
      <c r="R869" t="n">
        <v>5</v>
      </c>
    </row>
    <row r="870">
      <c r="A870" t="inlineStr">
        <is>
          <t>ORD1869</t>
        </is>
      </c>
      <c r="B870" t="inlineStr">
        <is>
          <t>2025-03-29</t>
        </is>
      </c>
      <c r="C870" t="inlineStr">
        <is>
          <t>12:11:23</t>
        </is>
      </c>
      <c r="D870" t="n">
        <v>1269</v>
      </c>
      <c r="E870" t="n">
        <v>113</v>
      </c>
      <c r="F870" t="n">
        <v>202</v>
      </c>
      <c r="G870" t="inlineStr">
        <is>
          <t>Mumbai</t>
        </is>
      </c>
      <c r="H870" t="inlineStr">
        <is>
          <t>Fast Food</t>
        </is>
      </c>
      <c r="I870" t="n">
        <v>410</v>
      </c>
      <c r="J870" t="n">
        <v>6.5</v>
      </c>
      <c r="K870" t="n">
        <v>28</v>
      </c>
      <c r="L870" t="n">
        <v>0.18</v>
      </c>
      <c r="M870" t="n">
        <v>80.8</v>
      </c>
      <c r="N870" t="n">
        <v>3.6</v>
      </c>
      <c r="O870" t="n">
        <v>28</v>
      </c>
      <c r="P870" t="inlineStr">
        <is>
          <t>UPI</t>
        </is>
      </c>
      <c r="Q870" t="inlineStr">
        <is>
          <t>Delivered</t>
        </is>
      </c>
      <c r="R870" t="n">
        <v>4</v>
      </c>
    </row>
    <row r="871">
      <c r="A871" t="inlineStr">
        <is>
          <t>ORD1870</t>
        </is>
      </c>
      <c r="B871" t="inlineStr">
        <is>
          <t>2025-04-13</t>
        </is>
      </c>
      <c r="C871" t="inlineStr">
        <is>
          <t>21:03:47</t>
        </is>
      </c>
      <c r="D871" t="n">
        <v>1295</v>
      </c>
      <c r="E871" t="n">
        <v>118</v>
      </c>
      <c r="F871" t="n">
        <v>228</v>
      </c>
      <c r="G871" t="inlineStr">
        <is>
          <t>Delhi NCR</t>
        </is>
      </c>
      <c r="H871" t="inlineStr">
        <is>
          <t>North Indian</t>
        </is>
      </c>
      <c r="I871" t="n">
        <v>407</v>
      </c>
      <c r="J871" t="n">
        <v>6.25</v>
      </c>
      <c r="K871" t="n">
        <v>35.5</v>
      </c>
      <c r="L871" t="n">
        <v>0.2</v>
      </c>
      <c r="M871" t="n">
        <v>90.28</v>
      </c>
      <c r="N871" t="n">
        <v>5.1</v>
      </c>
      <c r="O871" t="n">
        <v>43.7</v>
      </c>
      <c r="P871" t="inlineStr">
        <is>
          <t>Cash on Delivery</t>
        </is>
      </c>
      <c r="Q871" t="inlineStr">
        <is>
          <t>Delivered</t>
        </is>
      </c>
      <c r="R871" t="n">
        <v>2</v>
      </c>
    </row>
    <row r="872">
      <c r="A872" t="inlineStr">
        <is>
          <t>ORD1871</t>
        </is>
      </c>
      <c r="B872" t="inlineStr">
        <is>
          <t>2025-02-10</t>
        </is>
      </c>
      <c r="C872" t="inlineStr">
        <is>
          <t>14:18:05</t>
        </is>
      </c>
      <c r="D872" t="n">
        <v>1157</v>
      </c>
      <c r="E872" t="n">
        <v>114</v>
      </c>
      <c r="F872" t="n">
        <v>225</v>
      </c>
      <c r="G872" t="inlineStr">
        <is>
          <t>Hyderabad</t>
        </is>
      </c>
      <c r="H872" t="inlineStr">
        <is>
          <t>Biryani</t>
        </is>
      </c>
      <c r="I872" t="n">
        <v>606</v>
      </c>
      <c r="J872" t="n">
        <v>35.59</v>
      </c>
      <c r="K872" t="n">
        <v>32</v>
      </c>
      <c r="L872" t="n">
        <v>0.22</v>
      </c>
      <c r="M872" t="n">
        <v>141.32</v>
      </c>
      <c r="N872" t="n">
        <v>4.4</v>
      </c>
      <c r="O872" t="n">
        <v>29.3</v>
      </c>
      <c r="P872" t="inlineStr">
        <is>
          <t>UPI</t>
        </is>
      </c>
      <c r="Q872" t="inlineStr">
        <is>
          <t>Delivered</t>
        </is>
      </c>
      <c r="R872" t="n">
        <v>5</v>
      </c>
    </row>
    <row r="873">
      <c r="A873" t="inlineStr">
        <is>
          <t>ORD1872</t>
        </is>
      </c>
      <c r="B873" t="inlineStr">
        <is>
          <t>2025-12-11</t>
        </is>
      </c>
      <c r="C873" t="inlineStr">
        <is>
          <t>19:48:06</t>
        </is>
      </c>
      <c r="D873" t="n">
        <v>1009</v>
      </c>
      <c r="E873" t="n">
        <v>102</v>
      </c>
      <c r="F873" t="n">
        <v>225</v>
      </c>
      <c r="G873" t="inlineStr">
        <is>
          <t>Hyderabad</t>
        </is>
      </c>
      <c r="H873" t="inlineStr">
        <is>
          <t>Biryani</t>
        </is>
      </c>
      <c r="I873" t="n">
        <v>229</v>
      </c>
      <c r="J873" t="n">
        <v>12.43</v>
      </c>
      <c r="K873" t="n">
        <v>44.5</v>
      </c>
      <c r="L873" t="n">
        <v>0.22</v>
      </c>
      <c r="M873" t="n">
        <v>61.5</v>
      </c>
      <c r="N873" t="n">
        <v>6.9</v>
      </c>
      <c r="O873" t="n">
        <v>54.3</v>
      </c>
      <c r="P873" t="inlineStr">
        <is>
          <t>UPI</t>
        </is>
      </c>
      <c r="Q873" t="inlineStr">
        <is>
          <t>Delivered</t>
        </is>
      </c>
      <c r="R873" t="n">
        <v>2</v>
      </c>
    </row>
    <row r="874">
      <c r="A874" t="inlineStr">
        <is>
          <t>ORD1873</t>
        </is>
      </c>
      <c r="B874" t="inlineStr">
        <is>
          <t>2025-09-25</t>
        </is>
      </c>
      <c r="C874" t="inlineStr">
        <is>
          <t>19:50:00</t>
        </is>
      </c>
      <c r="D874" t="n">
        <v>1230</v>
      </c>
      <c r="E874" t="n">
        <v>109</v>
      </c>
      <c r="F874" t="n">
        <v>225</v>
      </c>
      <c r="G874" t="inlineStr">
        <is>
          <t>Hyderabad</t>
        </is>
      </c>
      <c r="H874" t="inlineStr">
        <is>
          <t>Biryani</t>
        </is>
      </c>
      <c r="I874" t="n">
        <v>604</v>
      </c>
      <c r="J874" t="n">
        <v>55.69</v>
      </c>
      <c r="K874" t="n">
        <v>30.5</v>
      </c>
      <c r="L874" t="n">
        <v>0.2</v>
      </c>
      <c r="M874" t="n">
        <v>128.43</v>
      </c>
      <c r="N874" t="n">
        <v>4.1</v>
      </c>
      <c r="O874" t="n">
        <v>37.6</v>
      </c>
      <c r="P874" t="inlineStr">
        <is>
          <t>Debit Card</t>
        </is>
      </c>
      <c r="Q874" t="inlineStr">
        <is>
          <t>Delivered</t>
        </is>
      </c>
      <c r="R874" t="n">
        <v>5</v>
      </c>
    </row>
    <row r="875">
      <c r="A875" t="inlineStr">
        <is>
          <t>ORD1874</t>
        </is>
      </c>
      <c r="B875" t="inlineStr">
        <is>
          <t>2025-11-06</t>
        </is>
      </c>
      <c r="C875" t="inlineStr">
        <is>
          <t>17:27:21</t>
        </is>
      </c>
      <c r="D875" t="n">
        <v>1087</v>
      </c>
      <c r="E875" t="n">
        <v>116</v>
      </c>
      <c r="F875" t="n">
        <v>224</v>
      </c>
      <c r="G875" t="inlineStr">
        <is>
          <t>Pune</t>
        </is>
      </c>
      <c r="H875" t="inlineStr">
        <is>
          <t>Desserts</t>
        </is>
      </c>
      <c r="I875" t="n">
        <v>599</v>
      </c>
      <c r="J875" t="n">
        <v>58.54</v>
      </c>
      <c r="K875" t="n">
        <v>28</v>
      </c>
      <c r="L875" t="n">
        <v>0.25</v>
      </c>
      <c r="M875" t="n">
        <v>156.75</v>
      </c>
      <c r="N875" t="n">
        <v>3.6</v>
      </c>
      <c r="O875" t="n">
        <v>28</v>
      </c>
      <c r="P875" t="inlineStr">
        <is>
          <t>Debit Card</t>
        </is>
      </c>
      <c r="Q875" t="inlineStr">
        <is>
          <t>Delivered</t>
        </is>
      </c>
      <c r="R875" t="n">
        <v>4</v>
      </c>
    </row>
    <row r="876">
      <c r="A876" t="inlineStr">
        <is>
          <t>ORD1875</t>
        </is>
      </c>
      <c r="B876" t="inlineStr">
        <is>
          <t>2025-12-07</t>
        </is>
      </c>
      <c r="C876" t="inlineStr">
        <is>
          <t>22:25:24</t>
        </is>
      </c>
      <c r="D876" t="n">
        <v>1085</v>
      </c>
      <c r="E876" t="n">
        <v>114</v>
      </c>
      <c r="F876" t="n">
        <v>216</v>
      </c>
      <c r="G876" t="inlineStr">
        <is>
          <t>Hyderabad</t>
        </is>
      </c>
      <c r="H876" t="inlineStr">
        <is>
          <t>Biryani</t>
        </is>
      </c>
      <c r="I876" t="n">
        <v>845</v>
      </c>
      <c r="J876" t="n">
        <v>0</v>
      </c>
      <c r="K876" t="n">
        <v>30.5</v>
      </c>
      <c r="L876" t="n">
        <v>0.22</v>
      </c>
      <c r="M876" t="n">
        <v>193.52</v>
      </c>
      <c r="N876" t="n">
        <v>4.1</v>
      </c>
      <c r="O876" t="n">
        <v>32.7</v>
      </c>
      <c r="P876" t="inlineStr">
        <is>
          <t>Debit Card</t>
        </is>
      </c>
      <c r="Q876" t="inlineStr">
        <is>
          <t>Delivered</t>
        </is>
      </c>
      <c r="R876" t="n">
        <v>4</v>
      </c>
    </row>
    <row r="877">
      <c r="A877" t="inlineStr">
        <is>
          <t>ORD1876</t>
        </is>
      </c>
      <c r="B877" t="inlineStr">
        <is>
          <t>2025-08-22</t>
        </is>
      </c>
      <c r="C877" t="inlineStr">
        <is>
          <t>21:55:44</t>
        </is>
      </c>
      <c r="D877" t="n">
        <v>1159</v>
      </c>
      <c r="E877" t="n">
        <v>104</v>
      </c>
      <c r="F877" t="n">
        <v>212</v>
      </c>
      <c r="G877" t="inlineStr">
        <is>
          <t>Delhi NCR</t>
        </is>
      </c>
      <c r="H877" t="inlineStr">
        <is>
          <t>Fast Food</t>
        </is>
      </c>
      <c r="I877" t="n">
        <v>631</v>
      </c>
      <c r="J877" t="n">
        <v>44.82</v>
      </c>
      <c r="K877" t="n">
        <v>77</v>
      </c>
      <c r="L877" t="n">
        <v>0.18</v>
      </c>
      <c r="M877" t="n">
        <v>132.83</v>
      </c>
      <c r="N877" t="n">
        <v>13.4</v>
      </c>
      <c r="O877" t="n">
        <v/>
      </c>
      <c r="P877" t="inlineStr">
        <is>
          <t>Digital Wallet</t>
        </is>
      </c>
      <c r="Q877" t="inlineStr">
        <is>
          <t>Cancelled</t>
        </is>
      </c>
      <c r="R877" t="n">
        <v/>
      </c>
    </row>
    <row r="878">
      <c r="A878" t="inlineStr">
        <is>
          <t>ORD1877</t>
        </is>
      </c>
      <c r="B878" t="inlineStr">
        <is>
          <t>2025-12-25</t>
        </is>
      </c>
      <c r="C878" t="inlineStr">
        <is>
          <t>20:48:52</t>
        </is>
      </c>
      <c r="D878" t="n">
        <v>1300</v>
      </c>
      <c r="E878" t="n">
        <v>118</v>
      </c>
      <c r="F878" t="n">
        <v>211</v>
      </c>
      <c r="G878" t="inlineStr">
        <is>
          <t>Delhi NCR</t>
        </is>
      </c>
      <c r="H878" t="inlineStr">
        <is>
          <t>North Indian</t>
        </is>
      </c>
      <c r="I878" t="n">
        <v>474</v>
      </c>
      <c r="J878" t="n">
        <v>0</v>
      </c>
      <c r="K878" t="n">
        <v>25</v>
      </c>
      <c r="L878" t="n">
        <v>0.2</v>
      </c>
      <c r="M878" t="n">
        <v>101.05</v>
      </c>
      <c r="N878" t="n">
        <v>2.1</v>
      </c>
      <c r="O878" t="n">
        <v>26.5</v>
      </c>
      <c r="P878" t="inlineStr">
        <is>
          <t>Cash on Delivery</t>
        </is>
      </c>
      <c r="Q878" t="inlineStr">
        <is>
          <t>Delivered</t>
        </is>
      </c>
      <c r="R878" t="n">
        <v>2</v>
      </c>
    </row>
    <row r="879">
      <c r="A879" t="inlineStr">
        <is>
          <t>ORD1878</t>
        </is>
      </c>
      <c r="B879" t="inlineStr">
        <is>
          <t>2025-11-23</t>
        </is>
      </c>
      <c r="C879" t="inlineStr">
        <is>
          <t>08:52:20</t>
        </is>
      </c>
      <c r="D879" t="n">
        <v>1284</v>
      </c>
      <c r="E879" t="n">
        <v>119</v>
      </c>
      <c r="F879" t="n">
        <v>225</v>
      </c>
      <c r="G879" t="inlineStr">
        <is>
          <t>Hyderabad</t>
        </is>
      </c>
      <c r="H879" t="inlineStr">
        <is>
          <t>Biryani</t>
        </is>
      </c>
      <c r="I879" t="n">
        <v>237</v>
      </c>
      <c r="J879" t="n">
        <v>16.56</v>
      </c>
      <c r="K879" t="n">
        <v>25</v>
      </c>
      <c r="L879" t="n">
        <v>0.2</v>
      </c>
      <c r="M879" t="n">
        <v>53.65</v>
      </c>
      <c r="N879" t="n">
        <v>2.6</v>
      </c>
      <c r="O879" t="n">
        <v>34.7</v>
      </c>
      <c r="P879" t="inlineStr">
        <is>
          <t>Debit Card</t>
        </is>
      </c>
      <c r="Q879" t="inlineStr">
        <is>
          <t>Delivered</t>
        </is>
      </c>
      <c r="R879" t="n">
        <v>5</v>
      </c>
    </row>
    <row r="880">
      <c r="A880" t="inlineStr">
        <is>
          <t>ORD1879</t>
        </is>
      </c>
      <c r="B880" t="inlineStr">
        <is>
          <t>2025-07-24</t>
        </is>
      </c>
      <c r="C880" t="inlineStr">
        <is>
          <t>21:47:39</t>
        </is>
      </c>
      <c r="D880" t="n">
        <v>1217</v>
      </c>
      <c r="E880" t="n">
        <v>114</v>
      </c>
      <c r="F880" t="n">
        <v>215</v>
      </c>
      <c r="G880" t="inlineStr">
        <is>
          <t>Hyderabad</t>
        </is>
      </c>
      <c r="H880" t="inlineStr">
        <is>
          <t>Biryani</t>
        </is>
      </c>
      <c r="I880" t="n">
        <v>303</v>
      </c>
      <c r="J880" t="n">
        <v>0</v>
      </c>
      <c r="K880" t="n">
        <v>34</v>
      </c>
      <c r="L880" t="n">
        <v>0.22</v>
      </c>
      <c r="M880" t="n">
        <v>75.16</v>
      </c>
      <c r="N880" t="n">
        <v>4.8</v>
      </c>
      <c r="O880" t="n">
        <v>44.7</v>
      </c>
      <c r="P880" t="inlineStr">
        <is>
          <t>Cash on Delivery</t>
        </is>
      </c>
      <c r="Q880" t="inlineStr">
        <is>
          <t>Delivered</t>
        </is>
      </c>
      <c r="R880" t="n">
        <v>5</v>
      </c>
    </row>
    <row r="881">
      <c r="A881" t="inlineStr">
        <is>
          <t>ORD1880</t>
        </is>
      </c>
      <c r="B881" t="inlineStr">
        <is>
          <t>2025-11-07</t>
        </is>
      </c>
      <c r="C881" t="inlineStr">
        <is>
          <t>17:12:45</t>
        </is>
      </c>
      <c r="D881" t="n">
        <v>1030</v>
      </c>
      <c r="E881" t="n">
        <v>102</v>
      </c>
      <c r="F881" t="n">
        <v>215</v>
      </c>
      <c r="G881" t="inlineStr">
        <is>
          <t>Hyderabad</t>
        </is>
      </c>
      <c r="H881" t="inlineStr">
        <is>
          <t>Biryani</t>
        </is>
      </c>
      <c r="I881" t="n">
        <v>366</v>
      </c>
      <c r="J881" t="n">
        <v>25.66</v>
      </c>
      <c r="K881" t="n">
        <v>26.5</v>
      </c>
      <c r="L881" t="n">
        <v>0.22</v>
      </c>
      <c r="M881" t="n">
        <v>87.14</v>
      </c>
      <c r="N881" t="n">
        <v>3.3</v>
      </c>
      <c r="O881" t="n">
        <v>29.3</v>
      </c>
      <c r="P881" t="inlineStr">
        <is>
          <t>Digital Wallet</t>
        </is>
      </c>
      <c r="Q881" t="inlineStr">
        <is>
          <t>Delivered</t>
        </is>
      </c>
      <c r="R881" t="n">
        <v>3</v>
      </c>
    </row>
    <row r="882">
      <c r="A882" t="inlineStr">
        <is>
          <t>ORD1881</t>
        </is>
      </c>
      <c r="B882" t="inlineStr">
        <is>
          <t>2025-09-12</t>
        </is>
      </c>
      <c r="C882" t="inlineStr">
        <is>
          <t>12:50:05</t>
        </is>
      </c>
      <c r="D882" t="n">
        <v>1094</v>
      </c>
      <c r="E882" t="n">
        <v>104</v>
      </c>
      <c r="F882" t="n">
        <v>228</v>
      </c>
      <c r="G882" t="inlineStr">
        <is>
          <t>Delhi NCR</t>
        </is>
      </c>
      <c r="H882" t="inlineStr">
        <is>
          <t>Fast Food</t>
        </is>
      </c>
      <c r="I882" t="n">
        <v>528</v>
      </c>
      <c r="J882" t="n">
        <v>42.08</v>
      </c>
      <c r="K882" t="n">
        <v>29</v>
      </c>
      <c r="L882" t="n">
        <v>0.18</v>
      </c>
      <c r="M882" t="n">
        <v>102.29</v>
      </c>
      <c r="N882" t="n">
        <v>3.8</v>
      </c>
      <c r="O882" t="n">
        <v>37.5</v>
      </c>
      <c r="P882" t="inlineStr">
        <is>
          <t>Cash on Delivery</t>
        </is>
      </c>
      <c r="Q882" t="inlineStr">
        <is>
          <t>Delivered</t>
        </is>
      </c>
      <c r="R882" t="n">
        <v>4</v>
      </c>
    </row>
    <row r="883">
      <c r="A883" t="inlineStr">
        <is>
          <t>ORD1882</t>
        </is>
      </c>
      <c r="B883" t="inlineStr">
        <is>
          <t>2025-03-01</t>
        </is>
      </c>
      <c r="C883" t="inlineStr">
        <is>
          <t>21:30:42</t>
        </is>
      </c>
      <c r="D883" t="n">
        <v>1287</v>
      </c>
      <c r="E883" t="n">
        <v>101</v>
      </c>
      <c r="F883" t="n">
        <v>227</v>
      </c>
      <c r="G883" t="inlineStr">
        <is>
          <t>Bangalore</t>
        </is>
      </c>
      <c r="H883" t="inlineStr">
        <is>
          <t>North Indian</t>
        </is>
      </c>
      <c r="I883" t="n">
        <v>773</v>
      </c>
      <c r="J883" t="n">
        <v>0</v>
      </c>
      <c r="K883" t="n">
        <v>26.5</v>
      </c>
      <c r="L883" t="n">
        <v>0.2</v>
      </c>
      <c r="M883" t="n">
        <v>161.23</v>
      </c>
      <c r="N883" t="n">
        <v>3.3</v>
      </c>
      <c r="O883" t="n">
        <v>26.6</v>
      </c>
      <c r="P883" t="inlineStr">
        <is>
          <t>UPI</t>
        </is>
      </c>
      <c r="Q883" t="inlineStr">
        <is>
          <t>Delivered</t>
        </is>
      </c>
      <c r="R883" t="n">
        <v>4</v>
      </c>
    </row>
    <row r="884">
      <c r="A884" t="inlineStr">
        <is>
          <t>ORD1883</t>
        </is>
      </c>
      <c r="B884" t="inlineStr">
        <is>
          <t>2025-01-15</t>
        </is>
      </c>
      <c r="C884" t="inlineStr">
        <is>
          <t>13:10:59</t>
        </is>
      </c>
      <c r="D884" t="n">
        <v>1062</v>
      </c>
      <c r="E884" t="n">
        <v>103</v>
      </c>
      <c r="F884" t="n">
        <v>202</v>
      </c>
      <c r="G884" t="inlineStr">
        <is>
          <t>Mumbai</t>
        </is>
      </c>
      <c r="H884" t="inlineStr">
        <is>
          <t>Italian</t>
        </is>
      </c>
      <c r="I884" t="n">
        <v>554</v>
      </c>
      <c r="J884" t="n">
        <v>33.96</v>
      </c>
      <c r="K884" t="n">
        <v>26.5</v>
      </c>
      <c r="L884" t="n">
        <v>0.18</v>
      </c>
      <c r="M884" t="n">
        <v>106.34</v>
      </c>
      <c r="N884" t="n">
        <v>3.3</v>
      </c>
      <c r="O884" t="n">
        <v>26.8</v>
      </c>
      <c r="P884" t="inlineStr">
        <is>
          <t>Debit Card</t>
        </is>
      </c>
      <c r="Q884" t="inlineStr">
        <is>
          <t>Delivered</t>
        </is>
      </c>
      <c r="R884" t="n">
        <v>5</v>
      </c>
    </row>
    <row r="885">
      <c r="A885" t="inlineStr">
        <is>
          <t>ORD1884</t>
        </is>
      </c>
      <c r="B885" t="inlineStr">
        <is>
          <t>2025-10-01</t>
        </is>
      </c>
      <c r="C885" t="inlineStr">
        <is>
          <t>18:40:46</t>
        </is>
      </c>
      <c r="D885" t="n">
        <v>1174</v>
      </c>
      <c r="E885" t="n">
        <v>109</v>
      </c>
      <c r="F885" t="n">
        <v>225</v>
      </c>
      <c r="G885" t="inlineStr">
        <is>
          <t>Hyderabad</t>
        </is>
      </c>
      <c r="H885" t="inlineStr">
        <is>
          <t>Biryani</t>
        </is>
      </c>
      <c r="I885" t="n">
        <v>723</v>
      </c>
      <c r="J885" t="n">
        <v>0</v>
      </c>
      <c r="K885" t="n">
        <v>27.5</v>
      </c>
      <c r="L885" t="n">
        <v>0.2</v>
      </c>
      <c r="M885" t="n">
        <v>151.48</v>
      </c>
      <c r="N885" t="n">
        <v>3.5</v>
      </c>
      <c r="O885" t="n">
        <v>29.8</v>
      </c>
      <c r="P885" t="inlineStr">
        <is>
          <t>Credit Card</t>
        </is>
      </c>
      <c r="Q885" t="inlineStr">
        <is>
          <t>Delivered</t>
        </is>
      </c>
      <c r="R885" t="n">
        <v>4</v>
      </c>
    </row>
    <row r="886">
      <c r="A886" t="inlineStr">
        <is>
          <t>ORD1885</t>
        </is>
      </c>
      <c r="B886" t="inlineStr">
        <is>
          <t>2025-07-15</t>
        </is>
      </c>
      <c r="C886" t="inlineStr">
        <is>
          <t>13:41:41</t>
        </is>
      </c>
      <c r="D886" t="n">
        <v>1207</v>
      </c>
      <c r="E886" t="n">
        <v>118</v>
      </c>
      <c r="F886" t="n">
        <v>221</v>
      </c>
      <c r="G886" t="inlineStr">
        <is>
          <t>Delhi NCR</t>
        </is>
      </c>
      <c r="H886" t="inlineStr">
        <is>
          <t>North Indian</t>
        </is>
      </c>
      <c r="I886" t="n">
        <v>795</v>
      </c>
      <c r="J886" t="n">
        <v>27.79</v>
      </c>
      <c r="K886" t="n">
        <v>26.5</v>
      </c>
      <c r="L886" t="n">
        <v>0.2</v>
      </c>
      <c r="M886" t="n">
        <v>165.62</v>
      </c>
      <c r="N886" t="n">
        <v>3.3</v>
      </c>
      <c r="O886" t="n">
        <v>34.3</v>
      </c>
      <c r="P886" t="inlineStr">
        <is>
          <t>Debit Card</t>
        </is>
      </c>
      <c r="Q886" t="inlineStr">
        <is>
          <t>Delivered</t>
        </is>
      </c>
      <c r="R886" t="n">
        <v>5</v>
      </c>
    </row>
    <row r="887">
      <c r="A887" t="inlineStr">
        <is>
          <t>ORD1886</t>
        </is>
      </c>
      <c r="B887" t="inlineStr">
        <is>
          <t>2025-02-14</t>
        </is>
      </c>
      <c r="C887" t="inlineStr">
        <is>
          <t>15:07:05</t>
        </is>
      </c>
      <c r="D887" t="n">
        <v>1119</v>
      </c>
      <c r="E887" t="n">
        <v>104</v>
      </c>
      <c r="F887" t="n">
        <v>228</v>
      </c>
      <c r="G887" t="inlineStr">
        <is>
          <t>Delhi NCR</t>
        </is>
      </c>
      <c r="H887" t="inlineStr">
        <is>
          <t>Fast Food</t>
        </is>
      </c>
      <c r="I887" t="n">
        <v>857</v>
      </c>
      <c r="J887" t="n">
        <v>136.45</v>
      </c>
      <c r="K887" t="n">
        <v>0</v>
      </c>
      <c r="L887" t="n">
        <v>0.18</v>
      </c>
      <c r="M887" t="n">
        <v>154.26</v>
      </c>
      <c r="N887" t="n">
        <v>1.9</v>
      </c>
      <c r="O887" t="n">
        <v>20</v>
      </c>
      <c r="P887" t="inlineStr">
        <is>
          <t>UPI</t>
        </is>
      </c>
      <c r="Q887" t="inlineStr">
        <is>
          <t>Delivered</t>
        </is>
      </c>
      <c r="R887" t="n">
        <v>4</v>
      </c>
    </row>
    <row r="888">
      <c r="A888" t="inlineStr">
        <is>
          <t>ORD1887</t>
        </is>
      </c>
      <c r="B888" t="inlineStr">
        <is>
          <t>2025-07-14</t>
        </is>
      </c>
      <c r="C888" t="inlineStr">
        <is>
          <t>21:36:47</t>
        </is>
      </c>
      <c r="D888" t="n">
        <v>1243</v>
      </c>
      <c r="E888" t="n">
        <v>108</v>
      </c>
      <c r="F888" t="n">
        <v>219</v>
      </c>
      <c r="G888" t="inlineStr">
        <is>
          <t>Delhi NCR</t>
        </is>
      </c>
      <c r="H888" t="inlineStr">
        <is>
          <t>Fast Food</t>
        </is>
      </c>
      <c r="I888" t="n">
        <v>400</v>
      </c>
      <c r="J888" t="n">
        <v>42.48</v>
      </c>
      <c r="K888" t="n">
        <v>26.5</v>
      </c>
      <c r="L888" t="n">
        <v>0.18</v>
      </c>
      <c r="M888" t="n">
        <v>78.62</v>
      </c>
      <c r="N888" t="n">
        <v>3.3</v>
      </c>
      <c r="O888" t="n">
        <v/>
      </c>
      <c r="P888" t="inlineStr">
        <is>
          <t>Cash on Delivery</t>
        </is>
      </c>
      <c r="Q888" t="inlineStr">
        <is>
          <t>Cancelled</t>
        </is>
      </c>
      <c r="R888" t="n">
        <v/>
      </c>
    </row>
    <row r="889">
      <c r="A889" t="inlineStr">
        <is>
          <t>ORD1888</t>
        </is>
      </c>
      <c r="B889" t="inlineStr">
        <is>
          <t>2025-12-14</t>
        </is>
      </c>
      <c r="C889" t="inlineStr">
        <is>
          <t>09:59:50</t>
        </is>
      </c>
      <c r="D889" t="n">
        <v>1008</v>
      </c>
      <c r="E889" t="n">
        <v>107</v>
      </c>
      <c r="F889" t="n">
        <v>222</v>
      </c>
      <c r="G889" t="inlineStr">
        <is>
          <t>Mumbai</t>
        </is>
      </c>
      <c r="H889" t="inlineStr">
        <is>
          <t>Desserts</t>
        </is>
      </c>
      <c r="I889" t="n">
        <v>582</v>
      </c>
      <c r="J889" t="n">
        <v>96.83</v>
      </c>
      <c r="K889" t="n">
        <v>0</v>
      </c>
      <c r="L889" t="n">
        <v>0.25</v>
      </c>
      <c r="M889" t="n">
        <v>145.5</v>
      </c>
      <c r="N889" t="n">
        <v>2.7</v>
      </c>
      <c r="O889" t="n">
        <v>26.3</v>
      </c>
      <c r="P889" t="inlineStr">
        <is>
          <t>UPI</t>
        </is>
      </c>
      <c r="Q889" t="inlineStr">
        <is>
          <t>Delivered</t>
        </is>
      </c>
      <c r="R889" t="n">
        <v>5</v>
      </c>
    </row>
    <row r="890">
      <c r="A890" t="inlineStr">
        <is>
          <t>ORD1889</t>
        </is>
      </c>
      <c r="B890" t="inlineStr">
        <is>
          <t>2025-06-11</t>
        </is>
      </c>
      <c r="C890" t="inlineStr">
        <is>
          <t>09:09:52</t>
        </is>
      </c>
      <c r="D890" t="n">
        <v>1186</v>
      </c>
      <c r="E890" t="n">
        <v>119</v>
      </c>
      <c r="F890" t="n">
        <v>216</v>
      </c>
      <c r="G890" t="inlineStr">
        <is>
          <t>Hyderabad</t>
        </is>
      </c>
      <c r="H890" t="inlineStr">
        <is>
          <t>Biryani</t>
        </is>
      </c>
      <c r="I890" t="n">
        <v>523</v>
      </c>
      <c r="J890" t="n">
        <v>56.8</v>
      </c>
      <c r="K890" t="n">
        <v>30</v>
      </c>
      <c r="L890" t="n">
        <v>0.2</v>
      </c>
      <c r="M890" t="n">
        <v>112.1</v>
      </c>
      <c r="N890" t="n">
        <v>4</v>
      </c>
      <c r="O890" t="n">
        <v>28.8</v>
      </c>
      <c r="P890" t="inlineStr">
        <is>
          <t>Cash on Delivery</t>
        </is>
      </c>
      <c r="Q890" t="inlineStr">
        <is>
          <t>Delivered</t>
        </is>
      </c>
      <c r="R890" t="n">
        <v>5</v>
      </c>
    </row>
    <row r="891">
      <c r="A891" t="inlineStr">
        <is>
          <t>ORD1890</t>
        </is>
      </c>
      <c r="B891" t="inlineStr">
        <is>
          <t>2025-03-16</t>
        </is>
      </c>
      <c r="C891" t="inlineStr">
        <is>
          <t>10:47:42</t>
        </is>
      </c>
      <c r="D891" t="n">
        <v>1265</v>
      </c>
      <c r="E891" t="n">
        <v>111</v>
      </c>
      <c r="F891" t="n">
        <v>218</v>
      </c>
      <c r="G891" t="inlineStr">
        <is>
          <t>Bangalore</t>
        </is>
      </c>
      <c r="H891" t="inlineStr">
        <is>
          <t>South Indian</t>
        </is>
      </c>
      <c r="I891" t="n">
        <v>1047</v>
      </c>
      <c r="J891" t="n">
        <v>167.4</v>
      </c>
      <c r="K891" t="n">
        <v>0</v>
      </c>
      <c r="L891" t="n">
        <v>0.15</v>
      </c>
      <c r="M891" t="n">
        <v>157.05</v>
      </c>
      <c r="N891" t="n">
        <v>5.1</v>
      </c>
      <c r="O891" t="n">
        <v>31.5</v>
      </c>
      <c r="P891" t="inlineStr">
        <is>
          <t>UPI</t>
        </is>
      </c>
      <c r="Q891" t="inlineStr">
        <is>
          <t>Delivered</t>
        </is>
      </c>
      <c r="R891" t="n">
        <v>4</v>
      </c>
    </row>
    <row r="892">
      <c r="A892" t="inlineStr">
        <is>
          <t>ORD1891</t>
        </is>
      </c>
      <c r="B892" t="inlineStr">
        <is>
          <t>2025-09-11</t>
        </is>
      </c>
      <c r="C892" t="inlineStr">
        <is>
          <t>12:18:45</t>
        </is>
      </c>
      <c r="D892" t="n">
        <v>1039</v>
      </c>
      <c r="E892" t="n">
        <v>115</v>
      </c>
      <c r="F892" t="n">
        <v>201</v>
      </c>
      <c r="G892" t="inlineStr">
        <is>
          <t>Bangalore</t>
        </is>
      </c>
      <c r="H892" t="inlineStr">
        <is>
          <t>Italian</t>
        </is>
      </c>
      <c r="I892" t="n">
        <v>605</v>
      </c>
      <c r="J892" t="n">
        <v>32.74</v>
      </c>
      <c r="K892" t="n">
        <v>39</v>
      </c>
      <c r="L892" t="n">
        <v>0.2</v>
      </c>
      <c r="M892" t="n">
        <v>130.75</v>
      </c>
      <c r="N892" t="n">
        <v>5.8</v>
      </c>
      <c r="O892" t="n">
        <v>45</v>
      </c>
      <c r="P892" t="inlineStr">
        <is>
          <t>Credit Card</t>
        </is>
      </c>
      <c r="Q892" t="inlineStr">
        <is>
          <t>Delivered</t>
        </is>
      </c>
      <c r="R892" t="n">
        <v>2</v>
      </c>
    </row>
    <row r="893">
      <c r="A893" t="inlineStr">
        <is>
          <t>ORD1892</t>
        </is>
      </c>
      <c r="B893" t="inlineStr">
        <is>
          <t>2025-04-02</t>
        </is>
      </c>
      <c r="C893" t="inlineStr">
        <is>
          <t>07:54:31</t>
        </is>
      </c>
      <c r="D893" t="n">
        <v>1109</v>
      </c>
      <c r="E893" t="n">
        <v>117</v>
      </c>
      <c r="F893" t="n">
        <v>229</v>
      </c>
      <c r="G893" t="inlineStr">
        <is>
          <t>Mumbai</t>
        </is>
      </c>
      <c r="H893" t="inlineStr">
        <is>
          <t>Chinese</t>
        </is>
      </c>
      <c r="I893" t="n">
        <v>621</v>
      </c>
      <c r="J893" t="n">
        <v>0</v>
      </c>
      <c r="K893" t="n">
        <v>34</v>
      </c>
      <c r="L893" t="n">
        <v>0.2</v>
      </c>
      <c r="M893" t="n">
        <v>132.7</v>
      </c>
      <c r="N893" t="n">
        <v>4.8</v>
      </c>
      <c r="O893" t="n">
        <v>42.5</v>
      </c>
      <c r="P893" t="inlineStr">
        <is>
          <t>Credit Card</t>
        </is>
      </c>
      <c r="Q893" t="inlineStr">
        <is>
          <t>Delivered</t>
        </is>
      </c>
      <c r="R893" t="n">
        <v>5</v>
      </c>
    </row>
    <row r="894">
      <c r="A894" t="inlineStr">
        <is>
          <t>ORD1893</t>
        </is>
      </c>
      <c r="B894" t="inlineStr">
        <is>
          <t>2025-06-22</t>
        </is>
      </c>
      <c r="C894" t="inlineStr">
        <is>
          <t>21:27:43</t>
        </is>
      </c>
      <c r="D894" t="n">
        <v>1247</v>
      </c>
      <c r="E894" t="n">
        <v>101</v>
      </c>
      <c r="F894" t="n">
        <v>201</v>
      </c>
      <c r="G894" t="inlineStr">
        <is>
          <t>Bangalore</t>
        </is>
      </c>
      <c r="H894" t="inlineStr">
        <is>
          <t>North Indian</t>
        </is>
      </c>
      <c r="I894" t="n">
        <v>704</v>
      </c>
      <c r="J894" t="n">
        <v>42.67</v>
      </c>
      <c r="K894" t="n">
        <v>37.5</v>
      </c>
      <c r="L894" t="n">
        <v>0.2</v>
      </c>
      <c r="M894" t="n">
        <v>150.18</v>
      </c>
      <c r="N894" t="n">
        <v>5.5</v>
      </c>
      <c r="O894" t="n">
        <v>36.9</v>
      </c>
      <c r="P894" t="inlineStr">
        <is>
          <t>Digital Wallet</t>
        </is>
      </c>
      <c r="Q894" t="inlineStr">
        <is>
          <t>Delivered</t>
        </is>
      </c>
      <c r="R894" t="n">
        <v>3</v>
      </c>
    </row>
    <row r="895">
      <c r="A895" t="inlineStr">
        <is>
          <t>ORD1894</t>
        </is>
      </c>
      <c r="B895" t="inlineStr">
        <is>
          <t>2025-12-25</t>
        </is>
      </c>
      <c r="C895" t="inlineStr">
        <is>
          <t>09:54:35</t>
        </is>
      </c>
      <c r="D895" t="n">
        <v>1153</v>
      </c>
      <c r="E895" t="n">
        <v>115</v>
      </c>
      <c r="F895" t="n">
        <v>210</v>
      </c>
      <c r="G895" t="inlineStr">
        <is>
          <t>Bangalore</t>
        </is>
      </c>
      <c r="H895" t="inlineStr">
        <is>
          <t>Italian</t>
        </is>
      </c>
      <c r="I895" t="n">
        <v>623</v>
      </c>
      <c r="J895" t="n">
        <v>0</v>
      </c>
      <c r="K895" t="n">
        <v>27</v>
      </c>
      <c r="L895" t="n">
        <v>0.2</v>
      </c>
      <c r="M895" t="n">
        <v>131.35</v>
      </c>
      <c r="N895" t="n">
        <v>3.4</v>
      </c>
      <c r="O895" t="n">
        <v>30.8</v>
      </c>
      <c r="P895" t="inlineStr">
        <is>
          <t>Digital Wallet</t>
        </is>
      </c>
      <c r="Q895" t="inlineStr">
        <is>
          <t>Delivered</t>
        </is>
      </c>
      <c r="R895" t="n">
        <v>3</v>
      </c>
    </row>
    <row r="896">
      <c r="A896" t="inlineStr">
        <is>
          <t>ORD1895</t>
        </is>
      </c>
      <c r="B896" t="inlineStr">
        <is>
          <t>2025-08-23</t>
        </is>
      </c>
      <c r="C896" t="inlineStr">
        <is>
          <t>19:41:10</t>
        </is>
      </c>
      <c r="D896" t="n">
        <v>1098</v>
      </c>
      <c r="E896" t="n">
        <v>118</v>
      </c>
      <c r="F896" t="n">
        <v>211</v>
      </c>
      <c r="G896" t="inlineStr">
        <is>
          <t>Delhi NCR</t>
        </is>
      </c>
      <c r="H896" t="inlineStr">
        <is>
          <t>North Indian</t>
        </is>
      </c>
      <c r="I896" t="n">
        <v>811</v>
      </c>
      <c r="J896" t="n">
        <v>0</v>
      </c>
      <c r="K896" t="n">
        <v>54</v>
      </c>
      <c r="L896" t="n">
        <v>0.2</v>
      </c>
      <c r="M896" t="n">
        <v>175.7</v>
      </c>
      <c r="N896" t="n">
        <v>8.800000000000001</v>
      </c>
      <c r="O896" t="n">
        <v/>
      </c>
      <c r="P896" t="inlineStr">
        <is>
          <t>Debit Card</t>
        </is>
      </c>
      <c r="Q896" t="inlineStr">
        <is>
          <t>Cancelled</t>
        </is>
      </c>
      <c r="R896" t="n">
        <v/>
      </c>
    </row>
    <row r="897">
      <c r="A897" t="inlineStr">
        <is>
          <t>ORD1896</t>
        </is>
      </c>
      <c r="B897" t="inlineStr">
        <is>
          <t>2025-04-22</t>
        </is>
      </c>
      <c r="C897" t="inlineStr">
        <is>
          <t>07:51:47</t>
        </is>
      </c>
      <c r="D897" t="n">
        <v>1209</v>
      </c>
      <c r="E897" t="n">
        <v>120</v>
      </c>
      <c r="F897" t="n">
        <v>226</v>
      </c>
      <c r="G897" t="inlineStr">
        <is>
          <t>Pune</t>
        </is>
      </c>
      <c r="H897" t="inlineStr">
        <is>
          <t>Fast Food</t>
        </is>
      </c>
      <c r="I897" t="n">
        <v>420</v>
      </c>
      <c r="J897" t="n">
        <v>0.31</v>
      </c>
      <c r="K897" t="n">
        <v>25.5</v>
      </c>
      <c r="L897" t="n">
        <v>0.18</v>
      </c>
      <c r="M897" t="n">
        <v>81.98</v>
      </c>
      <c r="N897" t="n">
        <v>3.1</v>
      </c>
      <c r="O897" t="n">
        <v>29.1</v>
      </c>
      <c r="P897" t="inlineStr">
        <is>
          <t>Digital Wallet</t>
        </is>
      </c>
      <c r="Q897" t="inlineStr">
        <is>
          <t>Delivered</t>
        </is>
      </c>
      <c r="R897" t="n">
        <v>4</v>
      </c>
    </row>
    <row r="898">
      <c r="A898" t="inlineStr">
        <is>
          <t>ORD1897</t>
        </is>
      </c>
      <c r="B898" t="inlineStr">
        <is>
          <t>2025-07-12</t>
        </is>
      </c>
      <c r="C898" t="inlineStr">
        <is>
          <t>12:27:43</t>
        </is>
      </c>
      <c r="D898" t="n">
        <v>1010</v>
      </c>
      <c r="E898" t="n">
        <v>109</v>
      </c>
      <c r="F898" t="n">
        <v>216</v>
      </c>
      <c r="G898" t="inlineStr">
        <is>
          <t>Hyderabad</t>
        </is>
      </c>
      <c r="H898" t="inlineStr">
        <is>
          <t>Biryani</t>
        </is>
      </c>
      <c r="I898" t="n">
        <v>392</v>
      </c>
      <c r="J898" t="n">
        <v>45.01</v>
      </c>
      <c r="K898" t="n">
        <v>63</v>
      </c>
      <c r="L898" t="n">
        <v>0.2</v>
      </c>
      <c r="M898" t="n">
        <v>94.15000000000001</v>
      </c>
      <c r="N898" t="n">
        <v>10.6</v>
      </c>
      <c r="O898" t="n">
        <v>54.9</v>
      </c>
      <c r="P898" t="inlineStr">
        <is>
          <t>Cash on Delivery</t>
        </is>
      </c>
      <c r="Q898" t="inlineStr">
        <is>
          <t>Delivered</t>
        </is>
      </c>
      <c r="R898" t="n">
        <v>3</v>
      </c>
    </row>
    <row r="899">
      <c r="A899" t="inlineStr">
        <is>
          <t>ORD1898</t>
        </is>
      </c>
      <c r="B899" t="inlineStr">
        <is>
          <t>2025-03-02</t>
        </is>
      </c>
      <c r="C899" t="inlineStr">
        <is>
          <t>21:32:41</t>
        </is>
      </c>
      <c r="D899" t="n">
        <v>1079</v>
      </c>
      <c r="E899" t="n">
        <v>105</v>
      </c>
      <c r="F899" t="n">
        <v>210</v>
      </c>
      <c r="G899" t="inlineStr">
        <is>
          <t>Bangalore</t>
        </is>
      </c>
      <c r="H899" t="inlineStr">
        <is>
          <t>Chinese</t>
        </is>
      </c>
      <c r="I899" t="n">
        <v>566</v>
      </c>
      <c r="J899" t="n">
        <v>43.91</v>
      </c>
      <c r="K899" t="n">
        <v>32.5</v>
      </c>
      <c r="L899" t="n">
        <v>0.2</v>
      </c>
      <c r="M899" t="n">
        <v>121.32</v>
      </c>
      <c r="N899" t="n">
        <v>4.5</v>
      </c>
      <c r="O899" t="n">
        <v>40</v>
      </c>
      <c r="P899" t="inlineStr">
        <is>
          <t>Cash on Delivery</t>
        </is>
      </c>
      <c r="Q899" t="inlineStr">
        <is>
          <t>Delivered</t>
        </is>
      </c>
      <c r="R899" t="n">
        <v>2</v>
      </c>
    </row>
    <row r="900">
      <c r="A900" t="inlineStr">
        <is>
          <t>ORD1899</t>
        </is>
      </c>
      <c r="B900" t="inlineStr">
        <is>
          <t>2025-03-02</t>
        </is>
      </c>
      <c r="C900" t="inlineStr">
        <is>
          <t>19:15:25</t>
        </is>
      </c>
      <c r="D900" t="n">
        <v>1014</v>
      </c>
      <c r="E900" t="n">
        <v>108</v>
      </c>
      <c r="F900" t="n">
        <v>221</v>
      </c>
      <c r="G900" t="inlineStr">
        <is>
          <t>Delhi NCR</t>
        </is>
      </c>
      <c r="H900" t="inlineStr">
        <is>
          <t>Fast Food</t>
        </is>
      </c>
      <c r="I900" t="n">
        <v>720</v>
      </c>
      <c r="J900" t="n">
        <v>0</v>
      </c>
      <c r="K900" t="n">
        <v>25</v>
      </c>
      <c r="L900" t="n">
        <v>0.18</v>
      </c>
      <c r="M900" t="n">
        <v>135.85</v>
      </c>
      <c r="N900" t="n">
        <v>2.4</v>
      </c>
      <c r="O900" t="n">
        <v>29.2</v>
      </c>
      <c r="P900" t="inlineStr">
        <is>
          <t>Credit Card</t>
        </is>
      </c>
      <c r="Q900" t="inlineStr">
        <is>
          <t>Delivered</t>
        </is>
      </c>
      <c r="R900" t="n">
        <v>3</v>
      </c>
    </row>
    <row r="901">
      <c r="A901" t="inlineStr">
        <is>
          <t>ORD1900</t>
        </is>
      </c>
      <c r="B901" t="inlineStr">
        <is>
          <t>2025-11-29</t>
        </is>
      </c>
      <c r="C901" t="inlineStr">
        <is>
          <t>06:24:17</t>
        </is>
      </c>
      <c r="D901" t="n">
        <v>1153</v>
      </c>
      <c r="E901" t="n">
        <v>111</v>
      </c>
      <c r="F901" t="n">
        <v>223</v>
      </c>
      <c r="G901" t="inlineStr">
        <is>
          <t>Bangalore</t>
        </is>
      </c>
      <c r="H901" t="inlineStr">
        <is>
          <t>South Indian</t>
        </is>
      </c>
      <c r="I901" t="n">
        <v>867</v>
      </c>
      <c r="J901" t="n">
        <v>25.48</v>
      </c>
      <c r="K901" t="n">
        <v>25</v>
      </c>
      <c r="L901" t="n">
        <v>0.15</v>
      </c>
      <c r="M901" t="n">
        <v>136.3</v>
      </c>
      <c r="N901" t="n">
        <v>1.7</v>
      </c>
      <c r="O901" t="n">
        <v>33.4</v>
      </c>
      <c r="P901" t="inlineStr">
        <is>
          <t>UPI</t>
        </is>
      </c>
      <c r="Q901" t="inlineStr">
        <is>
          <t>Delivered</t>
        </is>
      </c>
      <c r="R901" t="n">
        <v>5</v>
      </c>
    </row>
    <row r="902">
      <c r="A902" t="inlineStr">
        <is>
          <t>ORD1901</t>
        </is>
      </c>
      <c r="B902" t="inlineStr">
        <is>
          <t>2025-11-25</t>
        </is>
      </c>
      <c r="C902" t="inlineStr">
        <is>
          <t>16:42:58</t>
        </is>
      </c>
      <c r="D902" t="n">
        <v>1132</v>
      </c>
      <c r="E902" t="n">
        <v>101</v>
      </c>
      <c r="F902" t="n">
        <v>220</v>
      </c>
      <c r="G902" t="inlineStr">
        <is>
          <t>Bangalore</t>
        </is>
      </c>
      <c r="H902" t="inlineStr">
        <is>
          <t>North Indian</t>
        </is>
      </c>
      <c r="I902" t="n">
        <v>741</v>
      </c>
      <c r="J902" t="n">
        <v>0</v>
      </c>
      <c r="K902" t="n">
        <v>31</v>
      </c>
      <c r="L902" t="n">
        <v>0.2</v>
      </c>
      <c r="M902" t="n">
        <v>155.95</v>
      </c>
      <c r="N902" t="n">
        <v>4.2</v>
      </c>
      <c r="O902" t="n">
        <v>29.9</v>
      </c>
      <c r="P902" t="inlineStr">
        <is>
          <t>Digital Wallet</t>
        </is>
      </c>
      <c r="Q902" t="inlineStr">
        <is>
          <t>Delivered</t>
        </is>
      </c>
      <c r="R902" t="n">
        <v>4</v>
      </c>
    </row>
    <row r="903">
      <c r="A903" t="inlineStr">
        <is>
          <t>ORD1902</t>
        </is>
      </c>
      <c r="B903" t="inlineStr">
        <is>
          <t>2025-10-31</t>
        </is>
      </c>
      <c r="C903" t="inlineStr">
        <is>
          <t>14:11:24</t>
        </is>
      </c>
      <c r="D903" t="n">
        <v>1034</v>
      </c>
      <c r="E903" t="n">
        <v>113</v>
      </c>
      <c r="F903" t="n">
        <v>206</v>
      </c>
      <c r="G903" t="inlineStr">
        <is>
          <t>Mumbai</t>
        </is>
      </c>
      <c r="H903" t="inlineStr">
        <is>
          <t>Fast Food</t>
        </is>
      </c>
      <c r="I903" t="n">
        <v>980</v>
      </c>
      <c r="J903" t="n">
        <v>166.87</v>
      </c>
      <c r="K903" t="n">
        <v>0</v>
      </c>
      <c r="L903" t="n">
        <v>0.18</v>
      </c>
      <c r="M903" t="n">
        <v>176.4</v>
      </c>
      <c r="N903" t="n">
        <v>4.3</v>
      </c>
      <c r="O903" t="n">
        <v>31.5</v>
      </c>
      <c r="P903" t="inlineStr">
        <is>
          <t>Credit Card</t>
        </is>
      </c>
      <c r="Q903" t="inlineStr">
        <is>
          <t>Delivered</t>
        </is>
      </c>
      <c r="R903" t="n">
        <v>4</v>
      </c>
    </row>
    <row r="904">
      <c r="A904" t="inlineStr">
        <is>
          <t>ORD1903</t>
        </is>
      </c>
      <c r="B904" t="inlineStr">
        <is>
          <t>2025-02-02</t>
        </is>
      </c>
      <c r="C904" t="inlineStr">
        <is>
          <t>10:45:58</t>
        </is>
      </c>
      <c r="D904" t="n">
        <v>1281</v>
      </c>
      <c r="E904" t="n">
        <v>111</v>
      </c>
      <c r="F904" t="n">
        <v>201</v>
      </c>
      <c r="G904" t="inlineStr">
        <is>
          <t>Bangalore</t>
        </is>
      </c>
      <c r="H904" t="inlineStr">
        <is>
          <t>South Indian</t>
        </is>
      </c>
      <c r="I904" t="n">
        <v>917</v>
      </c>
      <c r="J904" t="n">
        <v>128.87</v>
      </c>
      <c r="K904" t="n">
        <v>0</v>
      </c>
      <c r="L904" t="n">
        <v>0.15</v>
      </c>
      <c r="M904" t="n">
        <v>137.55</v>
      </c>
      <c r="N904" t="n">
        <v>8</v>
      </c>
      <c r="O904" t="n">
        <v>47.5</v>
      </c>
      <c r="P904" t="inlineStr">
        <is>
          <t>Cash on Delivery</t>
        </is>
      </c>
      <c r="Q904" t="inlineStr">
        <is>
          <t>Delivered</t>
        </is>
      </c>
      <c r="R904" t="n">
        <v>1</v>
      </c>
    </row>
    <row r="905">
      <c r="A905" t="inlineStr">
        <is>
          <t>ORD1904</t>
        </is>
      </c>
      <c r="B905" t="inlineStr">
        <is>
          <t>2025-04-17</t>
        </is>
      </c>
      <c r="C905" t="inlineStr">
        <is>
          <t>16:42:57</t>
        </is>
      </c>
      <c r="D905" t="n">
        <v>1169</v>
      </c>
      <c r="E905" t="n">
        <v>103</v>
      </c>
      <c r="F905" t="n">
        <v>229</v>
      </c>
      <c r="G905" t="inlineStr">
        <is>
          <t>Mumbai</t>
        </is>
      </c>
      <c r="H905" t="inlineStr">
        <is>
          <t>Italian</t>
        </is>
      </c>
      <c r="I905" t="n">
        <v>340</v>
      </c>
      <c r="J905" t="n">
        <v>0</v>
      </c>
      <c r="K905" t="n">
        <v>32</v>
      </c>
      <c r="L905" t="n">
        <v>0.18</v>
      </c>
      <c r="M905" t="n">
        <v>69.2</v>
      </c>
      <c r="N905" t="n">
        <v>4.4</v>
      </c>
      <c r="O905" t="n">
        <v>32</v>
      </c>
      <c r="P905" t="inlineStr">
        <is>
          <t>Credit Card</t>
        </is>
      </c>
      <c r="Q905" t="inlineStr">
        <is>
          <t>Delivered</t>
        </is>
      </c>
      <c r="R905" t="n">
        <v>4</v>
      </c>
    </row>
    <row r="906">
      <c r="A906" t="inlineStr">
        <is>
          <t>ORD1905</t>
        </is>
      </c>
      <c r="B906" t="inlineStr">
        <is>
          <t>2025-06-10</t>
        </is>
      </c>
      <c r="C906" t="inlineStr">
        <is>
          <t>21:07:02</t>
        </is>
      </c>
      <c r="D906" t="n">
        <v>1215</v>
      </c>
      <c r="E906" t="n">
        <v>110</v>
      </c>
      <c r="F906" t="n">
        <v>217</v>
      </c>
      <c r="G906" t="inlineStr">
        <is>
          <t>Pune</t>
        </is>
      </c>
      <c r="H906" t="inlineStr">
        <is>
          <t>North Indian</t>
        </is>
      </c>
      <c r="I906" t="n">
        <v>351</v>
      </c>
      <c r="J906" t="n">
        <v>31.68</v>
      </c>
      <c r="K906" t="n">
        <v>34</v>
      </c>
      <c r="L906" t="n">
        <v>0.18</v>
      </c>
      <c r="M906" t="n">
        <v>71.68000000000001</v>
      </c>
      <c r="N906" t="n">
        <v>4.8</v>
      </c>
      <c r="O906" t="n">
        <v>39.6</v>
      </c>
      <c r="P906" t="inlineStr">
        <is>
          <t>UPI</t>
        </is>
      </c>
      <c r="Q906" t="inlineStr">
        <is>
          <t>Delivered</t>
        </is>
      </c>
      <c r="R906" t="n">
        <v>4</v>
      </c>
    </row>
    <row r="907">
      <c r="A907" t="inlineStr">
        <is>
          <t>ORD1906</t>
        </is>
      </c>
      <c r="B907" t="inlineStr">
        <is>
          <t>2025-03-05</t>
        </is>
      </c>
      <c r="C907" t="inlineStr">
        <is>
          <t>14:32:19</t>
        </is>
      </c>
      <c r="D907" t="n">
        <v>1273</v>
      </c>
      <c r="E907" t="n">
        <v>102</v>
      </c>
      <c r="F907" t="n">
        <v>216</v>
      </c>
      <c r="G907" t="inlineStr">
        <is>
          <t>Hyderabad</t>
        </is>
      </c>
      <c r="H907" t="inlineStr">
        <is>
          <t>Biryani</t>
        </is>
      </c>
      <c r="I907" t="n">
        <v>939</v>
      </c>
      <c r="J907" t="n">
        <v>145.02</v>
      </c>
      <c r="K907" t="n">
        <v>0</v>
      </c>
      <c r="L907" t="n">
        <v>0.22</v>
      </c>
      <c r="M907" t="n">
        <v>206.58</v>
      </c>
      <c r="N907" t="n">
        <v>8.9</v>
      </c>
      <c r="O907" t="n">
        <v>50.1</v>
      </c>
      <c r="P907" t="inlineStr">
        <is>
          <t>UPI</t>
        </is>
      </c>
      <c r="Q907" t="inlineStr">
        <is>
          <t>Delivered</t>
        </is>
      </c>
      <c r="R907" t="n">
        <v>3</v>
      </c>
    </row>
    <row r="908">
      <c r="A908" t="inlineStr">
        <is>
          <t>ORD1907</t>
        </is>
      </c>
      <c r="B908" t="inlineStr">
        <is>
          <t>2025-01-24</t>
        </is>
      </c>
      <c r="C908" t="inlineStr">
        <is>
          <t>18:33:57</t>
        </is>
      </c>
      <c r="D908" t="n">
        <v>1217</v>
      </c>
      <c r="E908" t="n">
        <v>114</v>
      </c>
      <c r="F908" t="n">
        <v>215</v>
      </c>
      <c r="G908" t="inlineStr">
        <is>
          <t>Hyderabad</t>
        </is>
      </c>
      <c r="H908" t="inlineStr">
        <is>
          <t>Biryani</t>
        </is>
      </c>
      <c r="I908" t="n">
        <v>520</v>
      </c>
      <c r="J908" t="n">
        <v>18.51</v>
      </c>
      <c r="K908" t="n">
        <v>25</v>
      </c>
      <c r="L908" t="n">
        <v>0.22</v>
      </c>
      <c r="M908" t="n">
        <v>120.65</v>
      </c>
      <c r="N908" t="n">
        <v>2.6</v>
      </c>
      <c r="O908" t="n">
        <v>26.7</v>
      </c>
      <c r="P908" t="inlineStr">
        <is>
          <t>Debit Card</t>
        </is>
      </c>
      <c r="Q908" t="inlineStr">
        <is>
          <t>Delivered</t>
        </is>
      </c>
      <c r="R908" t="n">
        <v>3</v>
      </c>
    </row>
    <row r="909">
      <c r="A909" t="inlineStr">
        <is>
          <t>ORD1908</t>
        </is>
      </c>
      <c r="B909" t="inlineStr">
        <is>
          <t>2025-12-06</t>
        </is>
      </c>
      <c r="C909" t="inlineStr">
        <is>
          <t>06:52:02</t>
        </is>
      </c>
      <c r="D909" t="n">
        <v>1159</v>
      </c>
      <c r="E909" t="n">
        <v>118</v>
      </c>
      <c r="F909" t="n">
        <v>230</v>
      </c>
      <c r="G909" t="inlineStr">
        <is>
          <t>Delhi NCR</t>
        </is>
      </c>
      <c r="H909" t="inlineStr">
        <is>
          <t>North Indian</t>
        </is>
      </c>
      <c r="I909" t="n">
        <v>462</v>
      </c>
      <c r="J909" t="n">
        <v>0</v>
      </c>
      <c r="K909" t="n">
        <v>36</v>
      </c>
      <c r="L909" t="n">
        <v>0.2</v>
      </c>
      <c r="M909" t="n">
        <v>101.4</v>
      </c>
      <c r="N909" t="n">
        <v>5.2</v>
      </c>
      <c r="O909" t="n">
        <v>31.1</v>
      </c>
      <c r="P909" t="inlineStr">
        <is>
          <t>Credit Card</t>
        </is>
      </c>
      <c r="Q909" t="inlineStr">
        <is>
          <t>Delivered</t>
        </is>
      </c>
      <c r="R909" t="n">
        <v>3</v>
      </c>
    </row>
    <row r="910">
      <c r="A910" t="inlineStr">
        <is>
          <t>ORD1909</t>
        </is>
      </c>
      <c r="B910" t="inlineStr">
        <is>
          <t>2025-10-30</t>
        </is>
      </c>
      <c r="C910" t="inlineStr">
        <is>
          <t>15:22:17</t>
        </is>
      </c>
      <c r="D910" t="n">
        <v>1114</v>
      </c>
      <c r="E910" t="n">
        <v>102</v>
      </c>
      <c r="F910" t="n">
        <v>216</v>
      </c>
      <c r="G910" t="inlineStr">
        <is>
          <t>Hyderabad</t>
        </is>
      </c>
      <c r="H910" t="inlineStr">
        <is>
          <t>Biryani</t>
        </is>
      </c>
      <c r="I910" t="n">
        <v>351</v>
      </c>
      <c r="J910" t="n">
        <v>35.46</v>
      </c>
      <c r="K910" t="n">
        <v>49</v>
      </c>
      <c r="L910" t="n">
        <v>0.22</v>
      </c>
      <c r="M910" t="n">
        <v>89.47</v>
      </c>
      <c r="N910" t="n">
        <v>7.8</v>
      </c>
      <c r="O910" t="n">
        <v>39.9</v>
      </c>
      <c r="P910" t="inlineStr">
        <is>
          <t>Digital Wallet</t>
        </is>
      </c>
      <c r="Q910" t="inlineStr">
        <is>
          <t>Delivered</t>
        </is>
      </c>
      <c r="R910" t="n">
        <v>3</v>
      </c>
    </row>
    <row r="911">
      <c r="A911" t="inlineStr">
        <is>
          <t>ORD1910</t>
        </is>
      </c>
      <c r="B911" t="inlineStr">
        <is>
          <t>2025-11-29</t>
        </is>
      </c>
      <c r="C911" t="inlineStr">
        <is>
          <t>15:57:10</t>
        </is>
      </c>
      <c r="D911" t="n">
        <v>1294</v>
      </c>
      <c r="E911" t="n">
        <v>112</v>
      </c>
      <c r="F911" t="n">
        <v>228</v>
      </c>
      <c r="G911" t="inlineStr">
        <is>
          <t>Delhi NCR</t>
        </is>
      </c>
      <c r="H911" t="inlineStr">
        <is>
          <t>North Indian</t>
        </is>
      </c>
      <c r="I911" t="n">
        <v>629</v>
      </c>
      <c r="J911" t="n">
        <v>0</v>
      </c>
      <c r="K911" t="n">
        <v>27.5</v>
      </c>
      <c r="L911" t="n">
        <v>0.22</v>
      </c>
      <c r="M911" t="n">
        <v>145.26</v>
      </c>
      <c r="N911" t="n">
        <v>3.5</v>
      </c>
      <c r="O911" t="n">
        <v>34.5</v>
      </c>
      <c r="P911" t="inlineStr">
        <is>
          <t>Cash on Delivery</t>
        </is>
      </c>
      <c r="Q911" t="inlineStr">
        <is>
          <t>Delivered</t>
        </is>
      </c>
      <c r="R911" t="n">
        <v>4</v>
      </c>
    </row>
    <row r="912">
      <c r="A912" t="inlineStr">
        <is>
          <t>ORD1911</t>
        </is>
      </c>
      <c r="B912" t="inlineStr">
        <is>
          <t>2025-11-19</t>
        </is>
      </c>
      <c r="C912" t="inlineStr">
        <is>
          <t>10:46:17</t>
        </is>
      </c>
      <c r="D912" t="n">
        <v>1202</v>
      </c>
      <c r="E912" t="n">
        <v>101</v>
      </c>
      <c r="F912" t="n">
        <v>205</v>
      </c>
      <c r="G912" t="inlineStr">
        <is>
          <t>Bangalore</t>
        </is>
      </c>
      <c r="H912" t="inlineStr">
        <is>
          <t>North Indian</t>
        </is>
      </c>
      <c r="I912" t="n">
        <v>868</v>
      </c>
      <c r="J912" t="n">
        <v>13.38</v>
      </c>
      <c r="K912" t="n">
        <v>28.5</v>
      </c>
      <c r="L912" t="n">
        <v>0.2</v>
      </c>
      <c r="M912" t="n">
        <v>180.73</v>
      </c>
      <c r="N912" t="n">
        <v>3.7</v>
      </c>
      <c r="O912" t="n">
        <v>31.8</v>
      </c>
      <c r="P912" t="inlineStr">
        <is>
          <t>Digital Wallet</t>
        </is>
      </c>
      <c r="Q912" t="inlineStr">
        <is>
          <t>Delivered</t>
        </is>
      </c>
      <c r="R912" t="n">
        <v>3</v>
      </c>
    </row>
    <row r="913">
      <c r="A913" t="inlineStr">
        <is>
          <t>ORD1912</t>
        </is>
      </c>
      <c r="B913" t="inlineStr">
        <is>
          <t>2025-06-11</t>
        </is>
      </c>
      <c r="C913" t="inlineStr">
        <is>
          <t>10:50:27</t>
        </is>
      </c>
      <c r="D913" t="n">
        <v>1148</v>
      </c>
      <c r="E913" t="n">
        <v>115</v>
      </c>
      <c r="F913" t="n">
        <v>205</v>
      </c>
      <c r="G913" t="inlineStr">
        <is>
          <t>Bangalore</t>
        </is>
      </c>
      <c r="H913" t="inlineStr">
        <is>
          <t>Italian</t>
        </is>
      </c>
      <c r="I913" t="n">
        <v>608</v>
      </c>
      <c r="J913" t="n">
        <v>0</v>
      </c>
      <c r="K913" t="n">
        <v>41.5</v>
      </c>
      <c r="L913" t="n">
        <v>0.2</v>
      </c>
      <c r="M913" t="n">
        <v>131.98</v>
      </c>
      <c r="N913" t="n">
        <v>6.3</v>
      </c>
      <c r="O913" t="n">
        <v>36.5</v>
      </c>
      <c r="P913" t="inlineStr">
        <is>
          <t>UPI</t>
        </is>
      </c>
      <c r="Q913" t="inlineStr">
        <is>
          <t>Delivered</t>
        </is>
      </c>
      <c r="R913" t="n">
        <v>5</v>
      </c>
    </row>
    <row r="914">
      <c r="A914" t="inlineStr">
        <is>
          <t>ORD1913</t>
        </is>
      </c>
      <c r="B914" t="inlineStr">
        <is>
          <t>2025-12-17</t>
        </is>
      </c>
      <c r="C914" t="inlineStr">
        <is>
          <t>15:35:26</t>
        </is>
      </c>
      <c r="D914" t="n">
        <v>1097</v>
      </c>
      <c r="E914" t="n">
        <v>115</v>
      </c>
      <c r="F914" t="n">
        <v>203</v>
      </c>
      <c r="G914" t="inlineStr">
        <is>
          <t>Bangalore</t>
        </is>
      </c>
      <c r="H914" t="inlineStr">
        <is>
          <t>Italian</t>
        </is>
      </c>
      <c r="I914" t="n">
        <v>287</v>
      </c>
      <c r="J914" t="n">
        <v>0</v>
      </c>
      <c r="K914" t="n">
        <v>25</v>
      </c>
      <c r="L914" t="n">
        <v>0.2</v>
      </c>
      <c r="M914" t="n">
        <v>63.65</v>
      </c>
      <c r="N914" t="n">
        <v>2.9</v>
      </c>
      <c r="O914" t="n">
        <v/>
      </c>
      <c r="P914" t="inlineStr">
        <is>
          <t>Debit Card</t>
        </is>
      </c>
      <c r="Q914" t="inlineStr">
        <is>
          <t>Cancelled</t>
        </is>
      </c>
      <c r="R914" t="n">
        <v/>
      </c>
    </row>
    <row r="915">
      <c r="A915" t="inlineStr">
        <is>
          <t>ORD1914</t>
        </is>
      </c>
      <c r="B915" t="inlineStr">
        <is>
          <t>2025-05-21</t>
        </is>
      </c>
      <c r="C915" t="inlineStr">
        <is>
          <t>20:00:06</t>
        </is>
      </c>
      <c r="D915" t="n">
        <v>1164</v>
      </c>
      <c r="E915" t="n">
        <v>120</v>
      </c>
      <c r="F915" t="n">
        <v>217</v>
      </c>
      <c r="G915" t="inlineStr">
        <is>
          <t>Pune</t>
        </is>
      </c>
      <c r="H915" t="inlineStr">
        <is>
          <t>Fast Food</t>
        </is>
      </c>
      <c r="I915" t="n">
        <v>606</v>
      </c>
      <c r="J915" t="n">
        <v>10.77</v>
      </c>
      <c r="K915" t="n">
        <v>37.5</v>
      </c>
      <c r="L915" t="n">
        <v>0.18</v>
      </c>
      <c r="M915" t="n">
        <v>118.46</v>
      </c>
      <c r="N915" t="n">
        <v>5.5</v>
      </c>
      <c r="O915" t="n">
        <v>45.5</v>
      </c>
      <c r="P915" t="inlineStr">
        <is>
          <t>UPI</t>
        </is>
      </c>
      <c r="Q915" t="inlineStr">
        <is>
          <t>Delivered</t>
        </is>
      </c>
      <c r="R915" t="n">
        <v>3</v>
      </c>
    </row>
    <row r="916">
      <c r="A916" t="inlineStr">
        <is>
          <t>ORD1915</t>
        </is>
      </c>
      <c r="B916" t="inlineStr">
        <is>
          <t>2025-10-29</t>
        </is>
      </c>
      <c r="C916" t="inlineStr">
        <is>
          <t>21:52:51</t>
        </is>
      </c>
      <c r="D916" t="n">
        <v>1042</v>
      </c>
      <c r="E916" t="n">
        <v>103</v>
      </c>
      <c r="F916" t="n">
        <v>222</v>
      </c>
      <c r="G916" t="inlineStr">
        <is>
          <t>Mumbai</t>
        </is>
      </c>
      <c r="H916" t="inlineStr">
        <is>
          <t>Italian</t>
        </is>
      </c>
      <c r="I916" t="n">
        <v>721</v>
      </c>
      <c r="J916" t="n">
        <v>0</v>
      </c>
      <c r="K916" t="n">
        <v>27.5</v>
      </c>
      <c r="L916" t="n">
        <v>0.18</v>
      </c>
      <c r="M916" t="n">
        <v>136.66</v>
      </c>
      <c r="N916" t="n">
        <v>3.5</v>
      </c>
      <c r="O916" t="n">
        <v>28.9</v>
      </c>
      <c r="P916" t="inlineStr">
        <is>
          <t>Digital Wallet</t>
        </is>
      </c>
      <c r="Q916" t="inlineStr">
        <is>
          <t>Delivered</t>
        </is>
      </c>
      <c r="R916" t="n">
        <v>4</v>
      </c>
    </row>
    <row r="917">
      <c r="A917" t="inlineStr">
        <is>
          <t>ORD1916</t>
        </is>
      </c>
      <c r="B917" t="inlineStr">
        <is>
          <t>2025-01-25</t>
        </is>
      </c>
      <c r="C917" t="inlineStr">
        <is>
          <t>19:10:20</t>
        </is>
      </c>
      <c r="D917" t="n">
        <v>1074</v>
      </c>
      <c r="E917" t="n">
        <v>116</v>
      </c>
      <c r="F917" t="n">
        <v>209</v>
      </c>
      <c r="G917" t="inlineStr">
        <is>
          <t>Pune</t>
        </is>
      </c>
      <c r="H917" t="inlineStr">
        <is>
          <t>Desserts</t>
        </is>
      </c>
      <c r="I917" t="n">
        <v>618</v>
      </c>
      <c r="J917" t="n">
        <v>38.72</v>
      </c>
      <c r="K917" t="n">
        <v>25</v>
      </c>
      <c r="L917" t="n">
        <v>0.25</v>
      </c>
      <c r="M917" t="n">
        <v>160.75</v>
      </c>
      <c r="N917" t="n">
        <v>2.9</v>
      </c>
      <c r="O917" t="n">
        <v>34.4</v>
      </c>
      <c r="P917" t="inlineStr">
        <is>
          <t>Digital Wallet</t>
        </is>
      </c>
      <c r="Q917" t="inlineStr">
        <is>
          <t>Delivered</t>
        </is>
      </c>
      <c r="R917" t="n">
        <v>5</v>
      </c>
    </row>
    <row r="918">
      <c r="A918" t="inlineStr">
        <is>
          <t>ORD1917</t>
        </is>
      </c>
      <c r="B918" t="inlineStr">
        <is>
          <t>2025-05-13</t>
        </is>
      </c>
      <c r="C918" t="inlineStr">
        <is>
          <t>14:00:43</t>
        </is>
      </c>
      <c r="D918" t="n">
        <v>1288</v>
      </c>
      <c r="E918" t="n">
        <v>116</v>
      </c>
      <c r="F918" t="n">
        <v>208</v>
      </c>
      <c r="G918" t="inlineStr">
        <is>
          <t>Pune</t>
        </is>
      </c>
      <c r="H918" t="inlineStr">
        <is>
          <t>Desserts</t>
        </is>
      </c>
      <c r="I918" t="n">
        <v>745</v>
      </c>
      <c r="J918" t="n">
        <v>39.19</v>
      </c>
      <c r="K918" t="n">
        <v>29.5</v>
      </c>
      <c r="L918" t="n">
        <v>0.25</v>
      </c>
      <c r="M918" t="n">
        <v>193.62</v>
      </c>
      <c r="N918" t="n">
        <v>3.9</v>
      </c>
      <c r="O918" t="n">
        <v>29</v>
      </c>
      <c r="P918" t="inlineStr">
        <is>
          <t>Digital Wallet</t>
        </is>
      </c>
      <c r="Q918" t="inlineStr">
        <is>
          <t>Delivered</t>
        </is>
      </c>
      <c r="R918" t="n">
        <v>4</v>
      </c>
    </row>
    <row r="919">
      <c r="A919" t="inlineStr">
        <is>
          <t>ORD1918</t>
        </is>
      </c>
      <c r="B919" t="inlineStr">
        <is>
          <t>2025-12-29</t>
        </is>
      </c>
      <c r="C919" t="inlineStr">
        <is>
          <t>20:49:15</t>
        </is>
      </c>
      <c r="D919" t="n">
        <v>1281</v>
      </c>
      <c r="E919" t="n">
        <v>111</v>
      </c>
      <c r="F919" t="n">
        <v>201</v>
      </c>
      <c r="G919" t="inlineStr">
        <is>
          <t>Bangalore</t>
        </is>
      </c>
      <c r="H919" t="inlineStr">
        <is>
          <t>South Indian</t>
        </is>
      </c>
      <c r="I919" t="n">
        <v>1169</v>
      </c>
      <c r="J919" t="n">
        <v>165.79</v>
      </c>
      <c r="K919" t="n">
        <v>0</v>
      </c>
      <c r="L919" t="n">
        <v>0.15</v>
      </c>
      <c r="M919" t="n">
        <v>175.35</v>
      </c>
      <c r="N919" t="n">
        <v>4.1</v>
      </c>
      <c r="O919" t="n">
        <v>32.1</v>
      </c>
      <c r="P919" t="inlineStr">
        <is>
          <t>Cash on Delivery</t>
        </is>
      </c>
      <c r="Q919" t="inlineStr">
        <is>
          <t>Delivered</t>
        </is>
      </c>
      <c r="R919" t="n">
        <v>4</v>
      </c>
    </row>
    <row r="920">
      <c r="A920" t="inlineStr">
        <is>
          <t>ORD1919</t>
        </is>
      </c>
      <c r="B920" t="inlineStr">
        <is>
          <t>2025-05-22</t>
        </is>
      </c>
      <c r="C920" t="inlineStr">
        <is>
          <t>10:27:33</t>
        </is>
      </c>
      <c r="D920" t="n">
        <v>1057</v>
      </c>
      <c r="E920" t="n">
        <v>103</v>
      </c>
      <c r="F920" t="n">
        <v>206</v>
      </c>
      <c r="G920" t="inlineStr">
        <is>
          <t>Mumbai</t>
        </is>
      </c>
      <c r="H920" t="inlineStr">
        <is>
          <t>Italian</t>
        </is>
      </c>
      <c r="I920" t="n">
        <v>454</v>
      </c>
      <c r="J920" t="n">
        <v>0</v>
      </c>
      <c r="K920" t="n">
        <v>33</v>
      </c>
      <c r="L920" t="n">
        <v>0.18</v>
      </c>
      <c r="M920" t="n">
        <v>89.97</v>
      </c>
      <c r="N920" t="n">
        <v>4.6</v>
      </c>
      <c r="O920" t="n">
        <v>40.6</v>
      </c>
      <c r="P920" t="inlineStr">
        <is>
          <t>Debit Card</t>
        </is>
      </c>
      <c r="Q920" t="inlineStr">
        <is>
          <t>Delivered</t>
        </is>
      </c>
      <c r="R920" t="n">
        <v>2</v>
      </c>
    </row>
    <row r="921">
      <c r="A921" t="inlineStr">
        <is>
          <t>ORD1920</t>
        </is>
      </c>
      <c r="B921" t="inlineStr">
        <is>
          <t>2025-11-21</t>
        </is>
      </c>
      <c r="C921" t="inlineStr">
        <is>
          <t>10:05:04</t>
        </is>
      </c>
      <c r="D921" t="n">
        <v>1254</v>
      </c>
      <c r="E921" t="n">
        <v>109</v>
      </c>
      <c r="F921" t="n">
        <v>225</v>
      </c>
      <c r="G921" t="inlineStr">
        <is>
          <t>Hyderabad</t>
        </is>
      </c>
      <c r="H921" t="inlineStr">
        <is>
          <t>Biryani</t>
        </is>
      </c>
      <c r="I921" t="n">
        <v>465</v>
      </c>
      <c r="J921" t="n">
        <v>6.14</v>
      </c>
      <c r="K921" t="n">
        <v>25</v>
      </c>
      <c r="L921" t="n">
        <v>0.2</v>
      </c>
      <c r="M921" t="n">
        <v>99.25</v>
      </c>
      <c r="N921" t="n">
        <v>2.8</v>
      </c>
      <c r="O921" t="n">
        <v>21.4</v>
      </c>
      <c r="P921" t="inlineStr">
        <is>
          <t>Debit Card</t>
        </is>
      </c>
      <c r="Q921" t="inlineStr">
        <is>
          <t>Delivered</t>
        </is>
      </c>
      <c r="R921" t="n">
        <v>4</v>
      </c>
    </row>
    <row r="922">
      <c r="A922" t="inlineStr">
        <is>
          <t>ORD1921</t>
        </is>
      </c>
      <c r="B922" t="inlineStr">
        <is>
          <t>2025-12-13</t>
        </is>
      </c>
      <c r="C922" t="inlineStr">
        <is>
          <t>13:32:59</t>
        </is>
      </c>
      <c r="D922" t="n">
        <v>1080</v>
      </c>
      <c r="E922" t="n">
        <v>106</v>
      </c>
      <c r="F922" t="n">
        <v>208</v>
      </c>
      <c r="G922" t="inlineStr">
        <is>
          <t>Pune</t>
        </is>
      </c>
      <c r="H922" t="inlineStr">
        <is>
          <t>South Indian</t>
        </is>
      </c>
      <c r="I922" t="n">
        <v>359</v>
      </c>
      <c r="J922" t="n">
        <v>0</v>
      </c>
      <c r="K922" t="n">
        <v>40.5</v>
      </c>
      <c r="L922" t="n">
        <v>0.15</v>
      </c>
      <c r="M922" t="n">
        <v>63.98</v>
      </c>
      <c r="N922" t="n">
        <v>6.1</v>
      </c>
      <c r="O922" t="n">
        <v>41.1</v>
      </c>
      <c r="P922" t="inlineStr">
        <is>
          <t>Digital Wallet</t>
        </is>
      </c>
      <c r="Q922" t="inlineStr">
        <is>
          <t>Delivered</t>
        </is>
      </c>
      <c r="R922" t="n">
        <v>4</v>
      </c>
    </row>
    <row r="923">
      <c r="A923" t="inlineStr">
        <is>
          <t>ORD1922</t>
        </is>
      </c>
      <c r="B923" t="inlineStr">
        <is>
          <t>2025-11-12</t>
        </is>
      </c>
      <c r="C923" t="inlineStr">
        <is>
          <t>21:12:58</t>
        </is>
      </c>
      <c r="D923" t="n">
        <v>1068</v>
      </c>
      <c r="E923" t="n">
        <v>120</v>
      </c>
      <c r="F923" t="n">
        <v>224</v>
      </c>
      <c r="G923" t="inlineStr">
        <is>
          <t>Pune</t>
        </is>
      </c>
      <c r="H923" t="inlineStr">
        <is>
          <t>Fast Food</t>
        </is>
      </c>
      <c r="I923" t="n">
        <v>227</v>
      </c>
      <c r="J923" t="n">
        <v>22.7</v>
      </c>
      <c r="K923" t="n">
        <v>43</v>
      </c>
      <c r="L923" t="n">
        <v>0.18</v>
      </c>
      <c r="M923" t="n">
        <v>51.61</v>
      </c>
      <c r="N923" t="n">
        <v>6.6</v>
      </c>
      <c r="O923" t="n">
        <v>46.8</v>
      </c>
      <c r="P923" t="inlineStr">
        <is>
          <t>Debit Card</t>
        </is>
      </c>
      <c r="Q923" t="inlineStr">
        <is>
          <t>Delivered</t>
        </is>
      </c>
      <c r="R923" t="n">
        <v>3</v>
      </c>
    </row>
    <row r="924">
      <c r="A924" t="inlineStr">
        <is>
          <t>ORD1923</t>
        </is>
      </c>
      <c r="B924" t="inlineStr">
        <is>
          <t>2025-11-07</t>
        </is>
      </c>
      <c r="C924" t="inlineStr">
        <is>
          <t>13:28:10</t>
        </is>
      </c>
      <c r="D924" t="n">
        <v>1063</v>
      </c>
      <c r="E924" t="n">
        <v>115</v>
      </c>
      <c r="F924" t="n">
        <v>201</v>
      </c>
      <c r="G924" t="inlineStr">
        <is>
          <t>Bangalore</t>
        </is>
      </c>
      <c r="H924" t="inlineStr">
        <is>
          <t>Italian</t>
        </is>
      </c>
      <c r="I924" t="n">
        <v>910</v>
      </c>
      <c r="J924" t="n">
        <v>104.75</v>
      </c>
      <c r="K924" t="n">
        <v>37.5</v>
      </c>
      <c r="L924" t="n">
        <v>0.2</v>
      </c>
      <c r="M924" t="n">
        <v>191.38</v>
      </c>
      <c r="N924" t="n">
        <v>5.5</v>
      </c>
      <c r="O924" t="n">
        <v>43.2</v>
      </c>
      <c r="P924" t="inlineStr">
        <is>
          <t>Credit Card</t>
        </is>
      </c>
      <c r="Q924" t="inlineStr">
        <is>
          <t>Delivered</t>
        </is>
      </c>
      <c r="R924" t="n">
        <v>3</v>
      </c>
    </row>
    <row r="925">
      <c r="A925" t="inlineStr">
        <is>
          <t>ORD1924</t>
        </is>
      </c>
      <c r="B925" t="inlineStr">
        <is>
          <t>2025-07-07</t>
        </is>
      </c>
      <c r="C925" t="inlineStr">
        <is>
          <t>08:53:08</t>
        </is>
      </c>
      <c r="D925" t="n">
        <v>1091</v>
      </c>
      <c r="E925" t="n">
        <v>110</v>
      </c>
      <c r="F925" t="n">
        <v>207</v>
      </c>
      <c r="G925" t="inlineStr">
        <is>
          <t>Pune</t>
        </is>
      </c>
      <c r="H925" t="inlineStr">
        <is>
          <t>North Indian</t>
        </is>
      </c>
      <c r="I925" t="n">
        <v>746</v>
      </c>
      <c r="J925" t="n">
        <v>0</v>
      </c>
      <c r="K925" t="n">
        <v>25</v>
      </c>
      <c r="L925" t="n">
        <v>0.18</v>
      </c>
      <c r="M925" t="n">
        <v>140.53</v>
      </c>
      <c r="N925" t="n">
        <v>2.5</v>
      </c>
      <c r="O925" t="n">
        <v>37.6</v>
      </c>
      <c r="P925" t="inlineStr">
        <is>
          <t>Cash on Delivery</t>
        </is>
      </c>
      <c r="Q925" t="inlineStr">
        <is>
          <t>Delivered</t>
        </is>
      </c>
      <c r="R925" t="n">
        <v>5</v>
      </c>
    </row>
    <row r="926">
      <c r="A926" t="inlineStr">
        <is>
          <t>ORD1925</t>
        </is>
      </c>
      <c r="B926" t="inlineStr">
        <is>
          <t>2025-02-27</t>
        </is>
      </c>
      <c r="C926" t="inlineStr">
        <is>
          <t>19:21:58</t>
        </is>
      </c>
      <c r="D926" t="n">
        <v>1051</v>
      </c>
      <c r="E926" t="n">
        <v>102</v>
      </c>
      <c r="F926" t="n">
        <v>225</v>
      </c>
      <c r="G926" t="inlineStr">
        <is>
          <t>Hyderabad</t>
        </is>
      </c>
      <c r="H926" t="inlineStr">
        <is>
          <t>Biryani</t>
        </is>
      </c>
      <c r="I926" t="n">
        <v>1078</v>
      </c>
      <c r="J926" t="n">
        <v>197.46</v>
      </c>
      <c r="K926" t="n">
        <v>0</v>
      </c>
      <c r="L926" t="n">
        <v>0.22</v>
      </c>
      <c r="M926" t="n">
        <v>237.16</v>
      </c>
      <c r="N926" t="n">
        <v>3.4</v>
      </c>
      <c r="O926" t="n">
        <v/>
      </c>
      <c r="P926" t="inlineStr">
        <is>
          <t>UPI</t>
        </is>
      </c>
      <c r="Q926" t="inlineStr">
        <is>
          <t>Cancelled</t>
        </is>
      </c>
      <c r="R926" t="n">
        <v/>
      </c>
    </row>
    <row r="927">
      <c r="A927" t="inlineStr">
        <is>
          <t>ORD1926</t>
        </is>
      </c>
      <c r="B927" t="inlineStr">
        <is>
          <t>2025-05-31</t>
        </is>
      </c>
      <c r="C927" t="inlineStr">
        <is>
          <t>21:16:13</t>
        </is>
      </c>
      <c r="D927" t="n">
        <v>1046</v>
      </c>
      <c r="E927" t="n">
        <v>109</v>
      </c>
      <c r="F927" t="n">
        <v>215</v>
      </c>
      <c r="G927" t="inlineStr">
        <is>
          <t>Hyderabad</t>
        </is>
      </c>
      <c r="H927" t="inlineStr">
        <is>
          <t>Biryani</t>
        </is>
      </c>
      <c r="I927" t="n">
        <v>222</v>
      </c>
      <c r="J927" t="n">
        <v>22.57</v>
      </c>
      <c r="K927" t="n">
        <v>25</v>
      </c>
      <c r="L927" t="n">
        <v>0.2</v>
      </c>
      <c r="M927" t="n">
        <v>50.65</v>
      </c>
      <c r="N927" t="n">
        <v>2.2</v>
      </c>
      <c r="O927" t="n">
        <v>26.3</v>
      </c>
      <c r="P927" t="inlineStr">
        <is>
          <t>Credit Card</t>
        </is>
      </c>
      <c r="Q927" t="inlineStr">
        <is>
          <t>Delivered</t>
        </is>
      </c>
      <c r="R927" t="n">
        <v>5</v>
      </c>
    </row>
    <row r="928">
      <c r="A928" t="inlineStr">
        <is>
          <t>ORD1927</t>
        </is>
      </c>
      <c r="B928" t="inlineStr">
        <is>
          <t>2025-11-13</t>
        </is>
      </c>
      <c r="C928" t="inlineStr">
        <is>
          <t>08:54:31</t>
        </is>
      </c>
      <c r="D928" t="n">
        <v>1292</v>
      </c>
      <c r="E928" t="n">
        <v>120</v>
      </c>
      <c r="F928" t="n">
        <v>207</v>
      </c>
      <c r="G928" t="inlineStr">
        <is>
          <t>Pune</t>
        </is>
      </c>
      <c r="H928" t="inlineStr">
        <is>
          <t>Fast Food</t>
        </is>
      </c>
      <c r="I928" t="n">
        <v>278</v>
      </c>
      <c r="J928" t="n">
        <v>0</v>
      </c>
      <c r="K928" t="n">
        <v>25</v>
      </c>
      <c r="L928" t="n">
        <v>0.18</v>
      </c>
      <c r="M928" t="n">
        <v>56.29</v>
      </c>
      <c r="N928" t="n">
        <v>3</v>
      </c>
      <c r="O928" t="n">
        <v>31.9</v>
      </c>
      <c r="P928" t="inlineStr">
        <is>
          <t>Debit Card</t>
        </is>
      </c>
      <c r="Q928" t="inlineStr">
        <is>
          <t>Delivered</t>
        </is>
      </c>
      <c r="R928" t="n">
        <v>4</v>
      </c>
    </row>
    <row r="929">
      <c r="A929" t="inlineStr">
        <is>
          <t>ORD1928</t>
        </is>
      </c>
      <c r="B929" t="inlineStr">
        <is>
          <t>2025-01-03</t>
        </is>
      </c>
      <c r="C929" t="inlineStr">
        <is>
          <t>20:22:56</t>
        </is>
      </c>
      <c r="D929" t="n">
        <v>1072</v>
      </c>
      <c r="E929" t="n">
        <v>116</v>
      </c>
      <c r="F929" t="n">
        <v>207</v>
      </c>
      <c r="G929" t="inlineStr">
        <is>
          <t>Pune</t>
        </is>
      </c>
      <c r="H929" t="inlineStr">
        <is>
          <t>Desserts</t>
        </is>
      </c>
      <c r="I929" t="n">
        <v>410</v>
      </c>
      <c r="J929" t="n">
        <v>0</v>
      </c>
      <c r="K929" t="n">
        <v>46</v>
      </c>
      <c r="L929" t="n">
        <v>0.25</v>
      </c>
      <c r="M929" t="n">
        <v>114</v>
      </c>
      <c r="N929" t="n">
        <v>7.2</v>
      </c>
      <c r="O929" t="n">
        <v>48.5</v>
      </c>
      <c r="P929" t="inlineStr">
        <is>
          <t>Cash on Delivery</t>
        </is>
      </c>
      <c r="Q929" t="inlineStr">
        <is>
          <t>Delivered</t>
        </is>
      </c>
      <c r="R929" t="n">
        <v>2</v>
      </c>
    </row>
    <row r="930">
      <c r="A930" t="inlineStr">
        <is>
          <t>ORD1929</t>
        </is>
      </c>
      <c r="B930" t="inlineStr">
        <is>
          <t>2025-09-28</t>
        </is>
      </c>
      <c r="C930" t="inlineStr">
        <is>
          <t>22:32:57</t>
        </is>
      </c>
      <c r="D930" t="n">
        <v>1230</v>
      </c>
      <c r="E930" t="n">
        <v>114</v>
      </c>
      <c r="F930" t="n">
        <v>215</v>
      </c>
      <c r="G930" t="inlineStr">
        <is>
          <t>Hyderabad</t>
        </is>
      </c>
      <c r="H930" t="inlineStr">
        <is>
          <t>Biryani</t>
        </is>
      </c>
      <c r="I930" t="n">
        <v>377</v>
      </c>
      <c r="J930" t="n">
        <v>29.69</v>
      </c>
      <c r="K930" t="n">
        <v>28</v>
      </c>
      <c r="L930" t="n">
        <v>0.22</v>
      </c>
      <c r="M930" t="n">
        <v>89.94</v>
      </c>
      <c r="N930" t="n">
        <v>3.6</v>
      </c>
      <c r="O930" t="n">
        <v>32</v>
      </c>
      <c r="P930" t="inlineStr">
        <is>
          <t>UPI</t>
        </is>
      </c>
      <c r="Q930" t="inlineStr">
        <is>
          <t>Delivered</t>
        </is>
      </c>
      <c r="R930" t="n">
        <v>4</v>
      </c>
    </row>
    <row r="931">
      <c r="A931" t="inlineStr">
        <is>
          <t>ORD1930</t>
        </is>
      </c>
      <c r="B931" t="inlineStr">
        <is>
          <t>2025-04-26</t>
        </is>
      </c>
      <c r="C931" t="inlineStr">
        <is>
          <t>19:30:25</t>
        </is>
      </c>
      <c r="D931" t="n">
        <v>1271</v>
      </c>
      <c r="E931" t="n">
        <v>118</v>
      </c>
      <c r="F931" t="n">
        <v>211</v>
      </c>
      <c r="G931" t="inlineStr">
        <is>
          <t>Delhi NCR</t>
        </is>
      </c>
      <c r="H931" t="inlineStr">
        <is>
          <t>North Indian</t>
        </is>
      </c>
      <c r="I931" t="n">
        <v>603</v>
      </c>
      <c r="J931" t="n">
        <v>42.78</v>
      </c>
      <c r="K931" t="n">
        <v>28.5</v>
      </c>
      <c r="L931" t="n">
        <v>0.2</v>
      </c>
      <c r="M931" t="n">
        <v>127.72</v>
      </c>
      <c r="N931" t="n">
        <v>3.7</v>
      </c>
      <c r="O931" t="n">
        <v>31.3</v>
      </c>
      <c r="P931" t="inlineStr">
        <is>
          <t>Credit Card</t>
        </is>
      </c>
      <c r="Q931" t="inlineStr">
        <is>
          <t>Delivered</t>
        </is>
      </c>
      <c r="R931" t="n">
        <v>3</v>
      </c>
    </row>
    <row r="932">
      <c r="A932" t="inlineStr">
        <is>
          <t>ORD1931</t>
        </is>
      </c>
      <c r="B932" t="inlineStr">
        <is>
          <t>2025-12-03</t>
        </is>
      </c>
      <c r="C932" t="inlineStr">
        <is>
          <t>21:53:28</t>
        </is>
      </c>
      <c r="D932" t="n">
        <v>1124</v>
      </c>
      <c r="E932" t="n">
        <v>118</v>
      </c>
      <c r="F932" t="n">
        <v>219</v>
      </c>
      <c r="G932" t="inlineStr">
        <is>
          <t>Delhi NCR</t>
        </is>
      </c>
      <c r="H932" t="inlineStr">
        <is>
          <t>North Indian</t>
        </is>
      </c>
      <c r="I932" t="n">
        <v>385</v>
      </c>
      <c r="J932" t="n">
        <v>0</v>
      </c>
      <c r="K932" t="n">
        <v>44.5</v>
      </c>
      <c r="L932" t="n">
        <v>0.2</v>
      </c>
      <c r="M932" t="n">
        <v>88.12</v>
      </c>
      <c r="N932" t="n">
        <v>6.9</v>
      </c>
      <c r="O932" t="n">
        <v>47.7</v>
      </c>
      <c r="P932" t="inlineStr">
        <is>
          <t>UPI</t>
        </is>
      </c>
      <c r="Q932" t="inlineStr">
        <is>
          <t>Delivered</t>
        </is>
      </c>
      <c r="R932" t="n">
        <v>1</v>
      </c>
    </row>
    <row r="933">
      <c r="A933" t="inlineStr">
        <is>
          <t>ORD1932</t>
        </is>
      </c>
      <c r="B933" t="inlineStr">
        <is>
          <t>2025-04-08</t>
        </is>
      </c>
      <c r="C933" t="inlineStr">
        <is>
          <t>14:18:02</t>
        </is>
      </c>
      <c r="D933" t="n">
        <v>1209</v>
      </c>
      <c r="E933" t="n">
        <v>106</v>
      </c>
      <c r="F933" t="n">
        <v>224</v>
      </c>
      <c r="G933" t="inlineStr">
        <is>
          <t>Pune</t>
        </is>
      </c>
      <c r="H933" t="inlineStr">
        <is>
          <t>South Indian</t>
        </is>
      </c>
      <c r="I933" t="n">
        <v>356</v>
      </c>
      <c r="J933" t="n">
        <v>0</v>
      </c>
      <c r="K933" t="n">
        <v>29.5</v>
      </c>
      <c r="L933" t="n">
        <v>0.15</v>
      </c>
      <c r="M933" t="n">
        <v>60.78</v>
      </c>
      <c r="N933" t="n">
        <v>3.9</v>
      </c>
      <c r="O933" t="n">
        <v>35.8</v>
      </c>
      <c r="P933" t="inlineStr">
        <is>
          <t>UPI</t>
        </is>
      </c>
      <c r="Q933" t="inlineStr">
        <is>
          <t>Delivered</t>
        </is>
      </c>
      <c r="R933" t="n">
        <v>5</v>
      </c>
    </row>
    <row r="934">
      <c r="A934" t="inlineStr">
        <is>
          <t>ORD1933</t>
        </is>
      </c>
      <c r="B934" t="inlineStr">
        <is>
          <t>2025-09-03</t>
        </is>
      </c>
      <c r="C934" t="inlineStr">
        <is>
          <t>13:42:17</t>
        </is>
      </c>
      <c r="D934" t="n">
        <v>1107</v>
      </c>
      <c r="E934" t="n">
        <v>107</v>
      </c>
      <c r="F934" t="n">
        <v>222</v>
      </c>
      <c r="G934" t="inlineStr">
        <is>
          <t>Mumbai</t>
        </is>
      </c>
      <c r="H934" t="inlineStr">
        <is>
          <t>Desserts</t>
        </is>
      </c>
      <c r="I934" t="n">
        <v>341</v>
      </c>
      <c r="J934" t="n">
        <v>0</v>
      </c>
      <c r="K934" t="n">
        <v>41</v>
      </c>
      <c r="L934" t="n">
        <v>0.25</v>
      </c>
      <c r="M934" t="n">
        <v>95.5</v>
      </c>
      <c r="N934" t="n">
        <v>6.2</v>
      </c>
      <c r="O934" t="n">
        <v>45.6</v>
      </c>
      <c r="P934" t="inlineStr">
        <is>
          <t>Credit Card</t>
        </is>
      </c>
      <c r="Q934" t="inlineStr">
        <is>
          <t>Delivered</t>
        </is>
      </c>
      <c r="R934" t="n">
        <v>1</v>
      </c>
    </row>
    <row r="935">
      <c r="A935" t="inlineStr">
        <is>
          <t>ORD1934</t>
        </is>
      </c>
      <c r="B935" t="inlineStr">
        <is>
          <t>2025-03-09</t>
        </is>
      </c>
      <c r="C935" t="inlineStr">
        <is>
          <t>12:07:06</t>
        </is>
      </c>
      <c r="D935" t="n">
        <v>1128</v>
      </c>
      <c r="E935" t="n">
        <v>109</v>
      </c>
      <c r="F935" t="n">
        <v>225</v>
      </c>
      <c r="G935" t="inlineStr">
        <is>
          <t>Hyderabad</t>
        </is>
      </c>
      <c r="H935" t="inlineStr">
        <is>
          <t>Biryani</t>
        </is>
      </c>
      <c r="I935" t="n">
        <v>373</v>
      </c>
      <c r="J935" t="n">
        <v>43.1</v>
      </c>
      <c r="K935" t="n">
        <v>43.5</v>
      </c>
      <c r="L935" t="n">
        <v>0.2</v>
      </c>
      <c r="M935" t="n">
        <v>85.48</v>
      </c>
      <c r="N935" t="n">
        <v>6.7</v>
      </c>
      <c r="O935" t="n">
        <v>43.4</v>
      </c>
      <c r="P935" t="inlineStr">
        <is>
          <t>Credit Card</t>
        </is>
      </c>
      <c r="Q935" t="inlineStr">
        <is>
          <t>Delivered</t>
        </is>
      </c>
      <c r="R935" t="n">
        <v>2</v>
      </c>
    </row>
    <row r="936">
      <c r="A936" t="inlineStr">
        <is>
          <t>ORD1935</t>
        </is>
      </c>
      <c r="B936" t="inlineStr">
        <is>
          <t>2025-08-08</t>
        </is>
      </c>
      <c r="C936" t="inlineStr">
        <is>
          <t>21:38:47</t>
        </is>
      </c>
      <c r="D936" t="n">
        <v>1035</v>
      </c>
      <c r="E936" t="n">
        <v>111</v>
      </c>
      <c r="F936" t="n">
        <v>201</v>
      </c>
      <c r="G936" t="inlineStr">
        <is>
          <t>Bangalore</t>
        </is>
      </c>
      <c r="H936" t="inlineStr">
        <is>
          <t>South Indian</t>
        </is>
      </c>
      <c r="I936" t="n">
        <v>439</v>
      </c>
      <c r="J936" t="n">
        <v>64.98</v>
      </c>
      <c r="K936" t="n">
        <v>31.5</v>
      </c>
      <c r="L936" t="n">
        <v>0.15</v>
      </c>
      <c r="M936" t="n">
        <v>73.72</v>
      </c>
      <c r="N936" t="n">
        <v>4.3</v>
      </c>
      <c r="O936" t="n">
        <v>44.1</v>
      </c>
      <c r="P936" t="inlineStr">
        <is>
          <t>UPI</t>
        </is>
      </c>
      <c r="Q936" t="inlineStr">
        <is>
          <t>Delivered</t>
        </is>
      </c>
      <c r="R936" t="n">
        <v>2</v>
      </c>
    </row>
    <row r="937">
      <c r="A937" t="inlineStr">
        <is>
          <t>ORD1936</t>
        </is>
      </c>
      <c r="B937" t="inlineStr">
        <is>
          <t>2025-09-19</t>
        </is>
      </c>
      <c r="C937" t="inlineStr">
        <is>
          <t>14:11:15</t>
        </is>
      </c>
      <c r="D937" t="n">
        <v>1099</v>
      </c>
      <c r="E937" t="n">
        <v>109</v>
      </c>
      <c r="F937" t="n">
        <v>215</v>
      </c>
      <c r="G937" t="inlineStr">
        <is>
          <t>Hyderabad</t>
        </is>
      </c>
      <c r="H937" t="inlineStr">
        <is>
          <t>Biryani</t>
        </is>
      </c>
      <c r="I937" t="n">
        <v>507</v>
      </c>
      <c r="J937" t="n">
        <v>35.05</v>
      </c>
      <c r="K937" t="n">
        <v>34.5</v>
      </c>
      <c r="L937" t="n">
        <v>0.2</v>
      </c>
      <c r="M937" t="n">
        <v>110.02</v>
      </c>
      <c r="N937" t="n">
        <v>4.9</v>
      </c>
      <c r="O937" t="n">
        <v/>
      </c>
      <c r="P937" t="inlineStr">
        <is>
          <t>Credit Card</t>
        </is>
      </c>
      <c r="Q937" t="inlineStr">
        <is>
          <t>Cancelled</t>
        </is>
      </c>
      <c r="R937" t="n">
        <v/>
      </c>
    </row>
    <row r="938">
      <c r="A938" t="inlineStr">
        <is>
          <t>ORD1937</t>
        </is>
      </c>
      <c r="B938" t="inlineStr">
        <is>
          <t>2025-12-28</t>
        </is>
      </c>
      <c r="C938" t="inlineStr">
        <is>
          <t>19:50:51</t>
        </is>
      </c>
      <c r="D938" t="n">
        <v>1138</v>
      </c>
      <c r="E938" t="n">
        <v>120</v>
      </c>
      <c r="F938" t="n">
        <v>208</v>
      </c>
      <c r="G938" t="inlineStr">
        <is>
          <t>Pune</t>
        </is>
      </c>
      <c r="H938" t="inlineStr">
        <is>
          <t>Fast Food</t>
        </is>
      </c>
      <c r="I938" t="n">
        <v>325</v>
      </c>
      <c r="J938" t="n">
        <v>32.2</v>
      </c>
      <c r="K938" t="n">
        <v>25</v>
      </c>
      <c r="L938" t="n">
        <v>0.18</v>
      </c>
      <c r="M938" t="n">
        <v>64.75</v>
      </c>
      <c r="N938" t="n">
        <v>2.2</v>
      </c>
      <c r="O938" t="n">
        <v>25.8</v>
      </c>
      <c r="P938" t="inlineStr">
        <is>
          <t>Credit Card</t>
        </is>
      </c>
      <c r="Q938" t="inlineStr">
        <is>
          <t>Delivered</t>
        </is>
      </c>
      <c r="R938" t="n">
        <v>3</v>
      </c>
    </row>
    <row r="939">
      <c r="A939" t="inlineStr">
        <is>
          <t>ORD1938</t>
        </is>
      </c>
      <c r="B939" t="inlineStr">
        <is>
          <t>2025-04-28</t>
        </is>
      </c>
      <c r="C939" t="inlineStr">
        <is>
          <t>13:07:08</t>
        </is>
      </c>
      <c r="D939" t="n">
        <v>1203</v>
      </c>
      <c r="E939" t="n">
        <v>112</v>
      </c>
      <c r="F939" t="n">
        <v>211</v>
      </c>
      <c r="G939" t="inlineStr">
        <is>
          <t>Delhi NCR</t>
        </is>
      </c>
      <c r="H939" t="inlineStr">
        <is>
          <t>North Indian</t>
        </is>
      </c>
      <c r="I939" t="n">
        <v>630</v>
      </c>
      <c r="J939" t="n">
        <v>0</v>
      </c>
      <c r="K939" t="n">
        <v>27</v>
      </c>
      <c r="L939" t="n">
        <v>0.22</v>
      </c>
      <c r="M939" t="n">
        <v>145.35</v>
      </c>
      <c r="N939" t="n">
        <v>3.4</v>
      </c>
      <c r="O939" t="n">
        <v>35.3</v>
      </c>
      <c r="P939" t="inlineStr">
        <is>
          <t>Credit Card</t>
        </is>
      </c>
      <c r="Q939" t="inlineStr">
        <is>
          <t>Delivered</t>
        </is>
      </c>
      <c r="R939" t="n">
        <v>5</v>
      </c>
    </row>
    <row r="940">
      <c r="A940" t="inlineStr">
        <is>
          <t>ORD1939</t>
        </is>
      </c>
      <c r="B940" t="inlineStr">
        <is>
          <t>2025-02-16</t>
        </is>
      </c>
      <c r="C940" t="inlineStr">
        <is>
          <t>14:55:03</t>
        </is>
      </c>
      <c r="D940" t="n">
        <v>1233</v>
      </c>
      <c r="E940" t="n">
        <v>106</v>
      </c>
      <c r="F940" t="n">
        <v>224</v>
      </c>
      <c r="G940" t="inlineStr">
        <is>
          <t>Pune</t>
        </is>
      </c>
      <c r="H940" t="inlineStr">
        <is>
          <t>South Indian</t>
        </is>
      </c>
      <c r="I940" t="n">
        <v>609</v>
      </c>
      <c r="J940" t="n">
        <v>0</v>
      </c>
      <c r="K940" t="n">
        <v>28.5</v>
      </c>
      <c r="L940" t="n">
        <v>0.15</v>
      </c>
      <c r="M940" t="n">
        <v>98.48</v>
      </c>
      <c r="N940" t="n">
        <v>3.7</v>
      </c>
      <c r="O940" t="n">
        <v>32.6</v>
      </c>
      <c r="P940" t="inlineStr">
        <is>
          <t>Credit Card</t>
        </is>
      </c>
      <c r="Q940" t="inlineStr">
        <is>
          <t>Delivered</t>
        </is>
      </c>
      <c r="R940" t="n">
        <v>5</v>
      </c>
    </row>
    <row r="941">
      <c r="A941" t="inlineStr">
        <is>
          <t>ORD1940</t>
        </is>
      </c>
      <c r="B941" t="inlineStr">
        <is>
          <t>2025-08-07</t>
        </is>
      </c>
      <c r="C941" t="inlineStr">
        <is>
          <t>13:30:03</t>
        </is>
      </c>
      <c r="D941" t="n">
        <v>1179</v>
      </c>
      <c r="E941" t="n">
        <v>107</v>
      </c>
      <c r="F941" t="n">
        <v>229</v>
      </c>
      <c r="G941" t="inlineStr">
        <is>
          <t>Mumbai</t>
        </is>
      </c>
      <c r="H941" t="inlineStr">
        <is>
          <t>Desserts</t>
        </is>
      </c>
      <c r="I941" t="n">
        <v>951</v>
      </c>
      <c r="J941" t="n">
        <v>156.33</v>
      </c>
      <c r="K941" t="n">
        <v>0</v>
      </c>
      <c r="L941" t="n">
        <v>0.25</v>
      </c>
      <c r="M941" t="n">
        <v>237.75</v>
      </c>
      <c r="N941" t="n">
        <v>3.1</v>
      </c>
      <c r="O941" t="n">
        <v>30.4</v>
      </c>
      <c r="P941" t="inlineStr">
        <is>
          <t>Debit Card</t>
        </is>
      </c>
      <c r="Q941" t="inlineStr">
        <is>
          <t>Delivered</t>
        </is>
      </c>
      <c r="R941" t="n">
        <v>1</v>
      </c>
    </row>
    <row r="942">
      <c r="A942" t="inlineStr">
        <is>
          <t>ORD1941</t>
        </is>
      </c>
      <c r="B942" t="inlineStr">
        <is>
          <t>2025-12-31</t>
        </is>
      </c>
      <c r="C942" t="inlineStr">
        <is>
          <t>14:26:15</t>
        </is>
      </c>
      <c r="D942" t="n">
        <v>1066</v>
      </c>
      <c r="E942" t="n">
        <v>120</v>
      </c>
      <c r="F942" t="n">
        <v>208</v>
      </c>
      <c r="G942" t="inlineStr">
        <is>
          <t>Pune</t>
        </is>
      </c>
      <c r="H942" t="inlineStr">
        <is>
          <t>Fast Food</t>
        </is>
      </c>
      <c r="I942" t="n">
        <v>547</v>
      </c>
      <c r="J942" t="n">
        <v>7.95</v>
      </c>
      <c r="K942" t="n">
        <v>25</v>
      </c>
      <c r="L942" t="n">
        <v>0.18</v>
      </c>
      <c r="M942" t="n">
        <v>104.71</v>
      </c>
      <c r="N942" t="n">
        <v>2</v>
      </c>
      <c r="O942" t="n">
        <v>20.1</v>
      </c>
      <c r="P942" t="inlineStr">
        <is>
          <t>Debit Card</t>
        </is>
      </c>
      <c r="Q942" t="inlineStr">
        <is>
          <t>Delivered</t>
        </is>
      </c>
      <c r="R942" t="n">
        <v>4</v>
      </c>
    </row>
    <row r="943">
      <c r="A943" t="inlineStr">
        <is>
          <t>ORD1942</t>
        </is>
      </c>
      <c r="B943" t="inlineStr">
        <is>
          <t>2025-08-30</t>
        </is>
      </c>
      <c r="C943" t="inlineStr">
        <is>
          <t>13:17:58</t>
        </is>
      </c>
      <c r="D943" t="n">
        <v>1244</v>
      </c>
      <c r="E943" t="n">
        <v>104</v>
      </c>
      <c r="F943" t="n">
        <v>228</v>
      </c>
      <c r="G943" t="inlineStr">
        <is>
          <t>Delhi NCR</t>
        </is>
      </c>
      <c r="H943" t="inlineStr">
        <is>
          <t>Fast Food</t>
        </is>
      </c>
      <c r="I943" t="n">
        <v>841</v>
      </c>
      <c r="J943" t="n">
        <v>0</v>
      </c>
      <c r="K943" t="n">
        <v>25</v>
      </c>
      <c r="L943" t="n">
        <v>0.18</v>
      </c>
      <c r="M943" t="n">
        <v>157.63</v>
      </c>
      <c r="N943" t="n">
        <v>2.7</v>
      </c>
      <c r="O943" t="n">
        <v/>
      </c>
      <c r="P943" t="inlineStr">
        <is>
          <t>Cash on Delivery</t>
        </is>
      </c>
      <c r="Q943" t="inlineStr">
        <is>
          <t>Cancelled</t>
        </is>
      </c>
      <c r="R943" t="n">
        <v/>
      </c>
    </row>
    <row r="944">
      <c r="A944" t="inlineStr">
        <is>
          <t>ORD1943</t>
        </is>
      </c>
      <c r="B944" t="inlineStr">
        <is>
          <t>2025-02-27</t>
        </is>
      </c>
      <c r="C944" t="inlineStr">
        <is>
          <t>20:06:42</t>
        </is>
      </c>
      <c r="D944" t="n">
        <v>1042</v>
      </c>
      <c r="E944" t="n">
        <v>107</v>
      </c>
      <c r="F944" t="n">
        <v>222</v>
      </c>
      <c r="G944" t="inlineStr">
        <is>
          <t>Mumbai</t>
        </is>
      </c>
      <c r="H944" t="inlineStr">
        <is>
          <t>Desserts</t>
        </is>
      </c>
      <c r="I944" t="n">
        <v>233</v>
      </c>
      <c r="J944" t="n">
        <v>14.36</v>
      </c>
      <c r="K944" t="n">
        <v>25.5</v>
      </c>
      <c r="L944" t="n">
        <v>0.25</v>
      </c>
      <c r="M944" t="n">
        <v>64.62</v>
      </c>
      <c r="N944" t="n">
        <v>3.1</v>
      </c>
      <c r="O944" t="n">
        <v>32.3</v>
      </c>
      <c r="P944" t="inlineStr">
        <is>
          <t>Debit Card</t>
        </is>
      </c>
      <c r="Q944" t="inlineStr">
        <is>
          <t>Delivered</t>
        </is>
      </c>
      <c r="R944" t="n">
        <v>4</v>
      </c>
    </row>
    <row r="945">
      <c r="A945" t="inlineStr">
        <is>
          <t>ORD1944</t>
        </is>
      </c>
      <c r="B945" t="inlineStr">
        <is>
          <t>2025-11-29</t>
        </is>
      </c>
      <c r="C945" t="inlineStr">
        <is>
          <t>22:17:13</t>
        </is>
      </c>
      <c r="D945" t="n">
        <v>1113</v>
      </c>
      <c r="E945" t="n">
        <v>101</v>
      </c>
      <c r="F945" t="n">
        <v>203</v>
      </c>
      <c r="G945" t="inlineStr">
        <is>
          <t>Bangalore</t>
        </is>
      </c>
      <c r="H945" t="inlineStr">
        <is>
          <t>North Indian</t>
        </is>
      </c>
      <c r="I945" t="n">
        <v>1016</v>
      </c>
      <c r="J945" t="n">
        <v>110.46</v>
      </c>
      <c r="K945" t="n">
        <v>0</v>
      </c>
      <c r="L945" t="n">
        <v>0.2</v>
      </c>
      <c r="M945" t="n">
        <v>203.2</v>
      </c>
      <c r="N945" t="n">
        <v>3.1</v>
      </c>
      <c r="O945" t="n">
        <v>22.6</v>
      </c>
      <c r="P945" t="inlineStr">
        <is>
          <t>Digital Wallet</t>
        </is>
      </c>
      <c r="Q945" t="inlineStr">
        <is>
          <t>Delivered</t>
        </is>
      </c>
      <c r="R945" t="n">
        <v>5</v>
      </c>
    </row>
    <row r="946">
      <c r="A946" t="inlineStr">
        <is>
          <t>ORD1945</t>
        </is>
      </c>
      <c r="B946" t="inlineStr">
        <is>
          <t>2025-10-28</t>
        </is>
      </c>
      <c r="C946" t="inlineStr">
        <is>
          <t>20:58:56</t>
        </is>
      </c>
      <c r="D946" t="n">
        <v>1040</v>
      </c>
      <c r="E946" t="n">
        <v>120</v>
      </c>
      <c r="F946" t="n">
        <v>214</v>
      </c>
      <c r="G946" t="inlineStr">
        <is>
          <t>Pune</t>
        </is>
      </c>
      <c r="H946" t="inlineStr">
        <is>
          <t>Fast Food</t>
        </is>
      </c>
      <c r="I946" t="n">
        <v>890</v>
      </c>
      <c r="J946" t="n">
        <v>13.74</v>
      </c>
      <c r="K946" t="n">
        <v>25</v>
      </c>
      <c r="L946" t="n">
        <v>0.18</v>
      </c>
      <c r="M946" t="n">
        <v>166.45</v>
      </c>
      <c r="N946" t="n">
        <v>1.8</v>
      </c>
      <c r="O946" t="n">
        <v>24</v>
      </c>
      <c r="P946" t="inlineStr">
        <is>
          <t>UPI</t>
        </is>
      </c>
      <c r="Q946" t="inlineStr">
        <is>
          <t>Delivered</t>
        </is>
      </c>
      <c r="R946" t="n">
        <v>5</v>
      </c>
    </row>
    <row r="947">
      <c r="A947" t="inlineStr">
        <is>
          <t>ORD1946</t>
        </is>
      </c>
      <c r="B947" t="inlineStr">
        <is>
          <t>2025-06-04</t>
        </is>
      </c>
      <c r="C947" t="inlineStr">
        <is>
          <t>09:46:30</t>
        </is>
      </c>
      <c r="D947" t="n">
        <v>1138</v>
      </c>
      <c r="E947" t="n">
        <v>110</v>
      </c>
      <c r="F947" t="n">
        <v>208</v>
      </c>
      <c r="G947" t="inlineStr">
        <is>
          <t>Pune</t>
        </is>
      </c>
      <c r="H947" t="inlineStr">
        <is>
          <t>North Indian</t>
        </is>
      </c>
      <c r="I947" t="n">
        <v>426</v>
      </c>
      <c r="J947" t="n">
        <v>37.21</v>
      </c>
      <c r="K947" t="n">
        <v>25</v>
      </c>
      <c r="L947" t="n">
        <v>0.18</v>
      </c>
      <c r="M947" t="n">
        <v>82.93000000000001</v>
      </c>
      <c r="N947" t="n">
        <v>2.7</v>
      </c>
      <c r="O947" t="n">
        <v>22.6</v>
      </c>
      <c r="P947" t="inlineStr">
        <is>
          <t>Credit Card</t>
        </is>
      </c>
      <c r="Q947" t="inlineStr">
        <is>
          <t>Delivered</t>
        </is>
      </c>
      <c r="R947" t="n">
        <v>5</v>
      </c>
    </row>
    <row r="948">
      <c r="A948" t="inlineStr">
        <is>
          <t>ORD1947</t>
        </is>
      </c>
      <c r="B948" t="inlineStr">
        <is>
          <t>2025-10-09</t>
        </is>
      </c>
      <c r="C948" t="inlineStr">
        <is>
          <t>21:45:16</t>
        </is>
      </c>
      <c r="D948" t="n">
        <v>1004</v>
      </c>
      <c r="E948" t="n">
        <v>120</v>
      </c>
      <c r="F948" t="n">
        <v>226</v>
      </c>
      <c r="G948" t="inlineStr">
        <is>
          <t>Pune</t>
        </is>
      </c>
      <c r="H948" t="inlineStr">
        <is>
          <t>Fast Food</t>
        </is>
      </c>
      <c r="I948" t="n">
        <v>793</v>
      </c>
      <c r="J948" t="n">
        <v>56.77</v>
      </c>
      <c r="K948" t="n">
        <v>68.5</v>
      </c>
      <c r="L948" t="n">
        <v>0.18</v>
      </c>
      <c r="M948" t="n">
        <v>159.86</v>
      </c>
      <c r="N948" t="n">
        <v>11.7</v>
      </c>
      <c r="O948" t="n">
        <v>62.6</v>
      </c>
      <c r="P948" t="inlineStr">
        <is>
          <t>UPI</t>
        </is>
      </c>
      <c r="Q948" t="inlineStr">
        <is>
          <t>Delivered</t>
        </is>
      </c>
      <c r="R948" t="n">
        <v>3</v>
      </c>
    </row>
    <row r="949">
      <c r="A949" t="inlineStr">
        <is>
          <t>ORD1948</t>
        </is>
      </c>
      <c r="B949" t="inlineStr">
        <is>
          <t>2025-08-03</t>
        </is>
      </c>
      <c r="C949" t="inlineStr">
        <is>
          <t>20:33:59</t>
        </is>
      </c>
      <c r="D949" t="n">
        <v>1106</v>
      </c>
      <c r="E949" t="n">
        <v>111</v>
      </c>
      <c r="F949" t="n">
        <v>205</v>
      </c>
      <c r="G949" t="inlineStr">
        <is>
          <t>Bangalore</t>
        </is>
      </c>
      <c r="H949" t="inlineStr">
        <is>
          <t>South Indian</t>
        </is>
      </c>
      <c r="I949" t="n">
        <v>735</v>
      </c>
      <c r="J949" t="n">
        <v>9.82</v>
      </c>
      <c r="K949" t="n">
        <v>33.5</v>
      </c>
      <c r="L949" t="n">
        <v>0.15</v>
      </c>
      <c r="M949" t="n">
        <v>118.62</v>
      </c>
      <c r="N949" t="n">
        <v>4.7</v>
      </c>
      <c r="O949" t="n">
        <v>33</v>
      </c>
      <c r="P949" t="inlineStr">
        <is>
          <t>Credit Card</t>
        </is>
      </c>
      <c r="Q949" t="inlineStr">
        <is>
          <t>Delivered</t>
        </is>
      </c>
      <c r="R949" t="n">
        <v>4</v>
      </c>
    </row>
    <row r="950">
      <c r="A950" t="inlineStr">
        <is>
          <t>ORD1949</t>
        </is>
      </c>
      <c r="B950" t="inlineStr">
        <is>
          <t>2025-12-22</t>
        </is>
      </c>
      <c r="C950" t="inlineStr">
        <is>
          <t>12:12:47</t>
        </is>
      </c>
      <c r="D950" t="n">
        <v>1268</v>
      </c>
      <c r="E950" t="n">
        <v>103</v>
      </c>
      <c r="F950" t="n">
        <v>206</v>
      </c>
      <c r="G950" t="inlineStr">
        <is>
          <t>Mumbai</t>
        </is>
      </c>
      <c r="H950" t="inlineStr">
        <is>
          <t>Italian</t>
        </is>
      </c>
      <c r="I950" t="n">
        <v>627</v>
      </c>
      <c r="J950" t="n">
        <v>53.08</v>
      </c>
      <c r="K950" t="n">
        <v>41</v>
      </c>
      <c r="L950" t="n">
        <v>0.18</v>
      </c>
      <c r="M950" t="n">
        <v>123.11</v>
      </c>
      <c r="N950" t="n">
        <v>6.2</v>
      </c>
      <c r="O950" t="n">
        <v>45.1</v>
      </c>
      <c r="P950" t="inlineStr">
        <is>
          <t>Digital Wallet</t>
        </is>
      </c>
      <c r="Q950" t="inlineStr">
        <is>
          <t>Delivered</t>
        </is>
      </c>
      <c r="R950" t="n">
        <v>3</v>
      </c>
    </row>
    <row r="951">
      <c r="A951" t="inlineStr">
        <is>
          <t>ORD1950</t>
        </is>
      </c>
      <c r="B951" t="inlineStr">
        <is>
          <t>2025-08-13</t>
        </is>
      </c>
      <c r="C951" t="inlineStr">
        <is>
          <t>12:48:32</t>
        </is>
      </c>
      <c r="D951" t="n">
        <v>1053</v>
      </c>
      <c r="E951" t="n">
        <v>114</v>
      </c>
      <c r="F951" t="n">
        <v>225</v>
      </c>
      <c r="G951" t="inlineStr">
        <is>
          <t>Hyderabad</t>
        </is>
      </c>
      <c r="H951" t="inlineStr">
        <is>
          <t>Biryani</t>
        </is>
      </c>
      <c r="I951" t="n">
        <v>856</v>
      </c>
      <c r="J951" t="n">
        <v>152.31</v>
      </c>
      <c r="K951" t="n">
        <v>0</v>
      </c>
      <c r="L951" t="n">
        <v>0.22</v>
      </c>
      <c r="M951" t="n">
        <v>188.32</v>
      </c>
      <c r="N951" t="n">
        <v>4.3</v>
      </c>
      <c r="O951" t="n">
        <v>32.9</v>
      </c>
      <c r="P951" t="inlineStr">
        <is>
          <t>Debit Card</t>
        </is>
      </c>
      <c r="Q951" t="inlineStr">
        <is>
          <t>Delivered</t>
        </is>
      </c>
      <c r="R951" t="n">
        <v>3</v>
      </c>
    </row>
    <row r="952">
      <c r="A952" t="inlineStr">
        <is>
          <t>ORD1951</t>
        </is>
      </c>
      <c r="B952" t="inlineStr">
        <is>
          <t>2025-01-02</t>
        </is>
      </c>
      <c r="C952" t="inlineStr">
        <is>
          <t>18:10:36</t>
        </is>
      </c>
      <c r="D952" t="n">
        <v>1019</v>
      </c>
      <c r="E952" t="n">
        <v>116</v>
      </c>
      <c r="F952" t="n">
        <v>208</v>
      </c>
      <c r="G952" t="inlineStr">
        <is>
          <t>Pune</t>
        </is>
      </c>
      <c r="H952" t="inlineStr">
        <is>
          <t>Desserts</t>
        </is>
      </c>
      <c r="I952" t="n">
        <v>443</v>
      </c>
      <c r="J952" t="n">
        <v>0.31</v>
      </c>
      <c r="K952" t="n">
        <v>34.5</v>
      </c>
      <c r="L952" t="n">
        <v>0.25</v>
      </c>
      <c r="M952" t="n">
        <v>119.38</v>
      </c>
      <c r="N952" t="n">
        <v>4.9</v>
      </c>
      <c r="O952" t="n">
        <v>35.5</v>
      </c>
      <c r="P952" t="inlineStr">
        <is>
          <t>Digital Wallet</t>
        </is>
      </c>
      <c r="Q952" t="inlineStr">
        <is>
          <t>Delivered</t>
        </is>
      </c>
      <c r="R952" t="n">
        <v>1</v>
      </c>
    </row>
    <row r="953">
      <c r="A953" t="inlineStr">
        <is>
          <t>ORD1952</t>
        </is>
      </c>
      <c r="B953" t="inlineStr">
        <is>
          <t>2025-04-23</t>
        </is>
      </c>
      <c r="C953" t="inlineStr">
        <is>
          <t>11:18:45</t>
        </is>
      </c>
      <c r="D953" t="n">
        <v>1161</v>
      </c>
      <c r="E953" t="n">
        <v>102</v>
      </c>
      <c r="F953" t="n">
        <v>216</v>
      </c>
      <c r="G953" t="inlineStr">
        <is>
          <t>Hyderabad</t>
        </is>
      </c>
      <c r="H953" t="inlineStr">
        <is>
          <t>Biryani</t>
        </is>
      </c>
      <c r="I953" t="n">
        <v>494</v>
      </c>
      <c r="J953" t="n">
        <v>6.76</v>
      </c>
      <c r="K953" t="n">
        <v>28.5</v>
      </c>
      <c r="L953" t="n">
        <v>0.22</v>
      </c>
      <c r="M953" t="n">
        <v>115.8</v>
      </c>
      <c r="N953" t="n">
        <v>3.7</v>
      </c>
      <c r="O953" t="n">
        <v>24.8</v>
      </c>
      <c r="P953" t="inlineStr">
        <is>
          <t>Credit Card</t>
        </is>
      </c>
      <c r="Q953" t="inlineStr">
        <is>
          <t>Delivered</t>
        </is>
      </c>
      <c r="R953" t="n">
        <v>4</v>
      </c>
    </row>
    <row r="954">
      <c r="A954" t="inlineStr">
        <is>
          <t>ORD1953</t>
        </is>
      </c>
      <c r="B954" t="inlineStr">
        <is>
          <t>2025-05-23</t>
        </is>
      </c>
      <c r="C954" t="inlineStr">
        <is>
          <t>12:59:08</t>
        </is>
      </c>
      <c r="D954" t="n">
        <v>1011</v>
      </c>
      <c r="E954" t="n">
        <v>114</v>
      </c>
      <c r="F954" t="n">
        <v>216</v>
      </c>
      <c r="G954" t="inlineStr">
        <is>
          <t>Hyderabad</t>
        </is>
      </c>
      <c r="H954" t="inlineStr">
        <is>
          <t>Biryani</t>
        </is>
      </c>
      <c r="I954" t="n">
        <v>496</v>
      </c>
      <c r="J954" t="n">
        <v>2.04</v>
      </c>
      <c r="K954" t="n">
        <v>46.5</v>
      </c>
      <c r="L954" t="n">
        <v>0.22</v>
      </c>
      <c r="M954" t="n">
        <v>120.74</v>
      </c>
      <c r="N954" t="n">
        <v>7.3</v>
      </c>
      <c r="O954" t="n">
        <v>49.7</v>
      </c>
      <c r="P954" t="inlineStr">
        <is>
          <t>Credit Card</t>
        </is>
      </c>
      <c r="Q954" t="inlineStr">
        <is>
          <t>Delivered</t>
        </is>
      </c>
      <c r="R954" t="n">
        <v>2</v>
      </c>
    </row>
    <row r="955">
      <c r="A955" t="inlineStr">
        <is>
          <t>ORD1954</t>
        </is>
      </c>
      <c r="B955" t="inlineStr">
        <is>
          <t>2025-11-20</t>
        </is>
      </c>
      <c r="C955" t="inlineStr">
        <is>
          <t>22:38:23</t>
        </is>
      </c>
      <c r="D955" t="n">
        <v>1025</v>
      </c>
      <c r="E955" t="n">
        <v>120</v>
      </c>
      <c r="F955" t="n">
        <v>209</v>
      </c>
      <c r="G955" t="inlineStr">
        <is>
          <t>Pune</t>
        </is>
      </c>
      <c r="H955" t="inlineStr">
        <is>
          <t>Fast Food</t>
        </is>
      </c>
      <c r="I955" t="n">
        <v>552</v>
      </c>
      <c r="J955" t="n">
        <v>0</v>
      </c>
      <c r="K955" t="n">
        <v>27</v>
      </c>
      <c r="L955" t="n">
        <v>0.18</v>
      </c>
      <c r="M955" t="n">
        <v>106.11</v>
      </c>
      <c r="N955" t="n">
        <v>3.4</v>
      </c>
      <c r="O955" t="n">
        <v>30</v>
      </c>
      <c r="P955" t="inlineStr">
        <is>
          <t>Digital Wallet</t>
        </is>
      </c>
      <c r="Q955" t="inlineStr">
        <is>
          <t>Delivered</t>
        </is>
      </c>
      <c r="R955" t="n">
        <v>4</v>
      </c>
    </row>
    <row r="956">
      <c r="A956" t="inlineStr">
        <is>
          <t>ORD1955</t>
        </is>
      </c>
      <c r="B956" t="inlineStr">
        <is>
          <t>2025-11-10</t>
        </is>
      </c>
      <c r="C956" t="inlineStr">
        <is>
          <t>15:18:20</t>
        </is>
      </c>
      <c r="D956" t="n">
        <v>1062</v>
      </c>
      <c r="E956" t="n">
        <v>107</v>
      </c>
      <c r="F956" t="n">
        <v>202</v>
      </c>
      <c r="G956" t="inlineStr">
        <is>
          <t>Mumbai</t>
        </is>
      </c>
      <c r="H956" t="inlineStr">
        <is>
          <t>Desserts</t>
        </is>
      </c>
      <c r="I956" t="n">
        <v>278</v>
      </c>
      <c r="J956" t="n">
        <v>0.23</v>
      </c>
      <c r="K956" t="n">
        <v>25</v>
      </c>
      <c r="L956" t="n">
        <v>0.25</v>
      </c>
      <c r="M956" t="n">
        <v>75.75</v>
      </c>
      <c r="N956" t="n">
        <v>2.5</v>
      </c>
      <c r="O956" t="n">
        <v>27.3</v>
      </c>
      <c r="P956" t="inlineStr">
        <is>
          <t>Debit Card</t>
        </is>
      </c>
      <c r="Q956" t="inlineStr">
        <is>
          <t>Delivered</t>
        </is>
      </c>
      <c r="R956" t="n">
        <v>4</v>
      </c>
    </row>
    <row r="957">
      <c r="A957" t="inlineStr">
        <is>
          <t>ORD1956</t>
        </is>
      </c>
      <c r="B957" t="inlineStr">
        <is>
          <t>2025-01-09</t>
        </is>
      </c>
      <c r="C957" t="inlineStr">
        <is>
          <t>19:34:42</t>
        </is>
      </c>
      <c r="D957" t="n">
        <v>1050</v>
      </c>
      <c r="E957" t="n">
        <v>116</v>
      </c>
      <c r="F957" t="n">
        <v>224</v>
      </c>
      <c r="G957" t="inlineStr">
        <is>
          <t>Pune</t>
        </is>
      </c>
      <c r="H957" t="inlineStr">
        <is>
          <t>Desserts</t>
        </is>
      </c>
      <c r="I957" t="n">
        <v>817</v>
      </c>
      <c r="J957" t="n">
        <v>0</v>
      </c>
      <c r="K957" t="n">
        <v>36</v>
      </c>
      <c r="L957" t="n">
        <v>0.25</v>
      </c>
      <c r="M957" t="n">
        <v>213.25</v>
      </c>
      <c r="N957" t="n">
        <v>5.2</v>
      </c>
      <c r="O957" t="n">
        <v>39.4</v>
      </c>
      <c r="P957" t="inlineStr">
        <is>
          <t>Cash on Delivery</t>
        </is>
      </c>
      <c r="Q957" t="inlineStr">
        <is>
          <t>Delivered</t>
        </is>
      </c>
      <c r="R957" t="n">
        <v>4</v>
      </c>
    </row>
    <row r="958">
      <c r="A958" t="inlineStr">
        <is>
          <t>ORD1957</t>
        </is>
      </c>
      <c r="B958" t="inlineStr">
        <is>
          <t>2025-04-23</t>
        </is>
      </c>
      <c r="C958" t="inlineStr">
        <is>
          <t>18:20:17</t>
        </is>
      </c>
      <c r="D958" t="n">
        <v>1228</v>
      </c>
      <c r="E958" t="n">
        <v>114</v>
      </c>
      <c r="F958" t="n">
        <v>216</v>
      </c>
      <c r="G958" t="inlineStr">
        <is>
          <t>Hyderabad</t>
        </is>
      </c>
      <c r="H958" t="inlineStr">
        <is>
          <t>Biryani</t>
        </is>
      </c>
      <c r="I958" t="n">
        <v>428</v>
      </c>
      <c r="J958" t="n">
        <v>27.66</v>
      </c>
      <c r="K958" t="n">
        <v>37.5</v>
      </c>
      <c r="L958" t="n">
        <v>0.22</v>
      </c>
      <c r="M958" t="n">
        <v>103.54</v>
      </c>
      <c r="N958" t="n">
        <v>5.5</v>
      </c>
      <c r="O958" t="n">
        <v>38.4</v>
      </c>
      <c r="P958" t="inlineStr">
        <is>
          <t>Credit Card</t>
        </is>
      </c>
      <c r="Q958" t="inlineStr">
        <is>
          <t>Delivered</t>
        </is>
      </c>
      <c r="R958" t="n">
        <v>4</v>
      </c>
    </row>
    <row r="959">
      <c r="A959" t="inlineStr">
        <is>
          <t>ORD1958</t>
        </is>
      </c>
      <c r="B959" t="inlineStr">
        <is>
          <t>2025-07-08</t>
        </is>
      </c>
      <c r="C959" t="inlineStr">
        <is>
          <t>14:09:57</t>
        </is>
      </c>
      <c r="D959" t="n">
        <v>1143</v>
      </c>
      <c r="E959" t="n">
        <v>102</v>
      </c>
      <c r="F959" t="n">
        <v>225</v>
      </c>
      <c r="G959" t="inlineStr">
        <is>
          <t>Hyderabad</t>
        </is>
      </c>
      <c r="H959" t="inlineStr">
        <is>
          <t>Biryani</t>
        </is>
      </c>
      <c r="I959" t="n">
        <v>710</v>
      </c>
      <c r="J959" t="n">
        <v>0</v>
      </c>
      <c r="K959" t="n">
        <v>25</v>
      </c>
      <c r="L959" t="n">
        <v>0.22</v>
      </c>
      <c r="M959" t="n">
        <v>162.45</v>
      </c>
      <c r="N959" t="n">
        <v>1.9</v>
      </c>
      <c r="O959" t="n">
        <v>28.9</v>
      </c>
      <c r="P959" t="inlineStr">
        <is>
          <t>Credit Card</t>
        </is>
      </c>
      <c r="Q959" t="inlineStr">
        <is>
          <t>Delivered</t>
        </is>
      </c>
      <c r="R959" t="n">
        <v>4</v>
      </c>
    </row>
    <row r="960">
      <c r="A960" t="inlineStr">
        <is>
          <t>ORD1959</t>
        </is>
      </c>
      <c r="B960" t="inlineStr">
        <is>
          <t>2025-10-19</t>
        </is>
      </c>
      <c r="C960" t="inlineStr">
        <is>
          <t>19:31:46</t>
        </is>
      </c>
      <c r="D960" t="n">
        <v>1112</v>
      </c>
      <c r="E960" t="n">
        <v>107</v>
      </c>
      <c r="F960" t="n">
        <v>206</v>
      </c>
      <c r="G960" t="inlineStr">
        <is>
          <t>Mumbai</t>
        </is>
      </c>
      <c r="H960" t="inlineStr">
        <is>
          <t>Desserts</t>
        </is>
      </c>
      <c r="I960" t="n">
        <v>404</v>
      </c>
      <c r="J960" t="n">
        <v>0.68</v>
      </c>
      <c r="K960" t="n">
        <v>34</v>
      </c>
      <c r="L960" t="n">
        <v>0.25</v>
      </c>
      <c r="M960" t="n">
        <v>109.5</v>
      </c>
      <c r="N960" t="n">
        <v>4.8</v>
      </c>
      <c r="O960" t="n">
        <v>42.6</v>
      </c>
      <c r="P960" t="inlineStr">
        <is>
          <t>Credit Card</t>
        </is>
      </c>
      <c r="Q960" t="inlineStr">
        <is>
          <t>Delivered</t>
        </is>
      </c>
      <c r="R960" t="n">
        <v>2</v>
      </c>
    </row>
    <row r="961">
      <c r="A961" t="inlineStr">
        <is>
          <t>ORD1960</t>
        </is>
      </c>
      <c r="B961" t="inlineStr">
        <is>
          <t>2025-03-15</t>
        </is>
      </c>
      <c r="C961" t="inlineStr">
        <is>
          <t>20:04:27</t>
        </is>
      </c>
      <c r="D961" t="n">
        <v>1172</v>
      </c>
      <c r="E961" t="n">
        <v>110</v>
      </c>
      <c r="F961" t="n">
        <v>214</v>
      </c>
      <c r="G961" t="inlineStr">
        <is>
          <t>Pune</t>
        </is>
      </c>
      <c r="H961" t="inlineStr">
        <is>
          <t>North Indian</t>
        </is>
      </c>
      <c r="I961" t="n">
        <v>471</v>
      </c>
      <c r="J961" t="n">
        <v>0</v>
      </c>
      <c r="K961" t="n">
        <v>25</v>
      </c>
      <c r="L961" t="n">
        <v>0.18</v>
      </c>
      <c r="M961" t="n">
        <v>91.03</v>
      </c>
      <c r="N961" t="n">
        <v>2.2</v>
      </c>
      <c r="O961" t="n">
        <v>27.5</v>
      </c>
      <c r="P961" t="inlineStr">
        <is>
          <t>Cash on Delivery</t>
        </is>
      </c>
      <c r="Q961" t="inlineStr">
        <is>
          <t>Delivered</t>
        </is>
      </c>
      <c r="R961" t="n">
        <v>5</v>
      </c>
    </row>
    <row r="962">
      <c r="A962" t="inlineStr">
        <is>
          <t>ORD1961</t>
        </is>
      </c>
      <c r="B962" t="inlineStr">
        <is>
          <t>2025-01-07</t>
        </is>
      </c>
      <c r="C962" t="inlineStr">
        <is>
          <t>15:38:06</t>
        </is>
      </c>
      <c r="D962" t="n">
        <v>1024</v>
      </c>
      <c r="E962" t="n">
        <v>107</v>
      </c>
      <c r="F962" t="n">
        <v>206</v>
      </c>
      <c r="G962" t="inlineStr">
        <is>
          <t>Mumbai</t>
        </is>
      </c>
      <c r="H962" t="inlineStr">
        <is>
          <t>Desserts</t>
        </is>
      </c>
      <c r="I962" t="n">
        <v>606</v>
      </c>
      <c r="J962" t="n">
        <v>0</v>
      </c>
      <c r="K962" t="n">
        <v>28</v>
      </c>
      <c r="L962" t="n">
        <v>0.25</v>
      </c>
      <c r="M962" t="n">
        <v>158.5</v>
      </c>
      <c r="N962" t="n">
        <v>3.6</v>
      </c>
      <c r="O962" t="n">
        <v>24.2</v>
      </c>
      <c r="P962" t="inlineStr">
        <is>
          <t>UPI</t>
        </is>
      </c>
      <c r="Q962" t="inlineStr">
        <is>
          <t>Delivered</t>
        </is>
      </c>
      <c r="R962" t="n">
        <v>5</v>
      </c>
    </row>
    <row r="963">
      <c r="A963" t="inlineStr">
        <is>
          <t>ORD1962</t>
        </is>
      </c>
      <c r="B963" t="inlineStr">
        <is>
          <t>2025-02-12</t>
        </is>
      </c>
      <c r="C963" t="inlineStr">
        <is>
          <t>20:17:09</t>
        </is>
      </c>
      <c r="D963" t="n">
        <v>1076</v>
      </c>
      <c r="E963" t="n">
        <v>104</v>
      </c>
      <c r="F963" t="n">
        <v>219</v>
      </c>
      <c r="G963" t="inlineStr">
        <is>
          <t>Delhi NCR</t>
        </is>
      </c>
      <c r="H963" t="inlineStr">
        <is>
          <t>Fast Food</t>
        </is>
      </c>
      <c r="I963" t="n">
        <v>862</v>
      </c>
      <c r="J963" t="n">
        <v>79.28</v>
      </c>
      <c r="K963" t="n">
        <v>37</v>
      </c>
      <c r="L963" t="n">
        <v>0.18</v>
      </c>
      <c r="M963" t="n">
        <v>164.41</v>
      </c>
      <c r="N963" t="n">
        <v>5.4</v>
      </c>
      <c r="O963" t="n">
        <v>49.4</v>
      </c>
      <c r="P963" t="inlineStr">
        <is>
          <t>UPI</t>
        </is>
      </c>
      <c r="Q963" t="inlineStr">
        <is>
          <t>Delivered</t>
        </is>
      </c>
      <c r="R963" t="n">
        <v>5</v>
      </c>
    </row>
    <row r="964">
      <c r="A964" t="inlineStr">
        <is>
          <t>ORD1963</t>
        </is>
      </c>
      <c r="B964" t="inlineStr">
        <is>
          <t>2025-12-29</t>
        </is>
      </c>
      <c r="C964" t="inlineStr">
        <is>
          <t>21:05:12</t>
        </is>
      </c>
      <c r="D964" t="n">
        <v>1197</v>
      </c>
      <c r="E964" t="n">
        <v>113</v>
      </c>
      <c r="F964" t="n">
        <v>202</v>
      </c>
      <c r="G964" t="inlineStr">
        <is>
          <t>Mumbai</t>
        </is>
      </c>
      <c r="H964" t="inlineStr">
        <is>
          <t>Fast Food</t>
        </is>
      </c>
      <c r="I964" t="n">
        <v>362</v>
      </c>
      <c r="J964" t="n">
        <v>30.27</v>
      </c>
      <c r="K964" t="n">
        <v>25</v>
      </c>
      <c r="L964" t="n">
        <v>0.18</v>
      </c>
      <c r="M964" t="n">
        <v>71.41</v>
      </c>
      <c r="N964" t="n">
        <v>2.5</v>
      </c>
      <c r="O964" t="n">
        <v>28.7</v>
      </c>
      <c r="P964" t="inlineStr">
        <is>
          <t>Cash on Delivery</t>
        </is>
      </c>
      <c r="Q964" t="inlineStr">
        <is>
          <t>Delivered</t>
        </is>
      </c>
      <c r="R964" t="n">
        <v>5</v>
      </c>
    </row>
    <row r="965">
      <c r="A965" t="inlineStr">
        <is>
          <t>ORD1964</t>
        </is>
      </c>
      <c r="B965" t="inlineStr">
        <is>
          <t>2025-06-19</t>
        </is>
      </c>
      <c r="C965" t="inlineStr">
        <is>
          <t>06:30:09</t>
        </is>
      </c>
      <c r="D965" t="n">
        <v>1125</v>
      </c>
      <c r="E965" t="n">
        <v>116</v>
      </c>
      <c r="F965" t="n">
        <v>224</v>
      </c>
      <c r="G965" t="inlineStr">
        <is>
          <t>Pune</t>
        </is>
      </c>
      <c r="H965" t="inlineStr">
        <is>
          <t>Desserts</t>
        </is>
      </c>
      <c r="I965" t="n">
        <v>469</v>
      </c>
      <c r="J965" t="n">
        <v>0</v>
      </c>
      <c r="K965" t="n">
        <v>37.5</v>
      </c>
      <c r="L965" t="n">
        <v>0.25</v>
      </c>
      <c r="M965" t="n">
        <v>126.62</v>
      </c>
      <c r="N965" t="n">
        <v>5.5</v>
      </c>
      <c r="O965" t="n">
        <v>38.8</v>
      </c>
      <c r="P965" t="inlineStr">
        <is>
          <t>Digital Wallet</t>
        </is>
      </c>
      <c r="Q965" t="inlineStr">
        <is>
          <t>Delivered</t>
        </is>
      </c>
      <c r="R965" t="n">
        <v>5</v>
      </c>
    </row>
    <row r="966">
      <c r="A966" t="inlineStr">
        <is>
          <t>ORD1965</t>
        </is>
      </c>
      <c r="B966" t="inlineStr">
        <is>
          <t>2025-01-23</t>
        </is>
      </c>
      <c r="C966" t="inlineStr">
        <is>
          <t>18:06:34</t>
        </is>
      </c>
      <c r="D966" t="n">
        <v>1017</v>
      </c>
      <c r="E966" t="n">
        <v>107</v>
      </c>
      <c r="F966" t="n">
        <v>202</v>
      </c>
      <c r="G966" t="inlineStr">
        <is>
          <t>Mumbai</t>
        </is>
      </c>
      <c r="H966" t="inlineStr">
        <is>
          <t>Desserts</t>
        </is>
      </c>
      <c r="I966" t="n">
        <v>523</v>
      </c>
      <c r="J966" t="n">
        <v>0</v>
      </c>
      <c r="K966" t="n">
        <v>49</v>
      </c>
      <c r="L966" t="n">
        <v>0.25</v>
      </c>
      <c r="M966" t="n">
        <v>143</v>
      </c>
      <c r="N966" t="n">
        <v>7.8</v>
      </c>
      <c r="O966" t="n">
        <v>45</v>
      </c>
      <c r="P966" t="inlineStr">
        <is>
          <t>Cash on Delivery</t>
        </is>
      </c>
      <c r="Q966" t="inlineStr">
        <is>
          <t>Delivered</t>
        </is>
      </c>
      <c r="R966" t="n">
        <v>5</v>
      </c>
    </row>
    <row r="967">
      <c r="A967" t="inlineStr">
        <is>
          <t>ORD1966</t>
        </is>
      </c>
      <c r="B967" t="inlineStr">
        <is>
          <t>2025-04-25</t>
        </is>
      </c>
      <c r="C967" t="inlineStr">
        <is>
          <t>22:01:14</t>
        </is>
      </c>
      <c r="D967" t="n">
        <v>1067</v>
      </c>
      <c r="E967" t="n">
        <v>120</v>
      </c>
      <c r="F967" t="n">
        <v>209</v>
      </c>
      <c r="G967" t="inlineStr">
        <is>
          <t>Pune</t>
        </is>
      </c>
      <c r="H967" t="inlineStr">
        <is>
          <t>Fast Food</t>
        </is>
      </c>
      <c r="I967" t="n">
        <v>657</v>
      </c>
      <c r="J967" t="n">
        <v>0</v>
      </c>
      <c r="K967" t="n">
        <v>25</v>
      </c>
      <c r="L967" t="n">
        <v>0.18</v>
      </c>
      <c r="M967" t="n">
        <v>124.51</v>
      </c>
      <c r="N967" t="n">
        <v>3</v>
      </c>
      <c r="O967" t="n">
        <v>30.9</v>
      </c>
      <c r="P967" t="inlineStr">
        <is>
          <t>Debit Card</t>
        </is>
      </c>
      <c r="Q967" t="inlineStr">
        <is>
          <t>Delivered</t>
        </is>
      </c>
      <c r="R967" t="n">
        <v>5</v>
      </c>
    </row>
    <row r="968">
      <c r="A968" t="inlineStr">
        <is>
          <t>ORD1967</t>
        </is>
      </c>
      <c r="B968" t="inlineStr">
        <is>
          <t>2025-12-18</t>
        </is>
      </c>
      <c r="C968" t="inlineStr">
        <is>
          <t>20:56:45</t>
        </is>
      </c>
      <c r="D968" t="n">
        <v>1286</v>
      </c>
      <c r="E968" t="n">
        <v>118</v>
      </c>
      <c r="F968" t="n">
        <v>221</v>
      </c>
      <c r="G968" t="inlineStr">
        <is>
          <t>Delhi NCR</t>
        </is>
      </c>
      <c r="H968" t="inlineStr">
        <is>
          <t>North Indian</t>
        </is>
      </c>
      <c r="I968" t="n">
        <v>335</v>
      </c>
      <c r="J968" t="n">
        <v>0</v>
      </c>
      <c r="K968" t="n">
        <v>32.5</v>
      </c>
      <c r="L968" t="n">
        <v>0.2</v>
      </c>
      <c r="M968" t="n">
        <v>75.12</v>
      </c>
      <c r="N968" t="n">
        <v>4.5</v>
      </c>
      <c r="O968" t="n">
        <v>39.4</v>
      </c>
      <c r="P968" t="inlineStr">
        <is>
          <t>Credit Card</t>
        </is>
      </c>
      <c r="Q968" t="inlineStr">
        <is>
          <t>Delivered</t>
        </is>
      </c>
      <c r="R968" t="n">
        <v>5</v>
      </c>
    </row>
    <row r="969">
      <c r="A969" t="inlineStr">
        <is>
          <t>ORD1968</t>
        </is>
      </c>
      <c r="B969" t="inlineStr">
        <is>
          <t>2025-07-02</t>
        </is>
      </c>
      <c r="C969" t="inlineStr">
        <is>
          <t>21:04:39</t>
        </is>
      </c>
      <c r="D969" t="n">
        <v>1232</v>
      </c>
      <c r="E969" t="n">
        <v>119</v>
      </c>
      <c r="F969" t="n">
        <v>225</v>
      </c>
      <c r="G969" t="inlineStr">
        <is>
          <t>Hyderabad</t>
        </is>
      </c>
      <c r="H969" t="inlineStr">
        <is>
          <t>Biryani</t>
        </is>
      </c>
      <c r="I969" t="n">
        <v>561</v>
      </c>
      <c r="J969" t="n">
        <v>0</v>
      </c>
      <c r="K969" t="n">
        <v>62.5</v>
      </c>
      <c r="L969" t="n">
        <v>0.2</v>
      </c>
      <c r="M969" t="n">
        <v>127.82</v>
      </c>
      <c r="N969" t="n">
        <v>10.5</v>
      </c>
      <c r="O969" t="n">
        <v>61.9</v>
      </c>
      <c r="P969" t="inlineStr">
        <is>
          <t>UPI</t>
        </is>
      </c>
      <c r="Q969" t="inlineStr">
        <is>
          <t>Delivered</t>
        </is>
      </c>
      <c r="R969" t="n">
        <v>3</v>
      </c>
    </row>
    <row r="970">
      <c r="A970" t="inlineStr">
        <is>
          <t>ORD1969</t>
        </is>
      </c>
      <c r="B970" t="inlineStr">
        <is>
          <t>2025-04-02</t>
        </is>
      </c>
      <c r="C970" t="inlineStr">
        <is>
          <t>22:27:33</t>
        </is>
      </c>
      <c r="D970" t="n">
        <v>1179</v>
      </c>
      <c r="E970" t="n">
        <v>103</v>
      </c>
      <c r="F970" t="n">
        <v>202</v>
      </c>
      <c r="G970" t="inlineStr">
        <is>
          <t>Mumbai</t>
        </is>
      </c>
      <c r="H970" t="inlineStr">
        <is>
          <t>Italian</t>
        </is>
      </c>
      <c r="I970" t="n">
        <v>815</v>
      </c>
      <c r="J970" t="n">
        <v>96.28</v>
      </c>
      <c r="K970" t="n">
        <v>0</v>
      </c>
      <c r="L970" t="n">
        <v>0.18</v>
      </c>
      <c r="M970" t="n">
        <v>146.7</v>
      </c>
      <c r="N970" t="n">
        <v>3.5</v>
      </c>
      <c r="O970" t="n">
        <v>30</v>
      </c>
      <c r="P970" t="inlineStr">
        <is>
          <t>Debit Card</t>
        </is>
      </c>
      <c r="Q970" t="inlineStr">
        <is>
          <t>Delivered</t>
        </is>
      </c>
      <c r="R970" t="n">
        <v>3</v>
      </c>
    </row>
    <row r="971">
      <c r="A971" t="inlineStr">
        <is>
          <t>ORD1970</t>
        </is>
      </c>
      <c r="B971" t="inlineStr">
        <is>
          <t>2025-05-19</t>
        </is>
      </c>
      <c r="C971" t="inlineStr">
        <is>
          <t>20:58:31</t>
        </is>
      </c>
      <c r="D971" t="n">
        <v>1009</v>
      </c>
      <c r="E971" t="n">
        <v>109</v>
      </c>
      <c r="F971" t="n">
        <v>215</v>
      </c>
      <c r="G971" t="inlineStr">
        <is>
          <t>Hyderabad</t>
        </is>
      </c>
      <c r="H971" t="inlineStr">
        <is>
          <t>Biryani</t>
        </is>
      </c>
      <c r="I971" t="n">
        <v>897</v>
      </c>
      <c r="J971" t="n">
        <v>68.03</v>
      </c>
      <c r="K971" t="n">
        <v>37.5</v>
      </c>
      <c r="L971" t="n">
        <v>0.2</v>
      </c>
      <c r="M971" t="n">
        <v>188.78</v>
      </c>
      <c r="N971" t="n">
        <v>5.5</v>
      </c>
      <c r="O971" t="n">
        <v>39.6</v>
      </c>
      <c r="P971" t="inlineStr">
        <is>
          <t>UPI</t>
        </is>
      </c>
      <c r="Q971" t="inlineStr">
        <is>
          <t>Delivered</t>
        </is>
      </c>
      <c r="R971" t="n">
        <v>3</v>
      </c>
    </row>
    <row r="972">
      <c r="A972" t="inlineStr">
        <is>
          <t>ORD1971</t>
        </is>
      </c>
      <c r="B972" t="inlineStr">
        <is>
          <t>2025-12-02</t>
        </is>
      </c>
      <c r="C972" t="inlineStr">
        <is>
          <t>13:09:20</t>
        </is>
      </c>
      <c r="D972" t="n">
        <v>1092</v>
      </c>
      <c r="E972" t="n">
        <v>104</v>
      </c>
      <c r="F972" t="n">
        <v>221</v>
      </c>
      <c r="G972" t="inlineStr">
        <is>
          <t>Delhi NCR</t>
        </is>
      </c>
      <c r="H972" t="inlineStr">
        <is>
          <t>Fast Food</t>
        </is>
      </c>
      <c r="I972" t="n">
        <v>371</v>
      </c>
      <c r="J972" t="n">
        <v>28.69</v>
      </c>
      <c r="K972" t="n">
        <v>35</v>
      </c>
      <c r="L972" t="n">
        <v>0.18</v>
      </c>
      <c r="M972" t="n">
        <v>75.53</v>
      </c>
      <c r="N972" t="n">
        <v>5</v>
      </c>
      <c r="O972" t="n">
        <v>39.2</v>
      </c>
      <c r="P972" t="inlineStr">
        <is>
          <t>Cash on Delivery</t>
        </is>
      </c>
      <c r="Q972" t="inlineStr">
        <is>
          <t>Delivered</t>
        </is>
      </c>
      <c r="R972" t="n">
        <v>2</v>
      </c>
    </row>
    <row r="973">
      <c r="A973" t="inlineStr">
        <is>
          <t>ORD1972</t>
        </is>
      </c>
      <c r="B973" t="inlineStr">
        <is>
          <t>2025-10-23</t>
        </is>
      </c>
      <c r="C973" t="inlineStr">
        <is>
          <t>13:27:46</t>
        </is>
      </c>
      <c r="D973" t="n">
        <v>1040</v>
      </c>
      <c r="E973" t="n">
        <v>106</v>
      </c>
      <c r="F973" t="n">
        <v>207</v>
      </c>
      <c r="G973" t="inlineStr">
        <is>
          <t>Pune</t>
        </is>
      </c>
      <c r="H973" t="inlineStr">
        <is>
          <t>South Indian</t>
        </is>
      </c>
      <c r="I973" t="n">
        <v>505</v>
      </c>
      <c r="J973" t="n">
        <v>0</v>
      </c>
      <c r="K973" t="n">
        <v>25</v>
      </c>
      <c r="L973" t="n">
        <v>0.15</v>
      </c>
      <c r="M973" t="n">
        <v>82</v>
      </c>
      <c r="N973" t="n">
        <v>2.6</v>
      </c>
      <c r="O973" t="n">
        <v>26.4</v>
      </c>
      <c r="P973" t="inlineStr">
        <is>
          <t>Credit Card</t>
        </is>
      </c>
      <c r="Q973" t="inlineStr">
        <is>
          <t>Delivered</t>
        </is>
      </c>
      <c r="R973" t="n">
        <v>4</v>
      </c>
    </row>
    <row r="974">
      <c r="A974" t="inlineStr">
        <is>
          <t>ORD1973</t>
        </is>
      </c>
      <c r="B974" t="inlineStr">
        <is>
          <t>2025-06-30</t>
        </is>
      </c>
      <c r="C974" t="inlineStr">
        <is>
          <t>21:20:31</t>
        </is>
      </c>
      <c r="D974" t="n">
        <v>1215</v>
      </c>
      <c r="E974" t="n">
        <v>110</v>
      </c>
      <c r="F974" t="n">
        <v>224</v>
      </c>
      <c r="G974" t="inlineStr">
        <is>
          <t>Pune</t>
        </is>
      </c>
      <c r="H974" t="inlineStr">
        <is>
          <t>North Indian</t>
        </is>
      </c>
      <c r="I974" t="n">
        <v>654</v>
      </c>
      <c r="J974" t="n">
        <v>54.73</v>
      </c>
      <c r="K974" t="n">
        <v>34.5</v>
      </c>
      <c r="L974" t="n">
        <v>0.18</v>
      </c>
      <c r="M974" t="n">
        <v>126.34</v>
      </c>
      <c r="N974" t="n">
        <v>4.9</v>
      </c>
      <c r="O974" t="n">
        <v>42</v>
      </c>
      <c r="P974" t="inlineStr">
        <is>
          <t>Digital Wallet</t>
        </is>
      </c>
      <c r="Q974" t="inlineStr">
        <is>
          <t>Delivered</t>
        </is>
      </c>
      <c r="R974" t="n">
        <v>4</v>
      </c>
    </row>
    <row r="975">
      <c r="A975" t="inlineStr">
        <is>
          <t>ORD1974</t>
        </is>
      </c>
      <c r="B975" t="inlineStr">
        <is>
          <t>2025-07-16</t>
        </is>
      </c>
      <c r="C975" t="inlineStr">
        <is>
          <t>22:26:35</t>
        </is>
      </c>
      <c r="D975" t="n">
        <v>1008</v>
      </c>
      <c r="E975" t="n">
        <v>117</v>
      </c>
      <c r="F975" t="n">
        <v>229</v>
      </c>
      <c r="G975" t="inlineStr">
        <is>
          <t>Mumbai</t>
        </is>
      </c>
      <c r="H975" t="inlineStr">
        <is>
          <t>Chinese</t>
        </is>
      </c>
      <c r="I975" t="n">
        <v>966</v>
      </c>
      <c r="J975" t="n">
        <v>148.16</v>
      </c>
      <c r="K975" t="n">
        <v>0</v>
      </c>
      <c r="L975" t="n">
        <v>0.2</v>
      </c>
      <c r="M975" t="n">
        <v>193.2</v>
      </c>
      <c r="N975" t="n">
        <v>2.8</v>
      </c>
      <c r="O975" t="n">
        <v>26.4</v>
      </c>
      <c r="P975" t="inlineStr">
        <is>
          <t>Credit Card</t>
        </is>
      </c>
      <c r="Q975" t="inlineStr">
        <is>
          <t>Delivered</t>
        </is>
      </c>
      <c r="R975" t="n">
        <v>2</v>
      </c>
    </row>
    <row r="976">
      <c r="A976" t="inlineStr">
        <is>
          <t>ORD1975</t>
        </is>
      </c>
      <c r="B976" t="inlineStr">
        <is>
          <t>2025-09-27</t>
        </is>
      </c>
      <c r="C976" t="inlineStr">
        <is>
          <t>17:36:49</t>
        </is>
      </c>
      <c r="D976" t="n">
        <v>1164</v>
      </c>
      <c r="E976" t="n">
        <v>120</v>
      </c>
      <c r="F976" t="n">
        <v>214</v>
      </c>
      <c r="G976" t="inlineStr">
        <is>
          <t>Pune</t>
        </is>
      </c>
      <c r="H976" t="inlineStr">
        <is>
          <t>Fast Food</t>
        </is>
      </c>
      <c r="I976" t="n">
        <v>930</v>
      </c>
      <c r="J976" t="n">
        <v>16.32</v>
      </c>
      <c r="K976" t="n">
        <v>25</v>
      </c>
      <c r="L976" t="n">
        <v>0.18</v>
      </c>
      <c r="M976" t="n">
        <v>173.65</v>
      </c>
      <c r="N976" t="n">
        <v>2.9</v>
      </c>
      <c r="O976" t="n">
        <v>29</v>
      </c>
      <c r="P976" t="inlineStr">
        <is>
          <t>Debit Card</t>
        </is>
      </c>
      <c r="Q976" t="inlineStr">
        <is>
          <t>Delivered</t>
        </is>
      </c>
      <c r="R976" t="n">
        <v>5</v>
      </c>
    </row>
    <row r="977">
      <c r="A977" t="inlineStr">
        <is>
          <t>ORD1976</t>
        </is>
      </c>
      <c r="B977" t="inlineStr">
        <is>
          <t>2025-01-09</t>
        </is>
      </c>
      <c r="C977" t="inlineStr">
        <is>
          <t>23:23:35</t>
        </is>
      </c>
      <c r="D977" t="n">
        <v>1092</v>
      </c>
      <c r="E977" t="n">
        <v>104</v>
      </c>
      <c r="F977" t="n">
        <v>221</v>
      </c>
      <c r="G977" t="inlineStr">
        <is>
          <t>Delhi NCR</t>
        </is>
      </c>
      <c r="H977" t="inlineStr">
        <is>
          <t>Fast Food</t>
        </is>
      </c>
      <c r="I977" t="n">
        <v>705</v>
      </c>
      <c r="J977" t="n">
        <v>82.51000000000001</v>
      </c>
      <c r="K977" t="n">
        <v>25</v>
      </c>
      <c r="L977" t="n">
        <v>0.18</v>
      </c>
      <c r="M977" t="n">
        <v>133.15</v>
      </c>
      <c r="N977" t="n">
        <v>2.1</v>
      </c>
      <c r="O977" t="n">
        <v>42.6</v>
      </c>
      <c r="P977" t="inlineStr">
        <is>
          <t>UPI</t>
        </is>
      </c>
      <c r="Q977" t="inlineStr">
        <is>
          <t>Delivered</t>
        </is>
      </c>
      <c r="R977" t="n">
        <v>3</v>
      </c>
    </row>
    <row r="978">
      <c r="A978" t="inlineStr">
        <is>
          <t>ORD1977</t>
        </is>
      </c>
      <c r="B978" t="inlineStr">
        <is>
          <t>2025-05-31</t>
        </is>
      </c>
      <c r="C978" t="inlineStr">
        <is>
          <t>13:29:09</t>
        </is>
      </c>
      <c r="D978" t="n">
        <v>1184</v>
      </c>
      <c r="E978" t="n">
        <v>105</v>
      </c>
      <c r="F978" t="n">
        <v>210</v>
      </c>
      <c r="G978" t="inlineStr">
        <is>
          <t>Bangalore</t>
        </is>
      </c>
      <c r="H978" t="inlineStr">
        <is>
          <t>Chinese</t>
        </is>
      </c>
      <c r="I978" t="n">
        <v>1132</v>
      </c>
      <c r="J978" t="n">
        <v>218.63</v>
      </c>
      <c r="K978" t="n">
        <v>0</v>
      </c>
      <c r="L978" t="n">
        <v>0.2</v>
      </c>
      <c r="M978" t="n">
        <v>226.4</v>
      </c>
      <c r="N978" t="n">
        <v>5.6</v>
      </c>
      <c r="O978" t="n">
        <v>37.4</v>
      </c>
      <c r="P978" t="inlineStr">
        <is>
          <t>Credit Card</t>
        </is>
      </c>
      <c r="Q978" t="inlineStr">
        <is>
          <t>Delivered</t>
        </is>
      </c>
      <c r="R978" t="n">
        <v>4</v>
      </c>
    </row>
    <row r="979">
      <c r="A979" t="inlineStr">
        <is>
          <t>ORD1978</t>
        </is>
      </c>
      <c r="B979" t="inlineStr">
        <is>
          <t>2025-03-12</t>
        </is>
      </c>
      <c r="C979" t="inlineStr">
        <is>
          <t>20:07:44</t>
        </is>
      </c>
      <c r="D979" t="n">
        <v>1292</v>
      </c>
      <c r="E979" t="n">
        <v>116</v>
      </c>
      <c r="F979" t="n">
        <v>204</v>
      </c>
      <c r="G979" t="inlineStr">
        <is>
          <t>Pune</t>
        </is>
      </c>
      <c r="H979" t="inlineStr">
        <is>
          <t>Desserts</t>
        </is>
      </c>
      <c r="I979" t="n">
        <v>940</v>
      </c>
      <c r="J979" t="n">
        <v>0</v>
      </c>
      <c r="K979" t="n">
        <v>26.5</v>
      </c>
      <c r="L979" t="n">
        <v>0.25</v>
      </c>
      <c r="M979" t="n">
        <v>241.62</v>
      </c>
      <c r="N979" t="n">
        <v>3.3</v>
      </c>
      <c r="O979" t="n">
        <v>32.4</v>
      </c>
      <c r="P979" t="inlineStr">
        <is>
          <t>Cash on Delivery</t>
        </is>
      </c>
      <c r="Q979" t="inlineStr">
        <is>
          <t>Delivered</t>
        </is>
      </c>
      <c r="R979" t="n">
        <v>3</v>
      </c>
    </row>
    <row r="980">
      <c r="A980" t="inlineStr">
        <is>
          <t>ORD1979</t>
        </is>
      </c>
      <c r="B980" t="inlineStr">
        <is>
          <t>2025-12-06</t>
        </is>
      </c>
      <c r="C980" t="inlineStr">
        <is>
          <t>21:37:04</t>
        </is>
      </c>
      <c r="D980" t="n">
        <v>1208</v>
      </c>
      <c r="E980" t="n">
        <v>106</v>
      </c>
      <c r="F980" t="n">
        <v>204</v>
      </c>
      <c r="G980" t="inlineStr">
        <is>
          <t>Pune</t>
        </is>
      </c>
      <c r="H980" t="inlineStr">
        <is>
          <t>South Indian</t>
        </is>
      </c>
      <c r="I980" t="n">
        <v>708</v>
      </c>
      <c r="J980" t="n">
        <v>76.90000000000001</v>
      </c>
      <c r="K980" t="n">
        <v>25</v>
      </c>
      <c r="L980" t="n">
        <v>0.15</v>
      </c>
      <c r="M980" t="n">
        <v>112.45</v>
      </c>
      <c r="N980" t="n">
        <v>2.6</v>
      </c>
      <c r="O980" t="n">
        <v>31.1</v>
      </c>
      <c r="P980" t="inlineStr">
        <is>
          <t>UPI</t>
        </is>
      </c>
      <c r="Q980" t="inlineStr">
        <is>
          <t>Delivered</t>
        </is>
      </c>
      <c r="R980" t="n">
        <v>4</v>
      </c>
    </row>
    <row r="981">
      <c r="A981" t="inlineStr">
        <is>
          <t>ORD1980</t>
        </is>
      </c>
      <c r="B981" t="inlineStr">
        <is>
          <t>2025-03-14</t>
        </is>
      </c>
      <c r="C981" t="inlineStr">
        <is>
          <t>20:05:15</t>
        </is>
      </c>
      <c r="D981" t="n">
        <v>1286</v>
      </c>
      <c r="E981" t="n">
        <v>108</v>
      </c>
      <c r="F981" t="n">
        <v>219</v>
      </c>
      <c r="G981" t="inlineStr">
        <is>
          <t>Delhi NCR</t>
        </is>
      </c>
      <c r="H981" t="inlineStr">
        <is>
          <t>Fast Food</t>
        </is>
      </c>
      <c r="I981" t="n">
        <v>298</v>
      </c>
      <c r="J981" t="n">
        <v>0</v>
      </c>
      <c r="K981" t="n">
        <v>27</v>
      </c>
      <c r="L981" t="n">
        <v>0.18</v>
      </c>
      <c r="M981" t="n">
        <v>60.39</v>
      </c>
      <c r="N981" t="n">
        <v>3.4</v>
      </c>
      <c r="O981" t="n">
        <v>34.2</v>
      </c>
      <c r="P981" t="inlineStr">
        <is>
          <t>Cash on Delivery</t>
        </is>
      </c>
      <c r="Q981" t="inlineStr">
        <is>
          <t>Delivered</t>
        </is>
      </c>
      <c r="R981" t="n">
        <v>5</v>
      </c>
    </row>
    <row r="982">
      <c r="A982" t="inlineStr">
        <is>
          <t>ORD1981</t>
        </is>
      </c>
      <c r="B982" t="inlineStr">
        <is>
          <t>2025-08-29</t>
        </is>
      </c>
      <c r="C982" t="inlineStr">
        <is>
          <t>19:47:08</t>
        </is>
      </c>
      <c r="D982" t="n">
        <v>1083</v>
      </c>
      <c r="E982" t="n">
        <v>104</v>
      </c>
      <c r="F982" t="n">
        <v>228</v>
      </c>
      <c r="G982" t="inlineStr">
        <is>
          <t>Delhi NCR</t>
        </is>
      </c>
      <c r="H982" t="inlineStr">
        <is>
          <t>Fast Food</t>
        </is>
      </c>
      <c r="I982" t="n">
        <v>760</v>
      </c>
      <c r="J982" t="n">
        <v>18.21</v>
      </c>
      <c r="K982" t="n">
        <v>40.5</v>
      </c>
      <c r="L982" t="n">
        <v>0.18</v>
      </c>
      <c r="M982" t="n">
        <v>146.92</v>
      </c>
      <c r="N982" t="n">
        <v>6.1</v>
      </c>
      <c r="O982" t="n">
        <v>43.3</v>
      </c>
      <c r="P982" t="inlineStr">
        <is>
          <t>Debit Card</t>
        </is>
      </c>
      <c r="Q982" t="inlineStr">
        <is>
          <t>Delivered</t>
        </is>
      </c>
      <c r="R982" t="n">
        <v>4</v>
      </c>
    </row>
    <row r="983">
      <c r="A983" t="inlineStr">
        <is>
          <t>ORD1982</t>
        </is>
      </c>
      <c r="B983" t="inlineStr">
        <is>
          <t>2025-02-26</t>
        </is>
      </c>
      <c r="C983" t="inlineStr">
        <is>
          <t>13:09:03</t>
        </is>
      </c>
      <c r="D983" t="n">
        <v>1063</v>
      </c>
      <c r="E983" t="n">
        <v>105</v>
      </c>
      <c r="F983" t="n">
        <v>201</v>
      </c>
      <c r="G983" t="inlineStr">
        <is>
          <t>Bangalore</t>
        </is>
      </c>
      <c r="H983" t="inlineStr">
        <is>
          <t>Chinese</t>
        </is>
      </c>
      <c r="I983" t="n">
        <v>877</v>
      </c>
      <c r="J983" t="n">
        <v>45.82</v>
      </c>
      <c r="K983" t="n">
        <v>42.5</v>
      </c>
      <c r="L983" t="n">
        <v>0.2</v>
      </c>
      <c r="M983" t="n">
        <v>186.02</v>
      </c>
      <c r="N983" t="n">
        <v>6.5</v>
      </c>
      <c r="O983" t="n">
        <v>44.3</v>
      </c>
      <c r="P983" t="inlineStr">
        <is>
          <t>Digital Wallet</t>
        </is>
      </c>
      <c r="Q983" t="inlineStr">
        <is>
          <t>Delivered</t>
        </is>
      </c>
      <c r="R983" t="n">
        <v>2</v>
      </c>
    </row>
    <row r="984">
      <c r="A984" t="inlineStr">
        <is>
          <t>ORD1983</t>
        </is>
      </c>
      <c r="B984" t="inlineStr">
        <is>
          <t>2025-07-22</t>
        </is>
      </c>
      <c r="C984" t="inlineStr">
        <is>
          <t>21:53:27</t>
        </is>
      </c>
      <c r="D984" t="n">
        <v>1087</v>
      </c>
      <c r="E984" t="n">
        <v>116</v>
      </c>
      <c r="F984" t="n">
        <v>226</v>
      </c>
      <c r="G984" t="inlineStr">
        <is>
          <t>Pune</t>
        </is>
      </c>
      <c r="H984" t="inlineStr">
        <is>
          <t>Desserts</t>
        </is>
      </c>
      <c r="I984" t="n">
        <v>916</v>
      </c>
      <c r="J984" t="n">
        <v>106.6</v>
      </c>
      <c r="K984" t="n">
        <v>44.5</v>
      </c>
      <c r="L984" t="n">
        <v>0.25</v>
      </c>
      <c r="M984" t="n">
        <v>240.12</v>
      </c>
      <c r="N984" t="n">
        <v>6.9</v>
      </c>
      <c r="O984" t="n">
        <v>42.8</v>
      </c>
      <c r="P984" t="inlineStr">
        <is>
          <t>Debit Card</t>
        </is>
      </c>
      <c r="Q984" t="inlineStr">
        <is>
          <t>Delivered</t>
        </is>
      </c>
      <c r="R984" t="n">
        <v>1</v>
      </c>
    </row>
    <row r="985">
      <c r="A985" t="inlineStr">
        <is>
          <t>ORD1984</t>
        </is>
      </c>
      <c r="B985" t="inlineStr">
        <is>
          <t>2025-03-22</t>
        </is>
      </c>
      <c r="C985" t="inlineStr">
        <is>
          <t>13:17:05</t>
        </is>
      </c>
      <c r="D985" t="n">
        <v>1085</v>
      </c>
      <c r="E985" t="n">
        <v>109</v>
      </c>
      <c r="F985" t="n">
        <v>215</v>
      </c>
      <c r="G985" t="inlineStr">
        <is>
          <t>Hyderabad</t>
        </is>
      </c>
      <c r="H985" t="inlineStr">
        <is>
          <t>Biryani</t>
        </is>
      </c>
      <c r="I985" t="n">
        <v>754</v>
      </c>
      <c r="J985" t="n">
        <v>0</v>
      </c>
      <c r="K985" t="n">
        <v>28.5</v>
      </c>
      <c r="L985" t="n">
        <v>0.2</v>
      </c>
      <c r="M985" t="n">
        <v>157.93</v>
      </c>
      <c r="N985" t="n">
        <v>3.7</v>
      </c>
      <c r="O985" t="n">
        <v>35.8</v>
      </c>
      <c r="P985" t="inlineStr">
        <is>
          <t>Credit Card</t>
        </is>
      </c>
      <c r="Q985" t="inlineStr">
        <is>
          <t>Delivered</t>
        </is>
      </c>
      <c r="R985" t="n">
        <v>5</v>
      </c>
    </row>
    <row r="986">
      <c r="A986" t="inlineStr">
        <is>
          <t>ORD1985</t>
        </is>
      </c>
      <c r="B986" t="inlineStr">
        <is>
          <t>2025-07-20</t>
        </is>
      </c>
      <c r="C986" t="inlineStr">
        <is>
          <t>09:11:52</t>
        </is>
      </c>
      <c r="D986" t="n">
        <v>1015</v>
      </c>
      <c r="E986" t="n">
        <v>109</v>
      </c>
      <c r="F986" t="n">
        <v>215</v>
      </c>
      <c r="G986" t="inlineStr">
        <is>
          <t>Hyderabad</t>
        </is>
      </c>
      <c r="H986" t="inlineStr">
        <is>
          <t>Biryani</t>
        </is>
      </c>
      <c r="I986" t="n">
        <v>792</v>
      </c>
      <c r="J986" t="n">
        <v>4.89</v>
      </c>
      <c r="K986" t="n">
        <v>29.5</v>
      </c>
      <c r="L986" t="n">
        <v>0.2</v>
      </c>
      <c r="M986" t="n">
        <v>165.78</v>
      </c>
      <c r="N986" t="n">
        <v>3.9</v>
      </c>
      <c r="O986" t="n">
        <v>30.8</v>
      </c>
      <c r="P986" t="inlineStr">
        <is>
          <t>Cash on Delivery</t>
        </is>
      </c>
      <c r="Q986" t="inlineStr">
        <is>
          <t>Delivered</t>
        </is>
      </c>
      <c r="R986" t="n">
        <v>5</v>
      </c>
    </row>
    <row r="987">
      <c r="A987" t="inlineStr">
        <is>
          <t>ORD1986</t>
        </is>
      </c>
      <c r="B987" t="inlineStr">
        <is>
          <t>2025-03-26</t>
        </is>
      </c>
      <c r="C987" t="inlineStr">
        <is>
          <t>23:03:51</t>
        </is>
      </c>
      <c r="D987" t="n">
        <v>1184</v>
      </c>
      <c r="E987" t="n">
        <v>101</v>
      </c>
      <c r="F987" t="n">
        <v>210</v>
      </c>
      <c r="G987" t="inlineStr">
        <is>
          <t>Bangalore</t>
        </is>
      </c>
      <c r="H987" t="inlineStr">
        <is>
          <t>North Indian</t>
        </is>
      </c>
      <c r="I987" t="n">
        <v>865</v>
      </c>
      <c r="J987" t="n">
        <v>123.2</v>
      </c>
      <c r="K987" t="n">
        <v>0</v>
      </c>
      <c r="L987" t="n">
        <v>0.2</v>
      </c>
      <c r="M987" t="n">
        <v>173</v>
      </c>
      <c r="N987" t="n">
        <v>4.3</v>
      </c>
      <c r="O987" t="n">
        <v>27.8</v>
      </c>
      <c r="P987" t="inlineStr">
        <is>
          <t>UPI</t>
        </is>
      </c>
      <c r="Q987" t="inlineStr">
        <is>
          <t>Delivered</t>
        </is>
      </c>
      <c r="R987" t="n">
        <v>4</v>
      </c>
    </row>
    <row r="988">
      <c r="A988" t="inlineStr">
        <is>
          <t>ORD1987</t>
        </is>
      </c>
      <c r="B988" t="inlineStr">
        <is>
          <t>2025-11-05</t>
        </is>
      </c>
      <c r="C988" t="inlineStr">
        <is>
          <t>13:49:54</t>
        </is>
      </c>
      <c r="D988" t="n">
        <v>1278</v>
      </c>
      <c r="E988" t="n">
        <v>115</v>
      </c>
      <c r="F988" t="n">
        <v>203</v>
      </c>
      <c r="G988" t="inlineStr">
        <is>
          <t>Bangalore</t>
        </is>
      </c>
      <c r="H988" t="inlineStr">
        <is>
          <t>Italian</t>
        </is>
      </c>
      <c r="I988" t="n">
        <v>563</v>
      </c>
      <c r="J988" t="n">
        <v>29.26</v>
      </c>
      <c r="K988" t="n">
        <v>25</v>
      </c>
      <c r="L988" t="n">
        <v>0.2</v>
      </c>
      <c r="M988" t="n">
        <v>118.85</v>
      </c>
      <c r="N988" t="n">
        <v>1</v>
      </c>
      <c r="O988" t="n">
        <v/>
      </c>
      <c r="P988" t="inlineStr">
        <is>
          <t>Digital Wallet</t>
        </is>
      </c>
      <c r="Q988" t="inlineStr">
        <is>
          <t>Cancelled</t>
        </is>
      </c>
      <c r="R988" t="n">
        <v/>
      </c>
    </row>
    <row r="989">
      <c r="A989" t="inlineStr">
        <is>
          <t>ORD1988</t>
        </is>
      </c>
      <c r="B989" t="inlineStr">
        <is>
          <t>2025-04-19</t>
        </is>
      </c>
      <c r="C989" t="inlineStr">
        <is>
          <t>20:38:00</t>
        </is>
      </c>
      <c r="D989" t="n">
        <v>1267</v>
      </c>
      <c r="E989" t="n">
        <v>115</v>
      </c>
      <c r="F989" t="n">
        <v>201</v>
      </c>
      <c r="G989" t="inlineStr">
        <is>
          <t>Bangalore</t>
        </is>
      </c>
      <c r="H989" t="inlineStr">
        <is>
          <t>Italian</t>
        </is>
      </c>
      <c r="I989" t="n">
        <v>536</v>
      </c>
      <c r="J989" t="n">
        <v>33.84</v>
      </c>
      <c r="K989" t="n">
        <v>58</v>
      </c>
      <c r="L989" t="n">
        <v>0.2</v>
      </c>
      <c r="M989" t="n">
        <v>121.7</v>
      </c>
      <c r="N989" t="n">
        <v>9.6</v>
      </c>
      <c r="O989" t="n">
        <v>51.4</v>
      </c>
      <c r="P989" t="inlineStr">
        <is>
          <t>UPI</t>
        </is>
      </c>
      <c r="Q989" t="inlineStr">
        <is>
          <t>Delivered</t>
        </is>
      </c>
      <c r="R989" t="n">
        <v>2</v>
      </c>
    </row>
    <row r="990">
      <c r="A990" t="inlineStr">
        <is>
          <t>ORD1989</t>
        </is>
      </c>
      <c r="B990" t="inlineStr">
        <is>
          <t>2025-02-13</t>
        </is>
      </c>
      <c r="C990" t="inlineStr">
        <is>
          <t>19:36:36</t>
        </is>
      </c>
      <c r="D990" t="n">
        <v>1177</v>
      </c>
      <c r="E990" t="n">
        <v>118</v>
      </c>
      <c r="F990" t="n">
        <v>221</v>
      </c>
      <c r="G990" t="inlineStr">
        <is>
          <t>Delhi NCR</t>
        </is>
      </c>
      <c r="H990" t="inlineStr">
        <is>
          <t>North Indian</t>
        </is>
      </c>
      <c r="I990" t="n">
        <v>265</v>
      </c>
      <c r="J990" t="n">
        <v>23.71</v>
      </c>
      <c r="K990" t="n">
        <v>40.5</v>
      </c>
      <c r="L990" t="n">
        <v>0.2</v>
      </c>
      <c r="M990" t="n">
        <v>63.12</v>
      </c>
      <c r="N990" t="n">
        <v>6.1</v>
      </c>
      <c r="O990" t="n">
        <v>43.3</v>
      </c>
      <c r="P990" t="inlineStr">
        <is>
          <t>UPI</t>
        </is>
      </c>
      <c r="Q990" t="inlineStr">
        <is>
          <t>Delivered</t>
        </is>
      </c>
      <c r="R990" t="n">
        <v>3</v>
      </c>
    </row>
    <row r="991">
      <c r="A991" t="inlineStr">
        <is>
          <t>ORD1990</t>
        </is>
      </c>
      <c r="B991" t="inlineStr">
        <is>
          <t>2025-02-17</t>
        </is>
      </c>
      <c r="C991" t="inlineStr">
        <is>
          <t>12:19:00</t>
        </is>
      </c>
      <c r="D991" t="n">
        <v>1270</v>
      </c>
      <c r="E991" t="n">
        <v>114</v>
      </c>
      <c r="F991" t="n">
        <v>225</v>
      </c>
      <c r="G991" t="inlineStr">
        <is>
          <t>Hyderabad</t>
        </is>
      </c>
      <c r="H991" t="inlineStr">
        <is>
          <t>Biryani</t>
        </is>
      </c>
      <c r="I991" t="n">
        <v>585</v>
      </c>
      <c r="J991" t="n">
        <v>44.87</v>
      </c>
      <c r="K991" t="n">
        <v>37</v>
      </c>
      <c r="L991" t="n">
        <v>0.22</v>
      </c>
      <c r="M991" t="n">
        <v>137.95</v>
      </c>
      <c r="N991" t="n">
        <v>5.4</v>
      </c>
      <c r="O991" t="n">
        <v>43.3</v>
      </c>
      <c r="P991" t="inlineStr">
        <is>
          <t>Debit Card</t>
        </is>
      </c>
      <c r="Q991" t="inlineStr">
        <is>
          <t>Delivered</t>
        </is>
      </c>
      <c r="R991" t="n">
        <v>4</v>
      </c>
    </row>
    <row r="992">
      <c r="A992" t="inlineStr">
        <is>
          <t>ORD1991</t>
        </is>
      </c>
      <c r="B992" t="inlineStr">
        <is>
          <t>2025-12-26</t>
        </is>
      </c>
      <c r="C992" t="inlineStr">
        <is>
          <t>12:43:06</t>
        </is>
      </c>
      <c r="D992" t="n">
        <v>1106</v>
      </c>
      <c r="E992" t="n">
        <v>101</v>
      </c>
      <c r="F992" t="n">
        <v>223</v>
      </c>
      <c r="G992" t="inlineStr">
        <is>
          <t>Bangalore</t>
        </is>
      </c>
      <c r="H992" t="inlineStr">
        <is>
          <t>North Indian</t>
        </is>
      </c>
      <c r="I992" t="n">
        <v>559</v>
      </c>
      <c r="J992" t="n">
        <v>0</v>
      </c>
      <c r="K992" t="n">
        <v>26</v>
      </c>
      <c r="L992" t="n">
        <v>0.2</v>
      </c>
      <c r="M992" t="n">
        <v>118.3</v>
      </c>
      <c r="N992" t="n">
        <v>3.2</v>
      </c>
      <c r="O992" t="n">
        <v>32.9</v>
      </c>
      <c r="P992" t="inlineStr">
        <is>
          <t>UPI</t>
        </is>
      </c>
      <c r="Q992" t="inlineStr">
        <is>
          <t>Delivered</t>
        </is>
      </c>
      <c r="R992" t="n">
        <v>3</v>
      </c>
    </row>
    <row r="993">
      <c r="A993" t="inlineStr">
        <is>
          <t>ORD1992</t>
        </is>
      </c>
      <c r="B993" t="inlineStr">
        <is>
          <t>2025-09-02</t>
        </is>
      </c>
      <c r="C993" t="inlineStr">
        <is>
          <t>20:37:55</t>
        </is>
      </c>
      <c r="D993" t="n">
        <v>1159</v>
      </c>
      <c r="E993" t="n">
        <v>108</v>
      </c>
      <c r="F993" t="n">
        <v>219</v>
      </c>
      <c r="G993" t="inlineStr">
        <is>
          <t>Delhi NCR</t>
        </is>
      </c>
      <c r="H993" t="inlineStr">
        <is>
          <t>Fast Food</t>
        </is>
      </c>
      <c r="I993" t="n">
        <v>258</v>
      </c>
      <c r="J993" t="n">
        <v>0</v>
      </c>
      <c r="K993" t="n">
        <v>31.5</v>
      </c>
      <c r="L993" t="n">
        <v>0.18</v>
      </c>
      <c r="M993" t="n">
        <v>54.32</v>
      </c>
      <c r="N993" t="n">
        <v>4.3</v>
      </c>
      <c r="O993" t="n">
        <v>33.2</v>
      </c>
      <c r="P993" t="inlineStr">
        <is>
          <t>Cash on Delivery</t>
        </is>
      </c>
      <c r="Q993" t="inlineStr">
        <is>
          <t>Delivered</t>
        </is>
      </c>
      <c r="R993" t="n">
        <v>5</v>
      </c>
    </row>
    <row r="994">
      <c r="A994" t="inlineStr">
        <is>
          <t>ORD1993</t>
        </is>
      </c>
      <c r="B994" t="inlineStr">
        <is>
          <t>2025-04-29</t>
        </is>
      </c>
      <c r="C994" t="inlineStr">
        <is>
          <t>21:56:13</t>
        </is>
      </c>
      <c r="D994" t="n">
        <v>1036</v>
      </c>
      <c r="E994" t="n">
        <v>103</v>
      </c>
      <c r="F994" t="n">
        <v>206</v>
      </c>
      <c r="G994" t="inlineStr">
        <is>
          <t>Mumbai</t>
        </is>
      </c>
      <c r="H994" t="inlineStr">
        <is>
          <t>Italian</t>
        </is>
      </c>
      <c r="I994" t="n">
        <v>917</v>
      </c>
      <c r="J994" t="n">
        <v>87.84</v>
      </c>
      <c r="K994" t="n">
        <v>43</v>
      </c>
      <c r="L994" t="n">
        <v>0.18</v>
      </c>
      <c r="M994" t="n">
        <v>175.81</v>
      </c>
      <c r="N994" t="n">
        <v>6.6</v>
      </c>
      <c r="O994" t="n">
        <v>45.1</v>
      </c>
      <c r="P994" t="inlineStr">
        <is>
          <t>Credit Card</t>
        </is>
      </c>
      <c r="Q994" t="inlineStr">
        <is>
          <t>Delivered</t>
        </is>
      </c>
      <c r="R994" t="n">
        <v>3</v>
      </c>
    </row>
    <row r="995">
      <c r="A995" t="inlineStr">
        <is>
          <t>ORD1994</t>
        </is>
      </c>
      <c r="B995" t="inlineStr">
        <is>
          <t>2025-06-23</t>
        </is>
      </c>
      <c r="C995" t="inlineStr">
        <is>
          <t>12:18:23</t>
        </is>
      </c>
      <c r="D995" t="n">
        <v>1175</v>
      </c>
      <c r="E995" t="n">
        <v>111</v>
      </c>
      <c r="F995" t="n">
        <v>227</v>
      </c>
      <c r="G995" t="inlineStr">
        <is>
          <t>Bangalore</t>
        </is>
      </c>
      <c r="H995" t="inlineStr">
        <is>
          <t>South Indian</t>
        </is>
      </c>
      <c r="I995" t="n">
        <v>858</v>
      </c>
      <c r="J995" t="n">
        <v>94.31</v>
      </c>
      <c r="K995" t="n">
        <v>26.5</v>
      </c>
      <c r="L995" t="n">
        <v>0.15</v>
      </c>
      <c r="M995" t="n">
        <v>135.32</v>
      </c>
      <c r="N995" t="n">
        <v>3.3</v>
      </c>
      <c r="O995" t="n">
        <v>30.9</v>
      </c>
      <c r="P995" t="inlineStr">
        <is>
          <t>Cash on Delivery</t>
        </is>
      </c>
      <c r="Q995" t="inlineStr">
        <is>
          <t>Delivered</t>
        </is>
      </c>
      <c r="R995" t="n">
        <v>5</v>
      </c>
    </row>
    <row r="996">
      <c r="A996" t="inlineStr">
        <is>
          <t>ORD1995</t>
        </is>
      </c>
      <c r="B996" t="inlineStr">
        <is>
          <t>2025-11-09</t>
        </is>
      </c>
      <c r="C996" t="inlineStr">
        <is>
          <t>00:38:04</t>
        </is>
      </c>
      <c r="D996" t="n">
        <v>1060</v>
      </c>
      <c r="E996" t="n">
        <v>108</v>
      </c>
      <c r="F996" t="n">
        <v>221</v>
      </c>
      <c r="G996" t="inlineStr">
        <is>
          <t>Delhi NCR</t>
        </is>
      </c>
      <c r="H996" t="inlineStr">
        <is>
          <t>Fast Food</t>
        </is>
      </c>
      <c r="I996" t="n">
        <v>376</v>
      </c>
      <c r="J996" t="n">
        <v>29.91</v>
      </c>
      <c r="K996" t="n">
        <v>48.5</v>
      </c>
      <c r="L996" t="n">
        <v>0.18</v>
      </c>
      <c r="M996" t="n">
        <v>79.8</v>
      </c>
      <c r="N996" t="n">
        <v>7.7</v>
      </c>
      <c r="O996" t="n">
        <v>35</v>
      </c>
      <c r="P996" t="inlineStr">
        <is>
          <t>UPI</t>
        </is>
      </c>
      <c r="Q996" t="inlineStr">
        <is>
          <t>Delivered</t>
        </is>
      </c>
      <c r="R996" t="n">
        <v>4</v>
      </c>
    </row>
    <row r="997">
      <c r="A997" t="inlineStr">
        <is>
          <t>ORD1996</t>
        </is>
      </c>
      <c r="B997" t="inlineStr">
        <is>
          <t>2025-10-08</t>
        </is>
      </c>
      <c r="C997" t="inlineStr">
        <is>
          <t>14:55:51</t>
        </is>
      </c>
      <c r="D997" t="n">
        <v>1089</v>
      </c>
      <c r="E997" t="n">
        <v>115</v>
      </c>
      <c r="F997" t="n">
        <v>227</v>
      </c>
      <c r="G997" t="inlineStr">
        <is>
          <t>Bangalore</t>
        </is>
      </c>
      <c r="H997" t="inlineStr">
        <is>
          <t>Italian</t>
        </is>
      </c>
      <c r="I997" t="n">
        <v>536</v>
      </c>
      <c r="J997" t="n">
        <v>58.64</v>
      </c>
      <c r="K997" t="n">
        <v>0</v>
      </c>
      <c r="L997" t="n">
        <v>0.2</v>
      </c>
      <c r="M997" t="n">
        <v>107.2</v>
      </c>
      <c r="N997" t="n">
        <v>4.5</v>
      </c>
      <c r="O997" t="n">
        <v>33</v>
      </c>
      <c r="P997" t="inlineStr">
        <is>
          <t>Debit Card</t>
        </is>
      </c>
      <c r="Q997" t="inlineStr">
        <is>
          <t>Delivered</t>
        </is>
      </c>
      <c r="R997" t="n">
        <v>5</v>
      </c>
    </row>
    <row r="998">
      <c r="A998" t="inlineStr">
        <is>
          <t>ORD1997</t>
        </is>
      </c>
      <c r="B998" t="inlineStr">
        <is>
          <t>2025-05-24</t>
        </is>
      </c>
      <c r="C998" t="inlineStr">
        <is>
          <t>18:36:23</t>
        </is>
      </c>
      <c r="D998" t="n">
        <v>1160</v>
      </c>
      <c r="E998" t="n">
        <v>110</v>
      </c>
      <c r="F998" t="n">
        <v>208</v>
      </c>
      <c r="G998" t="inlineStr">
        <is>
          <t>Pune</t>
        </is>
      </c>
      <c r="H998" t="inlineStr">
        <is>
          <t>North Indian</t>
        </is>
      </c>
      <c r="I998" t="n">
        <v>581</v>
      </c>
      <c r="J998" t="n">
        <v>32.68</v>
      </c>
      <c r="K998" t="n">
        <v>40.5</v>
      </c>
      <c r="L998" t="n">
        <v>0.18</v>
      </c>
      <c r="M998" t="n">
        <v>114.7</v>
      </c>
      <c r="N998" t="n">
        <v>6.1</v>
      </c>
      <c r="O998" t="n">
        <v>31.7</v>
      </c>
      <c r="P998" t="inlineStr">
        <is>
          <t>Cash on Delivery</t>
        </is>
      </c>
      <c r="Q998" t="inlineStr">
        <is>
          <t>Delivered</t>
        </is>
      </c>
      <c r="R998" t="n">
        <v>3</v>
      </c>
    </row>
    <row r="999">
      <c r="A999" t="inlineStr">
        <is>
          <t>ORD1998</t>
        </is>
      </c>
      <c r="B999" t="inlineStr">
        <is>
          <t>2025-08-15</t>
        </is>
      </c>
      <c r="C999" t="inlineStr">
        <is>
          <t>18:41:59</t>
        </is>
      </c>
      <c r="D999" t="n">
        <v>1169</v>
      </c>
      <c r="E999" t="n">
        <v>107</v>
      </c>
      <c r="F999" t="n">
        <v>229</v>
      </c>
      <c r="G999" t="inlineStr">
        <is>
          <t>Mumbai</t>
        </is>
      </c>
      <c r="H999" t="inlineStr">
        <is>
          <t>Desserts</t>
        </is>
      </c>
      <c r="I999" t="n">
        <v>363</v>
      </c>
      <c r="J999" t="n">
        <v>28.22</v>
      </c>
      <c r="K999" t="n">
        <v>28.5</v>
      </c>
      <c r="L999" t="n">
        <v>0.25</v>
      </c>
      <c r="M999" t="n">
        <v>97.88</v>
      </c>
      <c r="N999" t="n">
        <v>3.7</v>
      </c>
      <c r="O999" t="n">
        <v/>
      </c>
      <c r="P999" t="inlineStr">
        <is>
          <t>Debit Card</t>
        </is>
      </c>
      <c r="Q999" t="inlineStr">
        <is>
          <t>Cancelled</t>
        </is>
      </c>
      <c r="R999" t="n">
        <v/>
      </c>
    </row>
    <row r="1000">
      <c r="A1000" t="inlineStr">
        <is>
          <t>ORD1999</t>
        </is>
      </c>
      <c r="B1000" t="inlineStr">
        <is>
          <t>2025-11-14</t>
        </is>
      </c>
      <c r="C1000" t="inlineStr">
        <is>
          <t>20:58:43</t>
        </is>
      </c>
      <c r="D1000" t="n">
        <v>1229</v>
      </c>
      <c r="E1000" t="n">
        <v>107</v>
      </c>
      <c r="F1000" t="n">
        <v>206</v>
      </c>
      <c r="G1000" t="inlineStr">
        <is>
          <t>Mumbai</t>
        </is>
      </c>
      <c r="H1000" t="inlineStr">
        <is>
          <t>Desserts</t>
        </is>
      </c>
      <c r="I1000" t="n">
        <v>564</v>
      </c>
      <c r="J1000" t="n">
        <v>77.08</v>
      </c>
      <c r="K1000" t="n">
        <v>0</v>
      </c>
      <c r="L1000" t="n">
        <v>0.25</v>
      </c>
      <c r="M1000" t="n">
        <v>141</v>
      </c>
      <c r="N1000" t="n">
        <v>5.3</v>
      </c>
      <c r="O1000" t="n">
        <v>49.2</v>
      </c>
      <c r="P1000" t="inlineStr">
        <is>
          <t>Debit Card</t>
        </is>
      </c>
      <c r="Q1000" t="inlineStr">
        <is>
          <t>Delivered</t>
        </is>
      </c>
      <c r="R1000" t="n">
        <v>2</v>
      </c>
    </row>
    <row r="1001">
      <c r="A1001" t="inlineStr">
        <is>
          <t>ORD2000</t>
        </is>
      </c>
      <c r="B1001" t="inlineStr">
        <is>
          <t>2025-09-17</t>
        </is>
      </c>
      <c r="C1001" t="inlineStr">
        <is>
          <t>22:28:16</t>
        </is>
      </c>
      <c r="D1001" t="n">
        <v>1133</v>
      </c>
      <c r="E1001" t="n">
        <v>118</v>
      </c>
      <c r="F1001" t="n">
        <v>228</v>
      </c>
      <c r="G1001" t="inlineStr">
        <is>
          <t>Delhi NCR</t>
        </is>
      </c>
      <c r="H1001" t="inlineStr">
        <is>
          <t>North Indian</t>
        </is>
      </c>
      <c r="I1001" t="n">
        <v>918</v>
      </c>
      <c r="J1001" t="n">
        <v>0</v>
      </c>
      <c r="K1001" t="n">
        <v>25</v>
      </c>
      <c r="L1001" t="n">
        <v>0.2</v>
      </c>
      <c r="M1001" t="n">
        <v>189.85</v>
      </c>
      <c r="N1001" t="n">
        <v>2.8</v>
      </c>
      <c r="O1001" t="n">
        <v>37</v>
      </c>
      <c r="P1001" t="inlineStr">
        <is>
          <t>UPI</t>
        </is>
      </c>
      <c r="Q1001" t="inlineStr">
        <is>
          <t>Delivered</t>
        </is>
      </c>
      <c r="R1001" t="n">
        <v>4</v>
      </c>
    </row>
    <row r="1002">
      <c r="A1002" t="inlineStr">
        <is>
          <t>ORD2001</t>
        </is>
      </c>
      <c r="B1002" t="inlineStr">
        <is>
          <t>2025-02-23</t>
        </is>
      </c>
      <c r="C1002" t="inlineStr">
        <is>
          <t>10:18:24</t>
        </is>
      </c>
      <c r="D1002" t="n">
        <v>1183</v>
      </c>
      <c r="E1002" t="n">
        <v>107</v>
      </c>
      <c r="F1002" t="n">
        <v>222</v>
      </c>
      <c r="G1002" t="inlineStr">
        <is>
          <t>Mumbai</t>
        </is>
      </c>
      <c r="H1002" t="inlineStr">
        <is>
          <t>Desserts</t>
        </is>
      </c>
      <c r="I1002" t="n">
        <v>627</v>
      </c>
      <c r="J1002" t="n">
        <v>87.73</v>
      </c>
      <c r="K1002" t="n">
        <v>0</v>
      </c>
      <c r="L1002" t="n">
        <v>0.25</v>
      </c>
      <c r="M1002" t="n">
        <v>156.75</v>
      </c>
      <c r="N1002" t="n">
        <v>3.4</v>
      </c>
      <c r="O1002" t="n">
        <v>24.4</v>
      </c>
      <c r="P1002" t="inlineStr">
        <is>
          <t>Cash on Delivery</t>
        </is>
      </c>
      <c r="Q1002" t="inlineStr">
        <is>
          <t>Delivered</t>
        </is>
      </c>
      <c r="R1002" t="n">
        <v>4</v>
      </c>
    </row>
    <row r="1003">
      <c r="A1003" t="inlineStr">
        <is>
          <t>ORD2002</t>
        </is>
      </c>
      <c r="B1003" t="inlineStr">
        <is>
          <t>2025-08-27</t>
        </is>
      </c>
      <c r="C1003" t="inlineStr">
        <is>
          <t>17:29:41</t>
        </is>
      </c>
      <c r="D1003" t="n">
        <v>1020</v>
      </c>
      <c r="E1003" t="n">
        <v>112</v>
      </c>
      <c r="F1003" t="n">
        <v>230</v>
      </c>
      <c r="G1003" t="inlineStr">
        <is>
          <t>Delhi NCR</t>
        </is>
      </c>
      <c r="H1003" t="inlineStr">
        <is>
          <t>North Indian</t>
        </is>
      </c>
      <c r="I1003" t="n">
        <v>767</v>
      </c>
      <c r="J1003" t="n">
        <v>28.52</v>
      </c>
      <c r="K1003" t="n">
        <v>37</v>
      </c>
      <c r="L1003" t="n">
        <v>0.22</v>
      </c>
      <c r="M1003" t="n">
        <v>177.99</v>
      </c>
      <c r="N1003" t="n">
        <v>5.4</v>
      </c>
      <c r="O1003" t="n">
        <v>30.9</v>
      </c>
      <c r="P1003" t="inlineStr">
        <is>
          <t>UPI</t>
        </is>
      </c>
      <c r="Q1003" t="inlineStr">
        <is>
          <t>Delivered</t>
        </is>
      </c>
      <c r="R1003" t="n">
        <v>5</v>
      </c>
    </row>
    <row r="1004">
      <c r="A1004" t="inlineStr">
        <is>
          <t>ORD2003</t>
        </is>
      </c>
      <c r="B1004" t="inlineStr">
        <is>
          <t>2025-07-25</t>
        </is>
      </c>
      <c r="C1004" t="inlineStr">
        <is>
          <t>20:21:04</t>
        </is>
      </c>
      <c r="D1004" t="n">
        <v>1262</v>
      </c>
      <c r="E1004" t="n">
        <v>108</v>
      </c>
      <c r="F1004" t="n">
        <v>211</v>
      </c>
      <c r="G1004" t="inlineStr">
        <is>
          <t>Delhi NCR</t>
        </is>
      </c>
      <c r="H1004" t="inlineStr">
        <is>
          <t>Fast Food</t>
        </is>
      </c>
      <c r="I1004" t="n">
        <v>731</v>
      </c>
      <c r="J1004" t="n">
        <v>145.94</v>
      </c>
      <c r="K1004" t="n">
        <v>0</v>
      </c>
      <c r="L1004" t="n">
        <v>0.18</v>
      </c>
      <c r="M1004" t="n">
        <v>131.58</v>
      </c>
      <c r="N1004" t="n">
        <v>3.6</v>
      </c>
      <c r="O1004" t="n">
        <v>36.2</v>
      </c>
      <c r="P1004" t="inlineStr">
        <is>
          <t>Cash on Delivery</t>
        </is>
      </c>
      <c r="Q1004" t="inlineStr">
        <is>
          <t>Delivered</t>
        </is>
      </c>
      <c r="R1004" t="n">
        <v>4</v>
      </c>
    </row>
    <row r="1005">
      <c r="A1005" t="inlineStr">
        <is>
          <t>ORD2004</t>
        </is>
      </c>
      <c r="B1005" t="inlineStr">
        <is>
          <t>2025-08-21</t>
        </is>
      </c>
      <c r="C1005" t="inlineStr">
        <is>
          <t>19:02:34</t>
        </is>
      </c>
      <c r="D1005" t="n">
        <v>1106</v>
      </c>
      <c r="E1005" t="n">
        <v>115</v>
      </c>
      <c r="F1005" t="n">
        <v>210</v>
      </c>
      <c r="G1005" t="inlineStr">
        <is>
          <t>Bangalore</t>
        </is>
      </c>
      <c r="H1005" t="inlineStr">
        <is>
          <t>Italian</t>
        </is>
      </c>
      <c r="I1005" t="n">
        <v>379</v>
      </c>
      <c r="J1005" t="n">
        <v>4.41</v>
      </c>
      <c r="K1005" t="n">
        <v>30</v>
      </c>
      <c r="L1005" t="n">
        <v>0.2</v>
      </c>
      <c r="M1005" t="n">
        <v>83.3</v>
      </c>
      <c r="N1005" t="n">
        <v>4</v>
      </c>
      <c r="O1005" t="n">
        <v>29.9</v>
      </c>
      <c r="P1005" t="inlineStr">
        <is>
          <t>Digital Wallet</t>
        </is>
      </c>
      <c r="Q1005" t="inlineStr">
        <is>
          <t>Delivered</t>
        </is>
      </c>
      <c r="R1005" t="n">
        <v>3</v>
      </c>
    </row>
    <row r="1006">
      <c r="A1006" t="inlineStr">
        <is>
          <t>ORD2005</t>
        </is>
      </c>
      <c r="B1006" t="inlineStr">
        <is>
          <t>2025-02-01</t>
        </is>
      </c>
      <c r="C1006" t="inlineStr">
        <is>
          <t>20:59:51</t>
        </is>
      </c>
      <c r="D1006" t="n">
        <v>1041</v>
      </c>
      <c r="E1006" t="n">
        <v>114</v>
      </c>
      <c r="F1006" t="n">
        <v>216</v>
      </c>
      <c r="G1006" t="inlineStr">
        <is>
          <t>Hyderabad</t>
        </is>
      </c>
      <c r="H1006" t="inlineStr">
        <is>
          <t>Biryani</t>
        </is>
      </c>
      <c r="I1006" t="n">
        <v>590</v>
      </c>
      <c r="J1006" t="n">
        <v>46.19</v>
      </c>
      <c r="K1006" t="n">
        <v>31</v>
      </c>
      <c r="L1006" t="n">
        <v>0.22</v>
      </c>
      <c r="M1006" t="n">
        <v>137.55</v>
      </c>
      <c r="N1006" t="n">
        <v>4.2</v>
      </c>
      <c r="O1006" t="n">
        <v>34.3</v>
      </c>
      <c r="P1006" t="inlineStr">
        <is>
          <t>Credit Card</t>
        </is>
      </c>
      <c r="Q1006" t="inlineStr">
        <is>
          <t>Delivered</t>
        </is>
      </c>
      <c r="R1006" t="n">
        <v>5</v>
      </c>
    </row>
    <row r="1007">
      <c r="A1007" t="inlineStr">
        <is>
          <t>ORD2006</t>
        </is>
      </c>
      <c r="B1007" t="inlineStr">
        <is>
          <t>2025-05-19</t>
        </is>
      </c>
      <c r="C1007" t="inlineStr">
        <is>
          <t>21:16:40</t>
        </is>
      </c>
      <c r="D1007" t="n">
        <v>1232</v>
      </c>
      <c r="E1007" t="n">
        <v>102</v>
      </c>
      <c r="F1007" t="n">
        <v>225</v>
      </c>
      <c r="G1007" t="inlineStr">
        <is>
          <t>Hyderabad</t>
        </is>
      </c>
      <c r="H1007" t="inlineStr">
        <is>
          <t>Biryani</t>
        </is>
      </c>
      <c r="I1007" t="n">
        <v>400</v>
      </c>
      <c r="J1007" t="n">
        <v>0</v>
      </c>
      <c r="K1007" t="n">
        <v>26.5</v>
      </c>
      <c r="L1007" t="n">
        <v>0.22</v>
      </c>
      <c r="M1007" t="n">
        <v>94.62</v>
      </c>
      <c r="N1007" t="n">
        <v>3.3</v>
      </c>
      <c r="O1007" t="n">
        <v>27.8</v>
      </c>
      <c r="P1007" t="inlineStr">
        <is>
          <t>Cash on Delivery</t>
        </is>
      </c>
      <c r="Q1007" t="inlineStr">
        <is>
          <t>Delivered</t>
        </is>
      </c>
      <c r="R1007" t="n">
        <v>4</v>
      </c>
    </row>
    <row r="1008">
      <c r="A1008" t="inlineStr">
        <is>
          <t>ORD2007</t>
        </is>
      </c>
      <c r="B1008" t="inlineStr">
        <is>
          <t>2025-12-31</t>
        </is>
      </c>
      <c r="C1008" t="inlineStr">
        <is>
          <t>19:28:55</t>
        </is>
      </c>
      <c r="D1008" t="n">
        <v>1062</v>
      </c>
      <c r="E1008" t="n">
        <v>113</v>
      </c>
      <c r="F1008" t="n">
        <v>206</v>
      </c>
      <c r="G1008" t="inlineStr">
        <is>
          <t>Mumbai</t>
        </is>
      </c>
      <c r="H1008" t="inlineStr">
        <is>
          <t>Fast Food</t>
        </is>
      </c>
      <c r="I1008" t="n">
        <v>649</v>
      </c>
      <c r="J1008" t="n">
        <v>34.77</v>
      </c>
      <c r="K1008" t="n">
        <v>37.5</v>
      </c>
      <c r="L1008" t="n">
        <v>0.18</v>
      </c>
      <c r="M1008" t="n">
        <v>126.2</v>
      </c>
      <c r="N1008" t="n">
        <v>5.5</v>
      </c>
      <c r="O1008" t="n">
        <v>40.4</v>
      </c>
      <c r="P1008" t="inlineStr">
        <is>
          <t>UPI</t>
        </is>
      </c>
      <c r="Q1008" t="inlineStr">
        <is>
          <t>Delivered</t>
        </is>
      </c>
      <c r="R1008" t="n">
        <v>4</v>
      </c>
    </row>
    <row r="1009">
      <c r="A1009" t="inlineStr">
        <is>
          <t>ORD2008</t>
        </is>
      </c>
      <c r="B1009" t="inlineStr">
        <is>
          <t>2025-06-25</t>
        </is>
      </c>
      <c r="C1009" t="inlineStr">
        <is>
          <t>21:48:19</t>
        </is>
      </c>
      <c r="D1009" t="n">
        <v>1080</v>
      </c>
      <c r="E1009" t="n">
        <v>106</v>
      </c>
      <c r="F1009" t="n">
        <v>204</v>
      </c>
      <c r="G1009" t="inlineStr">
        <is>
          <t>Pune</t>
        </is>
      </c>
      <c r="H1009" t="inlineStr">
        <is>
          <t>South Indian</t>
        </is>
      </c>
      <c r="I1009" t="n">
        <v>388</v>
      </c>
      <c r="J1009" t="n">
        <v>0</v>
      </c>
      <c r="K1009" t="n">
        <v>32</v>
      </c>
      <c r="L1009" t="n">
        <v>0.15</v>
      </c>
      <c r="M1009" t="n">
        <v>66.2</v>
      </c>
      <c r="N1009" t="n">
        <v>4.4</v>
      </c>
      <c r="O1009" t="n">
        <v>39.4</v>
      </c>
      <c r="P1009" t="inlineStr">
        <is>
          <t>Cash on Delivery</t>
        </is>
      </c>
      <c r="Q1009" t="inlineStr">
        <is>
          <t>Delivered</t>
        </is>
      </c>
      <c r="R1009" t="n">
        <v>4</v>
      </c>
    </row>
    <row r="1010">
      <c r="A1010" t="inlineStr">
        <is>
          <t>ORD2009</t>
        </is>
      </c>
      <c r="B1010" t="inlineStr">
        <is>
          <t>2025-07-01</t>
        </is>
      </c>
      <c r="C1010" t="inlineStr">
        <is>
          <t>19:58:44</t>
        </is>
      </c>
      <c r="D1010" t="n">
        <v>1272</v>
      </c>
      <c r="E1010" t="n">
        <v>108</v>
      </c>
      <c r="F1010" t="n">
        <v>212</v>
      </c>
      <c r="G1010" t="inlineStr">
        <is>
          <t>Delhi NCR</t>
        </is>
      </c>
      <c r="H1010" t="inlineStr">
        <is>
          <t>Fast Food</t>
        </is>
      </c>
      <c r="I1010" t="n">
        <v>804</v>
      </c>
      <c r="J1010" t="n">
        <v>62.1</v>
      </c>
      <c r="K1010" t="n">
        <v>29</v>
      </c>
      <c r="L1010" t="n">
        <v>0.18</v>
      </c>
      <c r="M1010" t="n">
        <v>151.97</v>
      </c>
      <c r="N1010" t="n">
        <v>3.8</v>
      </c>
      <c r="O1010" t="n">
        <v>36.8</v>
      </c>
      <c r="P1010" t="inlineStr">
        <is>
          <t>Digital Wallet</t>
        </is>
      </c>
      <c r="Q1010" t="inlineStr">
        <is>
          <t>Delivered</t>
        </is>
      </c>
      <c r="R1010" t="n">
        <v>4</v>
      </c>
    </row>
    <row r="1011">
      <c r="A1011" t="inlineStr">
        <is>
          <t>ORD2010</t>
        </is>
      </c>
      <c r="B1011" t="inlineStr">
        <is>
          <t>2025-12-08</t>
        </is>
      </c>
      <c r="C1011" t="inlineStr">
        <is>
          <t>19:37:39</t>
        </is>
      </c>
      <c r="D1011" t="n">
        <v>1300</v>
      </c>
      <c r="E1011" t="n">
        <v>108</v>
      </c>
      <c r="F1011" t="n">
        <v>211</v>
      </c>
      <c r="G1011" t="inlineStr">
        <is>
          <t>Delhi NCR</t>
        </is>
      </c>
      <c r="H1011" t="inlineStr">
        <is>
          <t>Fast Food</t>
        </is>
      </c>
      <c r="I1011" t="n">
        <v>368</v>
      </c>
      <c r="J1011" t="n">
        <v>0</v>
      </c>
      <c r="K1011" t="n">
        <v>32.5</v>
      </c>
      <c r="L1011" t="n">
        <v>0.18</v>
      </c>
      <c r="M1011" t="n">
        <v>74.36</v>
      </c>
      <c r="N1011" t="n">
        <v>4.5</v>
      </c>
      <c r="O1011" t="n">
        <v>44.1</v>
      </c>
      <c r="P1011" t="inlineStr">
        <is>
          <t>Debit Card</t>
        </is>
      </c>
      <c r="Q1011" t="inlineStr">
        <is>
          <t>Delivered</t>
        </is>
      </c>
      <c r="R1011" t="n">
        <v>2</v>
      </c>
    </row>
    <row r="1012">
      <c r="A1012" t="inlineStr">
        <is>
          <t>ORD2011</t>
        </is>
      </c>
      <c r="B1012" t="inlineStr">
        <is>
          <t>2025-08-23</t>
        </is>
      </c>
      <c r="C1012" t="inlineStr">
        <is>
          <t>22:59:09</t>
        </is>
      </c>
      <c r="D1012" t="n">
        <v>1282</v>
      </c>
      <c r="E1012" t="n">
        <v>104</v>
      </c>
      <c r="F1012" t="n">
        <v>228</v>
      </c>
      <c r="G1012" t="inlineStr">
        <is>
          <t>Delhi NCR</t>
        </is>
      </c>
      <c r="H1012" t="inlineStr">
        <is>
          <t>Fast Food</t>
        </is>
      </c>
      <c r="I1012" t="n">
        <v>731</v>
      </c>
      <c r="J1012" t="n">
        <v>6.64</v>
      </c>
      <c r="K1012" t="n">
        <v>34.5</v>
      </c>
      <c r="L1012" t="n">
        <v>0.18</v>
      </c>
      <c r="M1012" t="n">
        <v>140.2</v>
      </c>
      <c r="N1012" t="n">
        <v>4.9</v>
      </c>
      <c r="O1012" t="n">
        <v>39.6</v>
      </c>
      <c r="P1012" t="inlineStr">
        <is>
          <t>Cash on Delivery</t>
        </is>
      </c>
      <c r="Q1012" t="inlineStr">
        <is>
          <t>Delivered</t>
        </is>
      </c>
      <c r="R1012" t="n">
        <v>4</v>
      </c>
    </row>
    <row r="1013">
      <c r="A1013" t="inlineStr">
        <is>
          <t>ORD2012</t>
        </is>
      </c>
      <c r="B1013" t="inlineStr">
        <is>
          <t>2025-03-06</t>
        </is>
      </c>
      <c r="C1013" t="inlineStr">
        <is>
          <t>07:40:28</t>
        </is>
      </c>
      <c r="D1013" t="n">
        <v>1207</v>
      </c>
      <c r="E1013" t="n">
        <v>112</v>
      </c>
      <c r="F1013" t="n">
        <v>219</v>
      </c>
      <c r="G1013" t="inlineStr">
        <is>
          <t>Delhi NCR</t>
        </is>
      </c>
      <c r="H1013" t="inlineStr">
        <is>
          <t>North Indian</t>
        </is>
      </c>
      <c r="I1013" t="n">
        <v>874</v>
      </c>
      <c r="J1013" t="n">
        <v>6.81</v>
      </c>
      <c r="K1013" t="n">
        <v>26</v>
      </c>
      <c r="L1013" t="n">
        <v>0.22</v>
      </c>
      <c r="M1013" t="n">
        <v>198.78</v>
      </c>
      <c r="N1013" t="n">
        <v>3.2</v>
      </c>
      <c r="O1013" t="n">
        <v>27</v>
      </c>
      <c r="P1013" t="inlineStr">
        <is>
          <t>Credit Card</t>
        </is>
      </c>
      <c r="Q1013" t="inlineStr">
        <is>
          <t>Delivered</t>
        </is>
      </c>
      <c r="R1013" t="n">
        <v>4</v>
      </c>
    </row>
    <row r="1014">
      <c r="A1014" t="inlineStr">
        <is>
          <t>ORD2013</t>
        </is>
      </c>
      <c r="B1014" t="inlineStr">
        <is>
          <t>2025-04-21</t>
        </is>
      </c>
      <c r="C1014" t="inlineStr">
        <is>
          <t>13:22:13</t>
        </is>
      </c>
      <c r="D1014" t="n">
        <v>1103</v>
      </c>
      <c r="E1014" t="n">
        <v>112</v>
      </c>
      <c r="F1014" t="n">
        <v>228</v>
      </c>
      <c r="G1014" t="inlineStr">
        <is>
          <t>Delhi NCR</t>
        </is>
      </c>
      <c r="H1014" t="inlineStr">
        <is>
          <t>North Indian</t>
        </is>
      </c>
      <c r="I1014" t="n">
        <v>415</v>
      </c>
      <c r="J1014" t="n">
        <v>19.15</v>
      </c>
      <c r="K1014" t="n">
        <v>25</v>
      </c>
      <c r="L1014" t="n">
        <v>0.22</v>
      </c>
      <c r="M1014" t="n">
        <v>97.55</v>
      </c>
      <c r="N1014" t="n">
        <v>2.5</v>
      </c>
      <c r="O1014" t="n">
        <v>31.7</v>
      </c>
      <c r="P1014" t="inlineStr">
        <is>
          <t>Debit Card</t>
        </is>
      </c>
      <c r="Q1014" t="inlineStr">
        <is>
          <t>Delivered</t>
        </is>
      </c>
      <c r="R1014" t="n">
        <v>2</v>
      </c>
    </row>
    <row r="1015">
      <c r="A1015" t="inlineStr">
        <is>
          <t>ORD2014</t>
        </is>
      </c>
      <c r="B1015" t="inlineStr">
        <is>
          <t>2025-06-07</t>
        </is>
      </c>
      <c r="C1015" t="inlineStr">
        <is>
          <t>11:32:52</t>
        </is>
      </c>
      <c r="D1015" t="n">
        <v>1140</v>
      </c>
      <c r="E1015" t="n">
        <v>110</v>
      </c>
      <c r="F1015" t="n">
        <v>209</v>
      </c>
      <c r="G1015" t="inlineStr">
        <is>
          <t>Pune</t>
        </is>
      </c>
      <c r="H1015" t="inlineStr">
        <is>
          <t>North Indian</t>
        </is>
      </c>
      <c r="I1015" t="n">
        <v>626</v>
      </c>
      <c r="J1015" t="n">
        <v>93.84999999999999</v>
      </c>
      <c r="K1015" t="n">
        <v>0</v>
      </c>
      <c r="L1015" t="n">
        <v>0.18</v>
      </c>
      <c r="M1015" t="n">
        <v>112.68</v>
      </c>
      <c r="N1015" t="n">
        <v>1.8</v>
      </c>
      <c r="O1015" t="n">
        <v>29.3</v>
      </c>
      <c r="P1015" t="inlineStr">
        <is>
          <t>Cash on Delivery</t>
        </is>
      </c>
      <c r="Q1015" t="inlineStr">
        <is>
          <t>Delivered</t>
        </is>
      </c>
      <c r="R1015" t="n">
        <v>5</v>
      </c>
    </row>
    <row r="1016">
      <c r="A1016" t="inlineStr">
        <is>
          <t>ORD2015</t>
        </is>
      </c>
      <c r="B1016" t="inlineStr">
        <is>
          <t>2025-10-05</t>
        </is>
      </c>
      <c r="C1016" t="inlineStr">
        <is>
          <t>13:27:33</t>
        </is>
      </c>
      <c r="D1016" t="n">
        <v>1153</v>
      </c>
      <c r="E1016" t="n">
        <v>101</v>
      </c>
      <c r="F1016" t="n">
        <v>227</v>
      </c>
      <c r="G1016" t="inlineStr">
        <is>
          <t>Bangalore</t>
        </is>
      </c>
      <c r="H1016" t="inlineStr">
        <is>
          <t>North Indian</t>
        </is>
      </c>
      <c r="I1016" t="n">
        <v>563</v>
      </c>
      <c r="J1016" t="n">
        <v>0</v>
      </c>
      <c r="K1016" t="n">
        <v>35.5</v>
      </c>
      <c r="L1016" t="n">
        <v>0.2</v>
      </c>
      <c r="M1016" t="n">
        <v>121.48</v>
      </c>
      <c r="N1016" t="n">
        <v>5.1</v>
      </c>
      <c r="O1016" t="n">
        <v>36</v>
      </c>
      <c r="P1016" t="inlineStr">
        <is>
          <t>Cash on Delivery</t>
        </is>
      </c>
      <c r="Q1016" t="inlineStr">
        <is>
          <t>Delivered</t>
        </is>
      </c>
      <c r="R1016" t="n">
        <v>3</v>
      </c>
    </row>
    <row r="1017">
      <c r="A1017" t="inlineStr">
        <is>
          <t>ORD2016</t>
        </is>
      </c>
      <c r="B1017" t="inlineStr">
        <is>
          <t>2025-10-05</t>
        </is>
      </c>
      <c r="C1017" t="inlineStr">
        <is>
          <t>12:27:24</t>
        </is>
      </c>
      <c r="D1017" t="n">
        <v>1155</v>
      </c>
      <c r="E1017" t="n">
        <v>106</v>
      </c>
      <c r="F1017" t="n">
        <v>209</v>
      </c>
      <c r="G1017" t="inlineStr">
        <is>
          <t>Pune</t>
        </is>
      </c>
      <c r="H1017" t="inlineStr">
        <is>
          <t>South Indian</t>
        </is>
      </c>
      <c r="I1017" t="n">
        <v>827</v>
      </c>
      <c r="J1017" t="n">
        <v>137.25</v>
      </c>
      <c r="K1017" t="n">
        <v>0</v>
      </c>
      <c r="L1017" t="n">
        <v>0.15</v>
      </c>
      <c r="M1017" t="n">
        <v>124.05</v>
      </c>
      <c r="N1017" t="n">
        <v>3.5</v>
      </c>
      <c r="O1017" t="n">
        <v>36.3</v>
      </c>
      <c r="P1017" t="inlineStr">
        <is>
          <t>Debit Card</t>
        </is>
      </c>
      <c r="Q1017" t="inlineStr">
        <is>
          <t>Delivered</t>
        </is>
      </c>
      <c r="R1017" t="n">
        <v>5</v>
      </c>
    </row>
    <row r="1018">
      <c r="A1018" t="inlineStr">
        <is>
          <t>ORD2017</t>
        </is>
      </c>
      <c r="B1018" t="inlineStr">
        <is>
          <t>2025-02-15</t>
        </is>
      </c>
      <c r="C1018" t="inlineStr">
        <is>
          <t>22:41:01</t>
        </is>
      </c>
      <c r="D1018" t="n">
        <v>1014</v>
      </c>
      <c r="E1018" t="n">
        <v>104</v>
      </c>
      <c r="F1018" t="n">
        <v>221</v>
      </c>
      <c r="G1018" t="inlineStr">
        <is>
          <t>Delhi NCR</t>
        </is>
      </c>
      <c r="H1018" t="inlineStr">
        <is>
          <t>Fast Food</t>
        </is>
      </c>
      <c r="I1018" t="n">
        <v>851</v>
      </c>
      <c r="J1018" t="n">
        <v>7.06</v>
      </c>
      <c r="K1018" t="n">
        <v>45</v>
      </c>
      <c r="L1018" t="n">
        <v>0.18</v>
      </c>
      <c r="M1018" t="n">
        <v>164.43</v>
      </c>
      <c r="N1018" t="n">
        <v>7</v>
      </c>
      <c r="O1018" t="n">
        <v>47.2</v>
      </c>
      <c r="P1018" t="inlineStr">
        <is>
          <t>Digital Wallet</t>
        </is>
      </c>
      <c r="Q1018" t="inlineStr">
        <is>
          <t>Delivered</t>
        </is>
      </c>
      <c r="R1018" t="n">
        <v>3</v>
      </c>
    </row>
    <row r="1019">
      <c r="A1019" t="inlineStr">
        <is>
          <t>ORD2018</t>
        </is>
      </c>
      <c r="B1019" t="inlineStr">
        <is>
          <t>2025-12-08</t>
        </is>
      </c>
      <c r="C1019" t="inlineStr">
        <is>
          <t>13:18:54</t>
        </is>
      </c>
      <c r="D1019" t="n">
        <v>1130</v>
      </c>
      <c r="E1019" t="n">
        <v>119</v>
      </c>
      <c r="F1019" t="n">
        <v>215</v>
      </c>
      <c r="G1019" t="inlineStr">
        <is>
          <t>Hyderabad</t>
        </is>
      </c>
      <c r="H1019" t="inlineStr">
        <is>
          <t>Biryani</t>
        </is>
      </c>
      <c r="I1019" t="n">
        <v>650</v>
      </c>
      <c r="J1019" t="n">
        <v>0</v>
      </c>
      <c r="K1019" t="n">
        <v>25</v>
      </c>
      <c r="L1019" t="n">
        <v>0.2</v>
      </c>
      <c r="M1019" t="n">
        <v>136.25</v>
      </c>
      <c r="N1019" t="n">
        <v>1.8</v>
      </c>
      <c r="O1019" t="n">
        <v>33.9</v>
      </c>
      <c r="P1019" t="inlineStr">
        <is>
          <t>Digital Wallet</t>
        </is>
      </c>
      <c r="Q1019" t="inlineStr">
        <is>
          <t>Delivered</t>
        </is>
      </c>
      <c r="R1019" t="n">
        <v>5</v>
      </c>
    </row>
    <row r="1020">
      <c r="A1020" t="inlineStr">
        <is>
          <t>ORD2019</t>
        </is>
      </c>
      <c r="B1020" t="inlineStr">
        <is>
          <t>2025-08-29</t>
        </is>
      </c>
      <c r="C1020" t="inlineStr">
        <is>
          <t>20:07:22</t>
        </is>
      </c>
      <c r="D1020" t="n">
        <v>1235</v>
      </c>
      <c r="E1020" t="n">
        <v>119</v>
      </c>
      <c r="F1020" t="n">
        <v>216</v>
      </c>
      <c r="G1020" t="inlineStr">
        <is>
          <t>Hyderabad</t>
        </is>
      </c>
      <c r="H1020" t="inlineStr">
        <is>
          <t>Biryani</t>
        </is>
      </c>
      <c r="I1020" t="n">
        <v>695</v>
      </c>
      <c r="J1020" t="n">
        <v>0</v>
      </c>
      <c r="K1020" t="n">
        <v>38.5</v>
      </c>
      <c r="L1020" t="n">
        <v>0.2</v>
      </c>
      <c r="M1020" t="n">
        <v>148.62</v>
      </c>
      <c r="N1020" t="n">
        <v>5.7</v>
      </c>
      <c r="O1020" t="n">
        <v>50.1</v>
      </c>
      <c r="P1020" t="inlineStr">
        <is>
          <t>Cash on Delivery</t>
        </is>
      </c>
      <c r="Q1020" t="inlineStr">
        <is>
          <t>Delivered</t>
        </is>
      </c>
      <c r="R1020" t="n">
        <v>1</v>
      </c>
    </row>
    <row r="1021">
      <c r="A1021" t="inlineStr">
        <is>
          <t>ORD2020</t>
        </is>
      </c>
      <c r="B1021" t="inlineStr">
        <is>
          <t>2025-04-25</t>
        </is>
      </c>
      <c r="C1021" t="inlineStr">
        <is>
          <t>13:32:18</t>
        </is>
      </c>
      <c r="D1021" t="n">
        <v>1200</v>
      </c>
      <c r="E1021" t="n">
        <v>113</v>
      </c>
      <c r="F1021" t="n">
        <v>206</v>
      </c>
      <c r="G1021" t="inlineStr">
        <is>
          <t>Mumbai</t>
        </is>
      </c>
      <c r="H1021" t="inlineStr">
        <is>
          <t>Fast Food</t>
        </is>
      </c>
      <c r="I1021" t="n">
        <v>494</v>
      </c>
      <c r="J1021" t="n">
        <v>55.12</v>
      </c>
      <c r="K1021" t="n">
        <v>30</v>
      </c>
      <c r="L1021" t="n">
        <v>0.18</v>
      </c>
      <c r="M1021" t="n">
        <v>96.42</v>
      </c>
      <c r="N1021" t="n">
        <v>4</v>
      </c>
      <c r="O1021" t="n">
        <v>31.5</v>
      </c>
      <c r="P1021" t="inlineStr">
        <is>
          <t>Cash on Delivery</t>
        </is>
      </c>
      <c r="Q1021" t="inlineStr">
        <is>
          <t>Delivered</t>
        </is>
      </c>
      <c r="R1021" t="n">
        <v>1</v>
      </c>
    </row>
    <row r="1022">
      <c r="A1022" t="inlineStr">
        <is>
          <t>ORD2021</t>
        </is>
      </c>
      <c r="B1022" t="inlineStr">
        <is>
          <t>2025-01-17</t>
        </is>
      </c>
      <c r="C1022" t="inlineStr">
        <is>
          <t>14:00:01</t>
        </is>
      </c>
      <c r="D1022" t="n">
        <v>1102</v>
      </c>
      <c r="E1022" t="n">
        <v>107</v>
      </c>
      <c r="F1022" t="n">
        <v>229</v>
      </c>
      <c r="G1022" t="inlineStr">
        <is>
          <t>Mumbai</t>
        </is>
      </c>
      <c r="H1022" t="inlineStr">
        <is>
          <t>Desserts</t>
        </is>
      </c>
      <c r="I1022" t="n">
        <v>377</v>
      </c>
      <c r="J1022" t="n">
        <v>39.71</v>
      </c>
      <c r="K1022" t="n">
        <v>25</v>
      </c>
      <c r="L1022" t="n">
        <v>0.25</v>
      </c>
      <c r="M1022" t="n">
        <v>100.5</v>
      </c>
      <c r="N1022" t="n">
        <v>2.1</v>
      </c>
      <c r="O1022" t="n">
        <v>28.7</v>
      </c>
      <c r="P1022" t="inlineStr">
        <is>
          <t>Digital Wallet</t>
        </is>
      </c>
      <c r="Q1022" t="inlineStr">
        <is>
          <t>Delivered</t>
        </is>
      </c>
      <c r="R1022" t="n">
        <v>4</v>
      </c>
    </row>
    <row r="1023">
      <c r="A1023" t="inlineStr">
        <is>
          <t>ORD2022</t>
        </is>
      </c>
      <c r="B1023" t="inlineStr">
        <is>
          <t>2025-10-20</t>
        </is>
      </c>
      <c r="C1023" t="inlineStr">
        <is>
          <t>20:27:15</t>
        </is>
      </c>
      <c r="D1023" t="n">
        <v>1179</v>
      </c>
      <c r="E1023" t="n">
        <v>103</v>
      </c>
      <c r="F1023" t="n">
        <v>202</v>
      </c>
      <c r="G1023" t="inlineStr">
        <is>
          <t>Mumbai</t>
        </is>
      </c>
      <c r="H1023" t="inlineStr">
        <is>
          <t>Italian</t>
        </is>
      </c>
      <c r="I1023" t="n">
        <v>1138</v>
      </c>
      <c r="J1023" t="n">
        <v>158.34</v>
      </c>
      <c r="K1023" t="n">
        <v>0</v>
      </c>
      <c r="L1023" t="n">
        <v>0.18</v>
      </c>
      <c r="M1023" t="n">
        <v>204.84</v>
      </c>
      <c r="N1023" t="n">
        <v>3.5</v>
      </c>
      <c r="O1023" t="n">
        <v>35</v>
      </c>
      <c r="P1023" t="inlineStr">
        <is>
          <t>Cash on Delivery</t>
        </is>
      </c>
      <c r="Q1023" t="inlineStr">
        <is>
          <t>Delivered</t>
        </is>
      </c>
      <c r="R1023" t="n">
        <v>4</v>
      </c>
    </row>
    <row r="1024">
      <c r="A1024" t="inlineStr">
        <is>
          <t>ORD2023</t>
        </is>
      </c>
      <c r="B1024" t="inlineStr">
        <is>
          <t>2025-03-07</t>
        </is>
      </c>
      <c r="C1024" t="inlineStr">
        <is>
          <t>21:40:24</t>
        </is>
      </c>
      <c r="D1024" t="n">
        <v>1099</v>
      </c>
      <c r="E1024" t="n">
        <v>109</v>
      </c>
      <c r="F1024" t="n">
        <v>216</v>
      </c>
      <c r="G1024" t="inlineStr">
        <is>
          <t>Hyderabad</t>
        </is>
      </c>
      <c r="H1024" t="inlineStr">
        <is>
          <t>Biryani</t>
        </is>
      </c>
      <c r="I1024" t="n">
        <v>397</v>
      </c>
      <c r="J1024" t="n">
        <v>0</v>
      </c>
      <c r="K1024" t="n">
        <v>32</v>
      </c>
      <c r="L1024" t="n">
        <v>0.2</v>
      </c>
      <c r="M1024" t="n">
        <v>87.40000000000001</v>
      </c>
      <c r="N1024" t="n">
        <v>4.4</v>
      </c>
      <c r="O1024" t="n">
        <v/>
      </c>
      <c r="P1024" t="inlineStr">
        <is>
          <t>Credit Card</t>
        </is>
      </c>
      <c r="Q1024" t="inlineStr">
        <is>
          <t>Cancelled</t>
        </is>
      </c>
      <c r="R1024" t="n">
        <v/>
      </c>
    </row>
    <row r="1025">
      <c r="A1025" t="inlineStr">
        <is>
          <t>ORD2024</t>
        </is>
      </c>
      <c r="B1025" t="inlineStr">
        <is>
          <t>2025-12-30</t>
        </is>
      </c>
      <c r="C1025" t="inlineStr">
        <is>
          <t>21:51:08</t>
        </is>
      </c>
      <c r="D1025" t="n">
        <v>1148</v>
      </c>
      <c r="E1025" t="n">
        <v>111</v>
      </c>
      <c r="F1025" t="n">
        <v>210</v>
      </c>
      <c r="G1025" t="inlineStr">
        <is>
          <t>Bangalore</t>
        </is>
      </c>
      <c r="H1025" t="inlineStr">
        <is>
          <t>South Indian</t>
        </is>
      </c>
      <c r="I1025" t="n">
        <v>736</v>
      </c>
      <c r="J1025" t="n">
        <v>0</v>
      </c>
      <c r="K1025" t="n">
        <v>25</v>
      </c>
      <c r="L1025" t="n">
        <v>0.15</v>
      </c>
      <c r="M1025" t="n">
        <v>116.65</v>
      </c>
      <c r="N1025" t="n">
        <v>2.5</v>
      </c>
      <c r="O1025" t="n">
        <v>29.4</v>
      </c>
      <c r="P1025" t="inlineStr">
        <is>
          <t>Cash on Delivery</t>
        </is>
      </c>
      <c r="Q1025" t="inlineStr">
        <is>
          <t>Delivered</t>
        </is>
      </c>
      <c r="R1025" t="n">
        <v>5</v>
      </c>
    </row>
    <row r="1026">
      <c r="A1026" t="inlineStr">
        <is>
          <t>ORD2025</t>
        </is>
      </c>
      <c r="B1026" t="inlineStr">
        <is>
          <t>2025-04-15</t>
        </is>
      </c>
      <c r="C1026" t="inlineStr">
        <is>
          <t>20:05:05</t>
        </is>
      </c>
      <c r="D1026" t="n">
        <v>1190</v>
      </c>
      <c r="E1026" t="n">
        <v>102</v>
      </c>
      <c r="F1026" t="n">
        <v>225</v>
      </c>
      <c r="G1026" t="inlineStr">
        <is>
          <t>Hyderabad</t>
        </is>
      </c>
      <c r="H1026" t="inlineStr">
        <is>
          <t>Biryani</t>
        </is>
      </c>
      <c r="I1026" t="n">
        <v>246</v>
      </c>
      <c r="J1026" t="n">
        <v>0</v>
      </c>
      <c r="K1026" t="n">
        <v>25</v>
      </c>
      <c r="L1026" t="n">
        <v>0.22</v>
      </c>
      <c r="M1026" t="n">
        <v>60.37</v>
      </c>
      <c r="N1026" t="n">
        <v>2</v>
      </c>
      <c r="O1026" t="n">
        <v>25.9</v>
      </c>
      <c r="P1026" t="inlineStr">
        <is>
          <t>Digital Wallet</t>
        </is>
      </c>
      <c r="Q1026" t="inlineStr">
        <is>
          <t>Delivered</t>
        </is>
      </c>
      <c r="R1026" t="n">
        <v>4</v>
      </c>
    </row>
    <row r="1027">
      <c r="A1027" t="inlineStr">
        <is>
          <t>ORD2026</t>
        </is>
      </c>
      <c r="B1027" t="inlineStr">
        <is>
          <t>2025-11-13</t>
        </is>
      </c>
      <c r="C1027" t="inlineStr">
        <is>
          <t>06:45:34</t>
        </is>
      </c>
      <c r="D1027" t="n">
        <v>1088</v>
      </c>
      <c r="E1027" t="n">
        <v>120</v>
      </c>
      <c r="F1027" t="n">
        <v>226</v>
      </c>
      <c r="G1027" t="inlineStr">
        <is>
          <t>Pune</t>
        </is>
      </c>
      <c r="H1027" t="inlineStr">
        <is>
          <t>Fast Food</t>
        </is>
      </c>
      <c r="I1027" t="n">
        <v>300</v>
      </c>
      <c r="J1027" t="n">
        <v>27.01</v>
      </c>
      <c r="K1027" t="n">
        <v>25</v>
      </c>
      <c r="L1027" t="n">
        <v>0.18</v>
      </c>
      <c r="M1027" t="n">
        <v>60.25</v>
      </c>
      <c r="N1027" t="n">
        <v>2.8</v>
      </c>
      <c r="O1027" t="n">
        <v>20.4</v>
      </c>
      <c r="P1027" t="inlineStr">
        <is>
          <t>Credit Card</t>
        </is>
      </c>
      <c r="Q1027" t="inlineStr">
        <is>
          <t>Delivered</t>
        </is>
      </c>
      <c r="R1027" t="n">
        <v>5</v>
      </c>
    </row>
    <row r="1028">
      <c r="A1028" t="inlineStr">
        <is>
          <t>ORD2027</t>
        </is>
      </c>
      <c r="B1028" t="inlineStr">
        <is>
          <t>2025-05-03</t>
        </is>
      </c>
      <c r="C1028" t="inlineStr">
        <is>
          <t>09:41:57</t>
        </is>
      </c>
      <c r="D1028" t="n">
        <v>1136</v>
      </c>
      <c r="E1028" t="n">
        <v>119</v>
      </c>
      <c r="F1028" t="n">
        <v>216</v>
      </c>
      <c r="G1028" t="inlineStr">
        <is>
          <t>Hyderabad</t>
        </is>
      </c>
      <c r="H1028" t="inlineStr">
        <is>
          <t>Biryani</t>
        </is>
      </c>
      <c r="I1028" t="n">
        <v>447</v>
      </c>
      <c r="J1028" t="n">
        <v>0</v>
      </c>
      <c r="K1028" t="n">
        <v>25</v>
      </c>
      <c r="L1028" t="n">
        <v>0.2</v>
      </c>
      <c r="M1028" t="n">
        <v>95.65000000000001</v>
      </c>
      <c r="N1028" t="n">
        <v>2.7</v>
      </c>
      <c r="O1028" t="n">
        <v>25.9</v>
      </c>
      <c r="P1028" t="inlineStr">
        <is>
          <t>Credit Card</t>
        </is>
      </c>
      <c r="Q1028" t="inlineStr">
        <is>
          <t>Delivered</t>
        </is>
      </c>
      <c r="R1028" t="n">
        <v>3</v>
      </c>
    </row>
    <row r="1029">
      <c r="A1029" t="inlineStr">
        <is>
          <t>ORD2028</t>
        </is>
      </c>
      <c r="B1029" t="inlineStr">
        <is>
          <t>2025-05-21</t>
        </is>
      </c>
      <c r="C1029" t="inlineStr">
        <is>
          <t>22:05:59</t>
        </is>
      </c>
      <c r="D1029" t="n">
        <v>1173</v>
      </c>
      <c r="E1029" t="n">
        <v>105</v>
      </c>
      <c r="F1029" t="n">
        <v>213</v>
      </c>
      <c r="G1029" t="inlineStr">
        <is>
          <t>Bangalore</t>
        </is>
      </c>
      <c r="H1029" t="inlineStr">
        <is>
          <t>Chinese</t>
        </is>
      </c>
      <c r="I1029" t="n">
        <v>367</v>
      </c>
      <c r="J1029" t="n">
        <v>18.74</v>
      </c>
      <c r="K1029" t="n">
        <v>29.5</v>
      </c>
      <c r="L1029" t="n">
        <v>0.2</v>
      </c>
      <c r="M1029" t="n">
        <v>80.78</v>
      </c>
      <c r="N1029" t="n">
        <v>3.9</v>
      </c>
      <c r="O1029" t="n">
        <v>31.1</v>
      </c>
      <c r="P1029" t="inlineStr">
        <is>
          <t>UPI</t>
        </is>
      </c>
      <c r="Q1029" t="inlineStr">
        <is>
          <t>Delivered</t>
        </is>
      </c>
      <c r="R1029" t="n">
        <v>4</v>
      </c>
    </row>
    <row r="1030">
      <c r="A1030" t="inlineStr">
        <is>
          <t>ORD2029</t>
        </is>
      </c>
      <c r="B1030" t="inlineStr">
        <is>
          <t>2025-11-02</t>
        </is>
      </c>
      <c r="C1030" t="inlineStr">
        <is>
          <t>14:07:06</t>
        </is>
      </c>
      <c r="D1030" t="n">
        <v>1270</v>
      </c>
      <c r="E1030" t="n">
        <v>119</v>
      </c>
      <c r="F1030" t="n">
        <v>215</v>
      </c>
      <c r="G1030" t="inlineStr">
        <is>
          <t>Hyderabad</t>
        </is>
      </c>
      <c r="H1030" t="inlineStr">
        <is>
          <t>Biryani</t>
        </is>
      </c>
      <c r="I1030" t="n">
        <v>365</v>
      </c>
      <c r="J1030" t="n">
        <v>0</v>
      </c>
      <c r="K1030" t="n">
        <v>35</v>
      </c>
      <c r="L1030" t="n">
        <v>0.2</v>
      </c>
      <c r="M1030" t="n">
        <v>81.75</v>
      </c>
      <c r="N1030" t="n">
        <v>5</v>
      </c>
      <c r="O1030" t="n">
        <v>40.2</v>
      </c>
      <c r="P1030" t="inlineStr">
        <is>
          <t>UPI</t>
        </is>
      </c>
      <c r="Q1030" t="inlineStr">
        <is>
          <t>Delivered</t>
        </is>
      </c>
      <c r="R1030" t="n">
        <v>2</v>
      </c>
    </row>
    <row r="1031">
      <c r="A1031" t="inlineStr">
        <is>
          <t>ORD2030</t>
        </is>
      </c>
      <c r="B1031" t="inlineStr">
        <is>
          <t>2025-07-05</t>
        </is>
      </c>
      <c r="C1031" t="inlineStr">
        <is>
          <t>13:58:53</t>
        </is>
      </c>
      <c r="D1031" t="n">
        <v>1165</v>
      </c>
      <c r="E1031" t="n">
        <v>107</v>
      </c>
      <c r="F1031" t="n">
        <v>202</v>
      </c>
      <c r="G1031" t="inlineStr">
        <is>
          <t>Mumbai</t>
        </is>
      </c>
      <c r="H1031" t="inlineStr">
        <is>
          <t>Desserts</t>
        </is>
      </c>
      <c r="I1031" t="n">
        <v>432</v>
      </c>
      <c r="J1031" t="n">
        <v>0</v>
      </c>
      <c r="K1031" t="n">
        <v>25</v>
      </c>
      <c r="L1031" t="n">
        <v>0.25</v>
      </c>
      <c r="M1031" t="n">
        <v>114.25</v>
      </c>
      <c r="N1031" t="n">
        <v>2.9</v>
      </c>
      <c r="O1031" t="n">
        <v>33.5</v>
      </c>
      <c r="P1031" t="inlineStr">
        <is>
          <t>UPI</t>
        </is>
      </c>
      <c r="Q1031" t="inlineStr">
        <is>
          <t>Delivered</t>
        </is>
      </c>
      <c r="R1031" t="n">
        <v>5</v>
      </c>
    </row>
    <row r="1032">
      <c r="A1032" t="inlineStr">
        <is>
          <t>ORD2031</t>
        </is>
      </c>
      <c r="B1032" t="inlineStr">
        <is>
          <t>2025-11-17</t>
        </is>
      </c>
      <c r="C1032" t="inlineStr">
        <is>
          <t>12:04:13</t>
        </is>
      </c>
      <c r="D1032" t="n">
        <v>1116</v>
      </c>
      <c r="E1032" t="n">
        <v>113</v>
      </c>
      <c r="F1032" t="n">
        <v>229</v>
      </c>
      <c r="G1032" t="inlineStr">
        <is>
          <t>Mumbai</t>
        </is>
      </c>
      <c r="H1032" t="inlineStr">
        <is>
          <t>Fast Food</t>
        </is>
      </c>
      <c r="I1032" t="n">
        <v>1130</v>
      </c>
      <c r="J1032" t="n">
        <v>155.4</v>
      </c>
      <c r="K1032" t="n">
        <v>0</v>
      </c>
      <c r="L1032" t="n">
        <v>0.18</v>
      </c>
      <c r="M1032" t="n">
        <v>203.4</v>
      </c>
      <c r="N1032" t="n">
        <v>6.1</v>
      </c>
      <c r="O1032" t="n">
        <v>45.3</v>
      </c>
      <c r="P1032" t="inlineStr">
        <is>
          <t>Cash on Delivery</t>
        </is>
      </c>
      <c r="Q1032" t="inlineStr">
        <is>
          <t>Delivered</t>
        </is>
      </c>
      <c r="R1032" t="n">
        <v>1</v>
      </c>
    </row>
    <row r="1033">
      <c r="A1033" t="inlineStr">
        <is>
          <t>ORD2032</t>
        </is>
      </c>
      <c r="B1033" t="inlineStr">
        <is>
          <t>2025-06-02</t>
        </is>
      </c>
      <c r="C1033" t="inlineStr">
        <is>
          <t>12:00:57</t>
        </is>
      </c>
      <c r="D1033" t="n">
        <v>1152</v>
      </c>
      <c r="E1033" t="n">
        <v>119</v>
      </c>
      <c r="F1033" t="n">
        <v>216</v>
      </c>
      <c r="G1033" t="inlineStr">
        <is>
          <t>Hyderabad</t>
        </is>
      </c>
      <c r="H1033" t="inlineStr">
        <is>
          <t>Biryani</t>
        </is>
      </c>
      <c r="I1033" t="n">
        <v>402</v>
      </c>
      <c r="J1033" t="n">
        <v>20.3</v>
      </c>
      <c r="K1033" t="n">
        <v>35.5</v>
      </c>
      <c r="L1033" t="n">
        <v>0.2</v>
      </c>
      <c r="M1033" t="n">
        <v>89.28</v>
      </c>
      <c r="N1033" t="n">
        <v>5.1</v>
      </c>
      <c r="O1033" t="n">
        <v>39.9</v>
      </c>
      <c r="P1033" t="inlineStr">
        <is>
          <t>UPI</t>
        </is>
      </c>
      <c r="Q1033" t="inlineStr">
        <is>
          <t>Delivered</t>
        </is>
      </c>
      <c r="R1033" t="n">
        <v>4</v>
      </c>
    </row>
    <row r="1034">
      <c r="A1034" t="inlineStr">
        <is>
          <t>ORD2033</t>
        </is>
      </c>
      <c r="B1034" t="inlineStr">
        <is>
          <t>2025-11-11</t>
        </is>
      </c>
      <c r="C1034" t="inlineStr">
        <is>
          <t>22:38:34</t>
        </is>
      </c>
      <c r="D1034" t="n">
        <v>1264</v>
      </c>
      <c r="E1034" t="n">
        <v>105</v>
      </c>
      <c r="F1034" t="n">
        <v>220</v>
      </c>
      <c r="G1034" t="inlineStr">
        <is>
          <t>Bangalore</t>
        </is>
      </c>
      <c r="H1034" t="inlineStr">
        <is>
          <t>Chinese</t>
        </is>
      </c>
      <c r="I1034" t="n">
        <v>225</v>
      </c>
      <c r="J1034" t="n">
        <v>0</v>
      </c>
      <c r="K1034" t="n">
        <v>39.5</v>
      </c>
      <c r="L1034" t="n">
        <v>0.2</v>
      </c>
      <c r="M1034" t="n">
        <v>54.88</v>
      </c>
      <c r="N1034" t="n">
        <v>5.9</v>
      </c>
      <c r="O1034" t="n">
        <v>43.8</v>
      </c>
      <c r="P1034" t="inlineStr">
        <is>
          <t>UPI</t>
        </is>
      </c>
      <c r="Q1034" t="inlineStr">
        <is>
          <t>Returned</t>
        </is>
      </c>
      <c r="R1034" t="n">
        <v>4</v>
      </c>
    </row>
    <row r="1035">
      <c r="A1035" t="inlineStr">
        <is>
          <t>ORD2034</t>
        </is>
      </c>
      <c r="B1035" t="inlineStr">
        <is>
          <t>2025-10-02</t>
        </is>
      </c>
      <c r="C1035" t="inlineStr">
        <is>
          <t>21:01:33</t>
        </is>
      </c>
      <c r="D1035" t="n">
        <v>1276</v>
      </c>
      <c r="E1035" t="n">
        <v>111</v>
      </c>
      <c r="F1035" t="n">
        <v>210</v>
      </c>
      <c r="G1035" t="inlineStr">
        <is>
          <t>Bangalore</t>
        </is>
      </c>
      <c r="H1035" t="inlineStr">
        <is>
          <t>South Indian</t>
        </is>
      </c>
      <c r="I1035" t="n">
        <v>744</v>
      </c>
      <c r="J1035" t="n">
        <v>12.87</v>
      </c>
      <c r="K1035" t="n">
        <v>25</v>
      </c>
      <c r="L1035" t="n">
        <v>0.15</v>
      </c>
      <c r="M1035" t="n">
        <v>117.85</v>
      </c>
      <c r="N1035" t="n">
        <v>1.6</v>
      </c>
      <c r="O1035" t="n">
        <v>23.2</v>
      </c>
      <c r="P1035" t="inlineStr">
        <is>
          <t>Credit Card</t>
        </is>
      </c>
      <c r="Q1035" t="inlineStr">
        <is>
          <t>Delivered</t>
        </is>
      </c>
      <c r="R1035" t="n">
        <v>2</v>
      </c>
    </row>
    <row r="1036">
      <c r="A1036" t="inlineStr">
        <is>
          <t>ORD2035</t>
        </is>
      </c>
      <c r="B1036" t="inlineStr">
        <is>
          <t>2025-03-12</t>
        </is>
      </c>
      <c r="C1036" t="inlineStr">
        <is>
          <t>23:14:05</t>
        </is>
      </c>
      <c r="D1036" t="n">
        <v>1032</v>
      </c>
      <c r="E1036" t="n">
        <v>118</v>
      </c>
      <c r="F1036" t="n">
        <v>228</v>
      </c>
      <c r="G1036" t="inlineStr">
        <is>
          <t>Delhi NCR</t>
        </is>
      </c>
      <c r="H1036" t="inlineStr">
        <is>
          <t>North Indian</t>
        </is>
      </c>
      <c r="I1036" t="n">
        <v>928</v>
      </c>
      <c r="J1036" t="n">
        <v>19.87</v>
      </c>
      <c r="K1036" t="n">
        <v>25</v>
      </c>
      <c r="L1036" t="n">
        <v>0.2</v>
      </c>
      <c r="M1036" t="n">
        <v>191.85</v>
      </c>
      <c r="N1036" t="n">
        <v>3</v>
      </c>
      <c r="O1036" t="n">
        <v>25.3</v>
      </c>
      <c r="P1036" t="inlineStr">
        <is>
          <t>UPI</t>
        </is>
      </c>
      <c r="Q1036" t="inlineStr">
        <is>
          <t>Delivered</t>
        </is>
      </c>
      <c r="R1036" t="n">
        <v>4</v>
      </c>
    </row>
    <row r="1037">
      <c r="A1037" t="inlineStr">
        <is>
          <t>ORD2036</t>
        </is>
      </c>
      <c r="B1037" t="inlineStr">
        <is>
          <t>2025-09-11</t>
        </is>
      </c>
      <c r="C1037" t="inlineStr">
        <is>
          <t>12:27:32</t>
        </is>
      </c>
      <c r="D1037" t="n">
        <v>1020</v>
      </c>
      <c r="E1037" t="n">
        <v>118</v>
      </c>
      <c r="F1037" t="n">
        <v>230</v>
      </c>
      <c r="G1037" t="inlineStr">
        <is>
          <t>Delhi NCR</t>
        </is>
      </c>
      <c r="H1037" t="inlineStr">
        <is>
          <t>North Indian</t>
        </is>
      </c>
      <c r="I1037" t="n">
        <v>629</v>
      </c>
      <c r="J1037" t="n">
        <v>12.58</v>
      </c>
      <c r="K1037" t="n">
        <v>43</v>
      </c>
      <c r="L1037" t="n">
        <v>0.2</v>
      </c>
      <c r="M1037" t="n">
        <v>136.55</v>
      </c>
      <c r="N1037" t="n">
        <v>6.6</v>
      </c>
      <c r="O1037" t="n">
        <v>57.8</v>
      </c>
      <c r="P1037" t="inlineStr">
        <is>
          <t>Debit Card</t>
        </is>
      </c>
      <c r="Q1037" t="inlineStr">
        <is>
          <t>Delivered</t>
        </is>
      </c>
      <c r="R1037" t="n">
        <v>1</v>
      </c>
    </row>
    <row r="1038">
      <c r="A1038" t="inlineStr">
        <is>
          <t>ORD2037</t>
        </is>
      </c>
      <c r="B1038" t="inlineStr">
        <is>
          <t>2025-03-26</t>
        </is>
      </c>
      <c r="C1038" t="inlineStr">
        <is>
          <t>13:50:13</t>
        </is>
      </c>
      <c r="D1038" t="n">
        <v>1273</v>
      </c>
      <c r="E1038" t="n">
        <v>119</v>
      </c>
      <c r="F1038" t="n">
        <v>225</v>
      </c>
      <c r="G1038" t="inlineStr">
        <is>
          <t>Hyderabad</t>
        </is>
      </c>
      <c r="H1038" t="inlineStr">
        <is>
          <t>Biryani</t>
        </is>
      </c>
      <c r="I1038" t="n">
        <v>929</v>
      </c>
      <c r="J1038" t="n">
        <v>174.92</v>
      </c>
      <c r="K1038" t="n">
        <v>0</v>
      </c>
      <c r="L1038" t="n">
        <v>0.2</v>
      </c>
      <c r="M1038" t="n">
        <v>185.8</v>
      </c>
      <c r="N1038" t="n">
        <v>4.8</v>
      </c>
      <c r="O1038" t="n">
        <v>35.5</v>
      </c>
      <c r="P1038" t="inlineStr">
        <is>
          <t>Debit Card</t>
        </is>
      </c>
      <c r="Q1038" t="inlineStr">
        <is>
          <t>Delivered</t>
        </is>
      </c>
      <c r="R1038" t="n">
        <v>5</v>
      </c>
    </row>
    <row r="1039">
      <c r="A1039" t="inlineStr">
        <is>
          <t>ORD2038</t>
        </is>
      </c>
      <c r="B1039" t="inlineStr">
        <is>
          <t>2025-08-08</t>
        </is>
      </c>
      <c r="C1039" t="inlineStr">
        <is>
          <t>20:12:36</t>
        </is>
      </c>
      <c r="D1039" t="n">
        <v>1172</v>
      </c>
      <c r="E1039" t="n">
        <v>120</v>
      </c>
      <c r="F1039" t="n">
        <v>204</v>
      </c>
      <c r="G1039" t="inlineStr">
        <is>
          <t>Pune</t>
        </is>
      </c>
      <c r="H1039" t="inlineStr">
        <is>
          <t>Fast Food</t>
        </is>
      </c>
      <c r="I1039" t="n">
        <v>581</v>
      </c>
      <c r="J1039" t="n">
        <v>0</v>
      </c>
      <c r="K1039" t="n">
        <v>25</v>
      </c>
      <c r="L1039" t="n">
        <v>0.18</v>
      </c>
      <c r="M1039" t="n">
        <v>110.83</v>
      </c>
      <c r="N1039" t="n">
        <v>1.9</v>
      </c>
      <c r="O1039" t="n">
        <v>32.1</v>
      </c>
      <c r="P1039" t="inlineStr">
        <is>
          <t>UPI</t>
        </is>
      </c>
      <c r="Q1039" t="inlineStr">
        <is>
          <t>Delivered</t>
        </is>
      </c>
      <c r="R1039" t="n">
        <v>4</v>
      </c>
    </row>
    <row r="1040">
      <c r="A1040" t="inlineStr">
        <is>
          <t>ORD2039</t>
        </is>
      </c>
      <c r="B1040" t="inlineStr">
        <is>
          <t>2025-09-19</t>
        </is>
      </c>
      <c r="C1040" t="inlineStr">
        <is>
          <t>11:16:37</t>
        </is>
      </c>
      <c r="D1040" t="n">
        <v>1116</v>
      </c>
      <c r="E1040" t="n">
        <v>117</v>
      </c>
      <c r="F1040" t="n">
        <v>222</v>
      </c>
      <c r="G1040" t="inlineStr">
        <is>
          <t>Mumbai</t>
        </is>
      </c>
      <c r="H1040" t="inlineStr">
        <is>
          <t>Chinese</t>
        </is>
      </c>
      <c r="I1040" t="n">
        <v>814</v>
      </c>
      <c r="J1040" t="n">
        <v>130.56</v>
      </c>
      <c r="K1040" t="n">
        <v>0</v>
      </c>
      <c r="L1040" t="n">
        <v>0.2</v>
      </c>
      <c r="M1040" t="n">
        <v>162.8</v>
      </c>
      <c r="N1040" t="n">
        <v>2.7</v>
      </c>
      <c r="O1040" t="n">
        <v>28.4</v>
      </c>
      <c r="P1040" t="inlineStr">
        <is>
          <t>Digital Wallet</t>
        </is>
      </c>
      <c r="Q1040" t="inlineStr">
        <is>
          <t>Delivered</t>
        </is>
      </c>
      <c r="R1040" t="n">
        <v>4</v>
      </c>
    </row>
    <row r="1041">
      <c r="A1041" t="inlineStr">
        <is>
          <t>ORD2040</t>
        </is>
      </c>
      <c r="B1041" t="inlineStr">
        <is>
          <t>2025-02-28</t>
        </is>
      </c>
      <c r="C1041" t="inlineStr">
        <is>
          <t>18:11:51</t>
        </is>
      </c>
      <c r="D1041" t="n">
        <v>1255</v>
      </c>
      <c r="E1041" t="n">
        <v>106</v>
      </c>
      <c r="F1041" t="n">
        <v>214</v>
      </c>
      <c r="G1041" t="inlineStr">
        <is>
          <t>Pune</t>
        </is>
      </c>
      <c r="H1041" t="inlineStr">
        <is>
          <t>South Indian</t>
        </is>
      </c>
      <c r="I1041" t="n">
        <v>550</v>
      </c>
      <c r="J1041" t="n">
        <v>0</v>
      </c>
      <c r="K1041" t="n">
        <v>25</v>
      </c>
      <c r="L1041" t="n">
        <v>0.15</v>
      </c>
      <c r="M1041" t="n">
        <v>88.75</v>
      </c>
      <c r="N1041" t="n">
        <v>1.8</v>
      </c>
      <c r="O1041" t="n">
        <v>19</v>
      </c>
      <c r="P1041" t="inlineStr">
        <is>
          <t>Credit Card</t>
        </is>
      </c>
      <c r="Q1041" t="inlineStr">
        <is>
          <t>Delivered</t>
        </is>
      </c>
      <c r="R1041" t="n">
        <v>3</v>
      </c>
    </row>
    <row r="1042">
      <c r="A1042" t="inlineStr">
        <is>
          <t>ORD2041</t>
        </is>
      </c>
      <c r="B1042" t="inlineStr">
        <is>
          <t>2025-12-03</t>
        </is>
      </c>
      <c r="C1042" t="inlineStr">
        <is>
          <t>21:23:23</t>
        </is>
      </c>
      <c r="D1042" t="n">
        <v>1224</v>
      </c>
      <c r="E1042" t="n">
        <v>108</v>
      </c>
      <c r="F1042" t="n">
        <v>228</v>
      </c>
      <c r="G1042" t="inlineStr">
        <is>
          <t>Delhi NCR</t>
        </is>
      </c>
      <c r="H1042" t="inlineStr">
        <is>
          <t>Fast Food</t>
        </is>
      </c>
      <c r="I1042" t="n">
        <v>368</v>
      </c>
      <c r="J1042" t="n">
        <v>3.6</v>
      </c>
      <c r="K1042" t="n">
        <v>25</v>
      </c>
      <c r="L1042" t="n">
        <v>0.18</v>
      </c>
      <c r="M1042" t="n">
        <v>72.48999999999999</v>
      </c>
      <c r="N1042" t="n">
        <v>3</v>
      </c>
      <c r="O1042" t="n">
        <v>27.3</v>
      </c>
      <c r="P1042" t="inlineStr">
        <is>
          <t>UPI</t>
        </is>
      </c>
      <c r="Q1042" t="inlineStr">
        <is>
          <t>Delivered</t>
        </is>
      </c>
      <c r="R1042" t="n">
        <v>5</v>
      </c>
    </row>
    <row r="1043">
      <c r="A1043" t="inlineStr">
        <is>
          <t>ORD2042</t>
        </is>
      </c>
      <c r="B1043" t="inlineStr">
        <is>
          <t>2025-10-18</t>
        </is>
      </c>
      <c r="C1043" t="inlineStr">
        <is>
          <t>12:50:20</t>
        </is>
      </c>
      <c r="D1043" t="n">
        <v>1007</v>
      </c>
      <c r="E1043" t="n">
        <v>101</v>
      </c>
      <c r="F1043" t="n">
        <v>205</v>
      </c>
      <c r="G1043" t="inlineStr">
        <is>
          <t>Bangalore</t>
        </is>
      </c>
      <c r="H1043" t="inlineStr">
        <is>
          <t>North Indian</t>
        </is>
      </c>
      <c r="I1043" t="n">
        <v>458</v>
      </c>
      <c r="J1043" t="n">
        <v>14.13</v>
      </c>
      <c r="K1043" t="n">
        <v>34</v>
      </c>
      <c r="L1043" t="n">
        <v>0.2</v>
      </c>
      <c r="M1043" t="n">
        <v>100.1</v>
      </c>
      <c r="N1043" t="n">
        <v>4.8</v>
      </c>
      <c r="O1043" t="n">
        <v>36.3</v>
      </c>
      <c r="P1043" t="inlineStr">
        <is>
          <t>Digital Wallet</t>
        </is>
      </c>
      <c r="Q1043" t="inlineStr">
        <is>
          <t>Delivered</t>
        </is>
      </c>
      <c r="R1043" t="n">
        <v>4</v>
      </c>
    </row>
    <row r="1044">
      <c r="A1044" t="inlineStr">
        <is>
          <t>ORD2043</t>
        </is>
      </c>
      <c r="B1044" t="inlineStr">
        <is>
          <t>2025-10-15</t>
        </is>
      </c>
      <c r="C1044" t="inlineStr">
        <is>
          <t>19:17:45</t>
        </is>
      </c>
      <c r="D1044" t="n">
        <v>1005</v>
      </c>
      <c r="E1044" t="n">
        <v>119</v>
      </c>
      <c r="F1044" t="n">
        <v>216</v>
      </c>
      <c r="G1044" t="inlineStr">
        <is>
          <t>Hyderabad</t>
        </is>
      </c>
      <c r="H1044" t="inlineStr">
        <is>
          <t>Biryani</t>
        </is>
      </c>
      <c r="I1044" t="n">
        <v>842</v>
      </c>
      <c r="J1044" t="n">
        <v>54.39</v>
      </c>
      <c r="K1044" t="n">
        <v>40.5</v>
      </c>
      <c r="L1044" t="n">
        <v>0.2</v>
      </c>
      <c r="M1044" t="n">
        <v>178.52</v>
      </c>
      <c r="N1044" t="n">
        <v>6.1</v>
      </c>
      <c r="O1044" t="n">
        <v>47.9</v>
      </c>
      <c r="P1044" t="inlineStr">
        <is>
          <t>Digital Wallet</t>
        </is>
      </c>
      <c r="Q1044" t="inlineStr">
        <is>
          <t>Delivered</t>
        </is>
      </c>
      <c r="R1044" t="n">
        <v>3</v>
      </c>
    </row>
    <row r="1045">
      <c r="A1045" t="inlineStr">
        <is>
          <t>ORD2044</t>
        </is>
      </c>
      <c r="B1045" t="inlineStr">
        <is>
          <t>2025-06-13</t>
        </is>
      </c>
      <c r="C1045" t="inlineStr">
        <is>
          <t>22:12:12</t>
        </is>
      </c>
      <c r="D1045" t="n">
        <v>1044</v>
      </c>
      <c r="E1045" t="n">
        <v>109</v>
      </c>
      <c r="F1045" t="n">
        <v>216</v>
      </c>
      <c r="G1045" t="inlineStr">
        <is>
          <t>Hyderabad</t>
        </is>
      </c>
      <c r="H1045" t="inlineStr">
        <is>
          <t>Biryani</t>
        </is>
      </c>
      <c r="I1045" t="n">
        <v>575</v>
      </c>
      <c r="J1045" t="n">
        <v>85.90000000000001</v>
      </c>
      <c r="K1045" t="n">
        <v>0</v>
      </c>
      <c r="L1045" t="n">
        <v>0.2</v>
      </c>
      <c r="M1045" t="n">
        <v>115</v>
      </c>
      <c r="N1045" t="n">
        <v>11</v>
      </c>
      <c r="O1045" t="n">
        <v>45.4</v>
      </c>
      <c r="P1045" t="inlineStr">
        <is>
          <t>Debit Card</t>
        </is>
      </c>
      <c r="Q1045" t="inlineStr">
        <is>
          <t>Delivered</t>
        </is>
      </c>
      <c r="R1045" t="n">
        <v>4</v>
      </c>
    </row>
    <row r="1046">
      <c r="A1046" t="inlineStr">
        <is>
          <t>ORD2045</t>
        </is>
      </c>
      <c r="B1046" t="inlineStr">
        <is>
          <t>2025-08-20</t>
        </is>
      </c>
      <c r="C1046" t="inlineStr">
        <is>
          <t>13:10:38</t>
        </is>
      </c>
      <c r="D1046" t="n">
        <v>1007</v>
      </c>
      <c r="E1046" t="n">
        <v>115</v>
      </c>
      <c r="F1046" t="n">
        <v>223</v>
      </c>
      <c r="G1046" t="inlineStr">
        <is>
          <t>Bangalore</t>
        </is>
      </c>
      <c r="H1046" t="inlineStr">
        <is>
          <t>Italian</t>
        </is>
      </c>
      <c r="I1046" t="n">
        <v>554</v>
      </c>
      <c r="J1046" t="n">
        <v>10.48</v>
      </c>
      <c r="K1046" t="n">
        <v>25</v>
      </c>
      <c r="L1046" t="n">
        <v>0.2</v>
      </c>
      <c r="M1046" t="n">
        <v>117.05</v>
      </c>
      <c r="N1046" t="n">
        <v>2.4</v>
      </c>
      <c r="O1046" t="n">
        <v>21.3</v>
      </c>
      <c r="P1046" t="inlineStr">
        <is>
          <t>UPI</t>
        </is>
      </c>
      <c r="Q1046" t="inlineStr">
        <is>
          <t>Delivered</t>
        </is>
      </c>
      <c r="R1046" t="n">
        <v>3</v>
      </c>
    </row>
    <row r="1047">
      <c r="A1047" t="inlineStr">
        <is>
          <t>ORD2046</t>
        </is>
      </c>
      <c r="B1047" t="inlineStr">
        <is>
          <t>2025-03-09</t>
        </is>
      </c>
      <c r="C1047" t="inlineStr">
        <is>
          <t>12:53:25</t>
        </is>
      </c>
      <c r="D1047" t="n">
        <v>1207</v>
      </c>
      <c r="E1047" t="n">
        <v>112</v>
      </c>
      <c r="F1047" t="n">
        <v>230</v>
      </c>
      <c r="G1047" t="inlineStr">
        <is>
          <t>Delhi NCR</t>
        </is>
      </c>
      <c r="H1047" t="inlineStr">
        <is>
          <t>North Indian</t>
        </is>
      </c>
      <c r="I1047" t="n">
        <v>257</v>
      </c>
      <c r="J1047" t="n">
        <v>18.87</v>
      </c>
      <c r="K1047" t="n">
        <v>25</v>
      </c>
      <c r="L1047" t="n">
        <v>0.22</v>
      </c>
      <c r="M1047" t="n">
        <v>62.79</v>
      </c>
      <c r="N1047" t="n">
        <v>3</v>
      </c>
      <c r="O1047" t="n">
        <v>27.4</v>
      </c>
      <c r="P1047" t="inlineStr">
        <is>
          <t>UPI</t>
        </is>
      </c>
      <c r="Q1047" t="inlineStr">
        <is>
          <t>Delivered</t>
        </is>
      </c>
      <c r="R1047" t="n">
        <v>5</v>
      </c>
    </row>
    <row r="1048">
      <c r="A1048" t="inlineStr">
        <is>
          <t>ORD2047</t>
        </is>
      </c>
      <c r="B1048" t="inlineStr">
        <is>
          <t>2025-02-18</t>
        </is>
      </c>
      <c r="C1048" t="inlineStr">
        <is>
          <t>18:53:51</t>
        </is>
      </c>
      <c r="D1048" t="n">
        <v>1228</v>
      </c>
      <c r="E1048" t="n">
        <v>119</v>
      </c>
      <c r="F1048" t="n">
        <v>215</v>
      </c>
      <c r="G1048" t="inlineStr">
        <is>
          <t>Hyderabad</t>
        </is>
      </c>
      <c r="H1048" t="inlineStr">
        <is>
          <t>Biryani</t>
        </is>
      </c>
      <c r="I1048" t="n">
        <v>645</v>
      </c>
      <c r="J1048" t="n">
        <v>14.17</v>
      </c>
      <c r="K1048" t="n">
        <v>29</v>
      </c>
      <c r="L1048" t="n">
        <v>0.2</v>
      </c>
      <c r="M1048" t="n">
        <v>136.25</v>
      </c>
      <c r="N1048" t="n">
        <v>3.8</v>
      </c>
      <c r="O1048" t="n">
        <v>33.1</v>
      </c>
      <c r="P1048" t="inlineStr">
        <is>
          <t>Cash on Delivery</t>
        </is>
      </c>
      <c r="Q1048" t="inlineStr">
        <is>
          <t>Delivered</t>
        </is>
      </c>
      <c r="R1048" t="n">
        <v>2</v>
      </c>
    </row>
    <row r="1049">
      <c r="A1049" t="inlineStr">
        <is>
          <t>ORD2048</t>
        </is>
      </c>
      <c r="B1049" t="inlineStr">
        <is>
          <t>2025-09-10</t>
        </is>
      </c>
      <c r="C1049" t="inlineStr">
        <is>
          <t>14:39:03</t>
        </is>
      </c>
      <c r="D1049" t="n">
        <v>1202</v>
      </c>
      <c r="E1049" t="n">
        <v>111</v>
      </c>
      <c r="F1049" t="n">
        <v>227</v>
      </c>
      <c r="G1049" t="inlineStr">
        <is>
          <t>Bangalore</t>
        </is>
      </c>
      <c r="H1049" t="inlineStr">
        <is>
          <t>South Indian</t>
        </is>
      </c>
      <c r="I1049" t="n">
        <v>622</v>
      </c>
      <c r="J1049" t="n">
        <v>0</v>
      </c>
      <c r="K1049" t="n">
        <v>25</v>
      </c>
      <c r="L1049" t="n">
        <v>0.15</v>
      </c>
      <c r="M1049" t="n">
        <v>99.55</v>
      </c>
      <c r="N1049" t="n">
        <v>1.9</v>
      </c>
      <c r="O1049" t="n">
        <v>55.1</v>
      </c>
      <c r="P1049" t="inlineStr">
        <is>
          <t>Cash on Delivery</t>
        </is>
      </c>
      <c r="Q1049" t="inlineStr">
        <is>
          <t>Delivered</t>
        </is>
      </c>
      <c r="R1049" t="n">
        <v>2</v>
      </c>
    </row>
    <row r="1050">
      <c r="A1050" t="inlineStr">
        <is>
          <t>ORD2049</t>
        </is>
      </c>
      <c r="B1050" t="inlineStr">
        <is>
          <t>2025-01-15</t>
        </is>
      </c>
      <c r="C1050" t="inlineStr">
        <is>
          <t>09:14:03</t>
        </is>
      </c>
      <c r="D1050" t="n">
        <v>1188</v>
      </c>
      <c r="E1050" t="n">
        <v>102</v>
      </c>
      <c r="F1050" t="n">
        <v>216</v>
      </c>
      <c r="G1050" t="inlineStr">
        <is>
          <t>Hyderabad</t>
        </is>
      </c>
      <c r="H1050" t="inlineStr">
        <is>
          <t>Biryani</t>
        </is>
      </c>
      <c r="I1050" t="n">
        <v>230</v>
      </c>
      <c r="J1050" t="n">
        <v>0</v>
      </c>
      <c r="K1050" t="n">
        <v>31.5</v>
      </c>
      <c r="L1050" t="n">
        <v>0.22</v>
      </c>
      <c r="M1050" t="n">
        <v>58.48</v>
      </c>
      <c r="N1050" t="n">
        <v>4.3</v>
      </c>
      <c r="O1050" t="n">
        <v>36</v>
      </c>
      <c r="P1050" t="inlineStr">
        <is>
          <t>Cash on Delivery</t>
        </is>
      </c>
      <c r="Q1050" t="inlineStr">
        <is>
          <t>Delivered</t>
        </is>
      </c>
      <c r="R1050" t="n">
        <v>3</v>
      </c>
    </row>
    <row r="1051">
      <c r="A1051" t="inlineStr">
        <is>
          <t>ORD2050</t>
        </is>
      </c>
      <c r="B1051" t="inlineStr">
        <is>
          <t>2025-02-15</t>
        </is>
      </c>
      <c r="C1051" t="inlineStr">
        <is>
          <t>11:12:46</t>
        </is>
      </c>
      <c r="D1051" t="n">
        <v>1278</v>
      </c>
      <c r="E1051" t="n">
        <v>111</v>
      </c>
      <c r="F1051" t="n">
        <v>227</v>
      </c>
      <c r="G1051" t="inlineStr">
        <is>
          <t>Bangalore</t>
        </is>
      </c>
      <c r="H1051" t="inlineStr">
        <is>
          <t>South Indian</t>
        </is>
      </c>
      <c r="I1051" t="n">
        <v>597</v>
      </c>
      <c r="J1051" t="n">
        <v>63.96</v>
      </c>
      <c r="K1051" t="n">
        <v>28.5</v>
      </c>
      <c r="L1051" t="n">
        <v>0.15</v>
      </c>
      <c r="M1051" t="n">
        <v>96.68000000000001</v>
      </c>
      <c r="N1051" t="n">
        <v>3.7</v>
      </c>
      <c r="O1051" t="n">
        <v/>
      </c>
      <c r="P1051" t="inlineStr">
        <is>
          <t>UPI</t>
        </is>
      </c>
      <c r="Q1051" t="inlineStr">
        <is>
          <t>Cancelled</t>
        </is>
      </c>
      <c r="R1051" t="n">
        <v/>
      </c>
    </row>
    <row r="1052">
      <c r="A1052" t="inlineStr">
        <is>
          <t>ORD2051</t>
        </is>
      </c>
      <c r="B1052" t="inlineStr">
        <is>
          <t>2025-02-26</t>
        </is>
      </c>
      <c r="C1052" t="inlineStr">
        <is>
          <t>21:03:19</t>
        </is>
      </c>
      <c r="D1052" t="n">
        <v>1010</v>
      </c>
      <c r="E1052" t="n">
        <v>102</v>
      </c>
      <c r="F1052" t="n">
        <v>216</v>
      </c>
      <c r="G1052" t="inlineStr">
        <is>
          <t>Hyderabad</t>
        </is>
      </c>
      <c r="H1052" t="inlineStr">
        <is>
          <t>Biryani</t>
        </is>
      </c>
      <c r="I1052" t="n">
        <v>296</v>
      </c>
      <c r="J1052" t="n">
        <v>20.26</v>
      </c>
      <c r="K1052" t="n">
        <v>40.5</v>
      </c>
      <c r="L1052" t="n">
        <v>0.22</v>
      </c>
      <c r="M1052" t="n">
        <v>75.23999999999999</v>
      </c>
      <c r="N1052" t="n">
        <v>6.1</v>
      </c>
      <c r="O1052" t="n">
        <v>42.1</v>
      </c>
      <c r="P1052" t="inlineStr">
        <is>
          <t>Cash on Delivery</t>
        </is>
      </c>
      <c r="Q1052" t="inlineStr">
        <is>
          <t>Delivered</t>
        </is>
      </c>
      <c r="R1052" t="n">
        <v>3</v>
      </c>
    </row>
    <row r="1053">
      <c r="A1053" t="inlineStr">
        <is>
          <t>ORD2052</t>
        </is>
      </c>
      <c r="B1053" t="inlineStr">
        <is>
          <t>2025-10-26</t>
        </is>
      </c>
      <c r="C1053" t="inlineStr">
        <is>
          <t>21:29:07</t>
        </is>
      </c>
      <c r="D1053" t="n">
        <v>1010</v>
      </c>
      <c r="E1053" t="n">
        <v>119</v>
      </c>
      <c r="F1053" t="n">
        <v>215</v>
      </c>
      <c r="G1053" t="inlineStr">
        <is>
          <t>Hyderabad</t>
        </is>
      </c>
      <c r="H1053" t="inlineStr">
        <is>
          <t>Biryani</t>
        </is>
      </c>
      <c r="I1053" t="n">
        <v>349</v>
      </c>
      <c r="J1053" t="n">
        <v>25.25</v>
      </c>
      <c r="K1053" t="n">
        <v>29</v>
      </c>
      <c r="L1053" t="n">
        <v>0.2</v>
      </c>
      <c r="M1053" t="n">
        <v>77.05</v>
      </c>
      <c r="N1053" t="n">
        <v>3.8</v>
      </c>
      <c r="O1053" t="n">
        <v>36</v>
      </c>
      <c r="P1053" t="inlineStr">
        <is>
          <t>Digital Wallet</t>
        </is>
      </c>
      <c r="Q1053" t="inlineStr">
        <is>
          <t>Delivered</t>
        </is>
      </c>
      <c r="R1053" t="n">
        <v>5</v>
      </c>
    </row>
    <row r="1054">
      <c r="A1054" t="inlineStr">
        <is>
          <t>ORD2053</t>
        </is>
      </c>
      <c r="B1054" t="inlineStr">
        <is>
          <t>2025-09-25</t>
        </is>
      </c>
      <c r="C1054" t="inlineStr">
        <is>
          <t>10:33:15</t>
        </is>
      </c>
      <c r="D1054" t="n">
        <v>1084</v>
      </c>
      <c r="E1054" t="n">
        <v>108</v>
      </c>
      <c r="F1054" t="n">
        <v>212</v>
      </c>
      <c r="G1054" t="inlineStr">
        <is>
          <t>Delhi NCR</t>
        </is>
      </c>
      <c r="H1054" t="inlineStr">
        <is>
          <t>Fast Food</t>
        </is>
      </c>
      <c r="I1054" t="n">
        <v>811</v>
      </c>
      <c r="J1054" t="n">
        <v>0</v>
      </c>
      <c r="K1054" t="n">
        <v>42</v>
      </c>
      <c r="L1054" t="n">
        <v>0.18</v>
      </c>
      <c r="M1054" t="n">
        <v>156.48</v>
      </c>
      <c r="N1054" t="n">
        <v>6.4</v>
      </c>
      <c r="O1054" t="n">
        <v>36.3</v>
      </c>
      <c r="P1054" t="inlineStr">
        <is>
          <t>Debit Card</t>
        </is>
      </c>
      <c r="Q1054" t="inlineStr">
        <is>
          <t>Delivered</t>
        </is>
      </c>
      <c r="R1054" t="n">
        <v>5</v>
      </c>
    </row>
    <row r="1055">
      <c r="A1055" t="inlineStr">
        <is>
          <t>ORD2054</t>
        </is>
      </c>
      <c r="B1055" t="inlineStr">
        <is>
          <t>2025-02-17</t>
        </is>
      </c>
      <c r="C1055" t="inlineStr">
        <is>
          <t>12:16:49</t>
        </is>
      </c>
      <c r="D1055" t="n">
        <v>1173</v>
      </c>
      <c r="E1055" t="n">
        <v>115</v>
      </c>
      <c r="F1055" t="n">
        <v>205</v>
      </c>
      <c r="G1055" t="inlineStr">
        <is>
          <t>Bangalore</t>
        </is>
      </c>
      <c r="H1055" t="inlineStr">
        <is>
          <t>Italian</t>
        </is>
      </c>
      <c r="I1055" t="n">
        <v>523</v>
      </c>
      <c r="J1055" t="n">
        <v>14.77</v>
      </c>
      <c r="K1055" t="n">
        <v>34</v>
      </c>
      <c r="L1055" t="n">
        <v>0.2</v>
      </c>
      <c r="M1055" t="n">
        <v>113.1</v>
      </c>
      <c r="N1055" t="n">
        <v>4.8</v>
      </c>
      <c r="O1055" t="n">
        <v>40.1</v>
      </c>
      <c r="P1055" t="inlineStr">
        <is>
          <t>Credit Card</t>
        </is>
      </c>
      <c r="Q1055" t="inlineStr">
        <is>
          <t>Delivered</t>
        </is>
      </c>
      <c r="R1055" t="n">
        <v>2</v>
      </c>
    </row>
    <row r="1056">
      <c r="A1056" t="inlineStr">
        <is>
          <t>ORD2055</t>
        </is>
      </c>
      <c r="B1056" t="inlineStr">
        <is>
          <t>2025-09-11</t>
        </is>
      </c>
      <c r="C1056" t="inlineStr">
        <is>
          <t>12:03:13</t>
        </is>
      </c>
      <c r="D1056" t="n">
        <v>1273</v>
      </c>
      <c r="E1056" t="n">
        <v>109</v>
      </c>
      <c r="F1056" t="n">
        <v>216</v>
      </c>
      <c r="G1056" t="inlineStr">
        <is>
          <t>Hyderabad</t>
        </is>
      </c>
      <c r="H1056" t="inlineStr">
        <is>
          <t>Biryani</t>
        </is>
      </c>
      <c r="I1056" t="n">
        <v>504</v>
      </c>
      <c r="J1056" t="n">
        <v>61.29</v>
      </c>
      <c r="K1056" t="n">
        <v>0</v>
      </c>
      <c r="L1056" t="n">
        <v>0.2</v>
      </c>
      <c r="M1056" t="n">
        <v>100.8</v>
      </c>
      <c r="N1056" t="n">
        <v>7</v>
      </c>
      <c r="O1056" t="n">
        <v>47.8</v>
      </c>
      <c r="P1056" t="inlineStr">
        <is>
          <t>Credit Card</t>
        </is>
      </c>
      <c r="Q1056" t="inlineStr">
        <is>
          <t>Delivered</t>
        </is>
      </c>
      <c r="R1056" t="n">
        <v>5</v>
      </c>
    </row>
    <row r="1057">
      <c r="A1057" t="inlineStr">
        <is>
          <t>ORD2056</t>
        </is>
      </c>
      <c r="B1057" t="inlineStr">
        <is>
          <t>2025-04-17</t>
        </is>
      </c>
      <c r="C1057" t="inlineStr">
        <is>
          <t>20:52:37</t>
        </is>
      </c>
      <c r="D1057" t="n">
        <v>1286</v>
      </c>
      <c r="E1057" t="n">
        <v>112</v>
      </c>
      <c r="F1057" t="n">
        <v>212</v>
      </c>
      <c r="G1057" t="inlineStr">
        <is>
          <t>Delhi NCR</t>
        </is>
      </c>
      <c r="H1057" t="inlineStr">
        <is>
          <t>North Indian</t>
        </is>
      </c>
      <c r="I1057" t="n">
        <v>760</v>
      </c>
      <c r="J1057" t="n">
        <v>19.05</v>
      </c>
      <c r="K1057" t="n">
        <v>56.5</v>
      </c>
      <c r="L1057" t="n">
        <v>0.22</v>
      </c>
      <c r="M1057" t="n">
        <v>181.32</v>
      </c>
      <c r="N1057" t="n">
        <v>9.300000000000001</v>
      </c>
      <c r="O1057" t="n">
        <v>61.6</v>
      </c>
      <c r="P1057" t="inlineStr">
        <is>
          <t>Cash on Delivery</t>
        </is>
      </c>
      <c r="Q1057" t="inlineStr">
        <is>
          <t>Delivered</t>
        </is>
      </c>
      <c r="R1057" t="n">
        <v>3</v>
      </c>
    </row>
    <row r="1058">
      <c r="A1058" t="inlineStr">
        <is>
          <t>ORD2057</t>
        </is>
      </c>
      <c r="B1058" t="inlineStr">
        <is>
          <t>2025-04-23</t>
        </is>
      </c>
      <c r="C1058" t="inlineStr">
        <is>
          <t>13:58:23</t>
        </is>
      </c>
      <c r="D1058" t="n">
        <v>1092</v>
      </c>
      <c r="E1058" t="n">
        <v>118</v>
      </c>
      <c r="F1058" t="n">
        <v>228</v>
      </c>
      <c r="G1058" t="inlineStr">
        <is>
          <t>Delhi NCR</t>
        </is>
      </c>
      <c r="H1058" t="inlineStr">
        <is>
          <t>North Indian</t>
        </is>
      </c>
      <c r="I1058" t="n">
        <v>614</v>
      </c>
      <c r="J1058" t="n">
        <v>72.61</v>
      </c>
      <c r="K1058" t="n">
        <v>35</v>
      </c>
      <c r="L1058" t="n">
        <v>0.2</v>
      </c>
      <c r="M1058" t="n">
        <v>131.55</v>
      </c>
      <c r="N1058" t="n">
        <v>5</v>
      </c>
      <c r="O1058" t="n">
        <v>43.1</v>
      </c>
      <c r="P1058" t="inlineStr">
        <is>
          <t>Digital Wallet</t>
        </is>
      </c>
      <c r="Q1058" t="inlineStr">
        <is>
          <t>Delivered</t>
        </is>
      </c>
      <c r="R1058" t="n">
        <v>2</v>
      </c>
    </row>
    <row r="1059">
      <c r="A1059" t="inlineStr">
        <is>
          <t>ORD2058</t>
        </is>
      </c>
      <c r="B1059" t="inlineStr">
        <is>
          <t>2025-04-07</t>
        </is>
      </c>
      <c r="C1059" t="inlineStr">
        <is>
          <t>10:04:17</t>
        </is>
      </c>
      <c r="D1059" t="n">
        <v>1082</v>
      </c>
      <c r="E1059" t="n">
        <v>120</v>
      </c>
      <c r="F1059" t="n">
        <v>207</v>
      </c>
      <c r="G1059" t="inlineStr">
        <is>
          <t>Pune</t>
        </is>
      </c>
      <c r="H1059" t="inlineStr">
        <is>
          <t>Fast Food</t>
        </is>
      </c>
      <c r="I1059" t="n">
        <v>653</v>
      </c>
      <c r="J1059" t="n">
        <v>40.16</v>
      </c>
      <c r="K1059" t="n">
        <v>25</v>
      </c>
      <c r="L1059" t="n">
        <v>0.18</v>
      </c>
      <c r="M1059" t="n">
        <v>123.79</v>
      </c>
      <c r="N1059" t="n">
        <v>2.4</v>
      </c>
      <c r="O1059" t="n">
        <v>22.8</v>
      </c>
      <c r="P1059" t="inlineStr">
        <is>
          <t>Digital Wallet</t>
        </is>
      </c>
      <c r="Q1059" t="inlineStr">
        <is>
          <t>Delivered</t>
        </is>
      </c>
      <c r="R1059" t="n">
        <v>4</v>
      </c>
    </row>
    <row r="1060">
      <c r="A1060" t="inlineStr">
        <is>
          <t>ORD2059</t>
        </is>
      </c>
      <c r="B1060" t="inlineStr">
        <is>
          <t>2025-02-24</t>
        </is>
      </c>
      <c r="C1060" t="inlineStr">
        <is>
          <t>11:47:07</t>
        </is>
      </c>
      <c r="D1060" t="n">
        <v>1161</v>
      </c>
      <c r="E1060" t="n">
        <v>102</v>
      </c>
      <c r="F1060" t="n">
        <v>225</v>
      </c>
      <c r="G1060" t="inlineStr">
        <is>
          <t>Hyderabad</t>
        </is>
      </c>
      <c r="H1060" t="inlineStr">
        <is>
          <t>Biryani</t>
        </is>
      </c>
      <c r="I1060" t="n">
        <v>466</v>
      </c>
      <c r="J1060" t="n">
        <v>0</v>
      </c>
      <c r="K1060" t="n">
        <v>35</v>
      </c>
      <c r="L1060" t="n">
        <v>0.22</v>
      </c>
      <c r="M1060" t="n">
        <v>111.27</v>
      </c>
      <c r="N1060" t="n">
        <v>5</v>
      </c>
      <c r="O1060" t="n">
        <v>31.2</v>
      </c>
      <c r="P1060" t="inlineStr">
        <is>
          <t>Debit Card</t>
        </is>
      </c>
      <c r="Q1060" t="inlineStr">
        <is>
          <t>Returned</t>
        </is>
      </c>
      <c r="R1060" t="n">
        <v>4</v>
      </c>
    </row>
    <row r="1061">
      <c r="A1061" t="inlineStr">
        <is>
          <t>ORD2060</t>
        </is>
      </c>
      <c r="B1061" t="inlineStr">
        <is>
          <t>2025-12-05</t>
        </is>
      </c>
      <c r="C1061" t="inlineStr">
        <is>
          <t>08:33:28</t>
        </is>
      </c>
      <c r="D1061" t="n">
        <v>1053</v>
      </c>
      <c r="E1061" t="n">
        <v>114</v>
      </c>
      <c r="F1061" t="n">
        <v>215</v>
      </c>
      <c r="G1061" t="inlineStr">
        <is>
          <t>Hyderabad</t>
        </is>
      </c>
      <c r="H1061" t="inlineStr">
        <is>
          <t>Biryani</t>
        </is>
      </c>
      <c r="I1061" t="n">
        <v>747</v>
      </c>
      <c r="J1061" t="n">
        <v>83.54000000000001</v>
      </c>
      <c r="K1061" t="n">
        <v>0</v>
      </c>
      <c r="L1061" t="n">
        <v>0.22</v>
      </c>
      <c r="M1061" t="n">
        <v>164.34</v>
      </c>
      <c r="N1061" t="n">
        <v>8.9</v>
      </c>
      <c r="O1061" t="n">
        <v>47.4</v>
      </c>
      <c r="P1061" t="inlineStr">
        <is>
          <t>Debit Card</t>
        </is>
      </c>
      <c r="Q1061" t="inlineStr">
        <is>
          <t>Delivered</t>
        </is>
      </c>
      <c r="R1061" t="n">
        <v>4</v>
      </c>
    </row>
    <row r="1062">
      <c r="A1062" t="inlineStr">
        <is>
          <t>ORD2061</t>
        </is>
      </c>
      <c r="B1062" t="inlineStr">
        <is>
          <t>2025-07-23</t>
        </is>
      </c>
      <c r="C1062" t="inlineStr">
        <is>
          <t>13:32:27</t>
        </is>
      </c>
      <c r="D1062" t="n">
        <v>1009</v>
      </c>
      <c r="E1062" t="n">
        <v>119</v>
      </c>
      <c r="F1062" t="n">
        <v>225</v>
      </c>
      <c r="G1062" t="inlineStr">
        <is>
          <t>Hyderabad</t>
        </is>
      </c>
      <c r="H1062" t="inlineStr">
        <is>
          <t>Biryani</t>
        </is>
      </c>
      <c r="I1062" t="n">
        <v>740</v>
      </c>
      <c r="J1062" t="n">
        <v>54.29</v>
      </c>
      <c r="K1062" t="n">
        <v>25</v>
      </c>
      <c r="L1062" t="n">
        <v>0.2</v>
      </c>
      <c r="M1062" t="n">
        <v>154.25</v>
      </c>
      <c r="N1062" t="n">
        <v>2.6</v>
      </c>
      <c r="O1062" t="n">
        <v>31.6</v>
      </c>
      <c r="P1062" t="inlineStr">
        <is>
          <t>Debit Card</t>
        </is>
      </c>
      <c r="Q1062" t="inlineStr">
        <is>
          <t>Delivered</t>
        </is>
      </c>
      <c r="R1062" t="n">
        <v>4</v>
      </c>
    </row>
    <row r="1063">
      <c r="A1063" t="inlineStr">
        <is>
          <t>ORD2062</t>
        </is>
      </c>
      <c r="B1063" t="inlineStr">
        <is>
          <t>2025-11-29</t>
        </is>
      </c>
      <c r="C1063" t="inlineStr">
        <is>
          <t>21:24:46</t>
        </is>
      </c>
      <c r="D1063" t="n">
        <v>1195</v>
      </c>
      <c r="E1063" t="n">
        <v>103</v>
      </c>
      <c r="F1063" t="n">
        <v>206</v>
      </c>
      <c r="G1063" t="inlineStr">
        <is>
          <t>Mumbai</t>
        </is>
      </c>
      <c r="H1063" t="inlineStr">
        <is>
          <t>Italian</t>
        </is>
      </c>
      <c r="I1063" t="n">
        <v>652</v>
      </c>
      <c r="J1063" t="n">
        <v>0</v>
      </c>
      <c r="K1063" t="n">
        <v>25</v>
      </c>
      <c r="L1063" t="n">
        <v>0.18</v>
      </c>
      <c r="M1063" t="n">
        <v>123.61</v>
      </c>
      <c r="N1063" t="n">
        <v>2.3</v>
      </c>
      <c r="O1063" t="n">
        <v>26.2</v>
      </c>
      <c r="P1063" t="inlineStr">
        <is>
          <t>Credit Card</t>
        </is>
      </c>
      <c r="Q1063" t="inlineStr">
        <is>
          <t>Delivered</t>
        </is>
      </c>
      <c r="R1063" t="n">
        <v>4</v>
      </c>
    </row>
    <row r="1064">
      <c r="A1064" t="inlineStr">
        <is>
          <t>ORD2063</t>
        </is>
      </c>
      <c r="B1064" t="inlineStr">
        <is>
          <t>2025-02-25</t>
        </is>
      </c>
      <c r="C1064" t="inlineStr">
        <is>
          <t>22:43:03</t>
        </is>
      </c>
      <c r="D1064" t="n">
        <v>1089</v>
      </c>
      <c r="E1064" t="n">
        <v>115</v>
      </c>
      <c r="F1064" t="n">
        <v>220</v>
      </c>
      <c r="G1064" t="inlineStr">
        <is>
          <t>Bangalore</t>
        </is>
      </c>
      <c r="H1064" t="inlineStr">
        <is>
          <t>Italian</t>
        </is>
      </c>
      <c r="I1064" t="n">
        <v>1044</v>
      </c>
      <c r="J1064" t="n">
        <v>204.52</v>
      </c>
      <c r="K1064" t="n">
        <v>0</v>
      </c>
      <c r="L1064" t="n">
        <v>0.2</v>
      </c>
      <c r="M1064" t="n">
        <v>208.8</v>
      </c>
      <c r="N1064" t="n">
        <v>3.9</v>
      </c>
      <c r="O1064" t="n">
        <v>37.8</v>
      </c>
      <c r="P1064" t="inlineStr">
        <is>
          <t>UPI</t>
        </is>
      </c>
      <c r="Q1064" t="inlineStr">
        <is>
          <t>Delivered</t>
        </is>
      </c>
      <c r="R1064" t="n">
        <v>5</v>
      </c>
    </row>
    <row r="1065">
      <c r="A1065" t="inlineStr">
        <is>
          <t>ORD2064</t>
        </is>
      </c>
      <c r="B1065" t="inlineStr">
        <is>
          <t>2025-05-03</t>
        </is>
      </c>
      <c r="C1065" t="inlineStr">
        <is>
          <t>20:04:34</t>
        </is>
      </c>
      <c r="D1065" t="n">
        <v>1158</v>
      </c>
      <c r="E1065" t="n">
        <v>110</v>
      </c>
      <c r="F1065" t="n">
        <v>224</v>
      </c>
      <c r="G1065" t="inlineStr">
        <is>
          <t>Pune</t>
        </is>
      </c>
      <c r="H1065" t="inlineStr">
        <is>
          <t>North Indian</t>
        </is>
      </c>
      <c r="I1065" t="n">
        <v>323</v>
      </c>
      <c r="J1065" t="n">
        <v>22.38</v>
      </c>
      <c r="K1065" t="n">
        <v>29</v>
      </c>
      <c r="L1065" t="n">
        <v>0.18</v>
      </c>
      <c r="M1065" t="n">
        <v>65.39</v>
      </c>
      <c r="N1065" t="n">
        <v>3.8</v>
      </c>
      <c r="O1065" t="n">
        <v>41.1</v>
      </c>
      <c r="P1065" t="inlineStr">
        <is>
          <t>Cash on Delivery</t>
        </is>
      </c>
      <c r="Q1065" t="inlineStr">
        <is>
          <t>Delivered</t>
        </is>
      </c>
      <c r="R1065" t="n">
        <v>3</v>
      </c>
    </row>
    <row r="1066">
      <c r="A1066" t="inlineStr">
        <is>
          <t>ORD2065</t>
        </is>
      </c>
      <c r="B1066" t="inlineStr">
        <is>
          <t>2025-04-23</t>
        </is>
      </c>
      <c r="C1066" t="inlineStr">
        <is>
          <t>15:46:52</t>
        </is>
      </c>
      <c r="D1066" t="n">
        <v>1201</v>
      </c>
      <c r="E1066" t="n">
        <v>115</v>
      </c>
      <c r="F1066" t="n">
        <v>205</v>
      </c>
      <c r="G1066" t="inlineStr">
        <is>
          <t>Bangalore</t>
        </is>
      </c>
      <c r="H1066" t="inlineStr">
        <is>
          <t>Italian</t>
        </is>
      </c>
      <c r="I1066" t="n">
        <v>928</v>
      </c>
      <c r="J1066" t="n">
        <v>63.83</v>
      </c>
      <c r="K1066" t="n">
        <v>25</v>
      </c>
      <c r="L1066" t="n">
        <v>0.2</v>
      </c>
      <c r="M1066" t="n">
        <v>191.85</v>
      </c>
      <c r="N1066" t="n">
        <v>1.9</v>
      </c>
      <c r="O1066" t="n">
        <v>19.8</v>
      </c>
      <c r="P1066" t="inlineStr">
        <is>
          <t>Credit Card</t>
        </is>
      </c>
      <c r="Q1066" t="inlineStr">
        <is>
          <t>Delivered</t>
        </is>
      </c>
      <c r="R1066" t="n">
        <v>4</v>
      </c>
    </row>
    <row r="1067">
      <c r="A1067" t="inlineStr">
        <is>
          <t>ORD2066</t>
        </is>
      </c>
      <c r="B1067" t="inlineStr">
        <is>
          <t>2025-01-02</t>
        </is>
      </c>
      <c r="C1067" t="inlineStr">
        <is>
          <t>19:06:11</t>
        </is>
      </c>
      <c r="D1067" t="n">
        <v>1119</v>
      </c>
      <c r="E1067" t="n">
        <v>112</v>
      </c>
      <c r="F1067" t="n">
        <v>219</v>
      </c>
      <c r="G1067" t="inlineStr">
        <is>
          <t>Delhi NCR</t>
        </is>
      </c>
      <c r="H1067" t="inlineStr">
        <is>
          <t>North Indian</t>
        </is>
      </c>
      <c r="I1067" t="n">
        <v>1067</v>
      </c>
      <c r="J1067" t="n">
        <v>181.44</v>
      </c>
      <c r="K1067" t="n">
        <v>0</v>
      </c>
      <c r="L1067" t="n">
        <v>0.22</v>
      </c>
      <c r="M1067" t="n">
        <v>234.74</v>
      </c>
      <c r="N1067" t="n">
        <v>2.9</v>
      </c>
      <c r="O1067" t="n">
        <v>29.4</v>
      </c>
      <c r="P1067" t="inlineStr">
        <is>
          <t>Debit Card</t>
        </is>
      </c>
      <c r="Q1067" t="inlineStr">
        <is>
          <t>Delivered</t>
        </is>
      </c>
      <c r="R1067" t="n">
        <v>5</v>
      </c>
    </row>
    <row r="1068">
      <c r="A1068" t="inlineStr">
        <is>
          <t>ORD2067</t>
        </is>
      </c>
      <c r="B1068" t="inlineStr">
        <is>
          <t>2025-12-15</t>
        </is>
      </c>
      <c r="C1068" t="inlineStr">
        <is>
          <t>21:04:10</t>
        </is>
      </c>
      <c r="D1068" t="n">
        <v>1094</v>
      </c>
      <c r="E1068" t="n">
        <v>118</v>
      </c>
      <c r="F1068" t="n">
        <v>221</v>
      </c>
      <c r="G1068" t="inlineStr">
        <is>
          <t>Delhi NCR</t>
        </is>
      </c>
      <c r="H1068" t="inlineStr">
        <is>
          <t>North Indian</t>
        </is>
      </c>
      <c r="I1068" t="n">
        <v>411</v>
      </c>
      <c r="J1068" t="n">
        <v>0</v>
      </c>
      <c r="K1068" t="n">
        <v>32.5</v>
      </c>
      <c r="L1068" t="n">
        <v>0.2</v>
      </c>
      <c r="M1068" t="n">
        <v>90.31999999999999</v>
      </c>
      <c r="N1068" t="n">
        <v>4.5</v>
      </c>
      <c r="O1068" t="n">
        <v>37.8</v>
      </c>
      <c r="P1068" t="inlineStr">
        <is>
          <t>UPI</t>
        </is>
      </c>
      <c r="Q1068" t="inlineStr">
        <is>
          <t>Delivered</t>
        </is>
      </c>
      <c r="R1068" t="n">
        <v>3</v>
      </c>
    </row>
    <row r="1069">
      <c r="A1069" t="inlineStr">
        <is>
          <t>ORD2068</t>
        </is>
      </c>
      <c r="B1069" t="inlineStr">
        <is>
          <t>2025-01-11</t>
        </is>
      </c>
      <c r="C1069" t="inlineStr">
        <is>
          <t>19:11:16</t>
        </is>
      </c>
      <c r="D1069" t="n">
        <v>1227</v>
      </c>
      <c r="E1069" t="n">
        <v>111</v>
      </c>
      <c r="F1069" t="n">
        <v>223</v>
      </c>
      <c r="G1069" t="inlineStr">
        <is>
          <t>Bangalore</t>
        </is>
      </c>
      <c r="H1069" t="inlineStr">
        <is>
          <t>South Indian</t>
        </is>
      </c>
      <c r="I1069" t="n">
        <v>441</v>
      </c>
      <c r="J1069" t="n">
        <v>74.05</v>
      </c>
      <c r="K1069" t="n">
        <v>25</v>
      </c>
      <c r="L1069" t="n">
        <v>0.15</v>
      </c>
      <c r="M1069" t="n">
        <v>72.40000000000001</v>
      </c>
      <c r="N1069" t="n">
        <v>1.4</v>
      </c>
      <c r="O1069" t="n">
        <v>30.3</v>
      </c>
      <c r="P1069" t="inlineStr">
        <is>
          <t>Digital Wallet</t>
        </is>
      </c>
      <c r="Q1069" t="inlineStr">
        <is>
          <t>Returned</t>
        </is>
      </c>
      <c r="R1069" t="n">
        <v>3</v>
      </c>
    </row>
    <row r="1070">
      <c r="A1070" t="inlineStr">
        <is>
          <t>ORD2069</t>
        </is>
      </c>
      <c r="B1070" t="inlineStr">
        <is>
          <t>2025-09-08</t>
        </is>
      </c>
      <c r="C1070" t="inlineStr">
        <is>
          <t>00:55:15</t>
        </is>
      </c>
      <c r="D1070" t="n">
        <v>1079</v>
      </c>
      <c r="E1070" t="n">
        <v>101</v>
      </c>
      <c r="F1070" t="n">
        <v>201</v>
      </c>
      <c r="G1070" t="inlineStr">
        <is>
          <t>Bangalore</t>
        </is>
      </c>
      <c r="H1070" t="inlineStr">
        <is>
          <t>North Indian</t>
        </is>
      </c>
      <c r="I1070" t="n">
        <v>703</v>
      </c>
      <c r="J1070" t="n">
        <v>0</v>
      </c>
      <c r="K1070" t="n">
        <v>50</v>
      </c>
      <c r="L1070" t="n">
        <v>0.2</v>
      </c>
      <c r="M1070" t="n">
        <v>153.1</v>
      </c>
      <c r="N1070" t="n">
        <v>8</v>
      </c>
      <c r="O1070" t="n">
        <v>42.7</v>
      </c>
      <c r="P1070" t="inlineStr">
        <is>
          <t>Digital Wallet</t>
        </is>
      </c>
      <c r="Q1070" t="inlineStr">
        <is>
          <t>Delivered</t>
        </is>
      </c>
      <c r="R1070" t="n">
        <v>3</v>
      </c>
    </row>
    <row r="1071">
      <c r="A1071" t="inlineStr">
        <is>
          <t>ORD2070</t>
        </is>
      </c>
      <c r="B1071" t="inlineStr">
        <is>
          <t>2025-03-17</t>
        </is>
      </c>
      <c r="C1071" t="inlineStr">
        <is>
          <t>19:49:06</t>
        </is>
      </c>
      <c r="D1071" t="n">
        <v>1009</v>
      </c>
      <c r="E1071" t="n">
        <v>109</v>
      </c>
      <c r="F1071" t="n">
        <v>216</v>
      </c>
      <c r="G1071" t="inlineStr">
        <is>
          <t>Hyderabad</t>
        </is>
      </c>
      <c r="H1071" t="inlineStr">
        <is>
          <t>Biryani</t>
        </is>
      </c>
      <c r="I1071" t="n">
        <v>322</v>
      </c>
      <c r="J1071" t="n">
        <v>22.97</v>
      </c>
      <c r="K1071" t="n">
        <v>25</v>
      </c>
      <c r="L1071" t="n">
        <v>0.2</v>
      </c>
      <c r="M1071" t="n">
        <v>70.65000000000001</v>
      </c>
      <c r="N1071" t="n">
        <v>2.5</v>
      </c>
      <c r="O1071" t="n">
        <v>32.7</v>
      </c>
      <c r="P1071" t="inlineStr">
        <is>
          <t>Cash on Delivery</t>
        </is>
      </c>
      <c r="Q1071" t="inlineStr">
        <is>
          <t>Delivered</t>
        </is>
      </c>
      <c r="R1071" t="n">
        <v>3</v>
      </c>
    </row>
    <row r="1072">
      <c r="A1072" t="inlineStr">
        <is>
          <t>ORD2071</t>
        </is>
      </c>
      <c r="B1072" t="inlineStr">
        <is>
          <t>2025-12-06</t>
        </is>
      </c>
      <c r="C1072" t="inlineStr">
        <is>
          <t>12:31:16</t>
        </is>
      </c>
      <c r="D1072" t="n">
        <v>1049</v>
      </c>
      <c r="E1072" t="n">
        <v>113</v>
      </c>
      <c r="F1072" t="n">
        <v>206</v>
      </c>
      <c r="G1072" t="inlineStr">
        <is>
          <t>Mumbai</t>
        </is>
      </c>
      <c r="H1072" t="inlineStr">
        <is>
          <t>Fast Food</t>
        </is>
      </c>
      <c r="I1072" t="n">
        <v>593</v>
      </c>
      <c r="J1072" t="n">
        <v>0</v>
      </c>
      <c r="K1072" t="n">
        <v>32.5</v>
      </c>
      <c r="L1072" t="n">
        <v>0.18</v>
      </c>
      <c r="M1072" t="n">
        <v>114.86</v>
      </c>
      <c r="N1072" t="n">
        <v>4.5</v>
      </c>
      <c r="O1072" t="n">
        <v>41.6</v>
      </c>
      <c r="P1072" t="inlineStr">
        <is>
          <t>Debit Card</t>
        </is>
      </c>
      <c r="Q1072" t="inlineStr">
        <is>
          <t>Delivered</t>
        </is>
      </c>
      <c r="R1072" t="n">
        <v>3</v>
      </c>
    </row>
    <row r="1073">
      <c r="A1073" t="inlineStr">
        <is>
          <t>ORD2072</t>
        </is>
      </c>
      <c r="B1073" t="inlineStr">
        <is>
          <t>2025-05-19</t>
        </is>
      </c>
      <c r="C1073" t="inlineStr">
        <is>
          <t>21:43:33</t>
        </is>
      </c>
      <c r="D1073" t="n">
        <v>1195</v>
      </c>
      <c r="E1073" t="n">
        <v>103</v>
      </c>
      <c r="F1073" t="n">
        <v>206</v>
      </c>
      <c r="G1073" t="inlineStr">
        <is>
          <t>Mumbai</t>
        </is>
      </c>
      <c r="H1073" t="inlineStr">
        <is>
          <t>Italian</t>
        </is>
      </c>
      <c r="I1073" t="n">
        <v>875</v>
      </c>
      <c r="J1073" t="n">
        <v>0</v>
      </c>
      <c r="K1073" t="n">
        <v>25.5</v>
      </c>
      <c r="L1073" t="n">
        <v>0.18</v>
      </c>
      <c r="M1073" t="n">
        <v>163.88</v>
      </c>
      <c r="N1073" t="n">
        <v>3.1</v>
      </c>
      <c r="O1073" t="n">
        <v/>
      </c>
      <c r="P1073" t="inlineStr">
        <is>
          <t>Credit Card</t>
        </is>
      </c>
      <c r="Q1073" t="inlineStr">
        <is>
          <t>Cancelled</t>
        </is>
      </c>
      <c r="R1073" t="n">
        <v/>
      </c>
    </row>
    <row r="1074">
      <c r="A1074" t="inlineStr">
        <is>
          <t>ORD2073</t>
        </is>
      </c>
      <c r="B1074" t="inlineStr">
        <is>
          <t>2025-01-16</t>
        </is>
      </c>
      <c r="C1074" t="inlineStr">
        <is>
          <t>10:15:36</t>
        </is>
      </c>
      <c r="D1074" t="n">
        <v>1186</v>
      </c>
      <c r="E1074" t="n">
        <v>109</v>
      </c>
      <c r="F1074" t="n">
        <v>216</v>
      </c>
      <c r="G1074" t="inlineStr">
        <is>
          <t>Hyderabad</t>
        </is>
      </c>
      <c r="H1074" t="inlineStr">
        <is>
          <t>Biryani</t>
        </is>
      </c>
      <c r="I1074" t="n">
        <v>932</v>
      </c>
      <c r="J1074" t="n">
        <v>110.1</v>
      </c>
      <c r="K1074" t="n">
        <v>26.5</v>
      </c>
      <c r="L1074" t="n">
        <v>0.2</v>
      </c>
      <c r="M1074" t="n">
        <v>193.02</v>
      </c>
      <c r="N1074" t="n">
        <v>3.3</v>
      </c>
      <c r="O1074" t="n">
        <v>26.7</v>
      </c>
      <c r="P1074" t="inlineStr">
        <is>
          <t>UPI</t>
        </is>
      </c>
      <c r="Q1074" t="inlineStr">
        <is>
          <t>Delivered</t>
        </is>
      </c>
      <c r="R1074" t="n">
        <v>4</v>
      </c>
    </row>
    <row r="1075">
      <c r="A1075" t="inlineStr">
        <is>
          <t>ORD2074</t>
        </is>
      </c>
      <c r="B1075" t="inlineStr">
        <is>
          <t>2025-11-24</t>
        </is>
      </c>
      <c r="C1075" t="inlineStr">
        <is>
          <t>20:06:17</t>
        </is>
      </c>
      <c r="D1075" t="n">
        <v>1006</v>
      </c>
      <c r="E1075" t="n">
        <v>117</v>
      </c>
      <c r="F1075" t="n">
        <v>222</v>
      </c>
      <c r="G1075" t="inlineStr">
        <is>
          <t>Mumbai</t>
        </is>
      </c>
      <c r="H1075" t="inlineStr">
        <is>
          <t>Chinese</t>
        </is>
      </c>
      <c r="I1075" t="n">
        <v>861</v>
      </c>
      <c r="J1075" t="n">
        <v>61.94</v>
      </c>
      <c r="K1075" t="n">
        <v>44</v>
      </c>
      <c r="L1075" t="n">
        <v>0.2</v>
      </c>
      <c r="M1075" t="n">
        <v>183.2</v>
      </c>
      <c r="N1075" t="n">
        <v>6.8</v>
      </c>
      <c r="O1075" t="n">
        <v>45.7</v>
      </c>
      <c r="P1075" t="inlineStr">
        <is>
          <t>Digital Wallet</t>
        </is>
      </c>
      <c r="Q1075" t="inlineStr">
        <is>
          <t>Delivered</t>
        </is>
      </c>
      <c r="R1075" t="n">
        <v>2</v>
      </c>
    </row>
    <row r="1076">
      <c r="A1076" t="inlineStr">
        <is>
          <t>ORD2075</t>
        </is>
      </c>
      <c r="B1076" t="inlineStr">
        <is>
          <t>2025-12-14</t>
        </is>
      </c>
      <c r="C1076" t="inlineStr">
        <is>
          <t>21:22:56</t>
        </is>
      </c>
      <c r="D1076" t="n">
        <v>1175</v>
      </c>
      <c r="E1076" t="n">
        <v>115</v>
      </c>
      <c r="F1076" t="n">
        <v>201</v>
      </c>
      <c r="G1076" t="inlineStr">
        <is>
          <t>Bangalore</t>
        </is>
      </c>
      <c r="H1076" t="inlineStr">
        <is>
          <t>Italian</t>
        </is>
      </c>
      <c r="I1076" t="n">
        <v>559</v>
      </c>
      <c r="J1076" t="n">
        <v>43.25</v>
      </c>
      <c r="K1076" t="n">
        <v>29.5</v>
      </c>
      <c r="L1076" t="n">
        <v>0.2</v>
      </c>
      <c r="M1076" t="n">
        <v>119.18</v>
      </c>
      <c r="N1076" t="n">
        <v>3.9</v>
      </c>
      <c r="O1076" t="n">
        <v>32.7</v>
      </c>
      <c r="P1076" t="inlineStr">
        <is>
          <t>Debit Card</t>
        </is>
      </c>
      <c r="Q1076" t="inlineStr">
        <is>
          <t>Delivered</t>
        </is>
      </c>
      <c r="R1076" t="n">
        <v>4</v>
      </c>
    </row>
    <row r="1077">
      <c r="A1077" t="inlineStr">
        <is>
          <t>ORD2076</t>
        </is>
      </c>
      <c r="B1077" t="inlineStr">
        <is>
          <t>2025-10-24</t>
        </is>
      </c>
      <c r="C1077" t="inlineStr">
        <is>
          <t>12:33:44</t>
        </is>
      </c>
      <c r="D1077" t="n">
        <v>1070</v>
      </c>
      <c r="E1077" t="n">
        <v>103</v>
      </c>
      <c r="F1077" t="n">
        <v>222</v>
      </c>
      <c r="G1077" t="inlineStr">
        <is>
          <t>Mumbai</t>
        </is>
      </c>
      <c r="H1077" t="inlineStr">
        <is>
          <t>Italian</t>
        </is>
      </c>
      <c r="I1077" t="n">
        <v>884</v>
      </c>
      <c r="J1077" t="n">
        <v>142.53</v>
      </c>
      <c r="K1077" t="n">
        <v>0</v>
      </c>
      <c r="L1077" t="n">
        <v>0.18</v>
      </c>
      <c r="M1077" t="n">
        <v>159.12</v>
      </c>
      <c r="N1077" t="n">
        <v>9.1</v>
      </c>
      <c r="O1077" t="n">
        <v>54.6</v>
      </c>
      <c r="P1077" t="inlineStr">
        <is>
          <t>Cash on Delivery</t>
        </is>
      </c>
      <c r="Q1077" t="inlineStr">
        <is>
          <t>Delivered</t>
        </is>
      </c>
      <c r="R1077" t="n">
        <v>2</v>
      </c>
    </row>
    <row r="1078">
      <c r="A1078" t="inlineStr">
        <is>
          <t>ORD2077</t>
        </is>
      </c>
      <c r="B1078" t="inlineStr">
        <is>
          <t>2025-01-05</t>
        </is>
      </c>
      <c r="C1078" t="inlineStr">
        <is>
          <t>07:31:59</t>
        </is>
      </c>
      <c r="D1078" t="n">
        <v>1081</v>
      </c>
      <c r="E1078" t="n">
        <v>105</v>
      </c>
      <c r="F1078" t="n">
        <v>227</v>
      </c>
      <c r="G1078" t="inlineStr">
        <is>
          <t>Bangalore</t>
        </is>
      </c>
      <c r="H1078" t="inlineStr">
        <is>
          <t>Chinese</t>
        </is>
      </c>
      <c r="I1078" t="n">
        <v>1058</v>
      </c>
      <c r="J1078" t="n">
        <v>155.14</v>
      </c>
      <c r="K1078" t="n">
        <v>0</v>
      </c>
      <c r="L1078" t="n">
        <v>0.2</v>
      </c>
      <c r="M1078" t="n">
        <v>211.6</v>
      </c>
      <c r="N1078" t="n">
        <v>3.6</v>
      </c>
      <c r="O1078" t="n">
        <v>31.1</v>
      </c>
      <c r="P1078" t="inlineStr">
        <is>
          <t>Debit Card</t>
        </is>
      </c>
      <c r="Q1078" t="inlineStr">
        <is>
          <t>Delivered</t>
        </is>
      </c>
      <c r="R1078" t="n">
        <v>1</v>
      </c>
    </row>
    <row r="1079">
      <c r="A1079" t="inlineStr">
        <is>
          <t>ORD2078</t>
        </is>
      </c>
      <c r="B1079" t="inlineStr">
        <is>
          <t>2025-05-28</t>
        </is>
      </c>
      <c r="C1079" t="inlineStr">
        <is>
          <t>17:04:51</t>
        </is>
      </c>
      <c r="D1079" t="n">
        <v>1159</v>
      </c>
      <c r="E1079" t="n">
        <v>104</v>
      </c>
      <c r="F1079" t="n">
        <v>212</v>
      </c>
      <c r="G1079" t="inlineStr">
        <is>
          <t>Delhi NCR</t>
        </is>
      </c>
      <c r="H1079" t="inlineStr">
        <is>
          <t>Fast Food</t>
        </is>
      </c>
      <c r="I1079" t="n">
        <v>521</v>
      </c>
      <c r="J1079" t="n">
        <v>0</v>
      </c>
      <c r="K1079" t="n">
        <v>29</v>
      </c>
      <c r="L1079" t="n">
        <v>0.18</v>
      </c>
      <c r="M1079" t="n">
        <v>101.03</v>
      </c>
      <c r="N1079" t="n">
        <v>3.8</v>
      </c>
      <c r="O1079" t="n">
        <v>23.8</v>
      </c>
      <c r="P1079" t="inlineStr">
        <is>
          <t>Debit Card</t>
        </is>
      </c>
      <c r="Q1079" t="inlineStr">
        <is>
          <t>Delivered</t>
        </is>
      </c>
      <c r="R1079" t="n">
        <v>4</v>
      </c>
    </row>
    <row r="1080">
      <c r="A1080" t="inlineStr">
        <is>
          <t>ORD2079</t>
        </is>
      </c>
      <c r="B1080" t="inlineStr">
        <is>
          <t>2025-06-06</t>
        </is>
      </c>
      <c r="C1080" t="inlineStr">
        <is>
          <t>13:00:27</t>
        </is>
      </c>
      <c r="D1080" t="n">
        <v>1158</v>
      </c>
      <c r="E1080" t="n">
        <v>116</v>
      </c>
      <c r="F1080" t="n">
        <v>207</v>
      </c>
      <c r="G1080" t="inlineStr">
        <is>
          <t>Pune</t>
        </is>
      </c>
      <c r="H1080" t="inlineStr">
        <is>
          <t>Desserts</t>
        </is>
      </c>
      <c r="I1080" t="n">
        <v>580</v>
      </c>
      <c r="J1080" t="n">
        <v>55.81</v>
      </c>
      <c r="K1080" t="n">
        <v>25</v>
      </c>
      <c r="L1080" t="n">
        <v>0.25</v>
      </c>
      <c r="M1080" t="n">
        <v>151.25</v>
      </c>
      <c r="N1080" t="n">
        <v>2.7</v>
      </c>
      <c r="O1080" t="n">
        <v>24</v>
      </c>
      <c r="P1080" t="inlineStr">
        <is>
          <t>Debit Card</t>
        </is>
      </c>
      <c r="Q1080" t="inlineStr">
        <is>
          <t>Delivered</t>
        </is>
      </c>
      <c r="R1080" t="n">
        <v>4</v>
      </c>
    </row>
    <row r="1081">
      <c r="A1081" t="inlineStr">
        <is>
          <t>ORD2080</t>
        </is>
      </c>
      <c r="B1081" t="inlineStr">
        <is>
          <t>2025-05-26</t>
        </is>
      </c>
      <c r="C1081" t="inlineStr">
        <is>
          <t>06:50:54</t>
        </is>
      </c>
      <c r="D1081" t="n">
        <v>1231</v>
      </c>
      <c r="E1081" t="n">
        <v>101</v>
      </c>
      <c r="F1081" t="n">
        <v>218</v>
      </c>
      <c r="G1081" t="inlineStr">
        <is>
          <t>Bangalore</t>
        </is>
      </c>
      <c r="H1081" t="inlineStr">
        <is>
          <t>North Indian</t>
        </is>
      </c>
      <c r="I1081" t="n">
        <v>734</v>
      </c>
      <c r="J1081" t="n">
        <v>70.88</v>
      </c>
      <c r="K1081" t="n">
        <v>31</v>
      </c>
      <c r="L1081" t="n">
        <v>0.2</v>
      </c>
      <c r="M1081" t="n">
        <v>154.55</v>
      </c>
      <c r="N1081" t="n">
        <v>4.2</v>
      </c>
      <c r="O1081" t="n">
        <v>32.4</v>
      </c>
      <c r="P1081" t="inlineStr">
        <is>
          <t>Credit Card</t>
        </is>
      </c>
      <c r="Q1081" t="inlineStr">
        <is>
          <t>Delivered</t>
        </is>
      </c>
      <c r="R1081" t="n">
        <v>4</v>
      </c>
    </row>
    <row r="1082">
      <c r="A1082" t="inlineStr">
        <is>
          <t>ORD2081</t>
        </is>
      </c>
      <c r="B1082" t="inlineStr">
        <is>
          <t>2025-03-15</t>
        </is>
      </c>
      <c r="C1082" t="inlineStr">
        <is>
          <t>13:46:12</t>
        </is>
      </c>
      <c r="D1082" t="n">
        <v>1046</v>
      </c>
      <c r="E1082" t="n">
        <v>119</v>
      </c>
      <c r="F1082" t="n">
        <v>215</v>
      </c>
      <c r="G1082" t="inlineStr">
        <is>
          <t>Hyderabad</t>
        </is>
      </c>
      <c r="H1082" t="inlineStr">
        <is>
          <t>Biryani</t>
        </is>
      </c>
      <c r="I1082" t="n">
        <v>662</v>
      </c>
      <c r="J1082" t="n">
        <v>60.22</v>
      </c>
      <c r="K1082" t="n">
        <v>52</v>
      </c>
      <c r="L1082" t="n">
        <v>0.2</v>
      </c>
      <c r="M1082" t="n">
        <v>145.4</v>
      </c>
      <c r="N1082" t="n">
        <v>8.4</v>
      </c>
      <c r="O1082" t="n">
        <v>45.8</v>
      </c>
      <c r="P1082" t="inlineStr">
        <is>
          <t>Credit Card</t>
        </is>
      </c>
      <c r="Q1082" t="inlineStr">
        <is>
          <t>Delivered</t>
        </is>
      </c>
      <c r="R1082" t="n">
        <v>4</v>
      </c>
    </row>
    <row r="1083">
      <c r="A1083" t="inlineStr">
        <is>
          <t>ORD2082</t>
        </is>
      </c>
      <c r="B1083" t="inlineStr">
        <is>
          <t>2025-07-01</t>
        </is>
      </c>
      <c r="C1083" t="inlineStr">
        <is>
          <t>12:15:51</t>
        </is>
      </c>
      <c r="D1083" t="n">
        <v>1099</v>
      </c>
      <c r="E1083" t="n">
        <v>109</v>
      </c>
      <c r="F1083" t="n">
        <v>215</v>
      </c>
      <c r="G1083" t="inlineStr">
        <is>
          <t>Hyderabad</t>
        </is>
      </c>
      <c r="H1083" t="inlineStr">
        <is>
          <t>Biryani</t>
        </is>
      </c>
      <c r="I1083" t="n">
        <v>914</v>
      </c>
      <c r="J1083" t="n">
        <v>30.9</v>
      </c>
      <c r="K1083" t="n">
        <v>39</v>
      </c>
      <c r="L1083" t="n">
        <v>0.2</v>
      </c>
      <c r="M1083" t="n">
        <v>192.55</v>
      </c>
      <c r="N1083" t="n">
        <v>5.8</v>
      </c>
      <c r="O1083" t="n">
        <v/>
      </c>
      <c r="P1083" t="inlineStr">
        <is>
          <t>UPI</t>
        </is>
      </c>
      <c r="Q1083" t="inlineStr">
        <is>
          <t>Cancelled</t>
        </is>
      </c>
      <c r="R1083" t="n">
        <v/>
      </c>
    </row>
    <row r="1084">
      <c r="A1084" t="inlineStr">
        <is>
          <t>ORD2083</t>
        </is>
      </c>
      <c r="B1084" t="inlineStr">
        <is>
          <t>2025-03-30</t>
        </is>
      </c>
      <c r="C1084" t="inlineStr">
        <is>
          <t>21:36:27</t>
        </is>
      </c>
      <c r="D1084" t="n">
        <v>1066</v>
      </c>
      <c r="E1084" t="n">
        <v>106</v>
      </c>
      <c r="F1084" t="n">
        <v>208</v>
      </c>
      <c r="G1084" t="inlineStr">
        <is>
          <t>Pune</t>
        </is>
      </c>
      <c r="H1084" t="inlineStr">
        <is>
          <t>South Indian</t>
        </is>
      </c>
      <c r="I1084" t="n">
        <v>915</v>
      </c>
      <c r="J1084" t="n">
        <v>58.88</v>
      </c>
      <c r="K1084" t="n">
        <v>30</v>
      </c>
      <c r="L1084" t="n">
        <v>0.15</v>
      </c>
      <c r="M1084" t="n">
        <v>144.75</v>
      </c>
      <c r="N1084" t="n">
        <v>4</v>
      </c>
      <c r="O1084" t="n">
        <v/>
      </c>
      <c r="P1084" t="inlineStr">
        <is>
          <t>Credit Card</t>
        </is>
      </c>
      <c r="Q1084" t="inlineStr">
        <is>
          <t>Cancelled</t>
        </is>
      </c>
      <c r="R1084" t="n">
        <v/>
      </c>
    </row>
    <row r="1085">
      <c r="A1085" t="inlineStr">
        <is>
          <t>ORD2084</t>
        </is>
      </c>
      <c r="B1085" t="inlineStr">
        <is>
          <t>2025-10-11</t>
        </is>
      </c>
      <c r="C1085" t="inlineStr">
        <is>
          <t>22:12:19</t>
        </is>
      </c>
      <c r="D1085" t="n">
        <v>1133</v>
      </c>
      <c r="E1085" t="n">
        <v>108</v>
      </c>
      <c r="F1085" t="n">
        <v>212</v>
      </c>
      <c r="G1085" t="inlineStr">
        <is>
          <t>Delhi NCR</t>
        </is>
      </c>
      <c r="H1085" t="inlineStr">
        <is>
          <t>Fast Food</t>
        </is>
      </c>
      <c r="I1085" t="n">
        <v>532</v>
      </c>
      <c r="J1085" t="n">
        <v>0</v>
      </c>
      <c r="K1085" t="n">
        <v>30</v>
      </c>
      <c r="L1085" t="n">
        <v>0.18</v>
      </c>
      <c r="M1085" t="n">
        <v>103.26</v>
      </c>
      <c r="N1085" t="n">
        <v>4</v>
      </c>
      <c r="O1085" t="n">
        <v>31</v>
      </c>
      <c r="P1085" t="inlineStr">
        <is>
          <t>Cash on Delivery</t>
        </is>
      </c>
      <c r="Q1085" t="inlineStr">
        <is>
          <t>Delivered</t>
        </is>
      </c>
      <c r="R1085" t="n">
        <v>4</v>
      </c>
    </row>
    <row r="1086">
      <c r="A1086" t="inlineStr">
        <is>
          <t>ORD2085</t>
        </is>
      </c>
      <c r="B1086" t="inlineStr">
        <is>
          <t>2025-02-19</t>
        </is>
      </c>
      <c r="C1086" t="inlineStr">
        <is>
          <t>21:08:33</t>
        </is>
      </c>
      <c r="D1086" t="n">
        <v>1133</v>
      </c>
      <c r="E1086" t="n">
        <v>112</v>
      </c>
      <c r="F1086" t="n">
        <v>212</v>
      </c>
      <c r="G1086" t="inlineStr">
        <is>
          <t>Delhi NCR</t>
        </is>
      </c>
      <c r="H1086" t="inlineStr">
        <is>
          <t>North Indian</t>
        </is>
      </c>
      <c r="I1086" t="n">
        <v>672</v>
      </c>
      <c r="J1086" t="n">
        <v>27.09</v>
      </c>
      <c r="K1086" t="n">
        <v>25</v>
      </c>
      <c r="L1086" t="n">
        <v>0.22</v>
      </c>
      <c r="M1086" t="n">
        <v>154.09</v>
      </c>
      <c r="N1086" t="n">
        <v>2.1</v>
      </c>
      <c r="O1086" t="n">
        <v>28.8</v>
      </c>
      <c r="P1086" t="inlineStr">
        <is>
          <t>Debit Card</t>
        </is>
      </c>
      <c r="Q1086" t="inlineStr">
        <is>
          <t>Delivered</t>
        </is>
      </c>
      <c r="R1086" t="n">
        <v>4</v>
      </c>
    </row>
    <row r="1087">
      <c r="A1087" t="inlineStr">
        <is>
          <t>ORD2086</t>
        </is>
      </c>
      <c r="B1087" t="inlineStr">
        <is>
          <t>2025-08-27</t>
        </is>
      </c>
      <c r="C1087" t="inlineStr">
        <is>
          <t>11:26:26</t>
        </is>
      </c>
      <c r="D1087" t="n">
        <v>1295</v>
      </c>
      <c r="E1087" t="n">
        <v>108</v>
      </c>
      <c r="F1087" t="n">
        <v>212</v>
      </c>
      <c r="G1087" t="inlineStr">
        <is>
          <t>Delhi NCR</t>
        </is>
      </c>
      <c r="H1087" t="inlineStr">
        <is>
          <t>Fast Food</t>
        </is>
      </c>
      <c r="I1087" t="n">
        <v>692</v>
      </c>
      <c r="J1087" t="n">
        <v>0</v>
      </c>
      <c r="K1087" t="n">
        <v>25</v>
      </c>
      <c r="L1087" t="n">
        <v>0.18</v>
      </c>
      <c r="M1087" t="n">
        <v>130.81</v>
      </c>
      <c r="N1087" t="n">
        <v>2.5</v>
      </c>
      <c r="O1087" t="n">
        <v>24.9</v>
      </c>
      <c r="P1087" t="inlineStr">
        <is>
          <t>Cash on Delivery</t>
        </is>
      </c>
      <c r="Q1087" t="inlineStr">
        <is>
          <t>Delivered</t>
        </is>
      </c>
      <c r="R1087" t="n">
        <v>5</v>
      </c>
    </row>
    <row r="1088">
      <c r="A1088" t="inlineStr">
        <is>
          <t>ORD2087</t>
        </is>
      </c>
      <c r="B1088" t="inlineStr">
        <is>
          <t>2025-11-11</t>
        </is>
      </c>
      <c r="C1088" t="inlineStr">
        <is>
          <t>20:58:19</t>
        </is>
      </c>
      <c r="D1088" t="n">
        <v>1008</v>
      </c>
      <c r="E1088" t="n">
        <v>107</v>
      </c>
      <c r="F1088" t="n">
        <v>222</v>
      </c>
      <c r="G1088" t="inlineStr">
        <is>
          <t>Mumbai</t>
        </is>
      </c>
      <c r="H1088" t="inlineStr">
        <is>
          <t>Desserts</t>
        </is>
      </c>
      <c r="I1088" t="n">
        <v>716</v>
      </c>
      <c r="J1088" t="n">
        <v>108.27</v>
      </c>
      <c r="K1088" t="n">
        <v>0</v>
      </c>
      <c r="L1088" t="n">
        <v>0.25</v>
      </c>
      <c r="M1088" t="n">
        <v>179</v>
      </c>
      <c r="N1088" t="n">
        <v>2.6</v>
      </c>
      <c r="O1088" t="n">
        <v>23.2</v>
      </c>
      <c r="P1088" t="inlineStr">
        <is>
          <t>Digital Wallet</t>
        </is>
      </c>
      <c r="Q1088" t="inlineStr">
        <is>
          <t>Delivered</t>
        </is>
      </c>
      <c r="R1088" t="n">
        <v>1</v>
      </c>
    </row>
    <row r="1089">
      <c r="A1089" t="inlineStr">
        <is>
          <t>ORD2088</t>
        </is>
      </c>
      <c r="B1089" t="inlineStr">
        <is>
          <t>2025-03-06</t>
        </is>
      </c>
      <c r="C1089" t="inlineStr">
        <is>
          <t>07:25:42</t>
        </is>
      </c>
      <c r="D1089" t="n">
        <v>1177</v>
      </c>
      <c r="E1089" t="n">
        <v>118</v>
      </c>
      <c r="F1089" t="n">
        <v>228</v>
      </c>
      <c r="G1089" t="inlineStr">
        <is>
          <t>Delhi NCR</t>
        </is>
      </c>
      <c r="H1089" t="inlineStr">
        <is>
          <t>North Indian</t>
        </is>
      </c>
      <c r="I1089" t="n">
        <v>226</v>
      </c>
      <c r="J1089" t="n">
        <v>18.62</v>
      </c>
      <c r="K1089" t="n">
        <v>25</v>
      </c>
      <c r="L1089" t="n">
        <v>0.2</v>
      </c>
      <c r="M1089" t="n">
        <v>51.45</v>
      </c>
      <c r="N1089" t="n">
        <v>2.3</v>
      </c>
      <c r="O1089" t="n">
        <v>29.9</v>
      </c>
      <c r="P1089" t="inlineStr">
        <is>
          <t>Digital Wallet</t>
        </is>
      </c>
      <c r="Q1089" t="inlineStr">
        <is>
          <t>Delivered</t>
        </is>
      </c>
      <c r="R1089" t="n">
        <v>4</v>
      </c>
    </row>
    <row r="1090">
      <c r="A1090" t="inlineStr">
        <is>
          <t>ORD2089</t>
        </is>
      </c>
      <c r="B1090" t="inlineStr">
        <is>
          <t>2025-01-29</t>
        </is>
      </c>
      <c r="C1090" t="inlineStr">
        <is>
          <t>23:17:53</t>
        </is>
      </c>
      <c r="D1090" t="n">
        <v>1142</v>
      </c>
      <c r="E1090" t="n">
        <v>109</v>
      </c>
      <c r="F1090" t="n">
        <v>225</v>
      </c>
      <c r="G1090" t="inlineStr">
        <is>
          <t>Hyderabad</t>
        </is>
      </c>
      <c r="H1090" t="inlineStr">
        <is>
          <t>Biryani</t>
        </is>
      </c>
      <c r="I1090" t="n">
        <v>885</v>
      </c>
      <c r="J1090" t="n">
        <v>0</v>
      </c>
      <c r="K1090" t="n">
        <v>36</v>
      </c>
      <c r="L1090" t="n">
        <v>0.2</v>
      </c>
      <c r="M1090" t="n">
        <v>186</v>
      </c>
      <c r="N1090" t="n">
        <v>5.2</v>
      </c>
      <c r="O1090" t="n">
        <v/>
      </c>
      <c r="P1090" t="inlineStr">
        <is>
          <t>Debit Card</t>
        </is>
      </c>
      <c r="Q1090" t="inlineStr">
        <is>
          <t>Cancelled</t>
        </is>
      </c>
      <c r="R1090" t="n">
        <v/>
      </c>
    </row>
    <row r="1091">
      <c r="A1091" t="inlineStr">
        <is>
          <t>ORD2090</t>
        </is>
      </c>
      <c r="B1091" t="inlineStr">
        <is>
          <t>2025-03-04</t>
        </is>
      </c>
      <c r="C1091" t="inlineStr">
        <is>
          <t>16:47:37</t>
        </is>
      </c>
      <c r="D1091" t="n">
        <v>1043</v>
      </c>
      <c r="E1091" t="n">
        <v>119</v>
      </c>
      <c r="F1091" t="n">
        <v>216</v>
      </c>
      <c r="G1091" t="inlineStr">
        <is>
          <t>Hyderabad</t>
        </is>
      </c>
      <c r="H1091" t="inlineStr">
        <is>
          <t>Biryani</t>
        </is>
      </c>
      <c r="I1091" t="n">
        <v>910</v>
      </c>
      <c r="J1091" t="n">
        <v>52.19</v>
      </c>
      <c r="K1091" t="n">
        <v>30</v>
      </c>
      <c r="L1091" t="n">
        <v>0.2</v>
      </c>
      <c r="M1091" t="n">
        <v>189.5</v>
      </c>
      <c r="N1091" t="n">
        <v>4</v>
      </c>
      <c r="O1091" t="n">
        <v/>
      </c>
      <c r="P1091" t="inlineStr">
        <is>
          <t>Digital Wallet</t>
        </is>
      </c>
      <c r="Q1091" t="inlineStr">
        <is>
          <t>Cancelled</t>
        </is>
      </c>
      <c r="R1091" t="n">
        <v/>
      </c>
    </row>
    <row r="1092">
      <c r="A1092" t="inlineStr">
        <is>
          <t>ORD2091</t>
        </is>
      </c>
      <c r="B1092" t="inlineStr">
        <is>
          <t>2025-03-11</t>
        </is>
      </c>
      <c r="C1092" t="inlineStr">
        <is>
          <t>11:14:57</t>
        </is>
      </c>
      <c r="D1092" t="n">
        <v>1283</v>
      </c>
      <c r="E1092" t="n">
        <v>110</v>
      </c>
      <c r="F1092" t="n">
        <v>204</v>
      </c>
      <c r="G1092" t="inlineStr">
        <is>
          <t>Pune</t>
        </is>
      </c>
      <c r="H1092" t="inlineStr">
        <is>
          <t>North Indian</t>
        </is>
      </c>
      <c r="I1092" t="n">
        <v>911</v>
      </c>
      <c r="J1092" t="n">
        <v>11.28</v>
      </c>
      <c r="K1092" t="n">
        <v>40</v>
      </c>
      <c r="L1092" t="n">
        <v>0.18</v>
      </c>
      <c r="M1092" t="n">
        <v>173.98</v>
      </c>
      <c r="N1092" t="n">
        <v>6</v>
      </c>
      <c r="O1092" t="n">
        <v>41.7</v>
      </c>
      <c r="P1092" t="inlineStr">
        <is>
          <t>UPI</t>
        </is>
      </c>
      <c r="Q1092" t="inlineStr">
        <is>
          <t>Delivered</t>
        </is>
      </c>
      <c r="R1092" t="n">
        <v>2</v>
      </c>
    </row>
    <row r="1093">
      <c r="A1093" t="inlineStr">
        <is>
          <t>ORD2092</t>
        </is>
      </c>
      <c r="B1093" t="inlineStr">
        <is>
          <t>2025-02-04</t>
        </is>
      </c>
      <c r="C1093" t="inlineStr">
        <is>
          <t>13:00:09</t>
        </is>
      </c>
      <c r="D1093" t="n">
        <v>1246</v>
      </c>
      <c r="E1093" t="n">
        <v>106</v>
      </c>
      <c r="F1093" t="n">
        <v>208</v>
      </c>
      <c r="G1093" t="inlineStr">
        <is>
          <t>Pune</t>
        </is>
      </c>
      <c r="H1093" t="inlineStr">
        <is>
          <t>South Indian</t>
        </is>
      </c>
      <c r="I1093" t="n">
        <v>1163</v>
      </c>
      <c r="J1093" t="n">
        <v>130.38</v>
      </c>
      <c r="K1093" t="n">
        <v>0</v>
      </c>
      <c r="L1093" t="n">
        <v>0.15</v>
      </c>
      <c r="M1093" t="n">
        <v>174.45</v>
      </c>
      <c r="N1093" t="n">
        <v>5.1</v>
      </c>
      <c r="O1093" t="n">
        <v>37.5</v>
      </c>
      <c r="P1093" t="inlineStr">
        <is>
          <t>Credit Card</t>
        </is>
      </c>
      <c r="Q1093" t="inlineStr">
        <is>
          <t>Delivered</t>
        </is>
      </c>
      <c r="R1093" t="n">
        <v>5</v>
      </c>
    </row>
    <row r="1094">
      <c r="A1094" t="inlineStr">
        <is>
          <t>ORD2093</t>
        </is>
      </c>
      <c r="B1094" t="inlineStr">
        <is>
          <t>2025-01-13</t>
        </is>
      </c>
      <c r="C1094" t="inlineStr">
        <is>
          <t>12:53:32</t>
        </is>
      </c>
      <c r="D1094" t="n">
        <v>1006</v>
      </c>
      <c r="E1094" t="n">
        <v>107</v>
      </c>
      <c r="F1094" t="n">
        <v>222</v>
      </c>
      <c r="G1094" t="inlineStr">
        <is>
          <t>Mumbai</t>
        </is>
      </c>
      <c r="H1094" t="inlineStr">
        <is>
          <t>Desserts</t>
        </is>
      </c>
      <c r="I1094" t="n">
        <v>674</v>
      </c>
      <c r="J1094" t="n">
        <v>0</v>
      </c>
      <c r="K1094" t="n">
        <v>29.5</v>
      </c>
      <c r="L1094" t="n">
        <v>0.25</v>
      </c>
      <c r="M1094" t="n">
        <v>175.88</v>
      </c>
      <c r="N1094" t="n">
        <v>3.9</v>
      </c>
      <c r="O1094" t="n">
        <v>37.9</v>
      </c>
      <c r="P1094" t="inlineStr">
        <is>
          <t>Debit Card</t>
        </is>
      </c>
      <c r="Q1094" t="inlineStr">
        <is>
          <t>Delivered</t>
        </is>
      </c>
      <c r="R1094" t="n">
        <v>4</v>
      </c>
    </row>
    <row r="1095">
      <c r="A1095" t="inlineStr">
        <is>
          <t>ORD2094</t>
        </is>
      </c>
      <c r="B1095" t="inlineStr">
        <is>
          <t>2025-05-01</t>
        </is>
      </c>
      <c r="C1095" t="inlineStr">
        <is>
          <t>12:53:54</t>
        </is>
      </c>
      <c r="D1095" t="n">
        <v>1153</v>
      </c>
      <c r="E1095" t="n">
        <v>101</v>
      </c>
      <c r="F1095" t="n">
        <v>205</v>
      </c>
      <c r="G1095" t="inlineStr">
        <is>
          <t>Bangalore</t>
        </is>
      </c>
      <c r="H1095" t="inlineStr">
        <is>
          <t>North Indian</t>
        </is>
      </c>
      <c r="I1095" t="n">
        <v>779</v>
      </c>
      <c r="J1095" t="n">
        <v>0</v>
      </c>
      <c r="K1095" t="n">
        <v>25</v>
      </c>
      <c r="L1095" t="n">
        <v>0.2</v>
      </c>
      <c r="M1095" t="n">
        <v>162.05</v>
      </c>
      <c r="N1095" t="n">
        <v>2.5</v>
      </c>
      <c r="O1095" t="n">
        <v>28.5</v>
      </c>
      <c r="P1095" t="inlineStr">
        <is>
          <t>Cash on Delivery</t>
        </is>
      </c>
      <c r="Q1095" t="inlineStr">
        <is>
          <t>Delivered</t>
        </is>
      </c>
      <c r="R1095" t="n">
        <v>5</v>
      </c>
    </row>
    <row r="1096">
      <c r="A1096" t="inlineStr">
        <is>
          <t>ORD2095</t>
        </is>
      </c>
      <c r="B1096" t="inlineStr">
        <is>
          <t>2025-11-22</t>
        </is>
      </c>
      <c r="C1096" t="inlineStr">
        <is>
          <t>20:01:11</t>
        </is>
      </c>
      <c r="D1096" t="n">
        <v>1101</v>
      </c>
      <c r="E1096" t="n">
        <v>111</v>
      </c>
      <c r="F1096" t="n">
        <v>218</v>
      </c>
      <c r="G1096" t="inlineStr">
        <is>
          <t>Bangalore</t>
        </is>
      </c>
      <c r="H1096" t="inlineStr">
        <is>
          <t>South Indian</t>
        </is>
      </c>
      <c r="I1096" t="n">
        <v>365</v>
      </c>
      <c r="J1096" t="n">
        <v>19.2</v>
      </c>
      <c r="K1096" t="n">
        <v>32.5</v>
      </c>
      <c r="L1096" t="n">
        <v>0.15</v>
      </c>
      <c r="M1096" t="n">
        <v>62.88</v>
      </c>
      <c r="N1096" t="n">
        <v>4.5</v>
      </c>
      <c r="O1096" t="n">
        <v>32.5</v>
      </c>
      <c r="P1096" t="inlineStr">
        <is>
          <t>Digital Wallet</t>
        </is>
      </c>
      <c r="Q1096" t="inlineStr">
        <is>
          <t>Delivered</t>
        </is>
      </c>
      <c r="R1096" t="n">
        <v>1</v>
      </c>
    </row>
    <row r="1097">
      <c r="A1097" t="inlineStr">
        <is>
          <t>ORD2096</t>
        </is>
      </c>
      <c r="B1097" t="inlineStr">
        <is>
          <t>2025-09-03</t>
        </is>
      </c>
      <c r="C1097" t="inlineStr">
        <is>
          <t>18:18:18</t>
        </is>
      </c>
      <c r="D1097" t="n">
        <v>1008</v>
      </c>
      <c r="E1097" t="n">
        <v>103</v>
      </c>
      <c r="F1097" t="n">
        <v>222</v>
      </c>
      <c r="G1097" t="inlineStr">
        <is>
          <t>Mumbai</t>
        </is>
      </c>
      <c r="H1097" t="inlineStr">
        <is>
          <t>Italian</t>
        </is>
      </c>
      <c r="I1097" t="n">
        <v>1028</v>
      </c>
      <c r="J1097" t="n">
        <v>201.39</v>
      </c>
      <c r="K1097" t="n">
        <v>0</v>
      </c>
      <c r="L1097" t="n">
        <v>0.18</v>
      </c>
      <c r="M1097" t="n">
        <v>185.04</v>
      </c>
      <c r="N1097" t="n">
        <v>7.9</v>
      </c>
      <c r="O1097" t="n">
        <v>39.3</v>
      </c>
      <c r="P1097" t="inlineStr">
        <is>
          <t>Debit Card</t>
        </is>
      </c>
      <c r="Q1097" t="inlineStr">
        <is>
          <t>Delivered</t>
        </is>
      </c>
      <c r="R1097" t="n">
        <v>4</v>
      </c>
    </row>
    <row r="1098">
      <c r="A1098" t="inlineStr">
        <is>
          <t>ORD2097</t>
        </is>
      </c>
      <c r="B1098" t="inlineStr">
        <is>
          <t>2025-08-26</t>
        </is>
      </c>
      <c r="C1098" t="inlineStr">
        <is>
          <t>20:26:52</t>
        </is>
      </c>
      <c r="D1098" t="n">
        <v>1294</v>
      </c>
      <c r="E1098" t="n">
        <v>112</v>
      </c>
      <c r="F1098" t="n">
        <v>221</v>
      </c>
      <c r="G1098" t="inlineStr">
        <is>
          <t>Delhi NCR</t>
        </is>
      </c>
      <c r="H1098" t="inlineStr">
        <is>
          <t>North Indian</t>
        </is>
      </c>
      <c r="I1098" t="n">
        <v>655</v>
      </c>
      <c r="J1098" t="n">
        <v>0</v>
      </c>
      <c r="K1098" t="n">
        <v>25</v>
      </c>
      <c r="L1098" t="n">
        <v>0.22</v>
      </c>
      <c r="M1098" t="n">
        <v>150.35</v>
      </c>
      <c r="N1098" t="n">
        <v>2.8</v>
      </c>
      <c r="O1098" t="n">
        <v>32.5</v>
      </c>
      <c r="P1098" t="inlineStr">
        <is>
          <t>UPI</t>
        </is>
      </c>
      <c r="Q1098" t="inlineStr">
        <is>
          <t>Delivered</t>
        </is>
      </c>
      <c r="R1098" t="n">
        <v>5</v>
      </c>
    </row>
    <row r="1099">
      <c r="A1099" t="inlineStr">
        <is>
          <t>ORD2098</t>
        </is>
      </c>
      <c r="B1099" t="inlineStr">
        <is>
          <t>2025-01-18</t>
        </is>
      </c>
      <c r="C1099" t="inlineStr">
        <is>
          <t>10:41:41</t>
        </is>
      </c>
      <c r="D1099" t="n">
        <v>1201</v>
      </c>
      <c r="E1099" t="n">
        <v>111</v>
      </c>
      <c r="F1099" t="n">
        <v>201</v>
      </c>
      <c r="G1099" t="inlineStr">
        <is>
          <t>Bangalore</t>
        </is>
      </c>
      <c r="H1099" t="inlineStr">
        <is>
          <t>South Indian</t>
        </is>
      </c>
      <c r="I1099" t="n">
        <v>892</v>
      </c>
      <c r="J1099" t="n">
        <v>83.31</v>
      </c>
      <c r="K1099" t="n">
        <v>42</v>
      </c>
      <c r="L1099" t="n">
        <v>0.15</v>
      </c>
      <c r="M1099" t="n">
        <v>144.3</v>
      </c>
      <c r="N1099" t="n">
        <v>6.4</v>
      </c>
      <c r="O1099" t="n">
        <v>39.3</v>
      </c>
      <c r="P1099" t="inlineStr">
        <is>
          <t>Debit Card</t>
        </is>
      </c>
      <c r="Q1099" t="inlineStr">
        <is>
          <t>Delivered</t>
        </is>
      </c>
      <c r="R1099" t="n">
        <v>3</v>
      </c>
    </row>
    <row r="1100">
      <c r="A1100" t="inlineStr">
        <is>
          <t>ORD2099</t>
        </is>
      </c>
      <c r="B1100" t="inlineStr">
        <is>
          <t>2025-08-23</t>
        </is>
      </c>
      <c r="C1100" t="inlineStr">
        <is>
          <t>22:17:00</t>
        </is>
      </c>
      <c r="D1100" t="n">
        <v>1021</v>
      </c>
      <c r="E1100" t="n">
        <v>110</v>
      </c>
      <c r="F1100" t="n">
        <v>214</v>
      </c>
      <c r="G1100" t="inlineStr">
        <is>
          <t>Pune</t>
        </is>
      </c>
      <c r="H1100" t="inlineStr">
        <is>
          <t>North Indian</t>
        </is>
      </c>
      <c r="I1100" t="n">
        <v>382</v>
      </c>
      <c r="J1100" t="n">
        <v>28.67</v>
      </c>
      <c r="K1100" t="n">
        <v>28.5</v>
      </c>
      <c r="L1100" t="n">
        <v>0.18</v>
      </c>
      <c r="M1100" t="n">
        <v>75.88</v>
      </c>
      <c r="N1100" t="n">
        <v>3.7</v>
      </c>
      <c r="O1100" t="n">
        <v>30.9</v>
      </c>
      <c r="P1100" t="inlineStr">
        <is>
          <t>Digital Wallet</t>
        </is>
      </c>
      <c r="Q1100" t="inlineStr">
        <is>
          <t>Delivered</t>
        </is>
      </c>
      <c r="R1100" t="n">
        <v>4</v>
      </c>
    </row>
    <row r="1101">
      <c r="A1101" t="inlineStr">
        <is>
          <t>ORD2100</t>
        </is>
      </c>
      <c r="B1101" t="inlineStr">
        <is>
          <t>2025-12-28</t>
        </is>
      </c>
      <c r="C1101" t="inlineStr">
        <is>
          <t>00:33:24</t>
        </is>
      </c>
      <c r="D1101" t="n">
        <v>1269</v>
      </c>
      <c r="E1101" t="n">
        <v>107</v>
      </c>
      <c r="F1101" t="n">
        <v>229</v>
      </c>
      <c r="G1101" t="inlineStr">
        <is>
          <t>Mumbai</t>
        </is>
      </c>
      <c r="H1101" t="inlineStr">
        <is>
          <t>Desserts</t>
        </is>
      </c>
      <c r="I1101" t="n">
        <v>745</v>
      </c>
      <c r="J1101" t="n">
        <v>0</v>
      </c>
      <c r="K1101" t="n">
        <v>34.5</v>
      </c>
      <c r="L1101" t="n">
        <v>0.25</v>
      </c>
      <c r="M1101" t="n">
        <v>194.88</v>
      </c>
      <c r="N1101" t="n">
        <v>4.9</v>
      </c>
      <c r="O1101" t="n">
        <v>36.2</v>
      </c>
      <c r="P1101" t="inlineStr">
        <is>
          <t>Debit Card</t>
        </is>
      </c>
      <c r="Q1101" t="inlineStr">
        <is>
          <t>Delivered</t>
        </is>
      </c>
      <c r="R1101" t="n">
        <v>4</v>
      </c>
    </row>
    <row r="1102">
      <c r="A1102" t="inlineStr">
        <is>
          <t>ORD2101</t>
        </is>
      </c>
      <c r="B1102" t="inlineStr">
        <is>
          <t>2025-05-23</t>
        </is>
      </c>
      <c r="C1102" t="inlineStr">
        <is>
          <t>09:50:48</t>
        </is>
      </c>
      <c r="D1102" t="n">
        <v>1044</v>
      </c>
      <c r="E1102" t="n">
        <v>102</v>
      </c>
      <c r="F1102" t="n">
        <v>225</v>
      </c>
      <c r="G1102" t="inlineStr">
        <is>
          <t>Hyderabad</t>
        </is>
      </c>
      <c r="H1102" t="inlineStr">
        <is>
          <t>Biryani</t>
        </is>
      </c>
      <c r="I1102" t="n">
        <v>1071</v>
      </c>
      <c r="J1102" t="n">
        <v>206</v>
      </c>
      <c r="K1102" t="n">
        <v>0</v>
      </c>
      <c r="L1102" t="n">
        <v>0.22</v>
      </c>
      <c r="M1102" t="n">
        <v>235.62</v>
      </c>
      <c r="N1102" t="n">
        <v>3.4</v>
      </c>
      <c r="O1102" t="n">
        <v>24.7</v>
      </c>
      <c r="P1102" t="inlineStr">
        <is>
          <t>Cash on Delivery</t>
        </is>
      </c>
      <c r="Q1102" t="inlineStr">
        <is>
          <t>Delivered</t>
        </is>
      </c>
      <c r="R1102" t="n">
        <v>4</v>
      </c>
    </row>
    <row r="1103">
      <c r="A1103" t="inlineStr">
        <is>
          <t>ORD2102</t>
        </is>
      </c>
      <c r="B1103" t="inlineStr">
        <is>
          <t>2025-10-22</t>
        </is>
      </c>
      <c r="C1103" t="inlineStr">
        <is>
          <t>21:45:59</t>
        </is>
      </c>
      <c r="D1103" t="n">
        <v>1025</v>
      </c>
      <c r="E1103" t="n">
        <v>120</v>
      </c>
      <c r="F1103" t="n">
        <v>214</v>
      </c>
      <c r="G1103" t="inlineStr">
        <is>
          <t>Pune</t>
        </is>
      </c>
      <c r="H1103" t="inlineStr">
        <is>
          <t>Fast Food</t>
        </is>
      </c>
      <c r="I1103" t="n">
        <v>739</v>
      </c>
      <c r="J1103" t="n">
        <v>31.06</v>
      </c>
      <c r="K1103" t="n">
        <v>29.5</v>
      </c>
      <c r="L1103" t="n">
        <v>0.18</v>
      </c>
      <c r="M1103" t="n">
        <v>140.39</v>
      </c>
      <c r="N1103" t="n">
        <v>3.9</v>
      </c>
      <c r="O1103" t="n">
        <v>87.5</v>
      </c>
      <c r="P1103" t="inlineStr">
        <is>
          <t>Digital Wallet</t>
        </is>
      </c>
      <c r="Q1103" t="inlineStr">
        <is>
          <t>Delivered</t>
        </is>
      </c>
      <c r="R1103" t="n">
        <v>1</v>
      </c>
    </row>
    <row r="1104">
      <c r="A1104" t="inlineStr">
        <is>
          <t>ORD2103</t>
        </is>
      </c>
      <c r="B1104" t="inlineStr">
        <is>
          <t>2025-01-24</t>
        </is>
      </c>
      <c r="C1104" t="inlineStr">
        <is>
          <t>14:01:54</t>
        </is>
      </c>
      <c r="D1104" t="n">
        <v>1247</v>
      </c>
      <c r="E1104" t="n">
        <v>115</v>
      </c>
      <c r="F1104" t="n">
        <v>201</v>
      </c>
      <c r="G1104" t="inlineStr">
        <is>
          <t>Bangalore</t>
        </is>
      </c>
      <c r="H1104" t="inlineStr">
        <is>
          <t>Italian</t>
        </is>
      </c>
      <c r="I1104" t="n">
        <v>382</v>
      </c>
      <c r="J1104" t="n">
        <v>0</v>
      </c>
      <c r="K1104" t="n">
        <v>89.5</v>
      </c>
      <c r="L1104" t="n">
        <v>0.2</v>
      </c>
      <c r="M1104" t="n">
        <v>98.78</v>
      </c>
      <c r="N1104" t="n">
        <v>15.9</v>
      </c>
      <c r="O1104" t="n">
        <v>88.59999999999999</v>
      </c>
      <c r="P1104" t="inlineStr">
        <is>
          <t>Cash on Delivery</t>
        </is>
      </c>
      <c r="Q1104" t="inlineStr">
        <is>
          <t>Delivered</t>
        </is>
      </c>
      <c r="R1104" t="n">
        <v>2</v>
      </c>
    </row>
    <row r="1105">
      <c r="A1105" t="inlineStr">
        <is>
          <t>ORD2104</t>
        </is>
      </c>
      <c r="B1105" t="inlineStr">
        <is>
          <t>2025-05-02</t>
        </is>
      </c>
      <c r="C1105" t="inlineStr">
        <is>
          <t>20:06:57</t>
        </is>
      </c>
      <c r="D1105" t="n">
        <v>1067</v>
      </c>
      <c r="E1105" t="n">
        <v>110</v>
      </c>
      <c r="F1105" t="n">
        <v>204</v>
      </c>
      <c r="G1105" t="inlineStr">
        <is>
          <t>Pune</t>
        </is>
      </c>
      <c r="H1105" t="inlineStr">
        <is>
          <t>North Indian</t>
        </is>
      </c>
      <c r="I1105" t="n">
        <v>398</v>
      </c>
      <c r="J1105" t="n">
        <v>12.23</v>
      </c>
      <c r="K1105" t="n">
        <v>25</v>
      </c>
      <c r="L1105" t="n">
        <v>0.18</v>
      </c>
      <c r="M1105" t="n">
        <v>77.89</v>
      </c>
      <c r="N1105" t="n">
        <v>2.2</v>
      </c>
      <c r="O1105" t="n">
        <v>37.1</v>
      </c>
      <c r="P1105" t="inlineStr">
        <is>
          <t>UPI</t>
        </is>
      </c>
      <c r="Q1105" t="inlineStr">
        <is>
          <t>Delivered</t>
        </is>
      </c>
      <c r="R1105" t="n">
        <v>5</v>
      </c>
    </row>
    <row r="1106">
      <c r="A1106" t="inlineStr">
        <is>
          <t>ORD2105</t>
        </is>
      </c>
      <c r="B1106" t="inlineStr">
        <is>
          <t>2025-02-28</t>
        </is>
      </c>
      <c r="C1106" t="inlineStr">
        <is>
          <t>12:02:54</t>
        </is>
      </c>
      <c r="D1106" t="n">
        <v>1197</v>
      </c>
      <c r="E1106" t="n">
        <v>103</v>
      </c>
      <c r="F1106" t="n">
        <v>229</v>
      </c>
      <c r="G1106" t="inlineStr">
        <is>
          <t>Mumbai</t>
        </is>
      </c>
      <c r="H1106" t="inlineStr">
        <is>
          <t>Italian</t>
        </is>
      </c>
      <c r="I1106" t="n">
        <v>294</v>
      </c>
      <c r="J1106" t="n">
        <v>23.79</v>
      </c>
      <c r="K1106" t="n">
        <v>28</v>
      </c>
      <c r="L1106" t="n">
        <v>0.18</v>
      </c>
      <c r="M1106" t="n">
        <v>59.92</v>
      </c>
      <c r="N1106" t="n">
        <v>3.6</v>
      </c>
      <c r="O1106" t="n">
        <v>34.9</v>
      </c>
      <c r="P1106" t="inlineStr">
        <is>
          <t>UPI</t>
        </is>
      </c>
      <c r="Q1106" t="inlineStr">
        <is>
          <t>Delivered</t>
        </is>
      </c>
      <c r="R1106" t="n">
        <v>5</v>
      </c>
    </row>
    <row r="1107">
      <c r="A1107" t="inlineStr">
        <is>
          <t>ORD2106</t>
        </is>
      </c>
      <c r="B1107" t="inlineStr">
        <is>
          <t>2025-02-25</t>
        </is>
      </c>
      <c r="C1107" t="inlineStr">
        <is>
          <t>20:44:28</t>
        </is>
      </c>
      <c r="D1107" t="n">
        <v>1295</v>
      </c>
      <c r="E1107" t="n">
        <v>108</v>
      </c>
      <c r="F1107" t="n">
        <v>221</v>
      </c>
      <c r="G1107" t="inlineStr">
        <is>
          <t>Delhi NCR</t>
        </is>
      </c>
      <c r="H1107" t="inlineStr">
        <is>
          <t>Fast Food</t>
        </is>
      </c>
      <c r="I1107" t="n">
        <v>606</v>
      </c>
      <c r="J1107" t="n">
        <v>0</v>
      </c>
      <c r="K1107" t="n">
        <v>37.5</v>
      </c>
      <c r="L1107" t="n">
        <v>0.18</v>
      </c>
      <c r="M1107" t="n">
        <v>118.46</v>
      </c>
      <c r="N1107" t="n">
        <v>5.5</v>
      </c>
      <c r="O1107" t="n">
        <v>51.3</v>
      </c>
      <c r="P1107" t="inlineStr">
        <is>
          <t>Digital Wallet</t>
        </is>
      </c>
      <c r="Q1107" t="inlineStr">
        <is>
          <t>Delivered</t>
        </is>
      </c>
      <c r="R1107" t="n">
        <v>1</v>
      </c>
    </row>
    <row r="1108">
      <c r="A1108" t="inlineStr">
        <is>
          <t>ORD2107</t>
        </is>
      </c>
      <c r="B1108" t="inlineStr">
        <is>
          <t>2025-05-10</t>
        </is>
      </c>
      <c r="C1108" t="inlineStr">
        <is>
          <t>17:31:28</t>
        </is>
      </c>
      <c r="D1108" t="n">
        <v>1098</v>
      </c>
      <c r="E1108" t="n">
        <v>112</v>
      </c>
      <c r="F1108" t="n">
        <v>219</v>
      </c>
      <c r="G1108" t="inlineStr">
        <is>
          <t>Delhi NCR</t>
        </is>
      </c>
      <c r="H1108" t="inlineStr">
        <is>
          <t>North Indian</t>
        </is>
      </c>
      <c r="I1108" t="n">
        <v>915</v>
      </c>
      <c r="J1108" t="n">
        <v>0</v>
      </c>
      <c r="K1108" t="n">
        <v>37</v>
      </c>
      <c r="L1108" t="n">
        <v>0.22</v>
      </c>
      <c r="M1108" t="n">
        <v>210.55</v>
      </c>
      <c r="N1108" t="n">
        <v>5.4</v>
      </c>
      <c r="O1108" t="n">
        <v>32.3</v>
      </c>
      <c r="P1108" t="inlineStr">
        <is>
          <t>Credit Card</t>
        </is>
      </c>
      <c r="Q1108" t="inlineStr">
        <is>
          <t>Delivered</t>
        </is>
      </c>
      <c r="R1108" t="n">
        <v>5</v>
      </c>
    </row>
    <row r="1109">
      <c r="A1109" t="inlineStr">
        <is>
          <t>ORD2108</t>
        </is>
      </c>
      <c r="B1109" t="inlineStr">
        <is>
          <t>2025-10-26</t>
        </is>
      </c>
      <c r="C1109" t="inlineStr">
        <is>
          <t>10:01:40</t>
        </is>
      </c>
      <c r="D1109" t="n">
        <v>1058</v>
      </c>
      <c r="E1109" t="n">
        <v>107</v>
      </c>
      <c r="F1109" t="n">
        <v>222</v>
      </c>
      <c r="G1109" t="inlineStr">
        <is>
          <t>Mumbai</t>
        </is>
      </c>
      <c r="H1109" t="inlineStr">
        <is>
          <t>Desserts</t>
        </is>
      </c>
      <c r="I1109" t="n">
        <v>904</v>
      </c>
      <c r="J1109" t="n">
        <v>0</v>
      </c>
      <c r="K1109" t="n">
        <v>25</v>
      </c>
      <c r="L1109" t="n">
        <v>0.25</v>
      </c>
      <c r="M1109" t="n">
        <v>232.25</v>
      </c>
      <c r="N1109" t="n">
        <v>2.6</v>
      </c>
      <c r="O1109" t="n">
        <v>20.1</v>
      </c>
      <c r="P1109" t="inlineStr">
        <is>
          <t>Credit Card</t>
        </is>
      </c>
      <c r="Q1109" t="inlineStr">
        <is>
          <t>Delivered</t>
        </is>
      </c>
      <c r="R1109" t="n">
        <v>5</v>
      </c>
    </row>
    <row r="1110">
      <c r="A1110" t="inlineStr">
        <is>
          <t>ORD2109</t>
        </is>
      </c>
      <c r="B1110" t="inlineStr">
        <is>
          <t>2025-07-28</t>
        </is>
      </c>
      <c r="C1110" t="inlineStr">
        <is>
          <t>17:36:34</t>
        </is>
      </c>
      <c r="D1110" t="n">
        <v>1076</v>
      </c>
      <c r="E1110" t="n">
        <v>118</v>
      </c>
      <c r="F1110" t="n">
        <v>212</v>
      </c>
      <c r="G1110" t="inlineStr">
        <is>
          <t>Delhi NCR</t>
        </is>
      </c>
      <c r="H1110" t="inlineStr">
        <is>
          <t>North Indian</t>
        </is>
      </c>
      <c r="I1110" t="n">
        <v>293</v>
      </c>
      <c r="J1110" t="n">
        <v>21.64</v>
      </c>
      <c r="K1110" t="n">
        <v>59.5</v>
      </c>
      <c r="L1110" t="n">
        <v>0.2</v>
      </c>
      <c r="M1110" t="n">
        <v>73.47</v>
      </c>
      <c r="N1110" t="n">
        <v>9.9</v>
      </c>
      <c r="O1110" t="n">
        <v/>
      </c>
      <c r="P1110" t="inlineStr">
        <is>
          <t>Digital Wallet</t>
        </is>
      </c>
      <c r="Q1110" t="inlineStr">
        <is>
          <t>Cancelled</t>
        </is>
      </c>
      <c r="R1110" t="n">
        <v/>
      </c>
    </row>
    <row r="1111">
      <c r="A1111" t="inlineStr">
        <is>
          <t>ORD2110</t>
        </is>
      </c>
      <c r="B1111" t="inlineStr">
        <is>
          <t>2025-10-20</t>
        </is>
      </c>
      <c r="C1111" t="inlineStr">
        <is>
          <t>12:52:30</t>
        </is>
      </c>
      <c r="D1111" t="n">
        <v>1037</v>
      </c>
      <c r="E1111" t="n">
        <v>115</v>
      </c>
      <c r="F1111" t="n">
        <v>227</v>
      </c>
      <c r="G1111" t="inlineStr">
        <is>
          <t>Bangalore</t>
        </is>
      </c>
      <c r="H1111" t="inlineStr">
        <is>
          <t>Italian</t>
        </is>
      </c>
      <c r="I1111" t="n">
        <v>732</v>
      </c>
      <c r="J1111" t="n">
        <v>0</v>
      </c>
      <c r="K1111" t="n">
        <v>25</v>
      </c>
      <c r="L1111" t="n">
        <v>0.2</v>
      </c>
      <c r="M1111" t="n">
        <v>152.65</v>
      </c>
      <c r="N1111" t="n">
        <v>1.8</v>
      </c>
      <c r="O1111" t="n">
        <v>26.2</v>
      </c>
      <c r="P1111" t="inlineStr">
        <is>
          <t>Digital Wallet</t>
        </is>
      </c>
      <c r="Q1111" t="inlineStr">
        <is>
          <t>Delivered</t>
        </is>
      </c>
      <c r="R1111" t="n">
        <v>4</v>
      </c>
    </row>
    <row r="1112">
      <c r="A1112" t="inlineStr">
        <is>
          <t>ORD2111</t>
        </is>
      </c>
      <c r="B1112" t="inlineStr">
        <is>
          <t>2025-08-13</t>
        </is>
      </c>
      <c r="C1112" t="inlineStr">
        <is>
          <t>09:27:40</t>
        </is>
      </c>
      <c r="D1112" t="n">
        <v>1221</v>
      </c>
      <c r="E1112" t="n">
        <v>114</v>
      </c>
      <c r="F1112" t="n">
        <v>225</v>
      </c>
      <c r="G1112" t="inlineStr">
        <is>
          <t>Hyderabad</t>
        </is>
      </c>
      <c r="H1112" t="inlineStr">
        <is>
          <t>Biryani</t>
        </is>
      </c>
      <c r="I1112" t="n">
        <v>605</v>
      </c>
      <c r="J1112" t="n">
        <v>67.26000000000001</v>
      </c>
      <c r="K1112" t="n">
        <v>50</v>
      </c>
      <c r="L1112" t="n">
        <v>0.22</v>
      </c>
      <c r="M1112" t="n">
        <v>145.6</v>
      </c>
      <c r="N1112" t="n">
        <v>8</v>
      </c>
      <c r="O1112" t="n">
        <v>45.9</v>
      </c>
      <c r="P1112" t="inlineStr">
        <is>
          <t>Credit Card</t>
        </is>
      </c>
      <c r="Q1112" t="inlineStr">
        <is>
          <t>Delivered</t>
        </is>
      </c>
      <c r="R1112" t="n">
        <v>2</v>
      </c>
    </row>
    <row r="1113">
      <c r="A1113" t="inlineStr">
        <is>
          <t>ORD2112</t>
        </is>
      </c>
      <c r="B1113" t="inlineStr">
        <is>
          <t>2025-09-13</t>
        </is>
      </c>
      <c r="C1113" t="inlineStr">
        <is>
          <t>22:14:03</t>
        </is>
      </c>
      <c r="D1113" t="n">
        <v>1128</v>
      </c>
      <c r="E1113" t="n">
        <v>114</v>
      </c>
      <c r="F1113" t="n">
        <v>215</v>
      </c>
      <c r="G1113" t="inlineStr">
        <is>
          <t>Hyderabad</t>
        </is>
      </c>
      <c r="H1113" t="inlineStr">
        <is>
          <t>Biryani</t>
        </is>
      </c>
      <c r="I1113" t="n">
        <v>1073</v>
      </c>
      <c r="J1113" t="n">
        <v>142.81</v>
      </c>
      <c r="K1113" t="n">
        <v>0</v>
      </c>
      <c r="L1113" t="n">
        <v>0.22</v>
      </c>
      <c r="M1113" t="n">
        <v>236.06</v>
      </c>
      <c r="N1113" t="n">
        <v>5.5</v>
      </c>
      <c r="O1113" t="n">
        <v>30.2</v>
      </c>
      <c r="P1113" t="inlineStr">
        <is>
          <t>Debit Card</t>
        </is>
      </c>
      <c r="Q1113" t="inlineStr">
        <is>
          <t>Delivered</t>
        </is>
      </c>
      <c r="R1113" t="n">
        <v>2</v>
      </c>
    </row>
    <row r="1114">
      <c r="A1114" t="inlineStr">
        <is>
          <t>ORD2113</t>
        </is>
      </c>
      <c r="B1114" t="inlineStr">
        <is>
          <t>2025-02-04</t>
        </is>
      </c>
      <c r="C1114" t="inlineStr">
        <is>
          <t>16:55:55</t>
        </is>
      </c>
      <c r="D1114" t="n">
        <v>1124</v>
      </c>
      <c r="E1114" t="n">
        <v>112</v>
      </c>
      <c r="F1114" t="n">
        <v>219</v>
      </c>
      <c r="G1114" t="inlineStr">
        <is>
          <t>Delhi NCR</t>
        </is>
      </c>
      <c r="H1114" t="inlineStr">
        <is>
          <t>North Indian</t>
        </is>
      </c>
      <c r="I1114" t="n">
        <v>381</v>
      </c>
      <c r="J1114" t="n">
        <v>2.28</v>
      </c>
      <c r="K1114" t="n">
        <v>28</v>
      </c>
      <c r="L1114" t="n">
        <v>0.22</v>
      </c>
      <c r="M1114" t="n">
        <v>90.81999999999999</v>
      </c>
      <c r="N1114" t="n">
        <v>3.6</v>
      </c>
      <c r="O1114" t="n">
        <v/>
      </c>
      <c r="P1114" t="inlineStr">
        <is>
          <t>Digital Wallet</t>
        </is>
      </c>
      <c r="Q1114" t="inlineStr">
        <is>
          <t>Cancelled</t>
        </is>
      </c>
      <c r="R1114" t="n">
        <v/>
      </c>
    </row>
    <row r="1115">
      <c r="A1115" t="inlineStr">
        <is>
          <t>ORD2114</t>
        </is>
      </c>
      <c r="B1115" t="inlineStr">
        <is>
          <t>2025-10-07</t>
        </is>
      </c>
      <c r="C1115" t="inlineStr">
        <is>
          <t>12:44:57</t>
        </is>
      </c>
      <c r="D1115" t="n">
        <v>1229</v>
      </c>
      <c r="E1115" t="n">
        <v>113</v>
      </c>
      <c r="F1115" t="n">
        <v>222</v>
      </c>
      <c r="G1115" t="inlineStr">
        <is>
          <t>Mumbai</t>
        </is>
      </c>
      <c r="H1115" t="inlineStr">
        <is>
          <t>Fast Food</t>
        </is>
      </c>
      <c r="I1115" t="n">
        <v>582</v>
      </c>
      <c r="J1115" t="n">
        <v>85.61</v>
      </c>
      <c r="K1115" t="n">
        <v>0</v>
      </c>
      <c r="L1115" t="n">
        <v>0.18</v>
      </c>
      <c r="M1115" t="n">
        <v>104.76</v>
      </c>
      <c r="N1115" t="n">
        <v>3.9</v>
      </c>
      <c r="O1115" t="n">
        <v>37.5</v>
      </c>
      <c r="P1115" t="inlineStr">
        <is>
          <t>Debit Card</t>
        </is>
      </c>
      <c r="Q1115" t="inlineStr">
        <is>
          <t>Delivered</t>
        </is>
      </c>
      <c r="R1115" t="n">
        <v>2</v>
      </c>
    </row>
    <row r="1116">
      <c r="A1116" t="inlineStr">
        <is>
          <t>ORD2115</t>
        </is>
      </c>
      <c r="B1116" t="inlineStr">
        <is>
          <t>2025-08-04</t>
        </is>
      </c>
      <c r="C1116" t="inlineStr">
        <is>
          <t>19:16:12</t>
        </is>
      </c>
      <c r="D1116" t="n">
        <v>1050</v>
      </c>
      <c r="E1116" t="n">
        <v>116</v>
      </c>
      <c r="F1116" t="n">
        <v>214</v>
      </c>
      <c r="G1116" t="inlineStr">
        <is>
          <t>Pune</t>
        </is>
      </c>
      <c r="H1116" t="inlineStr">
        <is>
          <t>Desserts</t>
        </is>
      </c>
      <c r="I1116" t="n">
        <v>562</v>
      </c>
      <c r="J1116" t="n">
        <v>2.67</v>
      </c>
      <c r="K1116" t="n">
        <v>44</v>
      </c>
      <c r="L1116" t="n">
        <v>0.25</v>
      </c>
      <c r="M1116" t="n">
        <v>151.5</v>
      </c>
      <c r="N1116" t="n">
        <v>6.8</v>
      </c>
      <c r="O1116" t="n">
        <v>45.3</v>
      </c>
      <c r="P1116" t="inlineStr">
        <is>
          <t>Debit Card</t>
        </is>
      </c>
      <c r="Q1116" t="inlineStr">
        <is>
          <t>Delivered</t>
        </is>
      </c>
      <c r="R1116" t="n">
        <v>2</v>
      </c>
    </row>
    <row r="1117">
      <c r="A1117" t="inlineStr">
        <is>
          <t>ORD2116</t>
        </is>
      </c>
      <c r="B1117" t="inlineStr">
        <is>
          <t>2025-02-07</t>
        </is>
      </c>
      <c r="C1117" t="inlineStr">
        <is>
          <t>19:51:36</t>
        </is>
      </c>
      <c r="D1117" t="n">
        <v>1014</v>
      </c>
      <c r="E1117" t="n">
        <v>108</v>
      </c>
      <c r="F1117" t="n">
        <v>212</v>
      </c>
      <c r="G1117" t="inlineStr">
        <is>
          <t>Delhi NCR</t>
        </is>
      </c>
      <c r="H1117" t="inlineStr">
        <is>
          <t>Fast Food</t>
        </is>
      </c>
      <c r="I1117" t="n">
        <v>844</v>
      </c>
      <c r="J1117" t="n">
        <v>51.69</v>
      </c>
      <c r="K1117" t="n">
        <v>25</v>
      </c>
      <c r="L1117" t="n">
        <v>0.18</v>
      </c>
      <c r="M1117" t="n">
        <v>158.17</v>
      </c>
      <c r="N1117" t="n">
        <v>2.9</v>
      </c>
      <c r="O1117" t="n">
        <v>34.5</v>
      </c>
      <c r="P1117" t="inlineStr">
        <is>
          <t>UPI</t>
        </is>
      </c>
      <c r="Q1117" t="inlineStr">
        <is>
          <t>Delivered</t>
        </is>
      </c>
      <c r="R1117" t="n">
        <v>5</v>
      </c>
    </row>
    <row r="1118">
      <c r="A1118" t="inlineStr">
        <is>
          <t>ORD2117</t>
        </is>
      </c>
      <c r="B1118" t="inlineStr">
        <is>
          <t>2025-03-08</t>
        </is>
      </c>
      <c r="C1118" t="inlineStr">
        <is>
          <t>20:17:46</t>
        </is>
      </c>
      <c r="D1118" t="n">
        <v>1059</v>
      </c>
      <c r="E1118" t="n">
        <v>109</v>
      </c>
      <c r="F1118" t="n">
        <v>215</v>
      </c>
      <c r="G1118" t="inlineStr">
        <is>
          <t>Hyderabad</t>
        </is>
      </c>
      <c r="H1118" t="inlineStr">
        <is>
          <t>Biryani</t>
        </is>
      </c>
      <c r="I1118" t="n">
        <v>262</v>
      </c>
      <c r="J1118" t="n">
        <v>0</v>
      </c>
      <c r="K1118" t="n">
        <v>34</v>
      </c>
      <c r="L1118" t="n">
        <v>0.2</v>
      </c>
      <c r="M1118" t="n">
        <v>60.9</v>
      </c>
      <c r="N1118" t="n">
        <v>4.8</v>
      </c>
      <c r="O1118" t="n">
        <v>39.8</v>
      </c>
      <c r="P1118" t="inlineStr">
        <is>
          <t>Credit Card</t>
        </is>
      </c>
      <c r="Q1118" t="inlineStr">
        <is>
          <t>Delivered</t>
        </is>
      </c>
      <c r="R1118" t="n">
        <v>4</v>
      </c>
    </row>
    <row r="1119">
      <c r="A1119" t="inlineStr">
        <is>
          <t>ORD2118</t>
        </is>
      </c>
      <c r="B1119" t="inlineStr">
        <is>
          <t>2025-06-05</t>
        </is>
      </c>
      <c r="C1119" t="inlineStr">
        <is>
          <t>15:50:54</t>
        </is>
      </c>
      <c r="D1119" t="n">
        <v>1222</v>
      </c>
      <c r="E1119" t="n">
        <v>119</v>
      </c>
      <c r="F1119" t="n">
        <v>216</v>
      </c>
      <c r="G1119" t="inlineStr">
        <is>
          <t>Hyderabad</t>
        </is>
      </c>
      <c r="H1119" t="inlineStr">
        <is>
          <t>Biryani</t>
        </is>
      </c>
      <c r="I1119" t="n">
        <v>453</v>
      </c>
      <c r="J1119" t="n">
        <v>0</v>
      </c>
      <c r="K1119" t="n">
        <v>25</v>
      </c>
      <c r="L1119" t="n">
        <v>0.2</v>
      </c>
      <c r="M1119" t="n">
        <v>96.84999999999999</v>
      </c>
      <c r="N1119" t="n">
        <v>1.9</v>
      </c>
      <c r="O1119" t="n">
        <v>21.4</v>
      </c>
      <c r="P1119" t="inlineStr">
        <is>
          <t>Credit Card</t>
        </is>
      </c>
      <c r="Q1119" t="inlineStr">
        <is>
          <t>Delivered</t>
        </is>
      </c>
      <c r="R1119" t="n">
        <v>4</v>
      </c>
    </row>
    <row r="1120">
      <c r="A1120" t="inlineStr">
        <is>
          <t>ORD2119</t>
        </is>
      </c>
      <c r="B1120" t="inlineStr">
        <is>
          <t>2025-01-27</t>
        </is>
      </c>
      <c r="C1120" t="inlineStr">
        <is>
          <t>10:24:49</t>
        </is>
      </c>
      <c r="D1120" t="n">
        <v>1120</v>
      </c>
      <c r="E1120" t="n">
        <v>116</v>
      </c>
      <c r="F1120" t="n">
        <v>208</v>
      </c>
      <c r="G1120" t="inlineStr">
        <is>
          <t>Pune</t>
        </is>
      </c>
      <c r="H1120" t="inlineStr">
        <is>
          <t>Desserts</t>
        </is>
      </c>
      <c r="I1120" t="n">
        <v>606</v>
      </c>
      <c r="J1120" t="n">
        <v>20.83</v>
      </c>
      <c r="K1120" t="n">
        <v>25</v>
      </c>
      <c r="L1120" t="n">
        <v>0.25</v>
      </c>
      <c r="M1120" t="n">
        <v>157.75</v>
      </c>
      <c r="N1120" t="n">
        <v>2.8</v>
      </c>
      <c r="O1120" t="n">
        <v>29.3</v>
      </c>
      <c r="P1120" t="inlineStr">
        <is>
          <t>Credit Card</t>
        </is>
      </c>
      <c r="Q1120" t="inlineStr">
        <is>
          <t>Delivered</t>
        </is>
      </c>
      <c r="R1120" t="n">
        <v>5</v>
      </c>
    </row>
    <row r="1121">
      <c r="A1121" t="inlineStr">
        <is>
          <t>ORD2120</t>
        </is>
      </c>
      <c r="B1121" t="inlineStr">
        <is>
          <t>2025-03-02</t>
        </is>
      </c>
      <c r="C1121" t="inlineStr">
        <is>
          <t>20:57:39</t>
        </is>
      </c>
      <c r="D1121" t="n">
        <v>1092</v>
      </c>
      <c r="E1121" t="n">
        <v>112</v>
      </c>
      <c r="F1121" t="n">
        <v>211</v>
      </c>
      <c r="G1121" t="inlineStr">
        <is>
          <t>Delhi NCR</t>
        </is>
      </c>
      <c r="H1121" t="inlineStr">
        <is>
          <t>North Indian</t>
        </is>
      </c>
      <c r="I1121" t="n">
        <v>596</v>
      </c>
      <c r="J1121" t="n">
        <v>44.48</v>
      </c>
      <c r="K1121" t="n">
        <v>32.5</v>
      </c>
      <c r="L1121" t="n">
        <v>0.22</v>
      </c>
      <c r="M1121" t="n">
        <v>139.24</v>
      </c>
      <c r="N1121" t="n">
        <v>4.5</v>
      </c>
      <c r="O1121" t="n">
        <v>35.7</v>
      </c>
      <c r="P1121" t="inlineStr">
        <is>
          <t>UPI</t>
        </is>
      </c>
      <c r="Q1121" t="inlineStr">
        <is>
          <t>Delivered</t>
        </is>
      </c>
      <c r="R1121" t="n">
        <v>3</v>
      </c>
    </row>
    <row r="1122">
      <c r="A1122" t="inlineStr">
        <is>
          <t>ORD2121</t>
        </is>
      </c>
      <c r="B1122" t="inlineStr">
        <is>
          <t>2025-02-17</t>
        </is>
      </c>
      <c r="C1122" t="inlineStr">
        <is>
          <t>18:37:00</t>
        </is>
      </c>
      <c r="D1122" t="n">
        <v>1022</v>
      </c>
      <c r="E1122" t="n">
        <v>104</v>
      </c>
      <c r="F1122" t="n">
        <v>230</v>
      </c>
      <c r="G1122" t="inlineStr">
        <is>
          <t>Delhi NCR</t>
        </is>
      </c>
      <c r="H1122" t="inlineStr">
        <is>
          <t>Fast Food</t>
        </is>
      </c>
      <c r="I1122" t="n">
        <v>452</v>
      </c>
      <c r="J1122" t="n">
        <v>0</v>
      </c>
      <c r="K1122" t="n">
        <v>25</v>
      </c>
      <c r="L1122" t="n">
        <v>0.18</v>
      </c>
      <c r="M1122" t="n">
        <v>87.61</v>
      </c>
      <c r="N1122" t="n">
        <v>2.7</v>
      </c>
      <c r="O1122" t="n">
        <v/>
      </c>
      <c r="P1122" t="inlineStr">
        <is>
          <t>Digital Wallet</t>
        </is>
      </c>
      <c r="Q1122" t="inlineStr">
        <is>
          <t>Cancelled</t>
        </is>
      </c>
      <c r="R1122" t="n">
        <v/>
      </c>
    </row>
    <row r="1123">
      <c r="A1123" t="inlineStr">
        <is>
          <t>ORD2122</t>
        </is>
      </c>
      <c r="B1123" t="inlineStr">
        <is>
          <t>2025-01-30</t>
        </is>
      </c>
      <c r="C1123" t="inlineStr">
        <is>
          <t>19:04:03</t>
        </is>
      </c>
      <c r="D1123" t="n">
        <v>1140</v>
      </c>
      <c r="E1123" t="n">
        <v>106</v>
      </c>
      <c r="F1123" t="n">
        <v>207</v>
      </c>
      <c r="G1123" t="inlineStr">
        <is>
          <t>Pune</t>
        </is>
      </c>
      <c r="H1123" t="inlineStr">
        <is>
          <t>South Indian</t>
        </is>
      </c>
      <c r="I1123" t="n">
        <v>561</v>
      </c>
      <c r="J1123" t="n">
        <v>66.23</v>
      </c>
      <c r="K1123" t="n">
        <v>0</v>
      </c>
      <c r="L1123" t="n">
        <v>0.15</v>
      </c>
      <c r="M1123" t="n">
        <v>84.15000000000001</v>
      </c>
      <c r="N1123" t="n">
        <v>3.1</v>
      </c>
      <c r="O1123" t="n">
        <v>24.3</v>
      </c>
      <c r="P1123" t="inlineStr">
        <is>
          <t>Debit Card</t>
        </is>
      </c>
      <c r="Q1123" t="inlineStr">
        <is>
          <t>Delivered</t>
        </is>
      </c>
      <c r="R1123" t="n">
        <v>4</v>
      </c>
    </row>
    <row r="1124">
      <c r="A1124" t="inlineStr">
        <is>
          <t>ORD2123</t>
        </is>
      </c>
      <c r="B1124" t="inlineStr">
        <is>
          <t>2025-11-07</t>
        </is>
      </c>
      <c r="C1124" t="inlineStr">
        <is>
          <t>13:25:30</t>
        </is>
      </c>
      <c r="D1124" t="n">
        <v>1216</v>
      </c>
      <c r="E1124" t="n">
        <v>116</v>
      </c>
      <c r="F1124" t="n">
        <v>204</v>
      </c>
      <c r="G1124" t="inlineStr">
        <is>
          <t>Pune</t>
        </is>
      </c>
      <c r="H1124" t="inlineStr">
        <is>
          <t>Desserts</t>
        </is>
      </c>
      <c r="I1124" t="n">
        <v>893</v>
      </c>
      <c r="J1124" t="n">
        <v>0</v>
      </c>
      <c r="K1124" t="n">
        <v>38</v>
      </c>
      <c r="L1124" t="n">
        <v>0.25</v>
      </c>
      <c r="M1124" t="n">
        <v>232.75</v>
      </c>
      <c r="N1124" t="n">
        <v>5.6</v>
      </c>
      <c r="O1124" t="n">
        <v>36.1</v>
      </c>
      <c r="P1124" t="inlineStr">
        <is>
          <t>Debit Card</t>
        </is>
      </c>
      <c r="Q1124" t="inlineStr">
        <is>
          <t>Delivered</t>
        </is>
      </c>
      <c r="R1124" t="n">
        <v>3</v>
      </c>
    </row>
    <row r="1125">
      <c r="A1125" t="inlineStr">
        <is>
          <t>ORD2124</t>
        </is>
      </c>
      <c r="B1125" t="inlineStr">
        <is>
          <t>2025-04-23</t>
        </is>
      </c>
      <c r="C1125" t="inlineStr">
        <is>
          <t>09:28:45</t>
        </is>
      </c>
      <c r="D1125" t="n">
        <v>1110</v>
      </c>
      <c r="E1125" t="n">
        <v>103</v>
      </c>
      <c r="F1125" t="n">
        <v>202</v>
      </c>
      <c r="G1125" t="inlineStr">
        <is>
          <t>Mumbai</t>
        </is>
      </c>
      <c r="H1125" t="inlineStr">
        <is>
          <t>Italian</t>
        </is>
      </c>
      <c r="I1125" t="n">
        <v>529</v>
      </c>
      <c r="J1125" t="n">
        <v>33.02</v>
      </c>
      <c r="K1125" t="n">
        <v>45.5</v>
      </c>
      <c r="L1125" t="n">
        <v>0.18</v>
      </c>
      <c r="M1125" t="n">
        <v>106.6</v>
      </c>
      <c r="N1125" t="n">
        <v>7.1</v>
      </c>
      <c r="O1125" t="n">
        <v>39.5</v>
      </c>
      <c r="P1125" t="inlineStr">
        <is>
          <t>Credit Card</t>
        </is>
      </c>
      <c r="Q1125" t="inlineStr">
        <is>
          <t>Delivered</t>
        </is>
      </c>
      <c r="R1125" t="n">
        <v>4</v>
      </c>
    </row>
    <row r="1126">
      <c r="A1126" t="inlineStr">
        <is>
          <t>ORD2125</t>
        </is>
      </c>
      <c r="B1126" t="inlineStr">
        <is>
          <t>2025-01-28</t>
        </is>
      </c>
      <c r="C1126" t="inlineStr">
        <is>
          <t>12:22:57</t>
        </is>
      </c>
      <c r="D1126" t="n">
        <v>1094</v>
      </c>
      <c r="E1126" t="n">
        <v>118</v>
      </c>
      <c r="F1126" t="n">
        <v>211</v>
      </c>
      <c r="G1126" t="inlineStr">
        <is>
          <t>Delhi NCR</t>
        </is>
      </c>
      <c r="H1126" t="inlineStr">
        <is>
          <t>North Indian</t>
        </is>
      </c>
      <c r="I1126" t="n">
        <v>640</v>
      </c>
      <c r="J1126" t="n">
        <v>31.84</v>
      </c>
      <c r="K1126" t="n">
        <v>63</v>
      </c>
      <c r="L1126" t="n">
        <v>0.2</v>
      </c>
      <c r="M1126" t="n">
        <v>143.75</v>
      </c>
      <c r="N1126" t="n">
        <v>10.6</v>
      </c>
      <c r="O1126" t="n">
        <v>56.8</v>
      </c>
      <c r="P1126" t="inlineStr">
        <is>
          <t>Credit Card</t>
        </is>
      </c>
      <c r="Q1126" t="inlineStr">
        <is>
          <t>Delivered</t>
        </is>
      </c>
      <c r="R1126" t="n">
        <v>4</v>
      </c>
    </row>
    <row r="1127">
      <c r="A1127" t="inlineStr">
        <is>
          <t>ORD2126</t>
        </is>
      </c>
      <c r="B1127" t="inlineStr">
        <is>
          <t>2025-06-06</t>
        </is>
      </c>
      <c r="C1127" t="inlineStr">
        <is>
          <t>21:47:35</t>
        </is>
      </c>
      <c r="D1127" t="n">
        <v>1164</v>
      </c>
      <c r="E1127" t="n">
        <v>110</v>
      </c>
      <c r="F1127" t="n">
        <v>214</v>
      </c>
      <c r="G1127" t="inlineStr">
        <is>
          <t>Pune</t>
        </is>
      </c>
      <c r="H1127" t="inlineStr">
        <is>
          <t>North Indian</t>
        </is>
      </c>
      <c r="I1127" t="n">
        <v>435</v>
      </c>
      <c r="J1127" t="n">
        <v>0</v>
      </c>
      <c r="K1127" t="n">
        <v>25</v>
      </c>
      <c r="L1127" t="n">
        <v>0.18</v>
      </c>
      <c r="M1127" t="n">
        <v>84.55</v>
      </c>
      <c r="N1127" t="n">
        <v>1.6</v>
      </c>
      <c r="O1127" t="n">
        <v>25.8</v>
      </c>
      <c r="P1127" t="inlineStr">
        <is>
          <t>Credit Card</t>
        </is>
      </c>
      <c r="Q1127" t="inlineStr">
        <is>
          <t>Delivered</t>
        </is>
      </c>
      <c r="R1127" t="n">
        <v>5</v>
      </c>
    </row>
    <row r="1128">
      <c r="A1128" t="inlineStr">
        <is>
          <t>ORD2127</t>
        </is>
      </c>
      <c r="B1128" t="inlineStr">
        <is>
          <t>2025-12-24</t>
        </is>
      </c>
      <c r="C1128" t="inlineStr">
        <is>
          <t>21:28:41</t>
        </is>
      </c>
      <c r="D1128" t="n">
        <v>1065</v>
      </c>
      <c r="E1128" t="n">
        <v>108</v>
      </c>
      <c r="F1128" t="n">
        <v>228</v>
      </c>
      <c r="G1128" t="inlineStr">
        <is>
          <t>Delhi NCR</t>
        </is>
      </c>
      <c r="H1128" t="inlineStr">
        <is>
          <t>Fast Food</t>
        </is>
      </c>
      <c r="I1128" t="n">
        <v>684</v>
      </c>
      <c r="J1128" t="n">
        <v>1.16</v>
      </c>
      <c r="K1128" t="n">
        <v>28.5</v>
      </c>
      <c r="L1128" t="n">
        <v>0.18</v>
      </c>
      <c r="M1128" t="n">
        <v>130.24</v>
      </c>
      <c r="N1128" t="n">
        <v>3.7</v>
      </c>
      <c r="O1128" t="n">
        <v>34.7</v>
      </c>
      <c r="P1128" t="inlineStr">
        <is>
          <t>Debit Card</t>
        </is>
      </c>
      <c r="Q1128" t="inlineStr">
        <is>
          <t>Delivered</t>
        </is>
      </c>
      <c r="R1128" t="n">
        <v>3</v>
      </c>
    </row>
    <row r="1129">
      <c r="A1129" t="inlineStr">
        <is>
          <t>ORD2128</t>
        </is>
      </c>
      <c r="B1129" t="inlineStr">
        <is>
          <t>2025-02-13</t>
        </is>
      </c>
      <c r="C1129" t="inlineStr">
        <is>
          <t>12:03:17</t>
        </is>
      </c>
      <c r="D1129" t="n">
        <v>1037</v>
      </c>
      <c r="E1129" t="n">
        <v>105</v>
      </c>
      <c r="F1129" t="n">
        <v>227</v>
      </c>
      <c r="G1129" t="inlineStr">
        <is>
          <t>Bangalore</t>
        </is>
      </c>
      <c r="H1129" t="inlineStr">
        <is>
          <t>Chinese</t>
        </is>
      </c>
      <c r="I1129" t="n">
        <v>844</v>
      </c>
      <c r="J1129" t="n">
        <v>0</v>
      </c>
      <c r="K1129" t="n">
        <v>32.5</v>
      </c>
      <c r="L1129" t="n">
        <v>0.2</v>
      </c>
      <c r="M1129" t="n">
        <v>176.92</v>
      </c>
      <c r="N1129" t="n">
        <v>4.5</v>
      </c>
      <c r="O1129" t="n">
        <v>29.6</v>
      </c>
      <c r="P1129" t="inlineStr">
        <is>
          <t>Cash on Delivery</t>
        </is>
      </c>
      <c r="Q1129" t="inlineStr">
        <is>
          <t>Delivered</t>
        </is>
      </c>
      <c r="R1129" t="n">
        <v>5</v>
      </c>
    </row>
    <row r="1130">
      <c r="A1130" t="inlineStr">
        <is>
          <t>ORD2129</t>
        </is>
      </c>
      <c r="B1130" t="inlineStr">
        <is>
          <t>2025-04-25</t>
        </is>
      </c>
      <c r="C1130" t="inlineStr">
        <is>
          <t>21:13:24</t>
        </is>
      </c>
      <c r="D1130" t="n">
        <v>1134</v>
      </c>
      <c r="E1130" t="n">
        <v>119</v>
      </c>
      <c r="F1130" t="n">
        <v>215</v>
      </c>
      <c r="G1130" t="inlineStr">
        <is>
          <t>Hyderabad</t>
        </is>
      </c>
      <c r="H1130" t="inlineStr">
        <is>
          <t>Biryani</t>
        </is>
      </c>
      <c r="I1130" t="n">
        <v>408</v>
      </c>
      <c r="J1130" t="n">
        <v>17.38</v>
      </c>
      <c r="K1130" t="n">
        <v>34</v>
      </c>
      <c r="L1130" t="n">
        <v>0.2</v>
      </c>
      <c r="M1130" t="n">
        <v>90.09999999999999</v>
      </c>
      <c r="N1130" t="n">
        <v>4.8</v>
      </c>
      <c r="O1130" t="n">
        <v>37.5</v>
      </c>
      <c r="P1130" t="inlineStr">
        <is>
          <t>UPI</t>
        </is>
      </c>
      <c r="Q1130" t="inlineStr">
        <is>
          <t>Delivered</t>
        </is>
      </c>
      <c r="R1130" t="n">
        <v>5</v>
      </c>
    </row>
    <row r="1131">
      <c r="A1131" t="inlineStr">
        <is>
          <t>ORD2130</t>
        </is>
      </c>
      <c r="B1131" t="inlineStr">
        <is>
          <t>2025-05-15</t>
        </is>
      </c>
      <c r="C1131" t="inlineStr">
        <is>
          <t>10:51:48</t>
        </is>
      </c>
      <c r="D1131" t="n">
        <v>1164</v>
      </c>
      <c r="E1131" t="n">
        <v>110</v>
      </c>
      <c r="F1131" t="n">
        <v>224</v>
      </c>
      <c r="G1131" t="inlineStr">
        <is>
          <t>Pune</t>
        </is>
      </c>
      <c r="H1131" t="inlineStr">
        <is>
          <t>North Indian</t>
        </is>
      </c>
      <c r="I1131" t="n">
        <v>825</v>
      </c>
      <c r="J1131" t="n">
        <v>0</v>
      </c>
      <c r="K1131" t="n">
        <v>25</v>
      </c>
      <c r="L1131" t="n">
        <v>0.18</v>
      </c>
      <c r="M1131" t="n">
        <v>154.75</v>
      </c>
      <c r="N1131" t="n">
        <v>1.1</v>
      </c>
      <c r="O1131" t="n">
        <v>19.4</v>
      </c>
      <c r="P1131" t="inlineStr">
        <is>
          <t>Digital Wallet</t>
        </is>
      </c>
      <c r="Q1131" t="inlineStr">
        <is>
          <t>Delivered</t>
        </is>
      </c>
      <c r="R1131" t="n">
        <v>2</v>
      </c>
    </row>
    <row r="1132">
      <c r="A1132" t="inlineStr">
        <is>
          <t>ORD2131</t>
        </is>
      </c>
      <c r="B1132" t="inlineStr">
        <is>
          <t>2025-02-25</t>
        </is>
      </c>
      <c r="C1132" t="inlineStr">
        <is>
          <t>07:35:24</t>
        </is>
      </c>
      <c r="D1132" t="n">
        <v>1097</v>
      </c>
      <c r="E1132" t="n">
        <v>111</v>
      </c>
      <c r="F1132" t="n">
        <v>218</v>
      </c>
      <c r="G1132" t="inlineStr">
        <is>
          <t>Bangalore</t>
        </is>
      </c>
      <c r="H1132" t="inlineStr">
        <is>
          <t>South Indian</t>
        </is>
      </c>
      <c r="I1132" t="n">
        <v>914</v>
      </c>
      <c r="J1132" t="n">
        <v>0</v>
      </c>
      <c r="K1132" t="n">
        <v>34</v>
      </c>
      <c r="L1132" t="n">
        <v>0.15</v>
      </c>
      <c r="M1132" t="n">
        <v>145.6</v>
      </c>
      <c r="N1132" t="n">
        <v>4.8</v>
      </c>
      <c r="O1132" t="n">
        <v>40.3</v>
      </c>
      <c r="P1132" t="inlineStr">
        <is>
          <t>Digital Wallet</t>
        </is>
      </c>
      <c r="Q1132" t="inlineStr">
        <is>
          <t>Delivered</t>
        </is>
      </c>
      <c r="R1132" t="n">
        <v>4</v>
      </c>
    </row>
    <row r="1133">
      <c r="A1133" t="inlineStr">
        <is>
          <t>ORD2132</t>
        </is>
      </c>
      <c r="B1133" t="inlineStr">
        <is>
          <t>2025-03-25</t>
        </is>
      </c>
      <c r="C1133" t="inlineStr">
        <is>
          <t>18:24:29</t>
        </is>
      </c>
      <c r="D1133" t="n">
        <v>1164</v>
      </c>
      <c r="E1133" t="n">
        <v>106</v>
      </c>
      <c r="F1133" t="n">
        <v>217</v>
      </c>
      <c r="G1133" t="inlineStr">
        <is>
          <t>Pune</t>
        </is>
      </c>
      <c r="H1133" t="inlineStr">
        <is>
          <t>South Indian</t>
        </is>
      </c>
      <c r="I1133" t="n">
        <v>463</v>
      </c>
      <c r="J1133" t="n">
        <v>0</v>
      </c>
      <c r="K1133" t="n">
        <v>37.5</v>
      </c>
      <c r="L1133" t="n">
        <v>0.15</v>
      </c>
      <c r="M1133" t="n">
        <v>78.81999999999999</v>
      </c>
      <c r="N1133" t="n">
        <v>5.5</v>
      </c>
      <c r="O1133" t="n">
        <v>30.1</v>
      </c>
      <c r="P1133" t="inlineStr">
        <is>
          <t>Debit Card</t>
        </is>
      </c>
      <c r="Q1133" t="inlineStr">
        <is>
          <t>Delivered</t>
        </is>
      </c>
      <c r="R1133" t="n">
        <v>5</v>
      </c>
    </row>
    <row r="1134">
      <c r="A1134" t="inlineStr">
        <is>
          <t>ORD2133</t>
        </is>
      </c>
      <c r="B1134" t="inlineStr">
        <is>
          <t>2025-10-05</t>
        </is>
      </c>
      <c r="C1134" t="inlineStr">
        <is>
          <t>18:18:21</t>
        </is>
      </c>
      <c r="D1134" t="n">
        <v>1233</v>
      </c>
      <c r="E1134" t="n">
        <v>120</v>
      </c>
      <c r="F1134" t="n">
        <v>217</v>
      </c>
      <c r="G1134" t="inlineStr">
        <is>
          <t>Pune</t>
        </is>
      </c>
      <c r="H1134" t="inlineStr">
        <is>
          <t>Fast Food</t>
        </is>
      </c>
      <c r="I1134" t="n">
        <v>804</v>
      </c>
      <c r="J1134" t="n">
        <v>0</v>
      </c>
      <c r="K1134" t="n">
        <v>35.5</v>
      </c>
      <c r="L1134" t="n">
        <v>0.18</v>
      </c>
      <c r="M1134" t="n">
        <v>153.6</v>
      </c>
      <c r="N1134" t="n">
        <v>5.1</v>
      </c>
      <c r="O1134" t="n">
        <v/>
      </c>
      <c r="P1134" t="inlineStr">
        <is>
          <t>Debit Card</t>
        </is>
      </c>
      <c r="Q1134" t="inlineStr">
        <is>
          <t>Cancelled</t>
        </is>
      </c>
      <c r="R1134" t="n">
        <v/>
      </c>
    </row>
    <row r="1135">
      <c r="A1135" t="inlineStr">
        <is>
          <t>ORD2134</t>
        </is>
      </c>
      <c r="B1135" t="inlineStr">
        <is>
          <t>2025-03-05</t>
        </is>
      </c>
      <c r="C1135" t="inlineStr">
        <is>
          <t>12:19:36</t>
        </is>
      </c>
      <c r="D1135" t="n">
        <v>1176</v>
      </c>
      <c r="E1135" t="n">
        <v>102</v>
      </c>
      <c r="F1135" t="n">
        <v>215</v>
      </c>
      <c r="G1135" t="inlineStr">
        <is>
          <t>Hyderabad</t>
        </is>
      </c>
      <c r="H1135" t="inlineStr">
        <is>
          <t>Biryani</t>
        </is>
      </c>
      <c r="I1135" t="n">
        <v>896</v>
      </c>
      <c r="J1135" t="n">
        <v>0</v>
      </c>
      <c r="K1135" t="n">
        <v>25</v>
      </c>
      <c r="L1135" t="n">
        <v>0.22</v>
      </c>
      <c r="M1135" t="n">
        <v>203.37</v>
      </c>
      <c r="N1135" t="n">
        <v>2.2</v>
      </c>
      <c r="O1135" t="n">
        <v>26.1</v>
      </c>
      <c r="P1135" t="inlineStr">
        <is>
          <t>Credit Card</t>
        </is>
      </c>
      <c r="Q1135" t="inlineStr">
        <is>
          <t>Delivered</t>
        </is>
      </c>
      <c r="R1135" t="n">
        <v>5</v>
      </c>
    </row>
    <row r="1136">
      <c r="A1136" t="inlineStr">
        <is>
          <t>ORD2135</t>
        </is>
      </c>
      <c r="B1136" t="inlineStr">
        <is>
          <t>2025-08-14</t>
        </is>
      </c>
      <c r="C1136" t="inlineStr">
        <is>
          <t>20:00:29</t>
        </is>
      </c>
      <c r="D1136" t="n">
        <v>1168</v>
      </c>
      <c r="E1136" t="n">
        <v>110</v>
      </c>
      <c r="F1136" t="n">
        <v>214</v>
      </c>
      <c r="G1136" t="inlineStr">
        <is>
          <t>Pune</t>
        </is>
      </c>
      <c r="H1136" t="inlineStr">
        <is>
          <t>North Indian</t>
        </is>
      </c>
      <c r="I1136" t="n">
        <v>257</v>
      </c>
      <c r="J1136" t="n">
        <v>9.869999999999999</v>
      </c>
      <c r="K1136" t="n">
        <v>27.5</v>
      </c>
      <c r="L1136" t="n">
        <v>0.18</v>
      </c>
      <c r="M1136" t="n">
        <v>53.14</v>
      </c>
      <c r="N1136" t="n">
        <v>3.5</v>
      </c>
      <c r="O1136" t="n">
        <v>38.1</v>
      </c>
      <c r="P1136" t="inlineStr">
        <is>
          <t>Credit Card</t>
        </is>
      </c>
      <c r="Q1136" t="inlineStr">
        <is>
          <t>Delivered</t>
        </is>
      </c>
      <c r="R1136" t="n">
        <v>4</v>
      </c>
    </row>
    <row r="1137">
      <c r="A1137" t="inlineStr">
        <is>
          <t>ORD2136</t>
        </is>
      </c>
      <c r="B1137" t="inlineStr">
        <is>
          <t>2025-05-22</t>
        </is>
      </c>
      <c r="C1137" t="inlineStr">
        <is>
          <t>17:57:39</t>
        </is>
      </c>
      <c r="D1137" t="n">
        <v>1119</v>
      </c>
      <c r="E1137" t="n">
        <v>104</v>
      </c>
      <c r="F1137" t="n">
        <v>230</v>
      </c>
      <c r="G1137" t="inlineStr">
        <is>
          <t>Delhi NCR</t>
        </is>
      </c>
      <c r="H1137" t="inlineStr">
        <is>
          <t>Fast Food</t>
        </is>
      </c>
      <c r="I1137" t="n">
        <v>964</v>
      </c>
      <c r="J1137" t="n">
        <v>188.3</v>
      </c>
      <c r="K1137" t="n">
        <v>0</v>
      </c>
      <c r="L1137" t="n">
        <v>0.18</v>
      </c>
      <c r="M1137" t="n">
        <v>173.52</v>
      </c>
      <c r="N1137" t="n">
        <v>5.6</v>
      </c>
      <c r="O1137" t="n">
        <v>36.6</v>
      </c>
      <c r="P1137" t="inlineStr">
        <is>
          <t>Debit Card</t>
        </is>
      </c>
      <c r="Q1137" t="inlineStr">
        <is>
          <t>Delivered</t>
        </is>
      </c>
      <c r="R1137" t="n">
        <v>3</v>
      </c>
    </row>
    <row r="1138">
      <c r="A1138" t="inlineStr">
        <is>
          <t>ORD2137</t>
        </is>
      </c>
      <c r="B1138" t="inlineStr">
        <is>
          <t>2025-03-07</t>
        </is>
      </c>
      <c r="C1138" t="inlineStr">
        <is>
          <t>19:14:40</t>
        </is>
      </c>
      <c r="D1138" t="n">
        <v>1215</v>
      </c>
      <c r="E1138" t="n">
        <v>120</v>
      </c>
      <c r="F1138" t="n">
        <v>207</v>
      </c>
      <c r="G1138" t="inlineStr">
        <is>
          <t>Pune</t>
        </is>
      </c>
      <c r="H1138" t="inlineStr">
        <is>
          <t>Fast Food</t>
        </is>
      </c>
      <c r="I1138" t="n">
        <v>398</v>
      </c>
      <c r="J1138" t="n">
        <v>23.99</v>
      </c>
      <c r="K1138" t="n">
        <v>46.5</v>
      </c>
      <c r="L1138" t="n">
        <v>0.18</v>
      </c>
      <c r="M1138" t="n">
        <v>83.26000000000001</v>
      </c>
      <c r="N1138" t="n">
        <v>7.3</v>
      </c>
      <c r="O1138" t="n">
        <v>45.8</v>
      </c>
      <c r="P1138" t="inlineStr">
        <is>
          <t>UPI</t>
        </is>
      </c>
      <c r="Q1138" t="inlineStr">
        <is>
          <t>Delivered</t>
        </is>
      </c>
      <c r="R1138" t="n">
        <v>3</v>
      </c>
    </row>
    <row r="1139">
      <c r="A1139" t="inlineStr">
        <is>
          <t>ORD2138</t>
        </is>
      </c>
      <c r="B1139" t="inlineStr">
        <is>
          <t>2025-12-02</t>
        </is>
      </c>
      <c r="C1139" t="inlineStr">
        <is>
          <t>15:02:11</t>
        </is>
      </c>
      <c r="D1139" t="n">
        <v>1218</v>
      </c>
      <c r="E1139" t="n">
        <v>112</v>
      </c>
      <c r="F1139" t="n">
        <v>219</v>
      </c>
      <c r="G1139" t="inlineStr">
        <is>
          <t>Delhi NCR</t>
        </is>
      </c>
      <c r="H1139" t="inlineStr">
        <is>
          <t>North Indian</t>
        </is>
      </c>
      <c r="I1139" t="n">
        <v>920</v>
      </c>
      <c r="J1139" t="n">
        <v>78.63</v>
      </c>
      <c r="K1139" t="n">
        <v>25</v>
      </c>
      <c r="L1139" t="n">
        <v>0.22</v>
      </c>
      <c r="M1139" t="n">
        <v>208.65</v>
      </c>
      <c r="N1139" t="n">
        <v>3</v>
      </c>
      <c r="O1139" t="n">
        <v>25.7</v>
      </c>
      <c r="P1139" t="inlineStr">
        <is>
          <t>Debit Card</t>
        </is>
      </c>
      <c r="Q1139" t="inlineStr">
        <is>
          <t>Delivered</t>
        </is>
      </c>
      <c r="R1139" t="n">
        <v>5</v>
      </c>
    </row>
    <row r="1140">
      <c r="A1140" t="inlineStr">
        <is>
          <t>ORD2139</t>
        </is>
      </c>
      <c r="B1140" t="inlineStr">
        <is>
          <t>2025-02-01</t>
        </is>
      </c>
      <c r="C1140" t="inlineStr">
        <is>
          <t>22:45:16</t>
        </is>
      </c>
      <c r="D1140" t="n">
        <v>1086</v>
      </c>
      <c r="E1140" t="n">
        <v>112</v>
      </c>
      <c r="F1140" t="n">
        <v>212</v>
      </c>
      <c r="G1140" t="inlineStr">
        <is>
          <t>Delhi NCR</t>
        </is>
      </c>
      <c r="H1140" t="inlineStr">
        <is>
          <t>North Indian</t>
        </is>
      </c>
      <c r="I1140" t="n">
        <v>483</v>
      </c>
      <c r="J1140" t="n">
        <v>0</v>
      </c>
      <c r="K1140" t="n">
        <v>33.5</v>
      </c>
      <c r="L1140" t="n">
        <v>0.22</v>
      </c>
      <c r="M1140" t="n">
        <v>114.64</v>
      </c>
      <c r="N1140" t="n">
        <v>4.7</v>
      </c>
      <c r="O1140" t="n">
        <v>35.8</v>
      </c>
      <c r="P1140" t="inlineStr">
        <is>
          <t>Debit Card</t>
        </is>
      </c>
      <c r="Q1140" t="inlineStr">
        <is>
          <t>Delivered</t>
        </is>
      </c>
      <c r="R1140" t="n">
        <v>3</v>
      </c>
    </row>
    <row r="1141">
      <c r="A1141" t="inlineStr">
        <is>
          <t>ORD2140</t>
        </is>
      </c>
      <c r="B1141" t="inlineStr">
        <is>
          <t>2025-02-25</t>
        </is>
      </c>
      <c r="C1141" t="inlineStr">
        <is>
          <t>21:04:32</t>
        </is>
      </c>
      <c r="D1141" t="n">
        <v>1225</v>
      </c>
      <c r="E1141" t="n">
        <v>116</v>
      </c>
      <c r="F1141" t="n">
        <v>208</v>
      </c>
      <c r="G1141" t="inlineStr">
        <is>
          <t>Pune</t>
        </is>
      </c>
      <c r="H1141" t="inlineStr">
        <is>
          <t>Desserts</t>
        </is>
      </c>
      <c r="I1141" t="n">
        <v>674</v>
      </c>
      <c r="J1141" t="n">
        <v>0</v>
      </c>
      <c r="K1141" t="n">
        <v>28.5</v>
      </c>
      <c r="L1141" t="n">
        <v>0.25</v>
      </c>
      <c r="M1141" t="n">
        <v>175.62</v>
      </c>
      <c r="N1141" t="n">
        <v>3.7</v>
      </c>
      <c r="O1141" t="n">
        <v>27.1</v>
      </c>
      <c r="P1141" t="inlineStr">
        <is>
          <t>Credit Card</t>
        </is>
      </c>
      <c r="Q1141" t="inlineStr">
        <is>
          <t>Delivered</t>
        </is>
      </c>
      <c r="R1141" t="n">
        <v>5</v>
      </c>
    </row>
    <row r="1142">
      <c r="A1142" t="inlineStr">
        <is>
          <t>ORD2141</t>
        </is>
      </c>
      <c r="B1142" t="inlineStr">
        <is>
          <t>2025-02-06</t>
        </is>
      </c>
      <c r="C1142" t="inlineStr">
        <is>
          <t>19:41:27</t>
        </is>
      </c>
      <c r="D1142" t="n">
        <v>1014</v>
      </c>
      <c r="E1142" t="n">
        <v>108</v>
      </c>
      <c r="F1142" t="n">
        <v>211</v>
      </c>
      <c r="G1142" t="inlineStr">
        <is>
          <t>Delhi NCR</t>
        </is>
      </c>
      <c r="H1142" t="inlineStr">
        <is>
          <t>Fast Food</t>
        </is>
      </c>
      <c r="I1142" t="n">
        <v>509</v>
      </c>
      <c r="J1142" t="n">
        <v>0</v>
      </c>
      <c r="K1142" t="n">
        <v>33.5</v>
      </c>
      <c r="L1142" t="n">
        <v>0.18</v>
      </c>
      <c r="M1142" t="n">
        <v>99.98999999999999</v>
      </c>
      <c r="N1142" t="n">
        <v>4.7</v>
      </c>
      <c r="O1142" t="n">
        <v>37.8</v>
      </c>
      <c r="P1142" t="inlineStr">
        <is>
          <t>Debit Card</t>
        </is>
      </c>
      <c r="Q1142" t="inlineStr">
        <is>
          <t>Delivered</t>
        </is>
      </c>
      <c r="R1142" t="n">
        <v>4</v>
      </c>
    </row>
    <row r="1143">
      <c r="A1143" t="inlineStr">
        <is>
          <t>ORD2142</t>
        </is>
      </c>
      <c r="B1143" t="inlineStr">
        <is>
          <t>2025-08-29</t>
        </is>
      </c>
      <c r="C1143" t="inlineStr">
        <is>
          <t>18:18:39</t>
        </is>
      </c>
      <c r="D1143" t="n">
        <v>1062</v>
      </c>
      <c r="E1143" t="n">
        <v>103</v>
      </c>
      <c r="F1143" t="n">
        <v>229</v>
      </c>
      <c r="G1143" t="inlineStr">
        <is>
          <t>Mumbai</t>
        </is>
      </c>
      <c r="H1143" t="inlineStr">
        <is>
          <t>Italian</t>
        </is>
      </c>
      <c r="I1143" t="n">
        <v>251</v>
      </c>
      <c r="J1143" t="n">
        <v>0</v>
      </c>
      <c r="K1143" t="n">
        <v>25</v>
      </c>
      <c r="L1143" t="n">
        <v>0.18</v>
      </c>
      <c r="M1143" t="n">
        <v>51.43</v>
      </c>
      <c r="N1143" t="n">
        <v>2.2</v>
      </c>
      <c r="O1143" t="n">
        <v>22</v>
      </c>
      <c r="P1143" t="inlineStr">
        <is>
          <t>Credit Card</t>
        </is>
      </c>
      <c r="Q1143" t="inlineStr">
        <is>
          <t>Delivered</t>
        </is>
      </c>
      <c r="R1143" t="n">
        <v>5</v>
      </c>
    </row>
    <row r="1144">
      <c r="A1144" t="inlineStr">
        <is>
          <t>ORD2143</t>
        </is>
      </c>
      <c r="B1144" t="inlineStr">
        <is>
          <t>2025-06-10</t>
        </is>
      </c>
      <c r="C1144" t="inlineStr">
        <is>
          <t>17:32:45</t>
        </is>
      </c>
      <c r="D1144" t="n">
        <v>1241</v>
      </c>
      <c r="E1144" t="n">
        <v>119</v>
      </c>
      <c r="F1144" t="n">
        <v>225</v>
      </c>
      <c r="G1144" t="inlineStr">
        <is>
          <t>Hyderabad</t>
        </is>
      </c>
      <c r="H1144" t="inlineStr">
        <is>
          <t>Biryani</t>
        </is>
      </c>
      <c r="I1144" t="n">
        <v>1040</v>
      </c>
      <c r="J1144" t="n">
        <v>164.47</v>
      </c>
      <c r="K1144" t="n">
        <v>0</v>
      </c>
      <c r="L1144" t="n">
        <v>0.2</v>
      </c>
      <c r="M1144" t="n">
        <v>208</v>
      </c>
      <c r="N1144" t="n">
        <v>6.8</v>
      </c>
      <c r="O1144" t="n">
        <v>36.5</v>
      </c>
      <c r="P1144" t="inlineStr">
        <is>
          <t>Credit Card</t>
        </is>
      </c>
      <c r="Q1144" t="inlineStr">
        <is>
          <t>Delivered</t>
        </is>
      </c>
      <c r="R1144" t="n">
        <v>4</v>
      </c>
    </row>
    <row r="1145">
      <c r="A1145" t="inlineStr">
        <is>
          <t>ORD2144</t>
        </is>
      </c>
      <c r="B1145" t="inlineStr">
        <is>
          <t>2025-07-15</t>
        </is>
      </c>
      <c r="C1145" t="inlineStr">
        <is>
          <t>20:48:41</t>
        </is>
      </c>
      <c r="D1145" t="n">
        <v>1101</v>
      </c>
      <c r="E1145" t="n">
        <v>111</v>
      </c>
      <c r="F1145" t="n">
        <v>223</v>
      </c>
      <c r="G1145" t="inlineStr">
        <is>
          <t>Bangalore</t>
        </is>
      </c>
      <c r="H1145" t="inlineStr">
        <is>
          <t>South Indian</t>
        </is>
      </c>
      <c r="I1145" t="n">
        <v>300</v>
      </c>
      <c r="J1145" t="n">
        <v>23.01</v>
      </c>
      <c r="K1145" t="n">
        <v>29.5</v>
      </c>
      <c r="L1145" t="n">
        <v>0.15</v>
      </c>
      <c r="M1145" t="n">
        <v>52.38</v>
      </c>
      <c r="N1145" t="n">
        <v>3.9</v>
      </c>
      <c r="O1145" t="n">
        <v>38.5</v>
      </c>
      <c r="P1145" t="inlineStr">
        <is>
          <t>Digital Wallet</t>
        </is>
      </c>
      <c r="Q1145" t="inlineStr">
        <is>
          <t>Delivered</t>
        </is>
      </c>
      <c r="R1145" t="n">
        <v>5</v>
      </c>
    </row>
    <row r="1146">
      <c r="A1146" t="inlineStr">
        <is>
          <t>ORD2145</t>
        </is>
      </c>
      <c r="B1146" t="inlineStr">
        <is>
          <t>2025-11-07</t>
        </is>
      </c>
      <c r="C1146" t="inlineStr">
        <is>
          <t>22:30:42</t>
        </is>
      </c>
      <c r="D1146" t="n">
        <v>1210</v>
      </c>
      <c r="E1146" t="n">
        <v>104</v>
      </c>
      <c r="F1146" t="n">
        <v>221</v>
      </c>
      <c r="G1146" t="inlineStr">
        <is>
          <t>Delhi NCR</t>
        </is>
      </c>
      <c r="H1146" t="inlineStr">
        <is>
          <t>Fast Food</t>
        </is>
      </c>
      <c r="I1146" t="n">
        <v>757</v>
      </c>
      <c r="J1146" t="n">
        <v>19.19</v>
      </c>
      <c r="K1146" t="n">
        <v>25</v>
      </c>
      <c r="L1146" t="n">
        <v>0.18</v>
      </c>
      <c r="M1146" t="n">
        <v>142.51</v>
      </c>
      <c r="N1146" t="n">
        <v>2.4</v>
      </c>
      <c r="O1146" t="n">
        <v>23.2</v>
      </c>
      <c r="P1146" t="inlineStr">
        <is>
          <t>Digital Wallet</t>
        </is>
      </c>
      <c r="Q1146" t="inlineStr">
        <is>
          <t>Delivered</t>
        </is>
      </c>
      <c r="R1146" t="n">
        <v>4</v>
      </c>
    </row>
    <row r="1147">
      <c r="A1147" t="inlineStr">
        <is>
          <t>ORD2146</t>
        </is>
      </c>
      <c r="B1147" t="inlineStr">
        <is>
          <t>2025-05-05</t>
        </is>
      </c>
      <c r="C1147" t="inlineStr">
        <is>
          <t>18:51:49</t>
        </is>
      </c>
      <c r="D1147" t="n">
        <v>1174</v>
      </c>
      <c r="E1147" t="n">
        <v>114</v>
      </c>
      <c r="F1147" t="n">
        <v>225</v>
      </c>
      <c r="G1147" t="inlineStr">
        <is>
          <t>Hyderabad</t>
        </is>
      </c>
      <c r="H1147" t="inlineStr">
        <is>
          <t>Biryani</t>
        </is>
      </c>
      <c r="I1147" t="n">
        <v>590</v>
      </c>
      <c r="J1147" t="n">
        <v>0</v>
      </c>
      <c r="K1147" t="n">
        <v>25</v>
      </c>
      <c r="L1147" t="n">
        <v>0.22</v>
      </c>
      <c r="M1147" t="n">
        <v>136.05</v>
      </c>
      <c r="N1147" t="n">
        <v>1.4</v>
      </c>
      <c r="O1147" t="n">
        <v>20.1</v>
      </c>
      <c r="P1147" t="inlineStr">
        <is>
          <t>UPI</t>
        </is>
      </c>
      <c r="Q1147" t="inlineStr">
        <is>
          <t>Delivered</t>
        </is>
      </c>
      <c r="R1147" t="n">
        <v>4</v>
      </c>
    </row>
    <row r="1148">
      <c r="A1148" t="inlineStr">
        <is>
          <t>ORD2147</t>
        </is>
      </c>
      <c r="B1148" t="inlineStr">
        <is>
          <t>2025-07-05</t>
        </is>
      </c>
      <c r="C1148" t="inlineStr">
        <is>
          <t>10:05:22</t>
        </is>
      </c>
      <c r="D1148" t="n">
        <v>1200</v>
      </c>
      <c r="E1148" t="n">
        <v>107</v>
      </c>
      <c r="F1148" t="n">
        <v>202</v>
      </c>
      <c r="G1148" t="inlineStr">
        <is>
          <t>Mumbai</t>
        </is>
      </c>
      <c r="H1148" t="inlineStr">
        <is>
          <t>Desserts</t>
        </is>
      </c>
      <c r="I1148" t="n">
        <v>793</v>
      </c>
      <c r="J1148" t="n">
        <v>67.72</v>
      </c>
      <c r="K1148" t="n">
        <v>26.5</v>
      </c>
      <c r="L1148" t="n">
        <v>0.25</v>
      </c>
      <c r="M1148" t="n">
        <v>204.88</v>
      </c>
      <c r="N1148" t="n">
        <v>3.3</v>
      </c>
      <c r="O1148" t="n">
        <v>34</v>
      </c>
      <c r="P1148" t="inlineStr">
        <is>
          <t>Cash on Delivery</t>
        </is>
      </c>
      <c r="Q1148" t="inlineStr">
        <is>
          <t>Delivered</t>
        </is>
      </c>
      <c r="R1148" t="n">
        <v>5</v>
      </c>
    </row>
    <row r="1149">
      <c r="A1149" t="inlineStr">
        <is>
          <t>ORD2148</t>
        </is>
      </c>
      <c r="B1149" t="inlineStr">
        <is>
          <t>2025-04-28</t>
        </is>
      </c>
      <c r="C1149" t="inlineStr">
        <is>
          <t>13:36:52</t>
        </is>
      </c>
      <c r="D1149" t="n">
        <v>1256</v>
      </c>
      <c r="E1149" t="n">
        <v>111</v>
      </c>
      <c r="F1149" t="n">
        <v>218</v>
      </c>
      <c r="G1149" t="inlineStr">
        <is>
          <t>Bangalore</t>
        </is>
      </c>
      <c r="H1149" t="inlineStr">
        <is>
          <t>South Indian</t>
        </is>
      </c>
      <c r="I1149" t="n">
        <v>348</v>
      </c>
      <c r="J1149" t="n">
        <v>6.82</v>
      </c>
      <c r="K1149" t="n">
        <v>25</v>
      </c>
      <c r="L1149" t="n">
        <v>0.15</v>
      </c>
      <c r="M1149" t="n">
        <v>58.45</v>
      </c>
      <c r="N1149" t="n">
        <v>1</v>
      </c>
      <c r="O1149" t="n">
        <v>25.1</v>
      </c>
      <c r="P1149" t="inlineStr">
        <is>
          <t>Digital Wallet</t>
        </is>
      </c>
      <c r="Q1149" t="inlineStr">
        <is>
          <t>Delivered</t>
        </is>
      </c>
      <c r="R1149" t="n">
        <v>5</v>
      </c>
    </row>
    <row r="1150">
      <c r="A1150" t="inlineStr">
        <is>
          <t>ORD2149</t>
        </is>
      </c>
      <c r="B1150" t="inlineStr">
        <is>
          <t>2025-06-24</t>
        </is>
      </c>
      <c r="C1150" t="inlineStr">
        <is>
          <t>21:20:07</t>
        </is>
      </c>
      <c r="D1150" t="n">
        <v>1062</v>
      </c>
      <c r="E1150" t="n">
        <v>117</v>
      </c>
      <c r="F1150" t="n">
        <v>222</v>
      </c>
      <c r="G1150" t="inlineStr">
        <is>
          <t>Mumbai</t>
        </is>
      </c>
      <c r="H1150" t="inlineStr">
        <is>
          <t>Chinese</t>
        </is>
      </c>
      <c r="I1150" t="n">
        <v>303</v>
      </c>
      <c r="J1150" t="n">
        <v>0</v>
      </c>
      <c r="K1150" t="n">
        <v>29</v>
      </c>
      <c r="L1150" t="n">
        <v>0.2</v>
      </c>
      <c r="M1150" t="n">
        <v>67.84999999999999</v>
      </c>
      <c r="N1150" t="n">
        <v>3.8</v>
      </c>
      <c r="O1150" t="n">
        <v>34.8</v>
      </c>
      <c r="P1150" t="inlineStr">
        <is>
          <t>Credit Card</t>
        </is>
      </c>
      <c r="Q1150" t="inlineStr">
        <is>
          <t>Delivered</t>
        </is>
      </c>
      <c r="R1150" t="n">
        <v>2</v>
      </c>
    </row>
    <row r="1151">
      <c r="A1151" t="inlineStr">
        <is>
          <t>ORD2150</t>
        </is>
      </c>
      <c r="B1151" t="inlineStr">
        <is>
          <t>2025-08-21</t>
        </is>
      </c>
      <c r="C1151" t="inlineStr">
        <is>
          <t>20:00:10</t>
        </is>
      </c>
      <c r="D1151" t="n">
        <v>1052</v>
      </c>
      <c r="E1151" t="n">
        <v>109</v>
      </c>
      <c r="F1151" t="n">
        <v>216</v>
      </c>
      <c r="G1151" t="inlineStr">
        <is>
          <t>Hyderabad</t>
        </is>
      </c>
      <c r="H1151" t="inlineStr">
        <is>
          <t>Biryani</t>
        </is>
      </c>
      <c r="I1151" t="n">
        <v>343</v>
      </c>
      <c r="J1151" t="n">
        <v>27.2</v>
      </c>
      <c r="K1151" t="n">
        <v>43</v>
      </c>
      <c r="L1151" t="n">
        <v>0.2</v>
      </c>
      <c r="M1151" t="n">
        <v>79.34999999999999</v>
      </c>
      <c r="N1151" t="n">
        <v>6.6</v>
      </c>
      <c r="O1151" t="n">
        <v>49</v>
      </c>
      <c r="P1151" t="inlineStr">
        <is>
          <t>Cash on Delivery</t>
        </is>
      </c>
      <c r="Q1151" t="inlineStr">
        <is>
          <t>Delivered</t>
        </is>
      </c>
      <c r="R1151" t="n">
        <v>3</v>
      </c>
    </row>
    <row r="1152">
      <c r="A1152" t="inlineStr">
        <is>
          <t>ORD2151</t>
        </is>
      </c>
      <c r="B1152" t="inlineStr">
        <is>
          <t>2025-08-09</t>
        </is>
      </c>
      <c r="C1152" t="inlineStr">
        <is>
          <t>15:01:44</t>
        </is>
      </c>
      <c r="D1152" t="n">
        <v>1048</v>
      </c>
      <c r="E1152" t="n">
        <v>114</v>
      </c>
      <c r="F1152" t="n">
        <v>225</v>
      </c>
      <c r="G1152" t="inlineStr">
        <is>
          <t>Hyderabad</t>
        </is>
      </c>
      <c r="H1152" t="inlineStr">
        <is>
          <t>Biryani</t>
        </is>
      </c>
      <c r="I1152" t="n">
        <v>390</v>
      </c>
      <c r="J1152" t="n">
        <v>4.13</v>
      </c>
      <c r="K1152" t="n">
        <v>37</v>
      </c>
      <c r="L1152" t="n">
        <v>0.22</v>
      </c>
      <c r="M1152" t="n">
        <v>95.05</v>
      </c>
      <c r="N1152" t="n">
        <v>5.4</v>
      </c>
      <c r="O1152" t="n">
        <v>52.9</v>
      </c>
      <c r="P1152" t="inlineStr">
        <is>
          <t>Cash on Delivery</t>
        </is>
      </c>
      <c r="Q1152" t="inlineStr">
        <is>
          <t>Delivered</t>
        </is>
      </c>
      <c r="R1152" t="n">
        <v>3</v>
      </c>
    </row>
    <row r="1153">
      <c r="A1153" t="inlineStr">
        <is>
          <t>ORD2152</t>
        </is>
      </c>
      <c r="B1153" t="inlineStr">
        <is>
          <t>2025-07-25</t>
        </is>
      </c>
      <c r="C1153" t="inlineStr">
        <is>
          <t>15:44:35</t>
        </is>
      </c>
      <c r="D1153" t="n">
        <v>1194</v>
      </c>
      <c r="E1153" t="n">
        <v>115</v>
      </c>
      <c r="F1153" t="n">
        <v>220</v>
      </c>
      <c r="G1153" t="inlineStr">
        <is>
          <t>Bangalore</t>
        </is>
      </c>
      <c r="H1153" t="inlineStr">
        <is>
          <t>Italian</t>
        </is>
      </c>
      <c r="I1153" t="n">
        <v>467</v>
      </c>
      <c r="J1153" t="n">
        <v>46.62</v>
      </c>
      <c r="K1153" t="n">
        <v>25</v>
      </c>
      <c r="L1153" t="n">
        <v>0.2</v>
      </c>
      <c r="M1153" t="n">
        <v>99.65000000000001</v>
      </c>
      <c r="N1153" t="n">
        <v>1.8</v>
      </c>
      <c r="O1153" t="n">
        <v>19.1</v>
      </c>
      <c r="P1153" t="inlineStr">
        <is>
          <t>Debit Card</t>
        </is>
      </c>
      <c r="Q1153" t="inlineStr">
        <is>
          <t>Delivered</t>
        </is>
      </c>
      <c r="R1153" t="n">
        <v>4</v>
      </c>
    </row>
    <row r="1154">
      <c r="A1154" t="inlineStr">
        <is>
          <t>ORD2153</t>
        </is>
      </c>
      <c r="B1154" t="inlineStr">
        <is>
          <t>2025-07-01</t>
        </is>
      </c>
      <c r="C1154" t="inlineStr">
        <is>
          <t>06:28:58</t>
        </is>
      </c>
      <c r="D1154" t="n">
        <v>1093</v>
      </c>
      <c r="E1154" t="n">
        <v>104</v>
      </c>
      <c r="F1154" t="n">
        <v>211</v>
      </c>
      <c r="G1154" t="inlineStr">
        <is>
          <t>Delhi NCR</t>
        </is>
      </c>
      <c r="H1154" t="inlineStr">
        <is>
          <t>Fast Food</t>
        </is>
      </c>
      <c r="I1154" t="n">
        <v>638</v>
      </c>
      <c r="J1154" t="n">
        <v>60.07</v>
      </c>
      <c r="K1154" t="n">
        <v>37</v>
      </c>
      <c r="L1154" t="n">
        <v>0.18</v>
      </c>
      <c r="M1154" t="n">
        <v>124.09</v>
      </c>
      <c r="N1154" t="n">
        <v>5.4</v>
      </c>
      <c r="O1154" t="n">
        <v>36.4</v>
      </c>
      <c r="P1154" t="inlineStr">
        <is>
          <t>Cash on Delivery</t>
        </is>
      </c>
      <c r="Q1154" t="inlineStr">
        <is>
          <t>Delivered</t>
        </is>
      </c>
      <c r="R1154" t="n">
        <v>3</v>
      </c>
    </row>
    <row r="1155">
      <c r="A1155" t="inlineStr">
        <is>
          <t>ORD2154</t>
        </is>
      </c>
      <c r="B1155" t="inlineStr">
        <is>
          <t>2025-04-04</t>
        </is>
      </c>
      <c r="C1155" t="inlineStr">
        <is>
          <t>12:46:49</t>
        </is>
      </c>
      <c r="D1155" t="n">
        <v>1241</v>
      </c>
      <c r="E1155" t="n">
        <v>102</v>
      </c>
      <c r="F1155" t="n">
        <v>216</v>
      </c>
      <c r="G1155" t="inlineStr">
        <is>
          <t>Hyderabad</t>
        </is>
      </c>
      <c r="H1155" t="inlineStr">
        <is>
          <t>Biryani</t>
        </is>
      </c>
      <c r="I1155" t="n">
        <v>1157</v>
      </c>
      <c r="J1155" t="n">
        <v>210.59</v>
      </c>
      <c r="K1155" t="n">
        <v>0</v>
      </c>
      <c r="L1155" t="n">
        <v>0.22</v>
      </c>
      <c r="M1155" t="n">
        <v>254.54</v>
      </c>
      <c r="N1155" t="n">
        <v>2.1</v>
      </c>
      <c r="O1155" t="n">
        <v>25.1</v>
      </c>
      <c r="P1155" t="inlineStr">
        <is>
          <t>Credit Card</t>
        </is>
      </c>
      <c r="Q1155" t="inlineStr">
        <is>
          <t>Delivered</t>
        </is>
      </c>
      <c r="R1155" t="n">
        <v>4</v>
      </c>
    </row>
    <row r="1156">
      <c r="A1156" t="inlineStr">
        <is>
          <t>ORD2155</t>
        </is>
      </c>
      <c r="B1156" t="inlineStr">
        <is>
          <t>2025-12-12</t>
        </is>
      </c>
      <c r="C1156" t="inlineStr">
        <is>
          <t>20:41:29</t>
        </is>
      </c>
      <c r="D1156" t="n">
        <v>1183</v>
      </c>
      <c r="E1156" t="n">
        <v>113</v>
      </c>
      <c r="F1156" t="n">
        <v>202</v>
      </c>
      <c r="G1156" t="inlineStr">
        <is>
          <t>Mumbai</t>
        </is>
      </c>
      <c r="H1156" t="inlineStr">
        <is>
          <t>Fast Food</t>
        </is>
      </c>
      <c r="I1156" t="n">
        <v>790</v>
      </c>
      <c r="J1156" t="n">
        <v>113.65</v>
      </c>
      <c r="K1156" t="n">
        <v>0</v>
      </c>
      <c r="L1156" t="n">
        <v>0.18</v>
      </c>
      <c r="M1156" t="n">
        <v>142.2</v>
      </c>
      <c r="N1156" t="n">
        <v>6</v>
      </c>
      <c r="O1156" t="n">
        <v>40.1</v>
      </c>
      <c r="P1156" t="inlineStr">
        <is>
          <t>Digital Wallet</t>
        </is>
      </c>
      <c r="Q1156" t="inlineStr">
        <is>
          <t>Delivered</t>
        </is>
      </c>
      <c r="R1156" t="n">
        <v>3</v>
      </c>
    </row>
    <row r="1157">
      <c r="A1157" t="inlineStr">
        <is>
          <t>ORD2156</t>
        </is>
      </c>
      <c r="B1157" t="inlineStr">
        <is>
          <t>2025-06-02</t>
        </is>
      </c>
      <c r="C1157" t="inlineStr">
        <is>
          <t>13:31:21</t>
        </is>
      </c>
      <c r="D1157" t="n">
        <v>1122</v>
      </c>
      <c r="E1157" t="n">
        <v>110</v>
      </c>
      <c r="F1157" t="n">
        <v>208</v>
      </c>
      <c r="G1157" t="inlineStr">
        <is>
          <t>Pune</t>
        </is>
      </c>
      <c r="H1157" t="inlineStr">
        <is>
          <t>North Indian</t>
        </is>
      </c>
      <c r="I1157" t="n">
        <v>513</v>
      </c>
      <c r="J1157" t="n">
        <v>77.86</v>
      </c>
      <c r="K1157" t="n">
        <v>0</v>
      </c>
      <c r="L1157" t="n">
        <v>0.18</v>
      </c>
      <c r="M1157" t="n">
        <v>92.34</v>
      </c>
      <c r="N1157" t="n">
        <v>3.4</v>
      </c>
      <c r="O1157" t="n">
        <v>31.8</v>
      </c>
      <c r="P1157" t="inlineStr">
        <is>
          <t>Digital Wallet</t>
        </is>
      </c>
      <c r="Q1157" t="inlineStr">
        <is>
          <t>Delivered</t>
        </is>
      </c>
      <c r="R1157" t="n">
        <v>5</v>
      </c>
    </row>
    <row r="1158">
      <c r="A1158" t="inlineStr">
        <is>
          <t>ORD2157</t>
        </is>
      </c>
      <c r="B1158" t="inlineStr">
        <is>
          <t>2025-07-16</t>
        </is>
      </c>
      <c r="C1158" t="inlineStr">
        <is>
          <t>12:20:48</t>
        </is>
      </c>
      <c r="D1158" t="n">
        <v>1030</v>
      </c>
      <c r="E1158" t="n">
        <v>114</v>
      </c>
      <c r="F1158" t="n">
        <v>215</v>
      </c>
      <c r="G1158" t="inlineStr">
        <is>
          <t>Hyderabad</t>
        </is>
      </c>
      <c r="H1158" t="inlineStr">
        <is>
          <t>Biryani</t>
        </is>
      </c>
      <c r="I1158" t="n">
        <v>402</v>
      </c>
      <c r="J1158" t="n">
        <v>1.35</v>
      </c>
      <c r="K1158" t="n">
        <v>32</v>
      </c>
      <c r="L1158" t="n">
        <v>0.22</v>
      </c>
      <c r="M1158" t="n">
        <v>96.44</v>
      </c>
      <c r="N1158" t="n">
        <v>4.4</v>
      </c>
      <c r="O1158" t="n">
        <v>44.2</v>
      </c>
      <c r="P1158" t="inlineStr">
        <is>
          <t>Credit Card</t>
        </is>
      </c>
      <c r="Q1158" t="inlineStr">
        <is>
          <t>Delivered</t>
        </is>
      </c>
      <c r="R1158" t="n">
        <v>3</v>
      </c>
    </row>
    <row r="1159">
      <c r="A1159" t="inlineStr">
        <is>
          <t>ORD2158</t>
        </is>
      </c>
      <c r="B1159" t="inlineStr">
        <is>
          <t>2025-02-20</t>
        </is>
      </c>
      <c r="C1159" t="inlineStr">
        <is>
          <t>13:22:18</t>
        </is>
      </c>
      <c r="D1159" t="n">
        <v>1150</v>
      </c>
      <c r="E1159" t="n">
        <v>109</v>
      </c>
      <c r="F1159" t="n">
        <v>216</v>
      </c>
      <c r="G1159" t="inlineStr">
        <is>
          <t>Hyderabad</t>
        </is>
      </c>
      <c r="H1159" t="inlineStr">
        <is>
          <t>Biryani</t>
        </is>
      </c>
      <c r="I1159" t="n">
        <v>389</v>
      </c>
      <c r="J1159" t="n">
        <v>0</v>
      </c>
      <c r="K1159" t="n">
        <v>25</v>
      </c>
      <c r="L1159" t="n">
        <v>0.2</v>
      </c>
      <c r="M1159" t="n">
        <v>84.05</v>
      </c>
      <c r="N1159" t="n">
        <v>1</v>
      </c>
      <c r="O1159" t="n">
        <v>21</v>
      </c>
      <c r="P1159" t="inlineStr">
        <is>
          <t>Cash on Delivery</t>
        </is>
      </c>
      <c r="Q1159" t="inlineStr">
        <is>
          <t>Delivered</t>
        </is>
      </c>
      <c r="R1159" t="n">
        <v>5</v>
      </c>
    </row>
    <row r="1160">
      <c r="A1160" t="inlineStr">
        <is>
          <t>ORD2159</t>
        </is>
      </c>
      <c r="B1160" t="inlineStr">
        <is>
          <t>2025-05-28</t>
        </is>
      </c>
      <c r="C1160" t="inlineStr">
        <is>
          <t>21:58:16</t>
        </is>
      </c>
      <c r="D1160" t="n">
        <v>1255</v>
      </c>
      <c r="E1160" t="n">
        <v>110</v>
      </c>
      <c r="F1160" t="n">
        <v>217</v>
      </c>
      <c r="G1160" t="inlineStr">
        <is>
          <t>Pune</t>
        </is>
      </c>
      <c r="H1160" t="inlineStr">
        <is>
          <t>North Indian</t>
        </is>
      </c>
      <c r="I1160" t="n">
        <v>840</v>
      </c>
      <c r="J1160" t="n">
        <v>62.13</v>
      </c>
      <c r="K1160" t="n">
        <v>37</v>
      </c>
      <c r="L1160" t="n">
        <v>0.18</v>
      </c>
      <c r="M1160" t="n">
        <v>160.45</v>
      </c>
      <c r="N1160" t="n">
        <v>5.4</v>
      </c>
      <c r="O1160" t="n">
        <v/>
      </c>
      <c r="P1160" t="inlineStr">
        <is>
          <t>Credit Card</t>
        </is>
      </c>
      <c r="Q1160" t="inlineStr">
        <is>
          <t>Cancelled</t>
        </is>
      </c>
      <c r="R1160" t="n">
        <v/>
      </c>
    </row>
    <row r="1161">
      <c r="A1161" t="inlineStr">
        <is>
          <t>ORD2160</t>
        </is>
      </c>
      <c r="B1161" t="inlineStr">
        <is>
          <t>2025-10-10</t>
        </is>
      </c>
      <c r="C1161" t="inlineStr">
        <is>
          <t>14:53:32</t>
        </is>
      </c>
      <c r="D1161" t="n">
        <v>1221</v>
      </c>
      <c r="E1161" t="n">
        <v>119</v>
      </c>
      <c r="F1161" t="n">
        <v>216</v>
      </c>
      <c r="G1161" t="inlineStr">
        <is>
          <t>Hyderabad</t>
        </is>
      </c>
      <c r="H1161" t="inlineStr">
        <is>
          <t>Biryani</t>
        </is>
      </c>
      <c r="I1161" t="n">
        <v>392</v>
      </c>
      <c r="J1161" t="n">
        <v>20.35</v>
      </c>
      <c r="K1161" t="n">
        <v>28</v>
      </c>
      <c r="L1161" t="n">
        <v>0.2</v>
      </c>
      <c r="M1161" t="n">
        <v>85.40000000000001</v>
      </c>
      <c r="N1161" t="n">
        <v>3.6</v>
      </c>
      <c r="O1161" t="n">
        <v>35.3</v>
      </c>
      <c r="P1161" t="inlineStr">
        <is>
          <t>Digital Wallet</t>
        </is>
      </c>
      <c r="Q1161" t="inlineStr">
        <is>
          <t>Delivered</t>
        </is>
      </c>
      <c r="R1161" t="n">
        <v>4</v>
      </c>
    </row>
    <row r="1162">
      <c r="A1162" t="inlineStr">
        <is>
          <t>ORD2161</t>
        </is>
      </c>
      <c r="B1162" t="inlineStr">
        <is>
          <t>2025-01-14</t>
        </is>
      </c>
      <c r="C1162" t="inlineStr">
        <is>
          <t>13:23:13</t>
        </is>
      </c>
      <c r="D1162" t="n">
        <v>1178</v>
      </c>
      <c r="E1162" t="n">
        <v>110</v>
      </c>
      <c r="F1162" t="n">
        <v>209</v>
      </c>
      <c r="G1162" t="inlineStr">
        <is>
          <t>Pune</t>
        </is>
      </c>
      <c r="H1162" t="inlineStr">
        <is>
          <t>North Indian</t>
        </is>
      </c>
      <c r="I1162" t="n">
        <v>508</v>
      </c>
      <c r="J1162" t="n">
        <v>23.21</v>
      </c>
      <c r="K1162" t="n">
        <v>48</v>
      </c>
      <c r="L1162" t="n">
        <v>0.18</v>
      </c>
      <c r="M1162" t="n">
        <v>103.44</v>
      </c>
      <c r="N1162" t="n">
        <v>7.6</v>
      </c>
      <c r="O1162" t="n">
        <v>48.2</v>
      </c>
      <c r="P1162" t="inlineStr">
        <is>
          <t>Digital Wallet</t>
        </is>
      </c>
      <c r="Q1162" t="inlineStr">
        <is>
          <t>Delivered</t>
        </is>
      </c>
      <c r="R1162" t="n">
        <v>3</v>
      </c>
    </row>
    <row r="1163">
      <c r="A1163" t="inlineStr">
        <is>
          <t>ORD2162</t>
        </is>
      </c>
      <c r="B1163" t="inlineStr">
        <is>
          <t>2025-06-01</t>
        </is>
      </c>
      <c r="C1163" t="inlineStr">
        <is>
          <t>12:58:07</t>
        </is>
      </c>
      <c r="D1163" t="n">
        <v>1267</v>
      </c>
      <c r="E1163" t="n">
        <v>115</v>
      </c>
      <c r="F1163" t="n">
        <v>213</v>
      </c>
      <c r="G1163" t="inlineStr">
        <is>
          <t>Bangalore</t>
        </is>
      </c>
      <c r="H1163" t="inlineStr">
        <is>
          <t>Italian</t>
        </is>
      </c>
      <c r="I1163" t="n">
        <v>943</v>
      </c>
      <c r="J1163" t="n">
        <v>107.83</v>
      </c>
      <c r="K1163" t="n">
        <v>27</v>
      </c>
      <c r="L1163" t="n">
        <v>0.2</v>
      </c>
      <c r="M1163" t="n">
        <v>195.35</v>
      </c>
      <c r="N1163" t="n">
        <v>3.4</v>
      </c>
      <c r="O1163" t="n">
        <v>30.2</v>
      </c>
      <c r="P1163" t="inlineStr">
        <is>
          <t>Cash on Delivery</t>
        </is>
      </c>
      <c r="Q1163" t="inlineStr">
        <is>
          <t>Delivered</t>
        </is>
      </c>
      <c r="R1163" t="n">
        <v>2</v>
      </c>
    </row>
    <row r="1164">
      <c r="A1164" t="inlineStr">
        <is>
          <t>ORD2163</t>
        </is>
      </c>
      <c r="B1164" t="inlineStr">
        <is>
          <t>2025-03-12</t>
        </is>
      </c>
      <c r="C1164" t="inlineStr">
        <is>
          <t>19:17:46</t>
        </is>
      </c>
      <c r="D1164" t="n">
        <v>1104</v>
      </c>
      <c r="E1164" t="n">
        <v>113</v>
      </c>
      <c r="F1164" t="n">
        <v>202</v>
      </c>
      <c r="G1164" t="inlineStr">
        <is>
          <t>Mumbai</t>
        </is>
      </c>
      <c r="H1164" t="inlineStr">
        <is>
          <t>Fast Food</t>
        </is>
      </c>
      <c r="I1164" t="n">
        <v>904</v>
      </c>
      <c r="J1164" t="n">
        <v>0</v>
      </c>
      <c r="K1164" t="n">
        <v>57</v>
      </c>
      <c r="L1164" t="n">
        <v>0.18</v>
      </c>
      <c r="M1164" t="n">
        <v>176.97</v>
      </c>
      <c r="N1164" t="n">
        <v>9.4</v>
      </c>
      <c r="O1164" t="n">
        <v>56.7</v>
      </c>
      <c r="P1164" t="inlineStr">
        <is>
          <t>UPI</t>
        </is>
      </c>
      <c r="Q1164" t="inlineStr">
        <is>
          <t>Delivered</t>
        </is>
      </c>
      <c r="R1164" t="n">
        <v>1</v>
      </c>
    </row>
    <row r="1165">
      <c r="A1165" t="inlineStr">
        <is>
          <t>ORD2164</t>
        </is>
      </c>
      <c r="B1165" t="inlineStr">
        <is>
          <t>2025-03-22</t>
        </is>
      </c>
      <c r="C1165" t="inlineStr">
        <is>
          <t>16:32:21</t>
        </is>
      </c>
      <c r="D1165" t="n">
        <v>1157</v>
      </c>
      <c r="E1165" t="n">
        <v>109</v>
      </c>
      <c r="F1165" t="n">
        <v>215</v>
      </c>
      <c r="G1165" t="inlineStr">
        <is>
          <t>Hyderabad</t>
        </is>
      </c>
      <c r="H1165" t="inlineStr">
        <is>
          <t>Biryani</t>
        </is>
      </c>
      <c r="I1165" t="n">
        <v>502</v>
      </c>
      <c r="J1165" t="n">
        <v>41.03</v>
      </c>
      <c r="K1165" t="n">
        <v>74.5</v>
      </c>
      <c r="L1165" t="n">
        <v>0.2</v>
      </c>
      <c r="M1165" t="n">
        <v>119.02</v>
      </c>
      <c r="N1165" t="n">
        <v>12.9</v>
      </c>
      <c r="O1165" t="n">
        <v>56.8</v>
      </c>
      <c r="P1165" t="inlineStr">
        <is>
          <t>UPI</t>
        </is>
      </c>
      <c r="Q1165" t="inlineStr">
        <is>
          <t>Delivered</t>
        </is>
      </c>
      <c r="R1165" t="n">
        <v>2</v>
      </c>
    </row>
    <row r="1166">
      <c r="A1166" t="inlineStr">
        <is>
          <t>ORD2165</t>
        </is>
      </c>
      <c r="B1166" t="inlineStr">
        <is>
          <t>2025-02-21</t>
        </is>
      </c>
      <c r="C1166" t="inlineStr">
        <is>
          <t>11:59:45</t>
        </is>
      </c>
      <c r="D1166" t="n">
        <v>1056</v>
      </c>
      <c r="E1166" t="n">
        <v>119</v>
      </c>
      <c r="F1166" t="n">
        <v>225</v>
      </c>
      <c r="G1166" t="inlineStr">
        <is>
          <t>Hyderabad</t>
        </is>
      </c>
      <c r="H1166" t="inlineStr">
        <is>
          <t>Biryani</t>
        </is>
      </c>
      <c r="I1166" t="n">
        <v>934</v>
      </c>
      <c r="J1166" t="n">
        <v>111.18</v>
      </c>
      <c r="K1166" t="n">
        <v>0</v>
      </c>
      <c r="L1166" t="n">
        <v>0.2</v>
      </c>
      <c r="M1166" t="n">
        <v>186.8</v>
      </c>
      <c r="N1166" t="n">
        <v>2.5</v>
      </c>
      <c r="O1166" t="n">
        <v>24.7</v>
      </c>
      <c r="P1166" t="inlineStr">
        <is>
          <t>UPI</t>
        </is>
      </c>
      <c r="Q1166" t="inlineStr">
        <is>
          <t>Delivered</t>
        </is>
      </c>
      <c r="R1166" t="n">
        <v>2</v>
      </c>
    </row>
    <row r="1167">
      <c r="A1167" t="inlineStr">
        <is>
          <t>ORD2166</t>
        </is>
      </c>
      <c r="B1167" t="inlineStr">
        <is>
          <t>2025-10-28</t>
        </is>
      </c>
      <c r="C1167" t="inlineStr">
        <is>
          <t>17:24:55</t>
        </is>
      </c>
      <c r="D1167" t="n">
        <v>1040</v>
      </c>
      <c r="E1167" t="n">
        <v>106</v>
      </c>
      <c r="F1167" t="n">
        <v>208</v>
      </c>
      <c r="G1167" t="inlineStr">
        <is>
          <t>Pune</t>
        </is>
      </c>
      <c r="H1167" t="inlineStr">
        <is>
          <t>South Indian</t>
        </is>
      </c>
      <c r="I1167" t="n">
        <v>445</v>
      </c>
      <c r="J1167" t="n">
        <v>9.44</v>
      </c>
      <c r="K1167" t="n">
        <v>28</v>
      </c>
      <c r="L1167" t="n">
        <v>0.15</v>
      </c>
      <c r="M1167" t="n">
        <v>73.75</v>
      </c>
      <c r="N1167" t="n">
        <v>3.6</v>
      </c>
      <c r="O1167" t="n">
        <v>25.1</v>
      </c>
      <c r="P1167" t="inlineStr">
        <is>
          <t>Credit Card</t>
        </is>
      </c>
      <c r="Q1167" t="inlineStr">
        <is>
          <t>Delivered</t>
        </is>
      </c>
      <c r="R1167" t="n">
        <v>2</v>
      </c>
    </row>
    <row r="1168">
      <c r="A1168" t="inlineStr">
        <is>
          <t>ORD2167</t>
        </is>
      </c>
      <c r="B1168" t="inlineStr">
        <is>
          <t>2025-04-12</t>
        </is>
      </c>
      <c r="C1168" t="inlineStr">
        <is>
          <t>20:40:56</t>
        </is>
      </c>
      <c r="D1168" t="n">
        <v>1143</v>
      </c>
      <c r="E1168" t="n">
        <v>109</v>
      </c>
      <c r="F1168" t="n">
        <v>215</v>
      </c>
      <c r="G1168" t="inlineStr">
        <is>
          <t>Hyderabad</t>
        </is>
      </c>
      <c r="H1168" t="inlineStr">
        <is>
          <t>Biryani</t>
        </is>
      </c>
      <c r="I1168" t="n">
        <v>310</v>
      </c>
      <c r="J1168" t="n">
        <v>21.26</v>
      </c>
      <c r="K1168" t="n">
        <v>25.5</v>
      </c>
      <c r="L1168" t="n">
        <v>0.2</v>
      </c>
      <c r="M1168" t="n">
        <v>68.38</v>
      </c>
      <c r="N1168" t="n">
        <v>3.1</v>
      </c>
      <c r="O1168" t="n">
        <v>31.3</v>
      </c>
      <c r="P1168" t="inlineStr">
        <is>
          <t>UPI</t>
        </is>
      </c>
      <c r="Q1168" t="inlineStr">
        <is>
          <t>Delivered</t>
        </is>
      </c>
      <c r="R1168" t="n">
        <v>3</v>
      </c>
    </row>
    <row r="1169">
      <c r="A1169" t="inlineStr">
        <is>
          <t>ORD2168</t>
        </is>
      </c>
      <c r="B1169" t="inlineStr">
        <is>
          <t>2025-10-13</t>
        </is>
      </c>
      <c r="C1169" t="inlineStr">
        <is>
          <t>14:39:13</t>
        </is>
      </c>
      <c r="D1169" t="n">
        <v>1125</v>
      </c>
      <c r="E1169" t="n">
        <v>120</v>
      </c>
      <c r="F1169" t="n">
        <v>209</v>
      </c>
      <c r="G1169" t="inlineStr">
        <is>
          <t>Pune</t>
        </is>
      </c>
      <c r="H1169" t="inlineStr">
        <is>
          <t>Fast Food</t>
        </is>
      </c>
      <c r="I1169" t="n">
        <v>947</v>
      </c>
      <c r="J1169" t="n">
        <v>0</v>
      </c>
      <c r="K1169" t="n">
        <v>25</v>
      </c>
      <c r="L1169" t="n">
        <v>0.18</v>
      </c>
      <c r="M1169" t="n">
        <v>176.71</v>
      </c>
      <c r="N1169" t="n">
        <v>2.6</v>
      </c>
      <c r="O1169" t="n">
        <v>27.1</v>
      </c>
      <c r="P1169" t="inlineStr">
        <is>
          <t>Debit Card</t>
        </is>
      </c>
      <c r="Q1169" t="inlineStr">
        <is>
          <t>Delivered</t>
        </is>
      </c>
      <c r="R1169" t="n">
        <v>5</v>
      </c>
    </row>
    <row r="1170">
      <c r="A1170" t="inlineStr">
        <is>
          <t>ORD2169</t>
        </is>
      </c>
      <c r="B1170" t="inlineStr">
        <is>
          <t>2025-09-05</t>
        </is>
      </c>
      <c r="C1170" t="inlineStr">
        <is>
          <t>21:33:42</t>
        </is>
      </c>
      <c r="D1170" t="n">
        <v>1283</v>
      </c>
      <c r="E1170" t="n">
        <v>110</v>
      </c>
      <c r="F1170" t="n">
        <v>207</v>
      </c>
      <c r="G1170" t="inlineStr">
        <is>
          <t>Pune</t>
        </is>
      </c>
      <c r="H1170" t="inlineStr">
        <is>
          <t>North Indian</t>
        </is>
      </c>
      <c r="I1170" t="n">
        <v>404</v>
      </c>
      <c r="J1170" t="n">
        <v>27.17</v>
      </c>
      <c r="K1170" t="n">
        <v>26</v>
      </c>
      <c r="L1170" t="n">
        <v>0.18</v>
      </c>
      <c r="M1170" t="n">
        <v>79.22</v>
      </c>
      <c r="N1170" t="n">
        <v>3.2</v>
      </c>
      <c r="O1170" t="n">
        <v>36.5</v>
      </c>
      <c r="P1170" t="inlineStr">
        <is>
          <t>Cash on Delivery</t>
        </is>
      </c>
      <c r="Q1170" t="inlineStr">
        <is>
          <t>Delivered</t>
        </is>
      </c>
      <c r="R1170" t="n">
        <v>4</v>
      </c>
    </row>
    <row r="1171">
      <c r="A1171" t="inlineStr">
        <is>
          <t>ORD2170</t>
        </is>
      </c>
      <c r="B1171" t="inlineStr">
        <is>
          <t>2025-10-06</t>
        </is>
      </c>
      <c r="C1171" t="inlineStr">
        <is>
          <t>19:30:18</t>
        </is>
      </c>
      <c r="D1171" t="n">
        <v>1161</v>
      </c>
      <c r="E1171" t="n">
        <v>119</v>
      </c>
      <c r="F1171" t="n">
        <v>215</v>
      </c>
      <c r="G1171" t="inlineStr">
        <is>
          <t>Hyderabad</t>
        </is>
      </c>
      <c r="H1171" t="inlineStr">
        <is>
          <t>Biryani</t>
        </is>
      </c>
      <c r="I1171" t="n">
        <v>318</v>
      </c>
      <c r="J1171" t="n">
        <v>0</v>
      </c>
      <c r="K1171" t="n">
        <v>36</v>
      </c>
      <c r="L1171" t="n">
        <v>0.2</v>
      </c>
      <c r="M1171" t="n">
        <v>72.59999999999999</v>
      </c>
      <c r="N1171" t="n">
        <v>5.2</v>
      </c>
      <c r="O1171" t="n">
        <v>43.2</v>
      </c>
      <c r="P1171" t="inlineStr">
        <is>
          <t>Debit Card</t>
        </is>
      </c>
      <c r="Q1171" t="inlineStr">
        <is>
          <t>Delivered</t>
        </is>
      </c>
      <c r="R1171" t="n">
        <v>5</v>
      </c>
    </row>
    <row r="1172">
      <c r="A1172" t="inlineStr">
        <is>
          <t>ORD2171</t>
        </is>
      </c>
      <c r="B1172" t="inlineStr">
        <is>
          <t>2025-05-07</t>
        </is>
      </c>
      <c r="C1172" t="inlineStr">
        <is>
          <t>13:42:27</t>
        </is>
      </c>
      <c r="D1172" t="n">
        <v>1162</v>
      </c>
      <c r="E1172" t="n">
        <v>119</v>
      </c>
      <c r="F1172" t="n">
        <v>225</v>
      </c>
      <c r="G1172" t="inlineStr">
        <is>
          <t>Hyderabad</t>
        </is>
      </c>
      <c r="H1172" t="inlineStr">
        <is>
          <t>Biryani</t>
        </is>
      </c>
      <c r="I1172" t="n">
        <v>338</v>
      </c>
      <c r="J1172" t="n">
        <v>21.07</v>
      </c>
      <c r="K1172" t="n">
        <v>25</v>
      </c>
      <c r="L1172" t="n">
        <v>0.2</v>
      </c>
      <c r="M1172" t="n">
        <v>73.84999999999999</v>
      </c>
      <c r="N1172" t="n">
        <v>2.9</v>
      </c>
      <c r="O1172" t="n">
        <v>35.6</v>
      </c>
      <c r="P1172" t="inlineStr">
        <is>
          <t>UPI</t>
        </is>
      </c>
      <c r="Q1172" t="inlineStr">
        <is>
          <t>Delivered</t>
        </is>
      </c>
      <c r="R1172" t="n">
        <v>3</v>
      </c>
    </row>
    <row r="1173">
      <c r="A1173" t="inlineStr">
        <is>
          <t>ORD2172</t>
        </is>
      </c>
      <c r="B1173" t="inlineStr">
        <is>
          <t>2025-09-05</t>
        </is>
      </c>
      <c r="C1173" t="inlineStr">
        <is>
          <t>15:53:51</t>
        </is>
      </c>
      <c r="D1173" t="n">
        <v>1139</v>
      </c>
      <c r="E1173" t="n">
        <v>118</v>
      </c>
      <c r="F1173" t="n">
        <v>219</v>
      </c>
      <c r="G1173" t="inlineStr">
        <is>
          <t>Delhi NCR</t>
        </is>
      </c>
      <c r="H1173" t="inlineStr">
        <is>
          <t>North Indian</t>
        </is>
      </c>
      <c r="I1173" t="n">
        <v>720</v>
      </c>
      <c r="J1173" t="n">
        <v>39.58</v>
      </c>
      <c r="K1173" t="n">
        <v>25.5</v>
      </c>
      <c r="L1173" t="n">
        <v>0.2</v>
      </c>
      <c r="M1173" t="n">
        <v>150.38</v>
      </c>
      <c r="N1173" t="n">
        <v>3.1</v>
      </c>
      <c r="O1173" t="n">
        <v>22.8</v>
      </c>
      <c r="P1173" t="inlineStr">
        <is>
          <t>Debit Card</t>
        </is>
      </c>
      <c r="Q1173" t="inlineStr">
        <is>
          <t>Delivered</t>
        </is>
      </c>
      <c r="R1173" t="n">
        <v>4</v>
      </c>
    </row>
    <row r="1174">
      <c r="A1174" t="inlineStr">
        <is>
          <t>ORD2173</t>
        </is>
      </c>
      <c r="B1174" t="inlineStr">
        <is>
          <t>2025-10-15</t>
        </is>
      </c>
      <c r="C1174" t="inlineStr">
        <is>
          <t>12:49:20</t>
        </is>
      </c>
      <c r="D1174" t="n">
        <v>1235</v>
      </c>
      <c r="E1174" t="n">
        <v>119</v>
      </c>
      <c r="F1174" t="n">
        <v>225</v>
      </c>
      <c r="G1174" t="inlineStr">
        <is>
          <t>Hyderabad</t>
        </is>
      </c>
      <c r="H1174" t="inlineStr">
        <is>
          <t>Biryani</t>
        </is>
      </c>
      <c r="I1174" t="n">
        <v>487</v>
      </c>
      <c r="J1174" t="n">
        <v>16.02</v>
      </c>
      <c r="K1174" t="n">
        <v>31.5</v>
      </c>
      <c r="L1174" t="n">
        <v>0.2</v>
      </c>
      <c r="M1174" t="n">
        <v>105.28</v>
      </c>
      <c r="N1174" t="n">
        <v>4.3</v>
      </c>
      <c r="O1174" t="n">
        <v>40.7</v>
      </c>
      <c r="P1174" t="inlineStr">
        <is>
          <t>Cash on Delivery</t>
        </is>
      </c>
      <c r="Q1174" t="inlineStr">
        <is>
          <t>Delivered</t>
        </is>
      </c>
      <c r="R1174" t="n">
        <v>3</v>
      </c>
    </row>
    <row r="1175">
      <c r="A1175" t="inlineStr">
        <is>
          <t>ORD2174</t>
        </is>
      </c>
      <c r="B1175" t="inlineStr">
        <is>
          <t>2025-05-18</t>
        </is>
      </c>
      <c r="C1175" t="inlineStr">
        <is>
          <t>13:31:46</t>
        </is>
      </c>
      <c r="D1175" t="n">
        <v>1209</v>
      </c>
      <c r="E1175" t="n">
        <v>120</v>
      </c>
      <c r="F1175" t="n">
        <v>207</v>
      </c>
      <c r="G1175" t="inlineStr">
        <is>
          <t>Pune</t>
        </is>
      </c>
      <c r="H1175" t="inlineStr">
        <is>
          <t>Fast Food</t>
        </is>
      </c>
      <c r="I1175" t="n">
        <v>444</v>
      </c>
      <c r="J1175" t="n">
        <v>0</v>
      </c>
      <c r="K1175" t="n">
        <v>35</v>
      </c>
      <c r="L1175" t="n">
        <v>0.18</v>
      </c>
      <c r="M1175" t="n">
        <v>88.67</v>
      </c>
      <c r="N1175" t="n">
        <v>5</v>
      </c>
      <c r="O1175" t="n">
        <v>40.9</v>
      </c>
      <c r="P1175" t="inlineStr">
        <is>
          <t>Debit Card</t>
        </is>
      </c>
      <c r="Q1175" t="inlineStr">
        <is>
          <t>Delivered</t>
        </is>
      </c>
      <c r="R1175" t="n">
        <v>3</v>
      </c>
    </row>
    <row r="1176">
      <c r="A1176" t="inlineStr">
        <is>
          <t>ORD2175</t>
        </is>
      </c>
      <c r="B1176" t="inlineStr">
        <is>
          <t>2025-10-21</t>
        </is>
      </c>
      <c r="C1176" t="inlineStr">
        <is>
          <t>18:56:10</t>
        </is>
      </c>
      <c r="D1176" t="n">
        <v>1196</v>
      </c>
      <c r="E1176" t="n">
        <v>120</v>
      </c>
      <c r="F1176" t="n">
        <v>204</v>
      </c>
      <c r="G1176" t="inlineStr">
        <is>
          <t>Pune</t>
        </is>
      </c>
      <c r="H1176" t="inlineStr">
        <is>
          <t>Fast Food</t>
        </is>
      </c>
      <c r="I1176" t="n">
        <v>768</v>
      </c>
      <c r="J1176" t="n">
        <v>0</v>
      </c>
      <c r="K1176" t="n">
        <v>30.5</v>
      </c>
      <c r="L1176" t="n">
        <v>0.18</v>
      </c>
      <c r="M1176" t="n">
        <v>145.86</v>
      </c>
      <c r="N1176" t="n">
        <v>4.1</v>
      </c>
      <c r="O1176" t="n">
        <v>29.9</v>
      </c>
      <c r="P1176" t="inlineStr">
        <is>
          <t>Digital Wallet</t>
        </is>
      </c>
      <c r="Q1176" t="inlineStr">
        <is>
          <t>Delivered</t>
        </is>
      </c>
      <c r="R1176" t="n">
        <v>4</v>
      </c>
    </row>
    <row r="1177">
      <c r="A1177" t="inlineStr">
        <is>
          <t>ORD2176</t>
        </is>
      </c>
      <c r="B1177" t="inlineStr">
        <is>
          <t>2025-01-11</t>
        </is>
      </c>
      <c r="C1177" t="inlineStr">
        <is>
          <t>20:51:24</t>
        </is>
      </c>
      <c r="D1177" t="n">
        <v>1006</v>
      </c>
      <c r="E1177" t="n">
        <v>117</v>
      </c>
      <c r="F1177" t="n">
        <v>202</v>
      </c>
      <c r="G1177" t="inlineStr">
        <is>
          <t>Mumbai</t>
        </is>
      </c>
      <c r="H1177" t="inlineStr">
        <is>
          <t>Chinese</t>
        </is>
      </c>
      <c r="I1177" t="n">
        <v>312</v>
      </c>
      <c r="J1177" t="n">
        <v>8.32</v>
      </c>
      <c r="K1177" t="n">
        <v>29</v>
      </c>
      <c r="L1177" t="n">
        <v>0.2</v>
      </c>
      <c r="M1177" t="n">
        <v>69.65000000000001</v>
      </c>
      <c r="N1177" t="n">
        <v>3.8</v>
      </c>
      <c r="O1177" t="n">
        <v>30.1</v>
      </c>
      <c r="P1177" t="inlineStr">
        <is>
          <t>Digital Wallet</t>
        </is>
      </c>
      <c r="Q1177" t="inlineStr">
        <is>
          <t>Delivered</t>
        </is>
      </c>
      <c r="R1177" t="n">
        <v>5</v>
      </c>
    </row>
    <row r="1178">
      <c r="A1178" t="inlineStr">
        <is>
          <t>ORD2177</t>
        </is>
      </c>
      <c r="B1178" t="inlineStr">
        <is>
          <t>2025-09-23</t>
        </is>
      </c>
      <c r="C1178" t="inlineStr">
        <is>
          <t>11:13:23</t>
        </is>
      </c>
      <c r="D1178" t="n">
        <v>1170</v>
      </c>
      <c r="E1178" t="n">
        <v>103</v>
      </c>
      <c r="F1178" t="n">
        <v>206</v>
      </c>
      <c r="G1178" t="inlineStr">
        <is>
          <t>Mumbai</t>
        </is>
      </c>
      <c r="H1178" t="inlineStr">
        <is>
          <t>Italian</t>
        </is>
      </c>
      <c r="I1178" t="n">
        <v>768</v>
      </c>
      <c r="J1178" t="n">
        <v>0</v>
      </c>
      <c r="K1178" t="n">
        <v>25</v>
      </c>
      <c r="L1178" t="n">
        <v>0.18</v>
      </c>
      <c r="M1178" t="n">
        <v>144.49</v>
      </c>
      <c r="N1178" t="n">
        <v>3</v>
      </c>
      <c r="O1178" t="n">
        <v>31.3</v>
      </c>
      <c r="P1178" t="inlineStr">
        <is>
          <t>Digital Wallet</t>
        </is>
      </c>
      <c r="Q1178" t="inlineStr">
        <is>
          <t>Delivered</t>
        </is>
      </c>
      <c r="R1178" t="n">
        <v>1</v>
      </c>
    </row>
    <row r="1179">
      <c r="A1179" t="inlineStr">
        <is>
          <t>ORD2178</t>
        </is>
      </c>
      <c r="B1179" t="inlineStr">
        <is>
          <t>2025-03-24</t>
        </is>
      </c>
      <c r="C1179" t="inlineStr">
        <is>
          <t>22:58:23</t>
        </is>
      </c>
      <c r="D1179" t="n">
        <v>1242</v>
      </c>
      <c r="E1179" t="n">
        <v>106</v>
      </c>
      <c r="F1179" t="n">
        <v>214</v>
      </c>
      <c r="G1179" t="inlineStr">
        <is>
          <t>Pune</t>
        </is>
      </c>
      <c r="H1179" t="inlineStr">
        <is>
          <t>South Indian</t>
        </is>
      </c>
      <c r="I1179" t="n">
        <v>764</v>
      </c>
      <c r="J1179" t="n">
        <v>92.87</v>
      </c>
      <c r="K1179" t="n">
        <v>0</v>
      </c>
      <c r="L1179" t="n">
        <v>0.15</v>
      </c>
      <c r="M1179" t="n">
        <v>114.6</v>
      </c>
      <c r="N1179" t="n">
        <v>7.7</v>
      </c>
      <c r="O1179" t="n">
        <v>43.5</v>
      </c>
      <c r="P1179" t="inlineStr">
        <is>
          <t>UPI</t>
        </is>
      </c>
      <c r="Q1179" t="inlineStr">
        <is>
          <t>Delivered</t>
        </is>
      </c>
      <c r="R1179" t="n">
        <v>5</v>
      </c>
    </row>
    <row r="1180">
      <c r="A1180" t="inlineStr">
        <is>
          <t>ORD2179</t>
        </is>
      </c>
      <c r="B1180" t="inlineStr">
        <is>
          <t>2025-09-27</t>
        </is>
      </c>
      <c r="C1180" t="inlineStr">
        <is>
          <t>16:06:32</t>
        </is>
      </c>
      <c r="D1180" t="n">
        <v>1167</v>
      </c>
      <c r="E1180" t="n">
        <v>112</v>
      </c>
      <c r="F1180" t="n">
        <v>211</v>
      </c>
      <c r="G1180" t="inlineStr">
        <is>
          <t>Delhi NCR</t>
        </is>
      </c>
      <c r="H1180" t="inlineStr">
        <is>
          <t>North Indian</t>
        </is>
      </c>
      <c r="I1180" t="n">
        <v>627</v>
      </c>
      <c r="J1180" t="n">
        <v>2.12</v>
      </c>
      <c r="K1180" t="n">
        <v>40.5</v>
      </c>
      <c r="L1180" t="n">
        <v>0.22</v>
      </c>
      <c r="M1180" t="n">
        <v>148.06</v>
      </c>
      <c r="N1180" t="n">
        <v>6.1</v>
      </c>
      <c r="O1180" t="n">
        <v>33.8</v>
      </c>
      <c r="P1180" t="inlineStr">
        <is>
          <t>UPI</t>
        </is>
      </c>
      <c r="Q1180" t="inlineStr">
        <is>
          <t>Delivered</t>
        </is>
      </c>
      <c r="R1180" t="n">
        <v>4</v>
      </c>
    </row>
    <row r="1181">
      <c r="A1181" t="inlineStr">
        <is>
          <t>ORD2180</t>
        </is>
      </c>
      <c r="B1181" t="inlineStr">
        <is>
          <t>2025-01-18</t>
        </is>
      </c>
      <c r="C1181" t="inlineStr">
        <is>
          <t>17:17:47</t>
        </is>
      </c>
      <c r="D1181" t="n">
        <v>1004</v>
      </c>
      <c r="E1181" t="n">
        <v>110</v>
      </c>
      <c r="F1181" t="n">
        <v>208</v>
      </c>
      <c r="G1181" t="inlineStr">
        <is>
          <t>Pune</t>
        </is>
      </c>
      <c r="H1181" t="inlineStr">
        <is>
          <t>North Indian</t>
        </is>
      </c>
      <c r="I1181" t="n">
        <v>346</v>
      </c>
      <c r="J1181" t="n">
        <v>10.46</v>
      </c>
      <c r="K1181" t="n">
        <v>29.5</v>
      </c>
      <c r="L1181" t="n">
        <v>0.18</v>
      </c>
      <c r="M1181" t="n">
        <v>69.66</v>
      </c>
      <c r="N1181" t="n">
        <v>3.9</v>
      </c>
      <c r="O1181" t="n">
        <v>27</v>
      </c>
      <c r="P1181" t="inlineStr">
        <is>
          <t>Debit Card</t>
        </is>
      </c>
      <c r="Q1181" t="inlineStr">
        <is>
          <t>Delivered</t>
        </is>
      </c>
      <c r="R1181" t="n">
        <v>4</v>
      </c>
    </row>
    <row r="1182">
      <c r="A1182" t="inlineStr">
        <is>
          <t>ORD2181</t>
        </is>
      </c>
      <c r="B1182" t="inlineStr">
        <is>
          <t>2025-02-07</t>
        </is>
      </c>
      <c r="C1182" t="inlineStr">
        <is>
          <t>14:32:46</t>
        </is>
      </c>
      <c r="D1182" t="n">
        <v>1109</v>
      </c>
      <c r="E1182" t="n">
        <v>107</v>
      </c>
      <c r="F1182" t="n">
        <v>206</v>
      </c>
      <c r="G1182" t="inlineStr">
        <is>
          <t>Mumbai</t>
        </is>
      </c>
      <c r="H1182" t="inlineStr">
        <is>
          <t>Desserts</t>
        </is>
      </c>
      <c r="I1182" t="n">
        <v>940</v>
      </c>
      <c r="J1182" t="n">
        <v>31.24</v>
      </c>
      <c r="K1182" t="n">
        <v>46</v>
      </c>
      <c r="L1182" t="n">
        <v>0.25</v>
      </c>
      <c r="M1182" t="n">
        <v>246.5</v>
      </c>
      <c r="N1182" t="n">
        <v>7.2</v>
      </c>
      <c r="O1182" t="n">
        <v>41.7</v>
      </c>
      <c r="P1182" t="inlineStr">
        <is>
          <t>Digital Wallet</t>
        </is>
      </c>
      <c r="Q1182" t="inlineStr">
        <is>
          <t>Delivered</t>
        </is>
      </c>
      <c r="R1182" t="n">
        <v>1</v>
      </c>
    </row>
    <row r="1183">
      <c r="A1183" t="inlineStr">
        <is>
          <t>ORD2182</t>
        </is>
      </c>
      <c r="B1183" t="inlineStr">
        <is>
          <t>2025-04-10</t>
        </is>
      </c>
      <c r="C1183" t="inlineStr">
        <is>
          <t>10:53:38</t>
        </is>
      </c>
      <c r="D1183" t="n">
        <v>1132</v>
      </c>
      <c r="E1183" t="n">
        <v>111</v>
      </c>
      <c r="F1183" t="n">
        <v>218</v>
      </c>
      <c r="G1183" t="inlineStr">
        <is>
          <t>Bangalore</t>
        </is>
      </c>
      <c r="H1183" t="inlineStr">
        <is>
          <t>South Indian</t>
        </is>
      </c>
      <c r="I1183" t="n">
        <v>539</v>
      </c>
      <c r="J1183" t="n">
        <v>18.33</v>
      </c>
      <c r="K1183" t="n">
        <v>25.5</v>
      </c>
      <c r="L1183" t="n">
        <v>0.15</v>
      </c>
      <c r="M1183" t="n">
        <v>87.22</v>
      </c>
      <c r="N1183" t="n">
        <v>3.1</v>
      </c>
      <c r="O1183" t="n">
        <v>28.3</v>
      </c>
      <c r="P1183" t="inlineStr">
        <is>
          <t>Debit Card</t>
        </is>
      </c>
      <c r="Q1183" t="inlineStr">
        <is>
          <t>Delivered</t>
        </is>
      </c>
      <c r="R1183" t="n">
        <v>5</v>
      </c>
    </row>
    <row r="1184">
      <c r="A1184" t="inlineStr">
        <is>
          <t>ORD2183</t>
        </is>
      </c>
      <c r="B1184" t="inlineStr">
        <is>
          <t>2025-02-21</t>
        </is>
      </c>
      <c r="C1184" t="inlineStr">
        <is>
          <t>11:16:41</t>
        </is>
      </c>
      <c r="D1184" t="n">
        <v>1225</v>
      </c>
      <c r="E1184" t="n">
        <v>110</v>
      </c>
      <c r="F1184" t="n">
        <v>226</v>
      </c>
      <c r="G1184" t="inlineStr">
        <is>
          <t>Pune</t>
        </is>
      </c>
      <c r="H1184" t="inlineStr">
        <is>
          <t>North Indian</t>
        </is>
      </c>
      <c r="I1184" t="n">
        <v>810</v>
      </c>
      <c r="J1184" t="n">
        <v>0</v>
      </c>
      <c r="K1184" t="n">
        <v>40.5</v>
      </c>
      <c r="L1184" t="n">
        <v>0.18</v>
      </c>
      <c r="M1184" t="n">
        <v>155.92</v>
      </c>
      <c r="N1184" t="n">
        <v>6.1</v>
      </c>
      <c r="O1184" t="n">
        <v>32.3</v>
      </c>
      <c r="P1184" t="inlineStr">
        <is>
          <t>UPI</t>
        </is>
      </c>
      <c r="Q1184" t="inlineStr">
        <is>
          <t>Delivered</t>
        </is>
      </c>
      <c r="R1184" t="n">
        <v>4</v>
      </c>
    </row>
    <row r="1185">
      <c r="A1185" t="inlineStr">
        <is>
          <t>ORD2184</t>
        </is>
      </c>
      <c r="B1185" t="inlineStr">
        <is>
          <t>2025-10-15</t>
        </is>
      </c>
      <c r="C1185" t="inlineStr">
        <is>
          <t>13:17:30</t>
        </is>
      </c>
      <c r="D1185" t="n">
        <v>1159</v>
      </c>
      <c r="E1185" t="n">
        <v>104</v>
      </c>
      <c r="F1185" t="n">
        <v>219</v>
      </c>
      <c r="G1185" t="inlineStr">
        <is>
          <t>Delhi NCR</t>
        </is>
      </c>
      <c r="H1185" t="inlineStr">
        <is>
          <t>Fast Food</t>
        </is>
      </c>
      <c r="I1185" t="n">
        <v>511</v>
      </c>
      <c r="J1185" t="n">
        <v>21.8</v>
      </c>
      <c r="K1185" t="n">
        <v>42</v>
      </c>
      <c r="L1185" t="n">
        <v>0.18</v>
      </c>
      <c r="M1185" t="n">
        <v>102.48</v>
      </c>
      <c r="N1185" t="n">
        <v>6.4</v>
      </c>
      <c r="O1185" t="n">
        <v>38.7</v>
      </c>
      <c r="P1185" t="inlineStr">
        <is>
          <t>UPI</t>
        </is>
      </c>
      <c r="Q1185" t="inlineStr">
        <is>
          <t>Delivered</t>
        </is>
      </c>
      <c r="R1185" t="n">
        <v>4</v>
      </c>
    </row>
    <row r="1186">
      <c r="A1186" t="inlineStr">
        <is>
          <t>ORD2185</t>
        </is>
      </c>
      <c r="B1186" t="inlineStr">
        <is>
          <t>2025-10-07</t>
        </is>
      </c>
      <c r="C1186" t="inlineStr">
        <is>
          <t>13:45:06</t>
        </is>
      </c>
      <c r="D1186" t="n">
        <v>1076</v>
      </c>
      <c r="E1186" t="n">
        <v>108</v>
      </c>
      <c r="F1186" t="n">
        <v>211</v>
      </c>
      <c r="G1186" t="inlineStr">
        <is>
          <t>Delhi NCR</t>
        </is>
      </c>
      <c r="H1186" t="inlineStr">
        <is>
          <t>Fast Food</t>
        </is>
      </c>
      <c r="I1186" t="n">
        <v>683</v>
      </c>
      <c r="J1186" t="n">
        <v>44.86</v>
      </c>
      <c r="K1186" t="n">
        <v>25</v>
      </c>
      <c r="L1186" t="n">
        <v>0.18</v>
      </c>
      <c r="M1186" t="n">
        <v>129.19</v>
      </c>
      <c r="N1186" t="n">
        <v>2.8</v>
      </c>
      <c r="O1186" t="n">
        <v>32.6</v>
      </c>
      <c r="P1186" t="inlineStr">
        <is>
          <t>Cash on Delivery</t>
        </is>
      </c>
      <c r="Q1186" t="inlineStr">
        <is>
          <t>Delivered</t>
        </is>
      </c>
      <c r="R1186" t="n">
        <v>4</v>
      </c>
    </row>
    <row r="1187">
      <c r="A1187" t="inlineStr">
        <is>
          <t>ORD2186</t>
        </is>
      </c>
      <c r="B1187" t="inlineStr">
        <is>
          <t>2025-07-09</t>
        </is>
      </c>
      <c r="C1187" t="inlineStr">
        <is>
          <t>14:30:36</t>
        </is>
      </c>
      <c r="D1187" t="n">
        <v>1284</v>
      </c>
      <c r="E1187" t="n">
        <v>109</v>
      </c>
      <c r="F1187" t="n">
        <v>216</v>
      </c>
      <c r="G1187" t="inlineStr">
        <is>
          <t>Hyderabad</t>
        </is>
      </c>
      <c r="H1187" t="inlineStr">
        <is>
          <t>Biryani</t>
        </is>
      </c>
      <c r="I1187" t="n">
        <v>331</v>
      </c>
      <c r="J1187" t="n">
        <v>8.800000000000001</v>
      </c>
      <c r="K1187" t="n">
        <v>31.5</v>
      </c>
      <c r="L1187" t="n">
        <v>0.2</v>
      </c>
      <c r="M1187" t="n">
        <v>74.08</v>
      </c>
      <c r="N1187" t="n">
        <v>4.3</v>
      </c>
      <c r="O1187" t="n">
        <v>37.3</v>
      </c>
      <c r="P1187" t="inlineStr">
        <is>
          <t>UPI</t>
        </is>
      </c>
      <c r="Q1187" t="inlineStr">
        <is>
          <t>Delivered</t>
        </is>
      </c>
      <c r="R1187" t="n">
        <v>3</v>
      </c>
    </row>
    <row r="1188">
      <c r="A1188" t="inlineStr">
        <is>
          <t>ORD2187</t>
        </is>
      </c>
      <c r="B1188" t="inlineStr">
        <is>
          <t>2025-04-17</t>
        </is>
      </c>
      <c r="C1188" t="inlineStr">
        <is>
          <t>22:55:31</t>
        </is>
      </c>
      <c r="D1188" t="n">
        <v>1276</v>
      </c>
      <c r="E1188" t="n">
        <v>105</v>
      </c>
      <c r="F1188" t="n">
        <v>220</v>
      </c>
      <c r="G1188" t="inlineStr">
        <is>
          <t>Bangalore</t>
        </is>
      </c>
      <c r="H1188" t="inlineStr">
        <is>
          <t>Chinese</t>
        </is>
      </c>
      <c r="I1188" t="n">
        <v>827</v>
      </c>
      <c r="J1188" t="n">
        <v>0</v>
      </c>
      <c r="K1188" t="n">
        <v>36</v>
      </c>
      <c r="L1188" t="n">
        <v>0.2</v>
      </c>
      <c r="M1188" t="n">
        <v>174.4</v>
      </c>
      <c r="N1188" t="n">
        <v>5.2</v>
      </c>
      <c r="O1188" t="n">
        <v>32.7</v>
      </c>
      <c r="P1188" t="inlineStr">
        <is>
          <t>Digital Wallet</t>
        </is>
      </c>
      <c r="Q1188" t="inlineStr">
        <is>
          <t>Delivered</t>
        </is>
      </c>
      <c r="R1188" t="n">
        <v>4</v>
      </c>
    </row>
    <row r="1189">
      <c r="A1189" t="inlineStr">
        <is>
          <t>ORD2188</t>
        </is>
      </c>
      <c r="B1189" t="inlineStr">
        <is>
          <t>2025-09-10</t>
        </is>
      </c>
      <c r="C1189" t="inlineStr">
        <is>
          <t>13:16:26</t>
        </is>
      </c>
      <c r="D1189" t="n">
        <v>1275</v>
      </c>
      <c r="E1189" t="n">
        <v>110</v>
      </c>
      <c r="F1189" t="n">
        <v>214</v>
      </c>
      <c r="G1189" t="inlineStr">
        <is>
          <t>Pune</t>
        </is>
      </c>
      <c r="H1189" t="inlineStr">
        <is>
          <t>North Indian</t>
        </is>
      </c>
      <c r="I1189" t="n">
        <v>538</v>
      </c>
      <c r="J1189" t="n">
        <v>35.91</v>
      </c>
      <c r="K1189" t="n">
        <v>30</v>
      </c>
      <c r="L1189" t="n">
        <v>0.18</v>
      </c>
      <c r="M1189" t="n">
        <v>104.34</v>
      </c>
      <c r="N1189" t="n">
        <v>4</v>
      </c>
      <c r="O1189" t="n">
        <v>30.3</v>
      </c>
      <c r="P1189" t="inlineStr">
        <is>
          <t>Digital Wallet</t>
        </is>
      </c>
      <c r="Q1189" t="inlineStr">
        <is>
          <t>Delivered</t>
        </is>
      </c>
      <c r="R1189" t="n">
        <v>5</v>
      </c>
    </row>
    <row r="1190">
      <c r="A1190" t="inlineStr">
        <is>
          <t>ORD2189</t>
        </is>
      </c>
      <c r="B1190" t="inlineStr">
        <is>
          <t>2025-12-20</t>
        </is>
      </c>
      <c r="C1190" t="inlineStr">
        <is>
          <t>01:13:48</t>
        </is>
      </c>
      <c r="D1190" t="n">
        <v>1106</v>
      </c>
      <c r="E1190" t="n">
        <v>111</v>
      </c>
      <c r="F1190" t="n">
        <v>223</v>
      </c>
      <c r="G1190" t="inlineStr">
        <is>
          <t>Bangalore</t>
        </is>
      </c>
      <c r="H1190" t="inlineStr">
        <is>
          <t>South Indian</t>
        </is>
      </c>
      <c r="I1190" t="n">
        <v>795</v>
      </c>
      <c r="J1190" t="n">
        <v>34.7</v>
      </c>
      <c r="K1190" t="n">
        <v>38.5</v>
      </c>
      <c r="L1190" t="n">
        <v>0.15</v>
      </c>
      <c r="M1190" t="n">
        <v>128.88</v>
      </c>
      <c r="N1190" t="n">
        <v>5.7</v>
      </c>
      <c r="O1190" t="n">
        <v>32.6</v>
      </c>
      <c r="P1190" t="inlineStr">
        <is>
          <t>Credit Card</t>
        </is>
      </c>
      <c r="Q1190" t="inlineStr">
        <is>
          <t>Delivered</t>
        </is>
      </c>
      <c r="R1190" t="n">
        <v>5</v>
      </c>
    </row>
    <row r="1191">
      <c r="A1191" t="inlineStr">
        <is>
          <t>ORD2190</t>
        </is>
      </c>
      <c r="B1191" t="inlineStr">
        <is>
          <t>2025-09-21</t>
        </is>
      </c>
      <c r="C1191" t="inlineStr">
        <is>
          <t>11:35:54</t>
        </is>
      </c>
      <c r="D1191" t="n">
        <v>1011</v>
      </c>
      <c r="E1191" t="n">
        <v>119</v>
      </c>
      <c r="F1191" t="n">
        <v>216</v>
      </c>
      <c r="G1191" t="inlineStr">
        <is>
          <t>Hyderabad</t>
        </is>
      </c>
      <c r="H1191" t="inlineStr">
        <is>
          <t>Biryani</t>
        </is>
      </c>
      <c r="I1191" t="n">
        <v>303</v>
      </c>
      <c r="J1191" t="n">
        <v>10.32</v>
      </c>
      <c r="K1191" t="n">
        <v>29.5</v>
      </c>
      <c r="L1191" t="n">
        <v>0.2</v>
      </c>
      <c r="M1191" t="n">
        <v>67.97</v>
      </c>
      <c r="N1191" t="n">
        <v>3.9</v>
      </c>
      <c r="O1191" t="n">
        <v>30</v>
      </c>
      <c r="P1191" t="inlineStr">
        <is>
          <t>Credit Card</t>
        </is>
      </c>
      <c r="Q1191" t="inlineStr">
        <is>
          <t>Delivered</t>
        </is>
      </c>
      <c r="R1191" t="n">
        <v>3</v>
      </c>
    </row>
    <row r="1192">
      <c r="A1192" t="inlineStr">
        <is>
          <t>ORD2191</t>
        </is>
      </c>
      <c r="B1192" t="inlineStr">
        <is>
          <t>2025-09-24</t>
        </is>
      </c>
      <c r="C1192" t="inlineStr">
        <is>
          <t>09:47:07</t>
        </is>
      </c>
      <c r="D1192" t="n">
        <v>1243</v>
      </c>
      <c r="E1192" t="n">
        <v>104</v>
      </c>
      <c r="F1192" t="n">
        <v>211</v>
      </c>
      <c r="G1192" t="inlineStr">
        <is>
          <t>Delhi NCR</t>
        </is>
      </c>
      <c r="H1192" t="inlineStr">
        <is>
          <t>Fast Food</t>
        </is>
      </c>
      <c r="I1192" t="n">
        <v>540</v>
      </c>
      <c r="J1192" t="n">
        <v>77.63</v>
      </c>
      <c r="K1192" t="n">
        <v>0</v>
      </c>
      <c r="L1192" t="n">
        <v>0.18</v>
      </c>
      <c r="M1192" t="n">
        <v>97.2</v>
      </c>
      <c r="N1192" t="n">
        <v>4.3</v>
      </c>
      <c r="O1192" t="n">
        <v>45.4</v>
      </c>
      <c r="P1192" t="inlineStr">
        <is>
          <t>UPI</t>
        </is>
      </c>
      <c r="Q1192" t="inlineStr">
        <is>
          <t>Delivered</t>
        </is>
      </c>
      <c r="R1192" t="n">
        <v>4</v>
      </c>
    </row>
    <row r="1193">
      <c r="A1193" t="inlineStr">
        <is>
          <t>ORD2192</t>
        </is>
      </c>
      <c r="B1193" t="inlineStr">
        <is>
          <t>2025-11-17</t>
        </is>
      </c>
      <c r="C1193" t="inlineStr">
        <is>
          <t>10:51:33</t>
        </is>
      </c>
      <c r="D1193" t="n">
        <v>1090</v>
      </c>
      <c r="E1193" t="n">
        <v>101</v>
      </c>
      <c r="F1193" t="n">
        <v>213</v>
      </c>
      <c r="G1193" t="inlineStr">
        <is>
          <t>Bangalore</t>
        </is>
      </c>
      <c r="H1193" t="inlineStr">
        <is>
          <t>North Indian</t>
        </is>
      </c>
      <c r="I1193" t="n">
        <v>718</v>
      </c>
      <c r="J1193" t="n">
        <v>0</v>
      </c>
      <c r="K1193" t="n">
        <v>33</v>
      </c>
      <c r="L1193" t="n">
        <v>0.2</v>
      </c>
      <c r="M1193" t="n">
        <v>151.85</v>
      </c>
      <c r="N1193" t="n">
        <v>4.6</v>
      </c>
      <c r="O1193" t="n">
        <v>34.8</v>
      </c>
      <c r="P1193" t="inlineStr">
        <is>
          <t>Cash on Delivery</t>
        </is>
      </c>
      <c r="Q1193" t="inlineStr">
        <is>
          <t>Delivered</t>
        </is>
      </c>
      <c r="R1193" t="n">
        <v>5</v>
      </c>
    </row>
    <row r="1194">
      <c r="A1194" t="inlineStr">
        <is>
          <t>ORD2193</t>
        </is>
      </c>
      <c r="B1194" t="inlineStr">
        <is>
          <t>2025-03-02</t>
        </is>
      </c>
      <c r="C1194" t="inlineStr">
        <is>
          <t>19:27:18</t>
        </is>
      </c>
      <c r="D1194" t="n">
        <v>1269</v>
      </c>
      <c r="E1194" t="n">
        <v>107</v>
      </c>
      <c r="F1194" t="n">
        <v>206</v>
      </c>
      <c r="G1194" t="inlineStr">
        <is>
          <t>Mumbai</t>
        </is>
      </c>
      <c r="H1194" t="inlineStr">
        <is>
          <t>Desserts</t>
        </is>
      </c>
      <c r="I1194" t="n">
        <v>912</v>
      </c>
      <c r="J1194" t="n">
        <v>0</v>
      </c>
      <c r="K1194" t="n">
        <v>44.5</v>
      </c>
      <c r="L1194" t="n">
        <v>0.25</v>
      </c>
      <c r="M1194" t="n">
        <v>239.12</v>
      </c>
      <c r="N1194" t="n">
        <v>6.9</v>
      </c>
      <c r="O1194" t="n">
        <v>46.3</v>
      </c>
      <c r="P1194" t="inlineStr">
        <is>
          <t>Debit Card</t>
        </is>
      </c>
      <c r="Q1194" t="inlineStr">
        <is>
          <t>Delivered</t>
        </is>
      </c>
      <c r="R1194" t="n">
        <v>4</v>
      </c>
    </row>
    <row r="1195">
      <c r="A1195" t="inlineStr">
        <is>
          <t>ORD2194</t>
        </is>
      </c>
      <c r="B1195" t="inlineStr">
        <is>
          <t>2025-09-25</t>
        </is>
      </c>
      <c r="C1195" t="inlineStr">
        <is>
          <t>15:43:13</t>
        </is>
      </c>
      <c r="D1195" t="n">
        <v>1133</v>
      </c>
      <c r="E1195" t="n">
        <v>118</v>
      </c>
      <c r="F1195" t="n">
        <v>230</v>
      </c>
      <c r="G1195" t="inlineStr">
        <is>
          <t>Delhi NCR</t>
        </is>
      </c>
      <c r="H1195" t="inlineStr">
        <is>
          <t>North Indian</t>
        </is>
      </c>
      <c r="I1195" t="n">
        <v>848</v>
      </c>
      <c r="J1195" t="n">
        <v>25.19</v>
      </c>
      <c r="K1195" t="n">
        <v>32.5</v>
      </c>
      <c r="L1195" t="n">
        <v>0.2</v>
      </c>
      <c r="M1195" t="n">
        <v>177.73</v>
      </c>
      <c r="N1195" t="n">
        <v>4.5</v>
      </c>
      <c r="O1195" t="n">
        <v>32.2</v>
      </c>
      <c r="P1195" t="inlineStr">
        <is>
          <t>Cash on Delivery</t>
        </is>
      </c>
      <c r="Q1195" t="inlineStr">
        <is>
          <t>Delivered</t>
        </is>
      </c>
      <c r="R1195" t="n">
        <v>5</v>
      </c>
    </row>
    <row r="1196">
      <c r="A1196" t="inlineStr">
        <is>
          <t>ORD2195</t>
        </is>
      </c>
      <c r="B1196" t="inlineStr">
        <is>
          <t>2025-03-11</t>
        </is>
      </c>
      <c r="C1196" t="inlineStr">
        <is>
          <t>13:10:33</t>
        </is>
      </c>
      <c r="D1196" t="n">
        <v>1264</v>
      </c>
      <c r="E1196" t="n">
        <v>105</v>
      </c>
      <c r="F1196" t="n">
        <v>203</v>
      </c>
      <c r="G1196" t="inlineStr">
        <is>
          <t>Bangalore</t>
        </is>
      </c>
      <c r="H1196" t="inlineStr">
        <is>
          <t>Chinese</t>
        </is>
      </c>
      <c r="I1196" t="n">
        <v>705</v>
      </c>
      <c r="J1196" t="n">
        <v>0</v>
      </c>
      <c r="K1196" t="n">
        <v>32.5</v>
      </c>
      <c r="L1196" t="n">
        <v>0.2</v>
      </c>
      <c r="M1196" t="n">
        <v>149.12</v>
      </c>
      <c r="N1196" t="n">
        <v>4.5</v>
      </c>
      <c r="O1196" t="n">
        <v>43</v>
      </c>
      <c r="P1196" t="inlineStr">
        <is>
          <t>Credit Card</t>
        </is>
      </c>
      <c r="Q1196" t="inlineStr">
        <is>
          <t>Delivered</t>
        </is>
      </c>
      <c r="R1196" t="n">
        <v>3</v>
      </c>
    </row>
    <row r="1197">
      <c r="A1197" t="inlineStr">
        <is>
          <t>ORD2196</t>
        </is>
      </c>
      <c r="B1197" t="inlineStr">
        <is>
          <t>2025-06-09</t>
        </is>
      </c>
      <c r="C1197" t="inlineStr">
        <is>
          <t>19:44:12</t>
        </is>
      </c>
      <c r="D1197" t="n">
        <v>1145</v>
      </c>
      <c r="E1197" t="n">
        <v>116</v>
      </c>
      <c r="F1197" t="n">
        <v>208</v>
      </c>
      <c r="G1197" t="inlineStr">
        <is>
          <t>Pune</t>
        </is>
      </c>
      <c r="H1197" t="inlineStr">
        <is>
          <t>Desserts</t>
        </is>
      </c>
      <c r="I1197" t="n">
        <v>424</v>
      </c>
      <c r="J1197" t="n">
        <v>18.24</v>
      </c>
      <c r="K1197" t="n">
        <v>25</v>
      </c>
      <c r="L1197" t="n">
        <v>0.25</v>
      </c>
      <c r="M1197" t="n">
        <v>112.25</v>
      </c>
      <c r="N1197" t="n">
        <v>1.8</v>
      </c>
      <c r="O1197" t="n">
        <v>23.2</v>
      </c>
      <c r="P1197" t="inlineStr">
        <is>
          <t>UPI</t>
        </is>
      </c>
      <c r="Q1197" t="inlineStr">
        <is>
          <t>Delivered</t>
        </is>
      </c>
      <c r="R1197" t="n">
        <v>4</v>
      </c>
    </row>
    <row r="1198">
      <c r="A1198" t="inlineStr">
        <is>
          <t>ORD2197</t>
        </is>
      </c>
      <c r="B1198" t="inlineStr">
        <is>
          <t>2025-06-29</t>
        </is>
      </c>
      <c r="C1198" t="inlineStr">
        <is>
          <t>20:40:35</t>
        </is>
      </c>
      <c r="D1198" t="n">
        <v>1198</v>
      </c>
      <c r="E1198" t="n">
        <v>101</v>
      </c>
      <c r="F1198" t="n">
        <v>205</v>
      </c>
      <c r="G1198" t="inlineStr">
        <is>
          <t>Bangalore</t>
        </is>
      </c>
      <c r="H1198" t="inlineStr">
        <is>
          <t>North Indian</t>
        </is>
      </c>
      <c r="I1198" t="n">
        <v>639</v>
      </c>
      <c r="J1198" t="n">
        <v>104.08</v>
      </c>
      <c r="K1198" t="n">
        <v>0</v>
      </c>
      <c r="L1198" t="n">
        <v>0.2</v>
      </c>
      <c r="M1198" t="n">
        <v>127.8</v>
      </c>
      <c r="N1198" t="n">
        <v>2.6</v>
      </c>
      <c r="O1198" t="n">
        <v>34</v>
      </c>
      <c r="P1198" t="inlineStr">
        <is>
          <t>Debit Card</t>
        </is>
      </c>
      <c r="Q1198" t="inlineStr">
        <is>
          <t>Delivered</t>
        </is>
      </c>
      <c r="R1198" t="n">
        <v>4</v>
      </c>
    </row>
    <row r="1199">
      <c r="A1199" t="inlineStr">
        <is>
          <t>ORD2198</t>
        </is>
      </c>
      <c r="B1199" t="inlineStr">
        <is>
          <t>2025-07-08</t>
        </is>
      </c>
      <c r="C1199" t="inlineStr">
        <is>
          <t>20:39:49</t>
        </is>
      </c>
      <c r="D1199" t="n">
        <v>1275</v>
      </c>
      <c r="E1199" t="n">
        <v>120</v>
      </c>
      <c r="F1199" t="n">
        <v>214</v>
      </c>
      <c r="G1199" t="inlineStr">
        <is>
          <t>Pune</t>
        </is>
      </c>
      <c r="H1199" t="inlineStr">
        <is>
          <t>Fast Food</t>
        </is>
      </c>
      <c r="I1199" t="n">
        <v>632</v>
      </c>
      <c r="J1199" t="n">
        <v>28.37</v>
      </c>
      <c r="K1199" t="n">
        <v>27.5</v>
      </c>
      <c r="L1199" t="n">
        <v>0.18</v>
      </c>
      <c r="M1199" t="n">
        <v>120.64</v>
      </c>
      <c r="N1199" t="n">
        <v>3.5</v>
      </c>
      <c r="O1199" t="n">
        <v>34.9</v>
      </c>
      <c r="P1199" t="inlineStr">
        <is>
          <t>Credit Card</t>
        </is>
      </c>
      <c r="Q1199" t="inlineStr">
        <is>
          <t>Delivered</t>
        </is>
      </c>
      <c r="R1199" t="n">
        <v>2</v>
      </c>
    </row>
    <row r="1200">
      <c r="A1200" t="inlineStr">
        <is>
          <t>ORD2199</t>
        </is>
      </c>
      <c r="B1200" t="inlineStr">
        <is>
          <t>2025-02-22</t>
        </is>
      </c>
      <c r="C1200" t="inlineStr">
        <is>
          <t>20:46:13</t>
        </is>
      </c>
      <c r="D1200" t="n">
        <v>1240</v>
      </c>
      <c r="E1200" t="n">
        <v>107</v>
      </c>
      <c r="F1200" t="n">
        <v>202</v>
      </c>
      <c r="G1200" t="inlineStr">
        <is>
          <t>Mumbai</t>
        </is>
      </c>
      <c r="H1200" t="inlineStr">
        <is>
          <t>Desserts</t>
        </is>
      </c>
      <c r="I1200" t="n">
        <v>506</v>
      </c>
      <c r="J1200" t="n">
        <v>0</v>
      </c>
      <c r="K1200" t="n">
        <v>51.5</v>
      </c>
      <c r="L1200" t="n">
        <v>0.25</v>
      </c>
      <c r="M1200" t="n">
        <v>139.38</v>
      </c>
      <c r="N1200" t="n">
        <v>8.300000000000001</v>
      </c>
      <c r="O1200" t="n">
        <v>62.3</v>
      </c>
      <c r="P1200" t="inlineStr">
        <is>
          <t>Credit Card</t>
        </is>
      </c>
      <c r="Q1200" t="inlineStr">
        <is>
          <t>Delivered</t>
        </is>
      </c>
      <c r="R1200" t="n">
        <v>1</v>
      </c>
    </row>
    <row r="1201">
      <c r="A1201" t="inlineStr">
        <is>
          <t>ORD2200</t>
        </is>
      </c>
      <c r="B1201" t="inlineStr">
        <is>
          <t>2025-11-12</t>
        </is>
      </c>
      <c r="C1201" t="inlineStr">
        <is>
          <t>14:42:58</t>
        </is>
      </c>
      <c r="D1201" t="n">
        <v>1140</v>
      </c>
      <c r="E1201" t="n">
        <v>106</v>
      </c>
      <c r="F1201" t="n">
        <v>208</v>
      </c>
      <c r="G1201" t="inlineStr">
        <is>
          <t>Pune</t>
        </is>
      </c>
      <c r="H1201" t="inlineStr">
        <is>
          <t>South Indian</t>
        </is>
      </c>
      <c r="I1201" t="n">
        <v>857</v>
      </c>
      <c r="J1201" t="n">
        <v>100.11</v>
      </c>
      <c r="K1201" t="n">
        <v>0</v>
      </c>
      <c r="L1201" t="n">
        <v>0.15</v>
      </c>
      <c r="M1201" t="n">
        <v>128.55</v>
      </c>
      <c r="N1201" t="n">
        <v>5.6</v>
      </c>
      <c r="O1201" t="n">
        <v>43.1</v>
      </c>
      <c r="P1201" t="inlineStr">
        <is>
          <t>Credit Card</t>
        </is>
      </c>
      <c r="Q1201" t="inlineStr">
        <is>
          <t>Delivered</t>
        </is>
      </c>
      <c r="R1201" t="n">
        <v>1</v>
      </c>
    </row>
    <row r="1202">
      <c r="A1202" t="inlineStr">
        <is>
          <t>ORD2201</t>
        </is>
      </c>
      <c r="B1202" t="inlineStr">
        <is>
          <t>2025-03-15</t>
        </is>
      </c>
      <c r="C1202" t="inlineStr">
        <is>
          <t>21:10:30</t>
        </is>
      </c>
      <c r="D1202" t="n">
        <v>1263</v>
      </c>
      <c r="E1202" t="n">
        <v>104</v>
      </c>
      <c r="F1202" t="n">
        <v>221</v>
      </c>
      <c r="G1202" t="inlineStr">
        <is>
          <t>Delhi NCR</t>
        </is>
      </c>
      <c r="H1202" t="inlineStr">
        <is>
          <t>Fast Food</t>
        </is>
      </c>
      <c r="I1202" t="n">
        <v>220</v>
      </c>
      <c r="J1202" t="n">
        <v>0</v>
      </c>
      <c r="K1202" t="n">
        <v>25</v>
      </c>
      <c r="L1202" t="n">
        <v>0.18</v>
      </c>
      <c r="M1202" t="n">
        <v>45.85</v>
      </c>
      <c r="N1202" t="n">
        <v>2.4</v>
      </c>
      <c r="O1202" t="n">
        <v>32.2</v>
      </c>
      <c r="P1202" t="inlineStr">
        <is>
          <t>UPI</t>
        </is>
      </c>
      <c r="Q1202" t="inlineStr">
        <is>
          <t>Delivered</t>
        </is>
      </c>
      <c r="R1202" t="n">
        <v>3</v>
      </c>
    </row>
    <row r="1203">
      <c r="A1203" t="inlineStr">
        <is>
          <t>ORD2202</t>
        </is>
      </c>
      <c r="B1203" t="inlineStr">
        <is>
          <t>2025-08-06</t>
        </is>
      </c>
      <c r="C1203" t="inlineStr">
        <is>
          <t>17:42:30</t>
        </is>
      </c>
      <c r="D1203" t="n">
        <v>1079</v>
      </c>
      <c r="E1203" t="n">
        <v>101</v>
      </c>
      <c r="F1203" t="n">
        <v>218</v>
      </c>
      <c r="G1203" t="inlineStr">
        <is>
          <t>Bangalore</t>
        </is>
      </c>
      <c r="H1203" t="inlineStr">
        <is>
          <t>North Indian</t>
        </is>
      </c>
      <c r="I1203" t="n">
        <v>554</v>
      </c>
      <c r="J1203" t="n">
        <v>0</v>
      </c>
      <c r="K1203" t="n">
        <v>25</v>
      </c>
      <c r="L1203" t="n">
        <v>0.2</v>
      </c>
      <c r="M1203" t="n">
        <v>117.05</v>
      </c>
      <c r="N1203" t="n">
        <v>2.9</v>
      </c>
      <c r="O1203" t="n">
        <v>30.6</v>
      </c>
      <c r="P1203" t="inlineStr">
        <is>
          <t>Credit Card</t>
        </is>
      </c>
      <c r="Q1203" t="inlineStr">
        <is>
          <t>Delivered</t>
        </is>
      </c>
      <c r="R1203" t="n">
        <v>4</v>
      </c>
    </row>
    <row r="1204">
      <c r="A1204" t="inlineStr">
        <is>
          <t>ORD2203</t>
        </is>
      </c>
      <c r="B1204" t="inlineStr">
        <is>
          <t>2025-12-28</t>
        </is>
      </c>
      <c r="C1204" t="inlineStr">
        <is>
          <t>13:30:22</t>
        </is>
      </c>
      <c r="D1204" t="n">
        <v>1018</v>
      </c>
      <c r="E1204" t="n">
        <v>108</v>
      </c>
      <c r="F1204" t="n">
        <v>212</v>
      </c>
      <c r="G1204" t="inlineStr">
        <is>
          <t>Delhi NCR</t>
        </is>
      </c>
      <c r="H1204" t="inlineStr">
        <is>
          <t>Fast Food</t>
        </is>
      </c>
      <c r="I1204" t="n">
        <v>539</v>
      </c>
      <c r="J1204" t="n">
        <v>13.67</v>
      </c>
      <c r="K1204" t="n">
        <v>35</v>
      </c>
      <c r="L1204" t="n">
        <v>0.18</v>
      </c>
      <c r="M1204" t="n">
        <v>105.77</v>
      </c>
      <c r="N1204" t="n">
        <v>5</v>
      </c>
      <c r="O1204" t="n">
        <v>33.2</v>
      </c>
      <c r="P1204" t="inlineStr">
        <is>
          <t>Digital Wallet</t>
        </is>
      </c>
      <c r="Q1204" t="inlineStr">
        <is>
          <t>Delivered</t>
        </is>
      </c>
      <c r="R1204" t="n">
        <v>4</v>
      </c>
    </row>
    <row r="1205">
      <c r="A1205" t="inlineStr">
        <is>
          <t>ORD2204</t>
        </is>
      </c>
      <c r="B1205" t="inlineStr">
        <is>
          <t>2025-11-21</t>
        </is>
      </c>
      <c r="C1205" t="inlineStr">
        <is>
          <t>20:53:17</t>
        </is>
      </c>
      <c r="D1205" t="n">
        <v>1162</v>
      </c>
      <c r="E1205" t="n">
        <v>114</v>
      </c>
      <c r="F1205" t="n">
        <v>215</v>
      </c>
      <c r="G1205" t="inlineStr">
        <is>
          <t>Hyderabad</t>
        </is>
      </c>
      <c r="H1205" t="inlineStr">
        <is>
          <t>Biryani</t>
        </is>
      </c>
      <c r="I1205" t="n">
        <v>948</v>
      </c>
      <c r="J1205" t="n">
        <v>56.88</v>
      </c>
      <c r="K1205" t="n">
        <v>44.5</v>
      </c>
      <c r="L1205" t="n">
        <v>0.22</v>
      </c>
      <c r="M1205" t="n">
        <v>219.68</v>
      </c>
      <c r="N1205" t="n">
        <v>6.9</v>
      </c>
      <c r="O1205" t="n">
        <v>42.5</v>
      </c>
      <c r="P1205" t="inlineStr">
        <is>
          <t>Cash on Delivery</t>
        </is>
      </c>
      <c r="Q1205" t="inlineStr">
        <is>
          <t>Delivered</t>
        </is>
      </c>
      <c r="R1205" t="n">
        <v>5</v>
      </c>
    </row>
    <row r="1206">
      <c r="A1206" t="inlineStr">
        <is>
          <t>ORD2205</t>
        </is>
      </c>
      <c r="B1206" t="inlineStr">
        <is>
          <t>2025-10-13</t>
        </is>
      </c>
      <c r="C1206" t="inlineStr">
        <is>
          <t>11:57:27</t>
        </is>
      </c>
      <c r="D1206" t="n">
        <v>1148</v>
      </c>
      <c r="E1206" t="n">
        <v>101</v>
      </c>
      <c r="F1206" t="n">
        <v>220</v>
      </c>
      <c r="G1206" t="inlineStr">
        <is>
          <t>Bangalore</t>
        </is>
      </c>
      <c r="H1206" t="inlineStr">
        <is>
          <t>North Indian</t>
        </is>
      </c>
      <c r="I1206" t="n">
        <v>887</v>
      </c>
      <c r="J1206" t="n">
        <v>0</v>
      </c>
      <c r="K1206" t="n">
        <v>25</v>
      </c>
      <c r="L1206" t="n">
        <v>0.2</v>
      </c>
      <c r="M1206" t="n">
        <v>183.65</v>
      </c>
      <c r="N1206" t="n">
        <v>2.6</v>
      </c>
      <c r="O1206" t="n">
        <v>20.4</v>
      </c>
      <c r="P1206" t="inlineStr">
        <is>
          <t>Debit Card</t>
        </is>
      </c>
      <c r="Q1206" t="inlineStr">
        <is>
          <t>Delivered</t>
        </is>
      </c>
      <c r="R1206" t="n">
        <v>3</v>
      </c>
    </row>
    <row r="1207">
      <c r="A1207" t="inlineStr">
        <is>
          <t>ORD2206</t>
        </is>
      </c>
      <c r="B1207" t="inlineStr">
        <is>
          <t>2025-04-20</t>
        </is>
      </c>
      <c r="C1207" t="inlineStr">
        <is>
          <t>13:39:35</t>
        </is>
      </c>
      <c r="D1207" t="n">
        <v>1244</v>
      </c>
      <c r="E1207" t="n">
        <v>112</v>
      </c>
      <c r="F1207" t="n">
        <v>228</v>
      </c>
      <c r="G1207" t="inlineStr">
        <is>
          <t>Delhi NCR</t>
        </is>
      </c>
      <c r="H1207" t="inlineStr">
        <is>
          <t>North Indian</t>
        </is>
      </c>
      <c r="I1207" t="n">
        <v>415</v>
      </c>
      <c r="J1207" t="n">
        <v>0</v>
      </c>
      <c r="K1207" t="n">
        <v>37.5</v>
      </c>
      <c r="L1207" t="n">
        <v>0.22</v>
      </c>
      <c r="M1207" t="n">
        <v>100.68</v>
      </c>
      <c r="N1207" t="n">
        <v>5.5</v>
      </c>
      <c r="O1207" t="n">
        <v>34.7</v>
      </c>
      <c r="P1207" t="inlineStr">
        <is>
          <t>UPI</t>
        </is>
      </c>
      <c r="Q1207" t="inlineStr">
        <is>
          <t>Delivered</t>
        </is>
      </c>
      <c r="R1207" t="n">
        <v>4</v>
      </c>
    </row>
    <row r="1208">
      <c r="A1208" t="inlineStr">
        <is>
          <t>ORD2207</t>
        </is>
      </c>
      <c r="B1208" t="inlineStr">
        <is>
          <t>2025-07-04</t>
        </is>
      </c>
      <c r="C1208" t="inlineStr">
        <is>
          <t>18:33:12</t>
        </is>
      </c>
      <c r="D1208" t="n">
        <v>1047</v>
      </c>
      <c r="E1208" t="n">
        <v>111</v>
      </c>
      <c r="F1208" t="n">
        <v>218</v>
      </c>
      <c r="G1208" t="inlineStr">
        <is>
          <t>Bangalore</t>
        </is>
      </c>
      <c r="H1208" t="inlineStr">
        <is>
          <t>South Indian</t>
        </is>
      </c>
      <c r="I1208" t="n">
        <v>225</v>
      </c>
      <c r="J1208" t="n">
        <v>5.91</v>
      </c>
      <c r="K1208" t="n">
        <v>25</v>
      </c>
      <c r="L1208" t="n">
        <v>0.15</v>
      </c>
      <c r="M1208" t="n">
        <v>40</v>
      </c>
      <c r="N1208" t="n">
        <v>2.5</v>
      </c>
      <c r="O1208" t="n">
        <v>28.8</v>
      </c>
      <c r="P1208" t="inlineStr">
        <is>
          <t>Debit Card</t>
        </is>
      </c>
      <c r="Q1208" t="inlineStr">
        <is>
          <t>Delivered</t>
        </is>
      </c>
      <c r="R1208" t="n">
        <v>3</v>
      </c>
    </row>
    <row r="1209">
      <c r="A1209" t="inlineStr">
        <is>
          <t>ORD2208</t>
        </is>
      </c>
      <c r="B1209" t="inlineStr">
        <is>
          <t>2025-11-28</t>
        </is>
      </c>
      <c r="C1209" t="inlineStr">
        <is>
          <t>15:17:41</t>
        </is>
      </c>
      <c r="D1209" t="n">
        <v>1299</v>
      </c>
      <c r="E1209" t="n">
        <v>102</v>
      </c>
      <c r="F1209" t="n">
        <v>225</v>
      </c>
      <c r="G1209" t="inlineStr">
        <is>
          <t>Hyderabad</t>
        </is>
      </c>
      <c r="H1209" t="inlineStr">
        <is>
          <t>Biryani</t>
        </is>
      </c>
      <c r="I1209" t="n">
        <v>710</v>
      </c>
      <c r="J1209" t="n">
        <v>55.3</v>
      </c>
      <c r="K1209" t="n">
        <v>37.5</v>
      </c>
      <c r="L1209" t="n">
        <v>0.22</v>
      </c>
      <c r="M1209" t="n">
        <v>165.58</v>
      </c>
      <c r="N1209" t="n">
        <v>5.5</v>
      </c>
      <c r="O1209" t="n">
        <v>42.6</v>
      </c>
      <c r="P1209" t="inlineStr">
        <is>
          <t>Debit Card</t>
        </is>
      </c>
      <c r="Q1209" t="inlineStr">
        <is>
          <t>Delivered</t>
        </is>
      </c>
      <c r="R1209" t="n">
        <v>5</v>
      </c>
    </row>
    <row r="1210">
      <c r="A1210" t="inlineStr">
        <is>
          <t>ORD2209</t>
        </is>
      </c>
      <c r="B1210" t="inlineStr">
        <is>
          <t>2025-08-30</t>
        </is>
      </c>
      <c r="C1210" t="inlineStr">
        <is>
          <t>18:38:40</t>
        </is>
      </c>
      <c r="D1210" t="n">
        <v>1156</v>
      </c>
      <c r="E1210" t="n">
        <v>116</v>
      </c>
      <c r="F1210" t="n">
        <v>204</v>
      </c>
      <c r="G1210" t="inlineStr">
        <is>
          <t>Pune</t>
        </is>
      </c>
      <c r="H1210" t="inlineStr">
        <is>
          <t>Desserts</t>
        </is>
      </c>
      <c r="I1210" t="n">
        <v>685</v>
      </c>
      <c r="J1210" t="n">
        <v>0</v>
      </c>
      <c r="K1210" t="n">
        <v>42.5</v>
      </c>
      <c r="L1210" t="n">
        <v>0.25</v>
      </c>
      <c r="M1210" t="n">
        <v>181.88</v>
      </c>
      <c r="N1210" t="n">
        <v>6.5</v>
      </c>
      <c r="O1210" t="n">
        <v>38.5</v>
      </c>
      <c r="P1210" t="inlineStr">
        <is>
          <t>Digital Wallet</t>
        </is>
      </c>
      <c r="Q1210" t="inlineStr">
        <is>
          <t>Delivered</t>
        </is>
      </c>
      <c r="R1210" t="n">
        <v>5</v>
      </c>
    </row>
    <row r="1211">
      <c r="A1211" t="inlineStr">
        <is>
          <t>ORD2210</t>
        </is>
      </c>
      <c r="B1211" t="inlineStr">
        <is>
          <t>2025-07-09</t>
        </is>
      </c>
      <c r="C1211" t="inlineStr">
        <is>
          <t>20:01:39</t>
        </is>
      </c>
      <c r="D1211" t="n">
        <v>1192</v>
      </c>
      <c r="E1211" t="n">
        <v>105</v>
      </c>
      <c r="F1211" t="n">
        <v>210</v>
      </c>
      <c r="G1211" t="inlineStr">
        <is>
          <t>Bangalore</t>
        </is>
      </c>
      <c r="H1211" t="inlineStr">
        <is>
          <t>Chinese</t>
        </is>
      </c>
      <c r="I1211" t="n">
        <v>1089</v>
      </c>
      <c r="J1211" t="n">
        <v>185.74</v>
      </c>
      <c r="K1211" t="n">
        <v>0</v>
      </c>
      <c r="L1211" t="n">
        <v>0.2</v>
      </c>
      <c r="M1211" t="n">
        <v>217.8</v>
      </c>
      <c r="N1211" t="n">
        <v>3.2</v>
      </c>
      <c r="O1211" t="n">
        <v>26.7</v>
      </c>
      <c r="P1211" t="inlineStr">
        <is>
          <t>Credit Card</t>
        </is>
      </c>
      <c r="Q1211" t="inlineStr">
        <is>
          <t>Delivered</t>
        </is>
      </c>
      <c r="R1211" t="n">
        <v>4</v>
      </c>
    </row>
    <row r="1212">
      <c r="A1212" t="inlineStr">
        <is>
          <t>ORD2211</t>
        </is>
      </c>
      <c r="B1212" t="inlineStr">
        <is>
          <t>2025-03-03</t>
        </is>
      </c>
      <c r="C1212" t="inlineStr">
        <is>
          <t>20:03:28</t>
        </is>
      </c>
      <c r="D1212" t="n">
        <v>1011</v>
      </c>
      <c r="E1212" t="n">
        <v>114</v>
      </c>
      <c r="F1212" t="n">
        <v>216</v>
      </c>
      <c r="G1212" t="inlineStr">
        <is>
          <t>Hyderabad</t>
        </is>
      </c>
      <c r="H1212" t="inlineStr">
        <is>
          <t>Biryani</t>
        </is>
      </c>
      <c r="I1212" t="n">
        <v>872</v>
      </c>
      <c r="J1212" t="n">
        <v>21.92</v>
      </c>
      <c r="K1212" t="n">
        <v>25</v>
      </c>
      <c r="L1212" t="n">
        <v>0.22</v>
      </c>
      <c r="M1212" t="n">
        <v>198.09</v>
      </c>
      <c r="N1212" t="n">
        <v>2.3</v>
      </c>
      <c r="O1212" t="n">
        <v>33</v>
      </c>
      <c r="P1212" t="inlineStr">
        <is>
          <t>Debit Card</t>
        </is>
      </c>
      <c r="Q1212" t="inlineStr">
        <is>
          <t>Delivered</t>
        </is>
      </c>
      <c r="R1212" t="n">
        <v>5</v>
      </c>
    </row>
    <row r="1213">
      <c r="A1213" t="inlineStr">
        <is>
          <t>ORD2212</t>
        </is>
      </c>
      <c r="B1213" t="inlineStr">
        <is>
          <t>2025-06-20</t>
        </is>
      </c>
      <c r="C1213" t="inlineStr">
        <is>
          <t>15:53:43</t>
        </is>
      </c>
      <c r="D1213" t="n">
        <v>1209</v>
      </c>
      <c r="E1213" t="n">
        <v>116</v>
      </c>
      <c r="F1213" t="n">
        <v>207</v>
      </c>
      <c r="G1213" t="inlineStr">
        <is>
          <t>Pune</t>
        </is>
      </c>
      <c r="H1213" t="inlineStr">
        <is>
          <t>Desserts</t>
        </is>
      </c>
      <c r="I1213" t="n">
        <v>544</v>
      </c>
      <c r="J1213" t="n">
        <v>7.36</v>
      </c>
      <c r="K1213" t="n">
        <v>34</v>
      </c>
      <c r="L1213" t="n">
        <v>0.25</v>
      </c>
      <c r="M1213" t="n">
        <v>144.5</v>
      </c>
      <c r="N1213" t="n">
        <v>4.8</v>
      </c>
      <c r="O1213" t="n">
        <v>38.1</v>
      </c>
      <c r="P1213" t="inlineStr">
        <is>
          <t>Debit Card</t>
        </is>
      </c>
      <c r="Q1213" t="inlineStr">
        <is>
          <t>Delivered</t>
        </is>
      </c>
      <c r="R1213" t="n">
        <v>4</v>
      </c>
    </row>
    <row r="1214">
      <c r="A1214" t="inlineStr">
        <is>
          <t>ORD2213</t>
        </is>
      </c>
      <c r="B1214" t="inlineStr">
        <is>
          <t>2025-12-08</t>
        </is>
      </c>
      <c r="C1214" t="inlineStr">
        <is>
          <t>11:42:03</t>
        </is>
      </c>
      <c r="D1214" t="n">
        <v>1018</v>
      </c>
      <c r="E1214" t="n">
        <v>112</v>
      </c>
      <c r="F1214" t="n">
        <v>211</v>
      </c>
      <c r="G1214" t="inlineStr">
        <is>
          <t>Delhi NCR</t>
        </is>
      </c>
      <c r="H1214" t="inlineStr">
        <is>
          <t>North Indian</t>
        </is>
      </c>
      <c r="I1214" t="n">
        <v>286</v>
      </c>
      <c r="J1214" t="n">
        <v>0</v>
      </c>
      <c r="K1214" t="n">
        <v>30.5</v>
      </c>
      <c r="L1214" t="n">
        <v>0.22</v>
      </c>
      <c r="M1214" t="n">
        <v>70.54000000000001</v>
      </c>
      <c r="N1214" t="n">
        <v>4.1</v>
      </c>
      <c r="O1214" t="n">
        <v>31.4</v>
      </c>
      <c r="P1214" t="inlineStr">
        <is>
          <t>Credit Card</t>
        </is>
      </c>
      <c r="Q1214" t="inlineStr">
        <is>
          <t>Delivered</t>
        </is>
      </c>
      <c r="R1214" t="n">
        <v>3</v>
      </c>
    </row>
    <row r="1215">
      <c r="A1215" t="inlineStr">
        <is>
          <t>ORD2214</t>
        </is>
      </c>
      <c r="B1215" t="inlineStr">
        <is>
          <t>2025-08-16</t>
        </is>
      </c>
      <c r="C1215" t="inlineStr">
        <is>
          <t>07:02:17</t>
        </is>
      </c>
      <c r="D1215" t="n">
        <v>1178</v>
      </c>
      <c r="E1215" t="n">
        <v>116</v>
      </c>
      <c r="F1215" t="n">
        <v>214</v>
      </c>
      <c r="G1215" t="inlineStr">
        <is>
          <t>Pune</t>
        </is>
      </c>
      <c r="H1215" t="inlineStr">
        <is>
          <t>Desserts</t>
        </is>
      </c>
      <c r="I1215" t="n">
        <v>843</v>
      </c>
      <c r="J1215" t="n">
        <v>0</v>
      </c>
      <c r="K1215" t="n">
        <v>54</v>
      </c>
      <c r="L1215" t="n">
        <v>0.25</v>
      </c>
      <c r="M1215" t="n">
        <v>224.25</v>
      </c>
      <c r="N1215" t="n">
        <v>8.800000000000001</v>
      </c>
      <c r="O1215" t="n">
        <v>43.1</v>
      </c>
      <c r="P1215" t="inlineStr">
        <is>
          <t>Credit Card</t>
        </is>
      </c>
      <c r="Q1215" t="inlineStr">
        <is>
          <t>Delivered</t>
        </is>
      </c>
      <c r="R1215" t="n">
        <v>2</v>
      </c>
    </row>
    <row r="1216">
      <c r="A1216" t="inlineStr">
        <is>
          <t>ORD2215</t>
        </is>
      </c>
      <c r="B1216" t="inlineStr">
        <is>
          <t>2025-10-15</t>
        </is>
      </c>
      <c r="C1216" t="inlineStr">
        <is>
          <t>13:22:07</t>
        </is>
      </c>
      <c r="D1216" t="n">
        <v>1062</v>
      </c>
      <c r="E1216" t="n">
        <v>107</v>
      </c>
      <c r="F1216" t="n">
        <v>206</v>
      </c>
      <c r="G1216" t="inlineStr">
        <is>
          <t>Mumbai</t>
        </is>
      </c>
      <c r="H1216" t="inlineStr">
        <is>
          <t>Desserts</t>
        </is>
      </c>
      <c r="I1216" t="n">
        <v>569</v>
      </c>
      <c r="J1216" t="n">
        <v>0</v>
      </c>
      <c r="K1216" t="n">
        <v>34</v>
      </c>
      <c r="L1216" t="n">
        <v>0.25</v>
      </c>
      <c r="M1216" t="n">
        <v>150.75</v>
      </c>
      <c r="N1216" t="n">
        <v>4.8</v>
      </c>
      <c r="O1216" t="n">
        <v>39.7</v>
      </c>
      <c r="P1216" t="inlineStr">
        <is>
          <t>UPI</t>
        </is>
      </c>
      <c r="Q1216" t="inlineStr">
        <is>
          <t>Delivered</t>
        </is>
      </c>
      <c r="R1216" t="n">
        <v>5</v>
      </c>
    </row>
    <row r="1217">
      <c r="A1217" t="inlineStr">
        <is>
          <t>ORD2216</t>
        </is>
      </c>
      <c r="B1217" t="inlineStr">
        <is>
          <t>2025-02-16</t>
        </is>
      </c>
      <c r="C1217" t="inlineStr">
        <is>
          <t>13:11:46</t>
        </is>
      </c>
      <c r="D1217" t="n">
        <v>1056</v>
      </c>
      <c r="E1217" t="n">
        <v>109</v>
      </c>
      <c r="F1217" t="n">
        <v>216</v>
      </c>
      <c r="G1217" t="inlineStr">
        <is>
          <t>Hyderabad</t>
        </is>
      </c>
      <c r="H1217" t="inlineStr">
        <is>
          <t>Biryani</t>
        </is>
      </c>
      <c r="I1217" t="n">
        <v>455</v>
      </c>
      <c r="J1217" t="n">
        <v>59.95</v>
      </c>
      <c r="K1217" t="n">
        <v>26.5</v>
      </c>
      <c r="L1217" t="n">
        <v>0.2</v>
      </c>
      <c r="M1217" t="n">
        <v>97.62</v>
      </c>
      <c r="N1217" t="n">
        <v>3.3</v>
      </c>
      <c r="O1217" t="n">
        <v>32</v>
      </c>
      <c r="P1217" t="inlineStr">
        <is>
          <t>UPI</t>
        </is>
      </c>
      <c r="Q1217" t="inlineStr">
        <is>
          <t>Delivered</t>
        </is>
      </c>
      <c r="R1217" t="n">
        <v>4</v>
      </c>
    </row>
    <row r="1218">
      <c r="A1218" t="inlineStr">
        <is>
          <t>ORD2217</t>
        </is>
      </c>
      <c r="B1218" t="inlineStr">
        <is>
          <t>2025-04-22</t>
        </is>
      </c>
      <c r="C1218" t="inlineStr">
        <is>
          <t>22:40:23</t>
        </is>
      </c>
      <c r="D1218" t="n">
        <v>1100</v>
      </c>
      <c r="E1218" t="n">
        <v>114</v>
      </c>
      <c r="F1218" t="n">
        <v>215</v>
      </c>
      <c r="G1218" t="inlineStr">
        <is>
          <t>Hyderabad</t>
        </is>
      </c>
      <c r="H1218" t="inlineStr">
        <is>
          <t>Biryani</t>
        </is>
      </c>
      <c r="I1218" t="n">
        <v>691</v>
      </c>
      <c r="J1218" t="n">
        <v>0</v>
      </c>
      <c r="K1218" t="n">
        <v>28</v>
      </c>
      <c r="L1218" t="n">
        <v>0.22</v>
      </c>
      <c r="M1218" t="n">
        <v>159.02</v>
      </c>
      <c r="N1218" t="n">
        <v>3.6</v>
      </c>
      <c r="O1218" t="n">
        <v>37.1</v>
      </c>
      <c r="P1218" t="inlineStr">
        <is>
          <t>Credit Card</t>
        </is>
      </c>
      <c r="Q1218" t="inlineStr">
        <is>
          <t>Delivered</t>
        </is>
      </c>
      <c r="R1218" t="n">
        <v>3</v>
      </c>
    </row>
    <row r="1219">
      <c r="A1219" t="inlineStr">
        <is>
          <t>ORD2218</t>
        </is>
      </c>
      <c r="B1219" t="inlineStr">
        <is>
          <t>2025-06-08</t>
        </is>
      </c>
      <c r="C1219" t="inlineStr">
        <is>
          <t>14:03:24</t>
        </is>
      </c>
      <c r="D1219" t="n">
        <v>1111</v>
      </c>
      <c r="E1219" t="n">
        <v>103</v>
      </c>
      <c r="F1219" t="n">
        <v>222</v>
      </c>
      <c r="G1219" t="inlineStr">
        <is>
          <t>Mumbai</t>
        </is>
      </c>
      <c r="H1219" t="inlineStr">
        <is>
          <t>Italian</t>
        </is>
      </c>
      <c r="I1219" t="n">
        <v>942</v>
      </c>
      <c r="J1219" t="n">
        <v>0</v>
      </c>
      <c r="K1219" t="n">
        <v>25</v>
      </c>
      <c r="L1219" t="n">
        <v>0.18</v>
      </c>
      <c r="M1219" t="n">
        <v>175.81</v>
      </c>
      <c r="N1219" t="n">
        <v>2.8</v>
      </c>
      <c r="O1219" t="n">
        <v>25.6</v>
      </c>
      <c r="P1219" t="inlineStr">
        <is>
          <t>Digital Wallet</t>
        </is>
      </c>
      <c r="Q1219" t="inlineStr">
        <is>
          <t>Delivered</t>
        </is>
      </c>
      <c r="R1219" t="n">
        <v>5</v>
      </c>
    </row>
    <row r="1220">
      <c r="A1220" t="inlineStr">
        <is>
          <t>ORD2219</t>
        </is>
      </c>
      <c r="B1220" t="inlineStr">
        <is>
          <t>2025-04-07</t>
        </is>
      </c>
      <c r="C1220" t="inlineStr">
        <is>
          <t>21:17:56</t>
        </is>
      </c>
      <c r="D1220" t="n">
        <v>1271</v>
      </c>
      <c r="E1220" t="n">
        <v>108</v>
      </c>
      <c r="F1220" t="n">
        <v>219</v>
      </c>
      <c r="G1220" t="inlineStr">
        <is>
          <t>Delhi NCR</t>
        </is>
      </c>
      <c r="H1220" t="inlineStr">
        <is>
          <t>Fast Food</t>
        </is>
      </c>
      <c r="I1220" t="n">
        <v>424</v>
      </c>
      <c r="J1220" t="n">
        <v>26.46</v>
      </c>
      <c r="K1220" t="n">
        <v>33.5</v>
      </c>
      <c r="L1220" t="n">
        <v>0.18</v>
      </c>
      <c r="M1220" t="n">
        <v>84.7</v>
      </c>
      <c r="N1220" t="n">
        <v>4.7</v>
      </c>
      <c r="O1220" t="n">
        <v>33.9</v>
      </c>
      <c r="P1220" t="inlineStr">
        <is>
          <t>Cash on Delivery</t>
        </is>
      </c>
      <c r="Q1220" t="inlineStr">
        <is>
          <t>Delivered</t>
        </is>
      </c>
      <c r="R1220" t="n">
        <v>5</v>
      </c>
    </row>
    <row r="1221">
      <c r="A1221" t="inlineStr">
        <is>
          <t>ORD2220</t>
        </is>
      </c>
      <c r="B1221" t="inlineStr">
        <is>
          <t>2025-07-01</t>
        </is>
      </c>
      <c r="C1221" t="inlineStr">
        <is>
          <t>12:37:23</t>
        </is>
      </c>
      <c r="D1221" t="n">
        <v>1045</v>
      </c>
      <c r="E1221" t="n">
        <v>111</v>
      </c>
      <c r="F1221" t="n">
        <v>220</v>
      </c>
      <c r="G1221" t="inlineStr">
        <is>
          <t>Bangalore</t>
        </is>
      </c>
      <c r="H1221" t="inlineStr">
        <is>
          <t>South Indian</t>
        </is>
      </c>
      <c r="I1221" t="n">
        <v>577</v>
      </c>
      <c r="J1221" t="n">
        <v>24.14</v>
      </c>
      <c r="K1221" t="n">
        <v>26</v>
      </c>
      <c r="L1221" t="n">
        <v>0.15</v>
      </c>
      <c r="M1221" t="n">
        <v>93.05</v>
      </c>
      <c r="N1221" t="n">
        <v>3.2</v>
      </c>
      <c r="O1221" t="n">
        <v/>
      </c>
      <c r="P1221" t="inlineStr">
        <is>
          <t>Credit Card</t>
        </is>
      </c>
      <c r="Q1221" t="inlineStr">
        <is>
          <t>Cancelled</t>
        </is>
      </c>
      <c r="R1221" t="n">
        <v/>
      </c>
    </row>
    <row r="1222">
      <c r="A1222" t="inlineStr">
        <is>
          <t>ORD2221</t>
        </is>
      </c>
      <c r="B1222" t="inlineStr">
        <is>
          <t>2025-03-21</t>
        </is>
      </c>
      <c r="C1222" t="inlineStr">
        <is>
          <t>17:34:36</t>
        </is>
      </c>
      <c r="D1222" t="n">
        <v>1033</v>
      </c>
      <c r="E1222" t="n">
        <v>102</v>
      </c>
      <c r="F1222" t="n">
        <v>216</v>
      </c>
      <c r="G1222" t="inlineStr">
        <is>
          <t>Hyderabad</t>
        </is>
      </c>
      <c r="H1222" t="inlineStr">
        <is>
          <t>Biryani</t>
        </is>
      </c>
      <c r="I1222" t="n">
        <v>435</v>
      </c>
      <c r="J1222" t="n">
        <v>15.1</v>
      </c>
      <c r="K1222" t="n">
        <v>25</v>
      </c>
      <c r="L1222" t="n">
        <v>0.22</v>
      </c>
      <c r="M1222" t="n">
        <v>101.95</v>
      </c>
      <c r="N1222" t="n">
        <v>2</v>
      </c>
      <c r="O1222" t="n">
        <v>31.3</v>
      </c>
      <c r="P1222" t="inlineStr">
        <is>
          <t>Debit Card</t>
        </is>
      </c>
      <c r="Q1222" t="inlineStr">
        <is>
          <t>Delivered</t>
        </is>
      </c>
      <c r="R1222" t="n">
        <v>5</v>
      </c>
    </row>
    <row r="1223">
      <c r="A1223" t="inlineStr">
        <is>
          <t>ORD2222</t>
        </is>
      </c>
      <c r="B1223" t="inlineStr">
        <is>
          <t>2025-12-25</t>
        </is>
      </c>
      <c r="C1223" t="inlineStr">
        <is>
          <t>22:32:35</t>
        </is>
      </c>
      <c r="D1223" t="n">
        <v>1050</v>
      </c>
      <c r="E1223" t="n">
        <v>116</v>
      </c>
      <c r="F1223" t="n">
        <v>204</v>
      </c>
      <c r="G1223" t="inlineStr">
        <is>
          <t>Pune</t>
        </is>
      </c>
      <c r="H1223" t="inlineStr">
        <is>
          <t>Desserts</t>
        </is>
      </c>
      <c r="I1223" t="n">
        <v>495</v>
      </c>
      <c r="J1223" t="n">
        <v>0</v>
      </c>
      <c r="K1223" t="n">
        <v>32</v>
      </c>
      <c r="L1223" t="n">
        <v>0.25</v>
      </c>
      <c r="M1223" t="n">
        <v>131.75</v>
      </c>
      <c r="N1223" t="n">
        <v>4.4</v>
      </c>
      <c r="O1223" t="n">
        <v>34.3</v>
      </c>
      <c r="P1223" t="inlineStr">
        <is>
          <t>Debit Card</t>
        </is>
      </c>
      <c r="Q1223" t="inlineStr">
        <is>
          <t>Delivered</t>
        </is>
      </c>
      <c r="R1223" t="n">
        <v>4</v>
      </c>
    </row>
    <row r="1224">
      <c r="A1224" t="inlineStr">
        <is>
          <t>ORD2223</t>
        </is>
      </c>
      <c r="B1224" t="inlineStr">
        <is>
          <t>2025-05-14</t>
        </is>
      </c>
      <c r="C1224" t="inlineStr">
        <is>
          <t>23:02:59</t>
        </is>
      </c>
      <c r="D1224" t="n">
        <v>1234</v>
      </c>
      <c r="E1224" t="n">
        <v>106</v>
      </c>
      <c r="F1224" t="n">
        <v>224</v>
      </c>
      <c r="G1224" t="inlineStr">
        <is>
          <t>Pune</t>
        </is>
      </c>
      <c r="H1224" t="inlineStr">
        <is>
          <t>South Indian</t>
        </is>
      </c>
      <c r="I1224" t="n">
        <v>338</v>
      </c>
      <c r="J1224" t="n">
        <v>17.07</v>
      </c>
      <c r="K1224" t="n">
        <v>25</v>
      </c>
      <c r="L1224" t="n">
        <v>0.15</v>
      </c>
      <c r="M1224" t="n">
        <v>56.95</v>
      </c>
      <c r="N1224" t="n">
        <v>2.9</v>
      </c>
      <c r="O1224" t="n">
        <v>31.3</v>
      </c>
      <c r="P1224" t="inlineStr">
        <is>
          <t>Cash on Delivery</t>
        </is>
      </c>
      <c r="Q1224" t="inlineStr">
        <is>
          <t>Delivered</t>
        </is>
      </c>
      <c r="R1224" t="n">
        <v>5</v>
      </c>
    </row>
    <row r="1225">
      <c r="A1225" t="inlineStr">
        <is>
          <t>ORD2224</t>
        </is>
      </c>
      <c r="B1225" t="inlineStr">
        <is>
          <t>2025-12-04</t>
        </is>
      </c>
      <c r="C1225" t="inlineStr">
        <is>
          <t>10:37:57</t>
        </is>
      </c>
      <c r="D1225" t="n">
        <v>1165</v>
      </c>
      <c r="E1225" t="n">
        <v>103</v>
      </c>
      <c r="F1225" t="n">
        <v>229</v>
      </c>
      <c r="G1225" t="inlineStr">
        <is>
          <t>Mumbai</t>
        </is>
      </c>
      <c r="H1225" t="inlineStr">
        <is>
          <t>Italian</t>
        </is>
      </c>
      <c r="I1225" t="n">
        <v>254</v>
      </c>
      <c r="J1225" t="n">
        <v>0</v>
      </c>
      <c r="K1225" t="n">
        <v>27</v>
      </c>
      <c r="L1225" t="n">
        <v>0.18</v>
      </c>
      <c r="M1225" t="n">
        <v>52.47</v>
      </c>
      <c r="N1225" t="n">
        <v>3.4</v>
      </c>
      <c r="O1225" t="n">
        <v>23.2</v>
      </c>
      <c r="P1225" t="inlineStr">
        <is>
          <t>Debit Card</t>
        </is>
      </c>
      <c r="Q1225" t="inlineStr">
        <is>
          <t>Delivered</t>
        </is>
      </c>
      <c r="R1225" t="n">
        <v>3</v>
      </c>
    </row>
    <row r="1226">
      <c r="A1226" t="inlineStr">
        <is>
          <t>ORD2225</t>
        </is>
      </c>
      <c r="B1226" t="inlineStr">
        <is>
          <t>2025-08-04</t>
        </is>
      </c>
      <c r="C1226" t="inlineStr">
        <is>
          <t>12:30:21</t>
        </is>
      </c>
      <c r="D1226" t="n">
        <v>1271</v>
      </c>
      <c r="E1226" t="n">
        <v>104</v>
      </c>
      <c r="F1226" t="n">
        <v>228</v>
      </c>
      <c r="G1226" t="inlineStr">
        <is>
          <t>Delhi NCR</t>
        </is>
      </c>
      <c r="H1226" t="inlineStr">
        <is>
          <t>Fast Food</t>
        </is>
      </c>
      <c r="I1226" t="n">
        <v>564</v>
      </c>
      <c r="J1226" t="n">
        <v>53.78</v>
      </c>
      <c r="K1226" t="n">
        <v>41.5</v>
      </c>
      <c r="L1226" t="n">
        <v>0.18</v>
      </c>
      <c r="M1226" t="n">
        <v>111.9</v>
      </c>
      <c r="N1226" t="n">
        <v>6.3</v>
      </c>
      <c r="O1226" t="n">
        <v>46.4</v>
      </c>
      <c r="P1226" t="inlineStr">
        <is>
          <t>Debit Card</t>
        </is>
      </c>
      <c r="Q1226" t="inlineStr">
        <is>
          <t>Delivered</t>
        </is>
      </c>
      <c r="R1226" t="n">
        <v>4</v>
      </c>
    </row>
    <row r="1227">
      <c r="A1227" t="inlineStr">
        <is>
          <t>ORD2226</t>
        </is>
      </c>
      <c r="B1227" t="inlineStr">
        <is>
          <t>2025-10-07</t>
        </is>
      </c>
      <c r="C1227" t="inlineStr">
        <is>
          <t>21:11:48</t>
        </is>
      </c>
      <c r="D1227" t="n">
        <v>1067</v>
      </c>
      <c r="E1227" t="n">
        <v>116</v>
      </c>
      <c r="F1227" t="n">
        <v>204</v>
      </c>
      <c r="G1227" t="inlineStr">
        <is>
          <t>Pune</t>
        </is>
      </c>
      <c r="H1227" t="inlineStr">
        <is>
          <t>Desserts</t>
        </is>
      </c>
      <c r="I1227" t="n">
        <v>242</v>
      </c>
      <c r="J1227" t="n">
        <v>0</v>
      </c>
      <c r="K1227" t="n">
        <v>29.5</v>
      </c>
      <c r="L1227" t="n">
        <v>0.25</v>
      </c>
      <c r="M1227" t="n">
        <v>67.88</v>
      </c>
      <c r="N1227" t="n">
        <v>3.9</v>
      </c>
      <c r="O1227" t="n">
        <v>33.6</v>
      </c>
      <c r="P1227" t="inlineStr">
        <is>
          <t>Digital Wallet</t>
        </is>
      </c>
      <c r="Q1227" t="inlineStr">
        <is>
          <t>Delivered</t>
        </is>
      </c>
      <c r="R1227" t="n">
        <v>5</v>
      </c>
    </row>
    <row r="1228">
      <c r="A1228" t="inlineStr">
        <is>
          <t>ORD2227</t>
        </is>
      </c>
      <c r="B1228" t="inlineStr">
        <is>
          <t>2025-05-05</t>
        </is>
      </c>
      <c r="C1228" t="inlineStr">
        <is>
          <t>22:16:46</t>
        </is>
      </c>
      <c r="D1228" t="n">
        <v>1044</v>
      </c>
      <c r="E1228" t="n">
        <v>102</v>
      </c>
      <c r="F1228" t="n">
        <v>215</v>
      </c>
      <c r="G1228" t="inlineStr">
        <is>
          <t>Hyderabad</t>
        </is>
      </c>
      <c r="H1228" t="inlineStr">
        <is>
          <t>Biryani</t>
        </is>
      </c>
      <c r="I1228" t="n">
        <v>855</v>
      </c>
      <c r="J1228" t="n">
        <v>114.39</v>
      </c>
      <c r="K1228" t="n">
        <v>0</v>
      </c>
      <c r="L1228" t="n">
        <v>0.22</v>
      </c>
      <c r="M1228" t="n">
        <v>188.1</v>
      </c>
      <c r="N1228" t="n">
        <v>2.8</v>
      </c>
      <c r="O1228" t="n">
        <v>31.9</v>
      </c>
      <c r="P1228" t="inlineStr">
        <is>
          <t>Debit Card</t>
        </is>
      </c>
      <c r="Q1228" t="inlineStr">
        <is>
          <t>Delivered</t>
        </is>
      </c>
      <c r="R1228" t="n">
        <v>5</v>
      </c>
    </row>
    <row r="1229">
      <c r="A1229" t="inlineStr">
        <is>
          <t>ORD2228</t>
        </is>
      </c>
      <c r="B1229" t="inlineStr">
        <is>
          <t>2025-09-17</t>
        </is>
      </c>
      <c r="C1229" t="inlineStr">
        <is>
          <t>17:06:26</t>
        </is>
      </c>
      <c r="D1229" t="n">
        <v>1134</v>
      </c>
      <c r="E1229" t="n">
        <v>119</v>
      </c>
      <c r="F1229" t="n">
        <v>215</v>
      </c>
      <c r="G1229" t="inlineStr">
        <is>
          <t>Hyderabad</t>
        </is>
      </c>
      <c r="H1229" t="inlineStr">
        <is>
          <t>Biryani</t>
        </is>
      </c>
      <c r="I1229" t="n">
        <v>656</v>
      </c>
      <c r="J1229" t="n">
        <v>50.06</v>
      </c>
      <c r="K1229" t="n">
        <v>25</v>
      </c>
      <c r="L1229" t="n">
        <v>0.2</v>
      </c>
      <c r="M1229" t="n">
        <v>137.45</v>
      </c>
      <c r="N1229" t="n">
        <v>2.1</v>
      </c>
      <c r="O1229" t="n">
        <v>28.6</v>
      </c>
      <c r="P1229" t="inlineStr">
        <is>
          <t>UPI</t>
        </is>
      </c>
      <c r="Q1229" t="inlineStr">
        <is>
          <t>Delivered</t>
        </is>
      </c>
      <c r="R1229" t="n">
        <v>5</v>
      </c>
    </row>
    <row r="1230">
      <c r="A1230" t="inlineStr">
        <is>
          <t>ORD2229</t>
        </is>
      </c>
      <c r="B1230" t="inlineStr">
        <is>
          <t>2025-06-03</t>
        </is>
      </c>
      <c r="C1230" t="inlineStr">
        <is>
          <t>15:56:38</t>
        </is>
      </c>
      <c r="D1230" t="n">
        <v>1296</v>
      </c>
      <c r="E1230" t="n">
        <v>118</v>
      </c>
      <c r="F1230" t="n">
        <v>212</v>
      </c>
      <c r="G1230" t="inlineStr">
        <is>
          <t>Delhi NCR</t>
        </is>
      </c>
      <c r="H1230" t="inlineStr">
        <is>
          <t>North Indian</t>
        </is>
      </c>
      <c r="I1230" t="n">
        <v>934</v>
      </c>
      <c r="J1230" t="n">
        <v>14.83</v>
      </c>
      <c r="K1230" t="n">
        <v>25</v>
      </c>
      <c r="L1230" t="n">
        <v>0.2</v>
      </c>
      <c r="M1230" t="n">
        <v>193.05</v>
      </c>
      <c r="N1230" t="n">
        <v>2.9</v>
      </c>
      <c r="O1230" t="n">
        <v>30.7</v>
      </c>
      <c r="P1230" t="inlineStr">
        <is>
          <t>Credit Card</t>
        </is>
      </c>
      <c r="Q1230" t="inlineStr">
        <is>
          <t>Delivered</t>
        </is>
      </c>
      <c r="R1230" t="n">
        <v>4</v>
      </c>
    </row>
    <row r="1231">
      <c r="A1231" t="inlineStr">
        <is>
          <t>ORD2230</t>
        </is>
      </c>
      <c r="B1231" t="inlineStr">
        <is>
          <t>2025-01-28</t>
        </is>
      </c>
      <c r="C1231" t="inlineStr">
        <is>
          <t>19:05:19</t>
        </is>
      </c>
      <c r="D1231" t="n">
        <v>1177</v>
      </c>
      <c r="E1231" t="n">
        <v>112</v>
      </c>
      <c r="F1231" t="n">
        <v>219</v>
      </c>
      <c r="G1231" t="inlineStr">
        <is>
          <t>Delhi NCR</t>
        </is>
      </c>
      <c r="H1231" t="inlineStr">
        <is>
          <t>North Indian</t>
        </is>
      </c>
      <c r="I1231" t="n">
        <v>364</v>
      </c>
      <c r="J1231" t="n">
        <v>38.62</v>
      </c>
      <c r="K1231" t="n">
        <v>25</v>
      </c>
      <c r="L1231" t="n">
        <v>0.22</v>
      </c>
      <c r="M1231" t="n">
        <v>86.33</v>
      </c>
      <c r="N1231" t="n">
        <v>1.6</v>
      </c>
      <c r="O1231" t="n">
        <v>23.6</v>
      </c>
      <c r="P1231" t="inlineStr">
        <is>
          <t>Credit Card</t>
        </is>
      </c>
      <c r="Q1231" t="inlineStr">
        <is>
          <t>Delivered</t>
        </is>
      </c>
      <c r="R1231" t="n">
        <v>4</v>
      </c>
    </row>
    <row r="1232">
      <c r="A1232" t="inlineStr">
        <is>
          <t>ORD2231</t>
        </is>
      </c>
      <c r="B1232" t="inlineStr">
        <is>
          <t>2025-04-13</t>
        </is>
      </c>
      <c r="C1232" t="inlineStr">
        <is>
          <t>12:56:11</t>
        </is>
      </c>
      <c r="D1232" t="n">
        <v>1021</v>
      </c>
      <c r="E1232" t="n">
        <v>120</v>
      </c>
      <c r="F1232" t="n">
        <v>209</v>
      </c>
      <c r="G1232" t="inlineStr">
        <is>
          <t>Pune</t>
        </is>
      </c>
      <c r="H1232" t="inlineStr">
        <is>
          <t>Fast Food</t>
        </is>
      </c>
      <c r="I1232" t="n">
        <v>528</v>
      </c>
      <c r="J1232" t="n">
        <v>37.77</v>
      </c>
      <c r="K1232" t="n">
        <v>37.5</v>
      </c>
      <c r="L1232" t="n">
        <v>0.18</v>
      </c>
      <c r="M1232" t="n">
        <v>104.42</v>
      </c>
      <c r="N1232" t="n">
        <v>5.5</v>
      </c>
      <c r="O1232" t="n">
        <v>43</v>
      </c>
      <c r="P1232" t="inlineStr">
        <is>
          <t>Credit Card</t>
        </is>
      </c>
      <c r="Q1232" t="inlineStr">
        <is>
          <t>Delivered</t>
        </is>
      </c>
      <c r="R1232" t="n">
        <v>3</v>
      </c>
    </row>
    <row r="1233">
      <c r="A1233" t="inlineStr">
        <is>
          <t>ORD2232</t>
        </is>
      </c>
      <c r="B1233" t="inlineStr">
        <is>
          <t>2025-03-20</t>
        </is>
      </c>
      <c r="C1233" t="inlineStr">
        <is>
          <t>00:43:35</t>
        </is>
      </c>
      <c r="D1233" t="n">
        <v>1270</v>
      </c>
      <c r="E1233" t="n">
        <v>114</v>
      </c>
      <c r="F1233" t="n">
        <v>216</v>
      </c>
      <c r="G1233" t="inlineStr">
        <is>
          <t>Hyderabad</t>
        </is>
      </c>
      <c r="H1233" t="inlineStr">
        <is>
          <t>Biryani</t>
        </is>
      </c>
      <c r="I1233" t="n">
        <v>603</v>
      </c>
      <c r="J1233" t="n">
        <v>0</v>
      </c>
      <c r="K1233" t="n">
        <v>29.5</v>
      </c>
      <c r="L1233" t="n">
        <v>0.22</v>
      </c>
      <c r="M1233" t="n">
        <v>140.04</v>
      </c>
      <c r="N1233" t="n">
        <v>3.9</v>
      </c>
      <c r="O1233" t="n">
        <v>26.5</v>
      </c>
      <c r="P1233" t="inlineStr">
        <is>
          <t>UPI</t>
        </is>
      </c>
      <c r="Q1233" t="inlineStr">
        <is>
          <t>Delivered</t>
        </is>
      </c>
      <c r="R1233" t="n">
        <v>4</v>
      </c>
    </row>
    <row r="1234">
      <c r="A1234" t="inlineStr">
        <is>
          <t>ORD2233</t>
        </is>
      </c>
      <c r="B1234" t="inlineStr">
        <is>
          <t>2025-08-30</t>
        </is>
      </c>
      <c r="C1234" t="inlineStr">
        <is>
          <t>22:42:24</t>
        </is>
      </c>
      <c r="D1234" t="n">
        <v>1241</v>
      </c>
      <c r="E1234" t="n">
        <v>102</v>
      </c>
      <c r="F1234" t="n">
        <v>215</v>
      </c>
      <c r="G1234" t="inlineStr">
        <is>
          <t>Hyderabad</t>
        </is>
      </c>
      <c r="H1234" t="inlineStr">
        <is>
          <t>Biryani</t>
        </is>
      </c>
      <c r="I1234" t="n">
        <v>974</v>
      </c>
      <c r="J1234" t="n">
        <v>121.04</v>
      </c>
      <c r="K1234" t="n">
        <v>0</v>
      </c>
      <c r="L1234" t="n">
        <v>0.22</v>
      </c>
      <c r="M1234" t="n">
        <v>214.28</v>
      </c>
      <c r="N1234" t="n">
        <v>4.2</v>
      </c>
      <c r="O1234" t="n">
        <v>44.8</v>
      </c>
      <c r="P1234" t="inlineStr">
        <is>
          <t>Cash on Delivery</t>
        </is>
      </c>
      <c r="Q1234" t="inlineStr">
        <is>
          <t>Delivered</t>
        </is>
      </c>
      <c r="R1234" t="n">
        <v>3</v>
      </c>
    </row>
    <row r="1235">
      <c r="A1235" t="inlineStr">
        <is>
          <t>ORD2234</t>
        </is>
      </c>
      <c r="B1235" t="inlineStr">
        <is>
          <t>2025-03-10</t>
        </is>
      </c>
      <c r="C1235" t="inlineStr">
        <is>
          <t>14:25:49</t>
        </is>
      </c>
      <c r="D1235" t="n">
        <v>1093</v>
      </c>
      <c r="E1235" t="n">
        <v>112</v>
      </c>
      <c r="F1235" t="n">
        <v>221</v>
      </c>
      <c r="G1235" t="inlineStr">
        <is>
          <t>Delhi NCR</t>
        </is>
      </c>
      <c r="H1235" t="inlineStr">
        <is>
          <t>North Indian</t>
        </is>
      </c>
      <c r="I1235" t="n">
        <v>554</v>
      </c>
      <c r="J1235" t="n">
        <v>62.53</v>
      </c>
      <c r="K1235" t="n">
        <v>25</v>
      </c>
      <c r="L1235" t="n">
        <v>0.22</v>
      </c>
      <c r="M1235" t="n">
        <v>128.13</v>
      </c>
      <c r="N1235" t="n">
        <v>2.7</v>
      </c>
      <c r="O1235" t="n">
        <v/>
      </c>
      <c r="P1235" t="inlineStr">
        <is>
          <t>Cash on Delivery</t>
        </is>
      </c>
      <c r="Q1235" t="inlineStr">
        <is>
          <t>Cancelled</t>
        </is>
      </c>
      <c r="R1235" t="n">
        <v/>
      </c>
    </row>
    <row r="1236">
      <c r="A1236" t="inlineStr">
        <is>
          <t>ORD2235</t>
        </is>
      </c>
      <c r="B1236" t="inlineStr">
        <is>
          <t>2025-09-08</t>
        </is>
      </c>
      <c r="C1236" t="inlineStr">
        <is>
          <t>13:42:47</t>
        </is>
      </c>
      <c r="D1236" t="n">
        <v>1069</v>
      </c>
      <c r="E1236" t="n">
        <v>115</v>
      </c>
      <c r="F1236" t="n">
        <v>203</v>
      </c>
      <c r="G1236" t="inlineStr">
        <is>
          <t>Bangalore</t>
        </is>
      </c>
      <c r="H1236" t="inlineStr">
        <is>
          <t>Italian</t>
        </is>
      </c>
      <c r="I1236" t="n">
        <v>820</v>
      </c>
      <c r="J1236" t="n">
        <v>0</v>
      </c>
      <c r="K1236" t="n">
        <v>25</v>
      </c>
      <c r="L1236" t="n">
        <v>0.2</v>
      </c>
      <c r="M1236" t="n">
        <v>170.25</v>
      </c>
      <c r="N1236" t="n">
        <v>2.6</v>
      </c>
      <c r="O1236" t="n">
        <v>31.1</v>
      </c>
      <c r="P1236" t="inlineStr">
        <is>
          <t>Credit Card</t>
        </is>
      </c>
      <c r="Q1236" t="inlineStr">
        <is>
          <t>Delivered</t>
        </is>
      </c>
      <c r="R1236" t="n">
        <v>4</v>
      </c>
    </row>
    <row r="1237">
      <c r="A1237" t="inlineStr">
        <is>
          <t>ORD2236</t>
        </is>
      </c>
      <c r="B1237" t="inlineStr">
        <is>
          <t>2025-07-05</t>
        </is>
      </c>
      <c r="C1237" t="inlineStr">
        <is>
          <t>13:21:32</t>
        </is>
      </c>
      <c r="D1237" t="n">
        <v>1281</v>
      </c>
      <c r="E1237" t="n">
        <v>115</v>
      </c>
      <c r="F1237" t="n">
        <v>210</v>
      </c>
      <c r="G1237" t="inlineStr">
        <is>
          <t>Bangalore</t>
        </is>
      </c>
      <c r="H1237" t="inlineStr">
        <is>
          <t>Italian</t>
        </is>
      </c>
      <c r="I1237" t="n">
        <v>477</v>
      </c>
      <c r="J1237" t="n">
        <v>76.28</v>
      </c>
      <c r="K1237" t="n">
        <v>26.5</v>
      </c>
      <c r="L1237" t="n">
        <v>0.2</v>
      </c>
      <c r="M1237" t="n">
        <v>102.02</v>
      </c>
      <c r="N1237" t="n">
        <v>3.3</v>
      </c>
      <c r="O1237" t="n">
        <v>29</v>
      </c>
      <c r="P1237" t="inlineStr">
        <is>
          <t>UPI</t>
        </is>
      </c>
      <c r="Q1237" t="inlineStr">
        <is>
          <t>Delivered</t>
        </is>
      </c>
      <c r="R1237" t="n">
        <v>5</v>
      </c>
    </row>
    <row r="1238">
      <c r="A1238" t="inlineStr">
        <is>
          <t>ORD2237</t>
        </is>
      </c>
      <c r="B1238" t="inlineStr">
        <is>
          <t>2025-04-07</t>
        </is>
      </c>
      <c r="C1238" t="inlineStr">
        <is>
          <t>21:02:13</t>
        </is>
      </c>
      <c r="D1238" t="n">
        <v>1097</v>
      </c>
      <c r="E1238" t="n">
        <v>105</v>
      </c>
      <c r="F1238" t="n">
        <v>213</v>
      </c>
      <c r="G1238" t="inlineStr">
        <is>
          <t>Bangalore</t>
        </is>
      </c>
      <c r="H1238" t="inlineStr">
        <is>
          <t>Chinese</t>
        </is>
      </c>
      <c r="I1238" t="n">
        <v>529</v>
      </c>
      <c r="J1238" t="n">
        <v>0</v>
      </c>
      <c r="K1238" t="n">
        <v>33.5</v>
      </c>
      <c r="L1238" t="n">
        <v>0.2</v>
      </c>
      <c r="M1238" t="n">
        <v>114.18</v>
      </c>
      <c r="N1238" t="n">
        <v>4.7</v>
      </c>
      <c r="O1238" t="n">
        <v>34.9</v>
      </c>
      <c r="P1238" t="inlineStr">
        <is>
          <t>Credit Card</t>
        </is>
      </c>
      <c r="Q1238" t="inlineStr">
        <is>
          <t>Delivered</t>
        </is>
      </c>
      <c r="R1238" t="n">
        <v>5</v>
      </c>
    </row>
    <row r="1239">
      <c r="A1239" t="inlineStr">
        <is>
          <t>ORD2238</t>
        </is>
      </c>
      <c r="B1239" t="inlineStr">
        <is>
          <t>2025-06-09</t>
        </is>
      </c>
      <c r="C1239" t="inlineStr">
        <is>
          <t>12:24:43</t>
        </is>
      </c>
      <c r="D1239" t="n">
        <v>1045</v>
      </c>
      <c r="E1239" t="n">
        <v>101</v>
      </c>
      <c r="F1239" t="n">
        <v>220</v>
      </c>
      <c r="G1239" t="inlineStr">
        <is>
          <t>Bangalore</t>
        </is>
      </c>
      <c r="H1239" t="inlineStr">
        <is>
          <t>North Indian</t>
        </is>
      </c>
      <c r="I1239" t="n">
        <v>712</v>
      </c>
      <c r="J1239" t="n">
        <v>0</v>
      </c>
      <c r="K1239" t="n">
        <v>37.5</v>
      </c>
      <c r="L1239" t="n">
        <v>0.2</v>
      </c>
      <c r="M1239" t="n">
        <v>151.78</v>
      </c>
      <c r="N1239" t="n">
        <v>5.5</v>
      </c>
      <c r="O1239" t="n">
        <v>52.6</v>
      </c>
      <c r="P1239" t="inlineStr">
        <is>
          <t>Cash on Delivery</t>
        </is>
      </c>
      <c r="Q1239" t="inlineStr">
        <is>
          <t>Delivered</t>
        </is>
      </c>
      <c r="R1239" t="n">
        <v>1</v>
      </c>
    </row>
    <row r="1240">
      <c r="A1240" t="inlineStr">
        <is>
          <t>ORD2239</t>
        </is>
      </c>
      <c r="B1240" t="inlineStr">
        <is>
          <t>2025-07-23</t>
        </is>
      </c>
      <c r="C1240" t="inlineStr">
        <is>
          <t>16:43:33</t>
        </is>
      </c>
      <c r="D1240" t="n">
        <v>1016</v>
      </c>
      <c r="E1240" t="n">
        <v>111</v>
      </c>
      <c r="F1240" t="n">
        <v>205</v>
      </c>
      <c r="G1240" t="inlineStr">
        <is>
          <t>Bangalore</t>
        </is>
      </c>
      <c r="H1240" t="inlineStr">
        <is>
          <t>South Indian</t>
        </is>
      </c>
      <c r="I1240" t="n">
        <v>328</v>
      </c>
      <c r="J1240" t="n">
        <v>0</v>
      </c>
      <c r="K1240" t="n">
        <v>26</v>
      </c>
      <c r="L1240" t="n">
        <v>0.15</v>
      </c>
      <c r="M1240" t="n">
        <v>55.7</v>
      </c>
      <c r="N1240" t="n">
        <v>3.2</v>
      </c>
      <c r="O1240" t="n">
        <v>26.4</v>
      </c>
      <c r="P1240" t="inlineStr">
        <is>
          <t>UPI</t>
        </is>
      </c>
      <c r="Q1240" t="inlineStr">
        <is>
          <t>Delivered</t>
        </is>
      </c>
      <c r="R1240" t="n">
        <v>4</v>
      </c>
    </row>
    <row r="1241">
      <c r="A1241" t="inlineStr">
        <is>
          <t>ORD2240</t>
        </is>
      </c>
      <c r="B1241" t="inlineStr">
        <is>
          <t>2025-06-13</t>
        </is>
      </c>
      <c r="C1241" t="inlineStr">
        <is>
          <t>18:08:36</t>
        </is>
      </c>
      <c r="D1241" t="n">
        <v>1203</v>
      </c>
      <c r="E1241" t="n">
        <v>108</v>
      </c>
      <c r="F1241" t="n">
        <v>212</v>
      </c>
      <c r="G1241" t="inlineStr">
        <is>
          <t>Delhi NCR</t>
        </is>
      </c>
      <c r="H1241" t="inlineStr">
        <is>
          <t>Fast Food</t>
        </is>
      </c>
      <c r="I1241" t="n">
        <v>739</v>
      </c>
      <c r="J1241" t="n">
        <v>0</v>
      </c>
      <c r="K1241" t="n">
        <v>25</v>
      </c>
      <c r="L1241" t="n">
        <v>0.18</v>
      </c>
      <c r="M1241" t="n">
        <v>139.27</v>
      </c>
      <c r="N1241" t="n">
        <v>2.5</v>
      </c>
      <c r="O1241" t="n">
        <v>23.9</v>
      </c>
      <c r="P1241" t="inlineStr">
        <is>
          <t>Cash on Delivery</t>
        </is>
      </c>
      <c r="Q1241" t="inlineStr">
        <is>
          <t>Delivered</t>
        </is>
      </c>
      <c r="R1241" t="n">
        <v>3</v>
      </c>
    </row>
    <row r="1242">
      <c r="A1242" t="inlineStr">
        <is>
          <t>ORD2241</t>
        </is>
      </c>
      <c r="B1242" t="inlineStr">
        <is>
          <t>2025-06-05</t>
        </is>
      </c>
      <c r="C1242" t="inlineStr">
        <is>
          <t>14:27:16</t>
        </is>
      </c>
      <c r="D1242" t="n">
        <v>1182</v>
      </c>
      <c r="E1242" t="n">
        <v>102</v>
      </c>
      <c r="F1242" t="n">
        <v>215</v>
      </c>
      <c r="G1242" t="inlineStr">
        <is>
          <t>Hyderabad</t>
        </is>
      </c>
      <c r="H1242" t="inlineStr">
        <is>
          <t>Biryani</t>
        </is>
      </c>
      <c r="I1242" t="n">
        <v>869</v>
      </c>
      <c r="J1242" t="n">
        <v>0</v>
      </c>
      <c r="K1242" t="n">
        <v>31.5</v>
      </c>
      <c r="L1242" t="n">
        <v>0.22</v>
      </c>
      <c r="M1242" t="n">
        <v>199.06</v>
      </c>
      <c r="N1242" t="n">
        <v>4.3</v>
      </c>
      <c r="O1242" t="n">
        <v>40.1</v>
      </c>
      <c r="P1242" t="inlineStr">
        <is>
          <t>Cash on Delivery</t>
        </is>
      </c>
      <c r="Q1242" t="inlineStr">
        <is>
          <t>Delivered</t>
        </is>
      </c>
      <c r="R1242" t="n">
        <v>2</v>
      </c>
    </row>
    <row r="1243">
      <c r="A1243" t="inlineStr">
        <is>
          <t>ORD2242</t>
        </is>
      </c>
      <c r="B1243" t="inlineStr">
        <is>
          <t>2025-10-01</t>
        </is>
      </c>
      <c r="C1243" t="inlineStr">
        <is>
          <t>21:23:07</t>
        </is>
      </c>
      <c r="D1243" t="n">
        <v>1027</v>
      </c>
      <c r="E1243" t="n">
        <v>103</v>
      </c>
      <c r="F1243" t="n">
        <v>206</v>
      </c>
      <c r="G1243" t="inlineStr">
        <is>
          <t>Mumbai</t>
        </is>
      </c>
      <c r="H1243" t="inlineStr">
        <is>
          <t>Italian</t>
        </is>
      </c>
      <c r="I1243" t="n">
        <v>403</v>
      </c>
      <c r="J1243" t="n">
        <v>17.14</v>
      </c>
      <c r="K1243" t="n">
        <v>25</v>
      </c>
      <c r="L1243" t="n">
        <v>0.18</v>
      </c>
      <c r="M1243" t="n">
        <v>78.79000000000001</v>
      </c>
      <c r="N1243" t="n">
        <v>2.5</v>
      </c>
      <c r="O1243" t="n">
        <v>26.5</v>
      </c>
      <c r="P1243" t="inlineStr">
        <is>
          <t>UPI</t>
        </is>
      </c>
      <c r="Q1243" t="inlineStr">
        <is>
          <t>Delivered</t>
        </is>
      </c>
      <c r="R1243" t="n">
        <v>4</v>
      </c>
    </row>
    <row r="1244">
      <c r="A1244" t="inlineStr">
        <is>
          <t>ORD2243</t>
        </is>
      </c>
      <c r="B1244" t="inlineStr">
        <is>
          <t>2025-06-22</t>
        </is>
      </c>
      <c r="C1244" t="inlineStr">
        <is>
          <t>09:59:45</t>
        </is>
      </c>
      <c r="D1244" t="n">
        <v>1133</v>
      </c>
      <c r="E1244" t="n">
        <v>104</v>
      </c>
      <c r="F1244" t="n">
        <v>221</v>
      </c>
      <c r="G1244" t="inlineStr">
        <is>
          <t>Delhi NCR</t>
        </is>
      </c>
      <c r="H1244" t="inlineStr">
        <is>
          <t>Fast Food</t>
        </is>
      </c>
      <c r="I1244" t="n">
        <v>824</v>
      </c>
      <c r="J1244" t="n">
        <v>0</v>
      </c>
      <c r="K1244" t="n">
        <v>38</v>
      </c>
      <c r="L1244" t="n">
        <v>0.18</v>
      </c>
      <c r="M1244" t="n">
        <v>157.82</v>
      </c>
      <c r="N1244" t="n">
        <v>5.6</v>
      </c>
      <c r="O1244" t="n">
        <v>32.9</v>
      </c>
      <c r="P1244" t="inlineStr">
        <is>
          <t>Digital Wallet</t>
        </is>
      </c>
      <c r="Q1244" t="inlineStr">
        <is>
          <t>Delivered</t>
        </is>
      </c>
      <c r="R1244" t="n">
        <v>4</v>
      </c>
    </row>
    <row r="1245">
      <c r="A1245" t="inlineStr">
        <is>
          <t>ORD2244</t>
        </is>
      </c>
      <c r="B1245" t="inlineStr">
        <is>
          <t>2025-08-26</t>
        </is>
      </c>
      <c r="C1245" t="inlineStr">
        <is>
          <t>08:18:02</t>
        </is>
      </c>
      <c r="D1245" t="n">
        <v>1172</v>
      </c>
      <c r="E1245" t="n">
        <v>110</v>
      </c>
      <c r="F1245" t="n">
        <v>207</v>
      </c>
      <c r="G1245" t="inlineStr">
        <is>
          <t>Pune</t>
        </is>
      </c>
      <c r="H1245" t="inlineStr">
        <is>
          <t>North Indian</t>
        </is>
      </c>
      <c r="I1245" t="n">
        <v>344</v>
      </c>
      <c r="J1245" t="n">
        <v>12.67</v>
      </c>
      <c r="K1245" t="n">
        <v>25</v>
      </c>
      <c r="L1245" t="n">
        <v>0.18</v>
      </c>
      <c r="M1245" t="n">
        <v>68.17</v>
      </c>
      <c r="N1245" t="n">
        <v>2.8</v>
      </c>
      <c r="O1245" t="n">
        <v/>
      </c>
      <c r="P1245" t="inlineStr">
        <is>
          <t>Digital Wallet</t>
        </is>
      </c>
      <c r="Q1245" t="inlineStr">
        <is>
          <t>Cancelled</t>
        </is>
      </c>
      <c r="R1245" t="n">
        <v/>
      </c>
    </row>
    <row r="1246">
      <c r="A1246" t="inlineStr">
        <is>
          <t>ORD2245</t>
        </is>
      </c>
      <c r="B1246" t="inlineStr">
        <is>
          <t>2025-06-22</t>
        </is>
      </c>
      <c r="C1246" t="inlineStr">
        <is>
          <t>20:43:18</t>
        </is>
      </c>
      <c r="D1246" t="n">
        <v>1164</v>
      </c>
      <c r="E1246" t="n">
        <v>116</v>
      </c>
      <c r="F1246" t="n">
        <v>209</v>
      </c>
      <c r="G1246" t="inlineStr">
        <is>
          <t>Pune</t>
        </is>
      </c>
      <c r="H1246" t="inlineStr">
        <is>
          <t>Desserts</t>
        </is>
      </c>
      <c r="I1246" t="n">
        <v>244</v>
      </c>
      <c r="J1246" t="n">
        <v>3.49</v>
      </c>
      <c r="K1246" t="n">
        <v>25</v>
      </c>
      <c r="L1246" t="n">
        <v>0.25</v>
      </c>
      <c r="M1246" t="n">
        <v>67.25</v>
      </c>
      <c r="N1246" t="n">
        <v>2.8</v>
      </c>
      <c r="O1246" t="n">
        <v>31.8</v>
      </c>
      <c r="P1246" t="inlineStr">
        <is>
          <t>UPI</t>
        </is>
      </c>
      <c r="Q1246" t="inlineStr">
        <is>
          <t>Delivered</t>
        </is>
      </c>
      <c r="R1246" t="n">
        <v>5</v>
      </c>
    </row>
    <row r="1247">
      <c r="A1247" t="inlineStr">
        <is>
          <t>ORD2246</t>
        </is>
      </c>
      <c r="B1247" t="inlineStr">
        <is>
          <t>2025-11-22</t>
        </is>
      </c>
      <c r="C1247" t="inlineStr">
        <is>
          <t>21:02:38</t>
        </is>
      </c>
      <c r="D1247" t="n">
        <v>1264</v>
      </c>
      <c r="E1247" t="n">
        <v>105</v>
      </c>
      <c r="F1247" t="n">
        <v>220</v>
      </c>
      <c r="G1247" t="inlineStr">
        <is>
          <t>Bangalore</t>
        </is>
      </c>
      <c r="H1247" t="inlineStr">
        <is>
          <t>Chinese</t>
        </is>
      </c>
      <c r="I1247" t="n">
        <v>334</v>
      </c>
      <c r="J1247" t="n">
        <v>0</v>
      </c>
      <c r="K1247" t="n">
        <v>53.5</v>
      </c>
      <c r="L1247" t="n">
        <v>0.2</v>
      </c>
      <c r="M1247" t="n">
        <v>80.18000000000001</v>
      </c>
      <c r="N1247" t="n">
        <v>8.699999999999999</v>
      </c>
      <c r="O1247" t="n">
        <v>45.3</v>
      </c>
      <c r="P1247" t="inlineStr">
        <is>
          <t>Cash on Delivery</t>
        </is>
      </c>
      <c r="Q1247" t="inlineStr">
        <is>
          <t>Delivered</t>
        </is>
      </c>
      <c r="R1247" t="n">
        <v>3</v>
      </c>
    </row>
    <row r="1248">
      <c r="A1248" t="inlineStr">
        <is>
          <t>ORD2247</t>
        </is>
      </c>
      <c r="B1248" t="inlineStr">
        <is>
          <t>2025-02-13</t>
        </is>
      </c>
      <c r="C1248" t="inlineStr">
        <is>
          <t>20:34:06</t>
        </is>
      </c>
      <c r="D1248" t="n">
        <v>1067</v>
      </c>
      <c r="E1248" t="n">
        <v>106</v>
      </c>
      <c r="F1248" t="n">
        <v>208</v>
      </c>
      <c r="G1248" t="inlineStr">
        <is>
          <t>Pune</t>
        </is>
      </c>
      <c r="H1248" t="inlineStr">
        <is>
          <t>South Indian</t>
        </is>
      </c>
      <c r="I1248" t="n">
        <v>349</v>
      </c>
      <c r="J1248" t="n">
        <v>17.67</v>
      </c>
      <c r="K1248" t="n">
        <v>25</v>
      </c>
      <c r="L1248" t="n">
        <v>0.15</v>
      </c>
      <c r="M1248" t="n">
        <v>58.6</v>
      </c>
      <c r="N1248" t="n">
        <v>2.4</v>
      </c>
      <c r="O1248" t="n">
        <v/>
      </c>
      <c r="P1248" t="inlineStr">
        <is>
          <t>Debit Card</t>
        </is>
      </c>
      <c r="Q1248" t="inlineStr">
        <is>
          <t>Cancelled</t>
        </is>
      </c>
      <c r="R1248" t="n">
        <v/>
      </c>
    </row>
    <row r="1249">
      <c r="A1249" t="inlineStr">
        <is>
          <t>ORD2248</t>
        </is>
      </c>
      <c r="B1249" t="inlineStr">
        <is>
          <t>2025-09-26</t>
        </is>
      </c>
      <c r="C1249" t="inlineStr">
        <is>
          <t>18:36:29</t>
        </is>
      </c>
      <c r="D1249" t="n">
        <v>1108</v>
      </c>
      <c r="E1249" t="n">
        <v>116</v>
      </c>
      <c r="F1249" t="n">
        <v>204</v>
      </c>
      <c r="G1249" t="inlineStr">
        <is>
          <t>Pune</t>
        </is>
      </c>
      <c r="H1249" t="inlineStr">
        <is>
          <t>Desserts</t>
        </is>
      </c>
      <c r="I1249" t="n">
        <v>261</v>
      </c>
      <c r="J1249" t="n">
        <v>14.45</v>
      </c>
      <c r="K1249" t="n">
        <v>30</v>
      </c>
      <c r="L1249" t="n">
        <v>0.25</v>
      </c>
      <c r="M1249" t="n">
        <v>72.75</v>
      </c>
      <c r="N1249" t="n">
        <v>4</v>
      </c>
      <c r="O1249" t="n">
        <v>34</v>
      </c>
      <c r="P1249" t="inlineStr">
        <is>
          <t>Credit Card</t>
        </is>
      </c>
      <c r="Q1249" t="inlineStr">
        <is>
          <t>Delivered</t>
        </is>
      </c>
      <c r="R1249" t="n">
        <v>4</v>
      </c>
    </row>
    <row r="1250">
      <c r="A1250" t="inlineStr">
        <is>
          <t>ORD2249</t>
        </is>
      </c>
      <c r="B1250" t="inlineStr">
        <is>
          <t>2025-06-22</t>
        </is>
      </c>
      <c r="C1250" t="inlineStr">
        <is>
          <t>16:59:40</t>
        </is>
      </c>
      <c r="D1250" t="n">
        <v>1032</v>
      </c>
      <c r="E1250" t="n">
        <v>108</v>
      </c>
      <c r="F1250" t="n">
        <v>228</v>
      </c>
      <c r="G1250" t="inlineStr">
        <is>
          <t>Delhi NCR</t>
        </is>
      </c>
      <c r="H1250" t="inlineStr">
        <is>
          <t>Fast Food</t>
        </is>
      </c>
      <c r="I1250" t="n">
        <v>529</v>
      </c>
      <c r="J1250" t="n">
        <v>0</v>
      </c>
      <c r="K1250" t="n">
        <v>29</v>
      </c>
      <c r="L1250" t="n">
        <v>0.18</v>
      </c>
      <c r="M1250" t="n">
        <v>102.47</v>
      </c>
      <c r="N1250" t="n">
        <v>3.8</v>
      </c>
      <c r="O1250" t="n">
        <v>26.8</v>
      </c>
      <c r="P1250" t="inlineStr">
        <is>
          <t>Debit Card</t>
        </is>
      </c>
      <c r="Q1250" t="inlineStr">
        <is>
          <t>Delivered</t>
        </is>
      </c>
      <c r="R1250" t="n">
        <v>4</v>
      </c>
    </row>
    <row r="1251">
      <c r="A1251" t="inlineStr">
        <is>
          <t>ORD2250</t>
        </is>
      </c>
      <c r="B1251" t="inlineStr">
        <is>
          <t>2025-04-09</t>
        </is>
      </c>
      <c r="C1251" t="inlineStr">
        <is>
          <t>20:36:16</t>
        </is>
      </c>
      <c r="D1251" t="n">
        <v>1222</v>
      </c>
      <c r="E1251" t="n">
        <v>109</v>
      </c>
      <c r="F1251" t="n">
        <v>216</v>
      </c>
      <c r="G1251" t="inlineStr">
        <is>
          <t>Hyderabad</t>
        </is>
      </c>
      <c r="H1251" t="inlineStr">
        <is>
          <t>Biryani</t>
        </is>
      </c>
      <c r="I1251" t="n">
        <v>530</v>
      </c>
      <c r="J1251" t="n">
        <v>22.86</v>
      </c>
      <c r="K1251" t="n">
        <v>74.5</v>
      </c>
      <c r="L1251" t="n">
        <v>0.2</v>
      </c>
      <c r="M1251" t="n">
        <v>124.62</v>
      </c>
      <c r="N1251" t="n">
        <v>12.9</v>
      </c>
      <c r="O1251" t="n">
        <v>73.3</v>
      </c>
      <c r="P1251" t="inlineStr">
        <is>
          <t>UPI</t>
        </is>
      </c>
      <c r="Q1251" t="inlineStr">
        <is>
          <t>Delivered</t>
        </is>
      </c>
      <c r="R1251" t="n">
        <v>2</v>
      </c>
    </row>
    <row r="1252">
      <c r="A1252" t="inlineStr">
        <is>
          <t>ORD2251</t>
        </is>
      </c>
      <c r="B1252" t="inlineStr">
        <is>
          <t>2025-08-12</t>
        </is>
      </c>
      <c r="C1252" t="inlineStr">
        <is>
          <t>20:17:47</t>
        </is>
      </c>
      <c r="D1252" t="n">
        <v>1084</v>
      </c>
      <c r="E1252" t="n">
        <v>104</v>
      </c>
      <c r="F1252" t="n">
        <v>230</v>
      </c>
      <c r="G1252" t="inlineStr">
        <is>
          <t>Delhi NCR</t>
        </is>
      </c>
      <c r="H1252" t="inlineStr">
        <is>
          <t>Fast Food</t>
        </is>
      </c>
      <c r="I1252" t="n">
        <v>925</v>
      </c>
      <c r="J1252" t="n">
        <v>20.49</v>
      </c>
      <c r="K1252" t="n">
        <v>28</v>
      </c>
      <c r="L1252" t="n">
        <v>0.18</v>
      </c>
      <c r="M1252" t="n">
        <v>173.5</v>
      </c>
      <c r="N1252" t="n">
        <v>3.6</v>
      </c>
      <c r="O1252" t="n">
        <v>35.3</v>
      </c>
      <c r="P1252" t="inlineStr">
        <is>
          <t>Digital Wallet</t>
        </is>
      </c>
      <c r="Q1252" t="inlineStr">
        <is>
          <t>Delivered</t>
        </is>
      </c>
      <c r="R1252" t="n">
        <v>4</v>
      </c>
    </row>
    <row r="1253">
      <c r="A1253" t="inlineStr">
        <is>
          <t>ORD2252</t>
        </is>
      </c>
      <c r="B1253" t="inlineStr">
        <is>
          <t>2025-05-20</t>
        </is>
      </c>
      <c r="C1253" t="inlineStr">
        <is>
          <t>12:00:26</t>
        </is>
      </c>
      <c r="D1253" t="n">
        <v>1002</v>
      </c>
      <c r="E1253" t="n">
        <v>104</v>
      </c>
      <c r="F1253" t="n">
        <v>228</v>
      </c>
      <c r="G1253" t="inlineStr">
        <is>
          <t>Delhi NCR</t>
        </is>
      </c>
      <c r="H1253" t="inlineStr">
        <is>
          <t>Fast Food</t>
        </is>
      </c>
      <c r="I1253" t="n">
        <v>536</v>
      </c>
      <c r="J1253" t="n">
        <v>95.52</v>
      </c>
      <c r="K1253" t="n">
        <v>0</v>
      </c>
      <c r="L1253" t="n">
        <v>0.18</v>
      </c>
      <c r="M1253" t="n">
        <v>96.48</v>
      </c>
      <c r="N1253" t="n">
        <v>9.6</v>
      </c>
      <c r="O1253" t="n">
        <v>60.1</v>
      </c>
      <c r="P1253" t="inlineStr">
        <is>
          <t>Debit Card</t>
        </is>
      </c>
      <c r="Q1253" t="inlineStr">
        <is>
          <t>Delivered</t>
        </is>
      </c>
      <c r="R1253" t="n">
        <v>1</v>
      </c>
    </row>
    <row r="1254">
      <c r="A1254" t="inlineStr">
        <is>
          <t>ORD2253</t>
        </is>
      </c>
      <c r="B1254" t="inlineStr">
        <is>
          <t>2025-02-19</t>
        </is>
      </c>
      <c r="C1254" t="inlineStr">
        <is>
          <t>19:14:14</t>
        </is>
      </c>
      <c r="D1254" t="n">
        <v>1160</v>
      </c>
      <c r="E1254" t="n">
        <v>110</v>
      </c>
      <c r="F1254" t="n">
        <v>217</v>
      </c>
      <c r="G1254" t="inlineStr">
        <is>
          <t>Pune</t>
        </is>
      </c>
      <c r="H1254" t="inlineStr">
        <is>
          <t>North Indian</t>
        </is>
      </c>
      <c r="I1254" t="n">
        <v>238</v>
      </c>
      <c r="J1254" t="n">
        <v>23.71</v>
      </c>
      <c r="K1254" t="n">
        <v>39.5</v>
      </c>
      <c r="L1254" t="n">
        <v>0.18</v>
      </c>
      <c r="M1254" t="n">
        <v>52.72</v>
      </c>
      <c r="N1254" t="n">
        <v>5.9</v>
      </c>
      <c r="O1254" t="n">
        <v>36.5</v>
      </c>
      <c r="P1254" t="inlineStr">
        <is>
          <t>Digital Wallet</t>
        </is>
      </c>
      <c r="Q1254" t="inlineStr">
        <is>
          <t>Delivered</t>
        </is>
      </c>
      <c r="R1254" t="n">
        <v>3</v>
      </c>
    </row>
    <row r="1255">
      <c r="A1255" t="inlineStr">
        <is>
          <t>ORD2254</t>
        </is>
      </c>
      <c r="B1255" t="inlineStr">
        <is>
          <t>2025-11-22</t>
        </is>
      </c>
      <c r="C1255" t="inlineStr">
        <is>
          <t>19:38:21</t>
        </is>
      </c>
      <c r="D1255" t="n">
        <v>1207</v>
      </c>
      <c r="E1255" t="n">
        <v>112</v>
      </c>
      <c r="F1255" t="n">
        <v>219</v>
      </c>
      <c r="G1255" t="inlineStr">
        <is>
          <t>Delhi NCR</t>
        </is>
      </c>
      <c r="H1255" t="inlineStr">
        <is>
          <t>North Indian</t>
        </is>
      </c>
      <c r="I1255" t="n">
        <v>774</v>
      </c>
      <c r="J1255" t="n">
        <v>0</v>
      </c>
      <c r="K1255" t="n">
        <v>25</v>
      </c>
      <c r="L1255" t="n">
        <v>0.22</v>
      </c>
      <c r="M1255" t="n">
        <v>176.53</v>
      </c>
      <c r="N1255" t="n">
        <v>2.7</v>
      </c>
      <c r="O1255" t="n">
        <v>32.6</v>
      </c>
      <c r="P1255" t="inlineStr">
        <is>
          <t>UPI</t>
        </is>
      </c>
      <c r="Q1255" t="inlineStr">
        <is>
          <t>Delivered</t>
        </is>
      </c>
      <c r="R1255" t="n">
        <v>4</v>
      </c>
    </row>
    <row r="1256">
      <c r="A1256" t="inlineStr">
        <is>
          <t>ORD2255</t>
        </is>
      </c>
      <c r="B1256" t="inlineStr">
        <is>
          <t>2025-06-27</t>
        </is>
      </c>
      <c r="C1256" t="inlineStr">
        <is>
          <t>19:52:28</t>
        </is>
      </c>
      <c r="D1256" t="n">
        <v>1211</v>
      </c>
      <c r="E1256" t="n">
        <v>118</v>
      </c>
      <c r="F1256" t="n">
        <v>228</v>
      </c>
      <c r="G1256" t="inlineStr">
        <is>
          <t>Delhi NCR</t>
        </is>
      </c>
      <c r="H1256" t="inlineStr">
        <is>
          <t>North Indian</t>
        </is>
      </c>
      <c r="I1256" t="n">
        <v>375</v>
      </c>
      <c r="J1256" t="n">
        <v>0</v>
      </c>
      <c r="K1256" t="n">
        <v>28</v>
      </c>
      <c r="L1256" t="n">
        <v>0.2</v>
      </c>
      <c r="M1256" t="n">
        <v>82</v>
      </c>
      <c r="N1256" t="n">
        <v>3.6</v>
      </c>
      <c r="O1256" t="n">
        <v>36.4</v>
      </c>
      <c r="P1256" t="inlineStr">
        <is>
          <t>Credit Card</t>
        </is>
      </c>
      <c r="Q1256" t="inlineStr">
        <is>
          <t>Delivered</t>
        </is>
      </c>
      <c r="R1256" t="n">
        <v>1</v>
      </c>
    </row>
    <row r="1257">
      <c r="A1257" t="inlineStr">
        <is>
          <t>ORD2256</t>
        </is>
      </c>
      <c r="B1257" t="inlineStr">
        <is>
          <t>2025-07-26</t>
        </is>
      </c>
      <c r="C1257" t="inlineStr">
        <is>
          <t>21:02:42</t>
        </is>
      </c>
      <c r="D1257" t="n">
        <v>1003</v>
      </c>
      <c r="E1257" t="n">
        <v>116</v>
      </c>
      <c r="F1257" t="n">
        <v>204</v>
      </c>
      <c r="G1257" t="inlineStr">
        <is>
          <t>Pune</t>
        </is>
      </c>
      <c r="H1257" t="inlineStr">
        <is>
          <t>Desserts</t>
        </is>
      </c>
      <c r="I1257" t="n">
        <v>805</v>
      </c>
      <c r="J1257" t="n">
        <v>94.78</v>
      </c>
      <c r="K1257" t="n">
        <v>25</v>
      </c>
      <c r="L1257" t="n">
        <v>0.25</v>
      </c>
      <c r="M1257" t="n">
        <v>207.5</v>
      </c>
      <c r="N1257" t="n">
        <v>2.7</v>
      </c>
      <c r="O1257" t="n">
        <v>34.3</v>
      </c>
      <c r="P1257" t="inlineStr">
        <is>
          <t>Digital Wallet</t>
        </is>
      </c>
      <c r="Q1257" t="inlineStr">
        <is>
          <t>Delivered</t>
        </is>
      </c>
      <c r="R1257" t="n">
        <v>3</v>
      </c>
    </row>
    <row r="1258">
      <c r="A1258" t="inlineStr">
        <is>
          <t>ORD2257</t>
        </is>
      </c>
      <c r="B1258" t="inlineStr">
        <is>
          <t>2025-09-29</t>
        </is>
      </c>
      <c r="C1258" t="inlineStr">
        <is>
          <t>22:23:19</t>
        </is>
      </c>
      <c r="D1258" t="n">
        <v>1274</v>
      </c>
      <c r="E1258" t="n">
        <v>113</v>
      </c>
      <c r="F1258" t="n">
        <v>202</v>
      </c>
      <c r="G1258" t="inlineStr">
        <is>
          <t>Mumbai</t>
        </is>
      </c>
      <c r="H1258" t="inlineStr">
        <is>
          <t>Fast Food</t>
        </is>
      </c>
      <c r="I1258" t="n">
        <v>810</v>
      </c>
      <c r="J1258" t="n">
        <v>106.54</v>
      </c>
      <c r="K1258" t="n">
        <v>0</v>
      </c>
      <c r="L1258" t="n">
        <v>0.18</v>
      </c>
      <c r="M1258" t="n">
        <v>145.8</v>
      </c>
      <c r="N1258" t="n">
        <v>2.1</v>
      </c>
      <c r="O1258" t="n">
        <v>26.5</v>
      </c>
      <c r="P1258" t="inlineStr">
        <is>
          <t>UPI</t>
        </is>
      </c>
      <c r="Q1258" t="inlineStr">
        <is>
          <t>Delivered</t>
        </is>
      </c>
      <c r="R1258" t="n">
        <v>4</v>
      </c>
    </row>
    <row r="1259">
      <c r="A1259" t="inlineStr">
        <is>
          <t>ORD2258</t>
        </is>
      </c>
      <c r="B1259" t="inlineStr">
        <is>
          <t>2025-11-16</t>
        </is>
      </c>
      <c r="C1259" t="inlineStr">
        <is>
          <t>21:22:36</t>
        </is>
      </c>
      <c r="D1259" t="n">
        <v>1250</v>
      </c>
      <c r="E1259" t="n">
        <v>120</v>
      </c>
      <c r="F1259" t="n">
        <v>217</v>
      </c>
      <c r="G1259" t="inlineStr">
        <is>
          <t>Pune</t>
        </is>
      </c>
      <c r="H1259" t="inlineStr">
        <is>
          <t>Fast Food</t>
        </is>
      </c>
      <c r="I1259" t="n">
        <v>867</v>
      </c>
      <c r="J1259" t="n">
        <v>173.04</v>
      </c>
      <c r="K1259" t="n">
        <v>0</v>
      </c>
      <c r="L1259" t="n">
        <v>0.18</v>
      </c>
      <c r="M1259" t="n">
        <v>156.06</v>
      </c>
      <c r="N1259" t="n">
        <v>1.9</v>
      </c>
      <c r="O1259" t="n">
        <v>23.7</v>
      </c>
      <c r="P1259" t="inlineStr">
        <is>
          <t>Debit Card</t>
        </is>
      </c>
      <c r="Q1259" t="inlineStr">
        <is>
          <t>Delivered</t>
        </is>
      </c>
      <c r="R1259" t="n">
        <v>5</v>
      </c>
    </row>
    <row r="1260">
      <c r="A1260" t="inlineStr">
        <is>
          <t>ORD2259</t>
        </is>
      </c>
      <c r="B1260" t="inlineStr">
        <is>
          <t>2025-10-03</t>
        </is>
      </c>
      <c r="C1260" t="inlineStr">
        <is>
          <t>17:08:24</t>
        </is>
      </c>
      <c r="D1260" t="n">
        <v>1187</v>
      </c>
      <c r="E1260" t="n">
        <v>113</v>
      </c>
      <c r="F1260" t="n">
        <v>206</v>
      </c>
      <c r="G1260" t="inlineStr">
        <is>
          <t>Mumbai</t>
        </is>
      </c>
      <c r="H1260" t="inlineStr">
        <is>
          <t>Fast Food</t>
        </is>
      </c>
      <c r="I1260" t="n">
        <v>841</v>
      </c>
      <c r="J1260" t="n">
        <v>97.91</v>
      </c>
      <c r="K1260" t="n">
        <v>25</v>
      </c>
      <c r="L1260" t="n">
        <v>0.18</v>
      </c>
      <c r="M1260" t="n">
        <v>157.63</v>
      </c>
      <c r="N1260" t="n">
        <v>2.2</v>
      </c>
      <c r="O1260" t="n">
        <v>22</v>
      </c>
      <c r="P1260" t="inlineStr">
        <is>
          <t>Cash on Delivery</t>
        </is>
      </c>
      <c r="Q1260" t="inlineStr">
        <is>
          <t>Delivered</t>
        </is>
      </c>
      <c r="R1260" t="n">
        <v>4</v>
      </c>
    </row>
    <row r="1261">
      <c r="A1261" t="inlineStr">
        <is>
          <t>ORD2260</t>
        </is>
      </c>
      <c r="B1261" t="inlineStr">
        <is>
          <t>2025-02-26</t>
        </is>
      </c>
      <c r="C1261" t="inlineStr">
        <is>
          <t>20:36:18</t>
        </is>
      </c>
      <c r="D1261" t="n">
        <v>1191</v>
      </c>
      <c r="E1261" t="n">
        <v>108</v>
      </c>
      <c r="F1261" t="n">
        <v>230</v>
      </c>
      <c r="G1261" t="inlineStr">
        <is>
          <t>Delhi NCR</t>
        </is>
      </c>
      <c r="H1261" t="inlineStr">
        <is>
          <t>Fast Food</t>
        </is>
      </c>
      <c r="I1261" t="n">
        <v>402</v>
      </c>
      <c r="J1261" t="n">
        <v>24.66</v>
      </c>
      <c r="K1261" t="n">
        <v>25</v>
      </c>
      <c r="L1261" t="n">
        <v>0.18</v>
      </c>
      <c r="M1261" t="n">
        <v>78.61</v>
      </c>
      <c r="N1261" t="n">
        <v>2.9</v>
      </c>
      <c r="O1261" t="n">
        <v>39.6</v>
      </c>
      <c r="P1261" t="inlineStr">
        <is>
          <t>Cash on Delivery</t>
        </is>
      </c>
      <c r="Q1261" t="inlineStr">
        <is>
          <t>Delivered</t>
        </is>
      </c>
      <c r="R1261" t="n">
        <v>1</v>
      </c>
    </row>
    <row r="1262">
      <c r="A1262" t="inlineStr">
        <is>
          <t>ORD2261</t>
        </is>
      </c>
      <c r="B1262" t="inlineStr">
        <is>
          <t>2025-08-03</t>
        </is>
      </c>
      <c r="C1262" t="inlineStr">
        <is>
          <t>08:57:38</t>
        </is>
      </c>
      <c r="D1262" t="n">
        <v>1207</v>
      </c>
      <c r="E1262" t="n">
        <v>104</v>
      </c>
      <c r="F1262" t="n">
        <v>219</v>
      </c>
      <c r="G1262" t="inlineStr">
        <is>
          <t>Delhi NCR</t>
        </is>
      </c>
      <c r="H1262" t="inlineStr">
        <is>
          <t>Fast Food</t>
        </is>
      </c>
      <c r="I1262" t="n">
        <v>505</v>
      </c>
      <c r="J1262" t="n">
        <v>0</v>
      </c>
      <c r="K1262" t="n">
        <v>25</v>
      </c>
      <c r="L1262" t="n">
        <v>0.18</v>
      </c>
      <c r="M1262" t="n">
        <v>97.15000000000001</v>
      </c>
      <c r="N1262" t="n">
        <v>3</v>
      </c>
      <c r="O1262" t="n">
        <v>24.8</v>
      </c>
      <c r="P1262" t="inlineStr">
        <is>
          <t>UPI</t>
        </is>
      </c>
      <c r="Q1262" t="inlineStr">
        <is>
          <t>Delivered</t>
        </is>
      </c>
      <c r="R1262" t="n">
        <v>5</v>
      </c>
    </row>
    <row r="1263">
      <c r="A1263" t="inlineStr">
        <is>
          <t>ORD2262</t>
        </is>
      </c>
      <c r="B1263" t="inlineStr">
        <is>
          <t>2025-07-26</t>
        </is>
      </c>
      <c r="C1263" t="inlineStr">
        <is>
          <t>22:31:48</t>
        </is>
      </c>
      <c r="D1263" t="n">
        <v>1091</v>
      </c>
      <c r="E1263" t="n">
        <v>116</v>
      </c>
      <c r="F1263" t="n">
        <v>204</v>
      </c>
      <c r="G1263" t="inlineStr">
        <is>
          <t>Pune</t>
        </is>
      </c>
      <c r="H1263" t="inlineStr">
        <is>
          <t>Desserts</t>
        </is>
      </c>
      <c r="I1263" t="n">
        <v>695</v>
      </c>
      <c r="J1263" t="n">
        <v>0</v>
      </c>
      <c r="K1263" t="n">
        <v>53.5</v>
      </c>
      <c r="L1263" t="n">
        <v>0.25</v>
      </c>
      <c r="M1263" t="n">
        <v>187.12</v>
      </c>
      <c r="N1263" t="n">
        <v>8.699999999999999</v>
      </c>
      <c r="O1263" t="n">
        <v/>
      </c>
      <c r="P1263" t="inlineStr">
        <is>
          <t>Credit Card</t>
        </is>
      </c>
      <c r="Q1263" t="inlineStr">
        <is>
          <t>Cancelled</t>
        </is>
      </c>
      <c r="R1263" t="n">
        <v/>
      </c>
    </row>
    <row r="1264">
      <c r="A1264" t="inlineStr">
        <is>
          <t>ORD2263</t>
        </is>
      </c>
      <c r="B1264" t="inlineStr">
        <is>
          <t>2025-05-28</t>
        </is>
      </c>
      <c r="C1264" t="inlineStr">
        <is>
          <t>23:00:34</t>
        </is>
      </c>
      <c r="D1264" t="n">
        <v>1145</v>
      </c>
      <c r="E1264" t="n">
        <v>106</v>
      </c>
      <c r="F1264" t="n">
        <v>208</v>
      </c>
      <c r="G1264" t="inlineStr">
        <is>
          <t>Pune</t>
        </is>
      </c>
      <c r="H1264" t="inlineStr">
        <is>
          <t>South Indian</t>
        </is>
      </c>
      <c r="I1264" t="n">
        <v>562</v>
      </c>
      <c r="J1264" t="n">
        <v>29.5</v>
      </c>
      <c r="K1264" t="n">
        <v>26</v>
      </c>
      <c r="L1264" t="n">
        <v>0.15</v>
      </c>
      <c r="M1264" t="n">
        <v>90.8</v>
      </c>
      <c r="N1264" t="n">
        <v>3.2</v>
      </c>
      <c r="O1264" t="n">
        <v>30.5</v>
      </c>
      <c r="P1264" t="inlineStr">
        <is>
          <t>UPI</t>
        </is>
      </c>
      <c r="Q1264" t="inlineStr">
        <is>
          <t>Delivered</t>
        </is>
      </c>
      <c r="R1264" t="n">
        <v>3</v>
      </c>
    </row>
    <row r="1265">
      <c r="A1265" t="inlineStr">
        <is>
          <t>ORD2264</t>
        </is>
      </c>
      <c r="B1265" t="inlineStr">
        <is>
          <t>2025-07-30</t>
        </is>
      </c>
      <c r="C1265" t="inlineStr">
        <is>
          <t>10:12:40</t>
        </is>
      </c>
      <c r="D1265" t="n">
        <v>1145</v>
      </c>
      <c r="E1265" t="n">
        <v>120</v>
      </c>
      <c r="F1265" t="n">
        <v>226</v>
      </c>
      <c r="G1265" t="inlineStr">
        <is>
          <t>Pune</t>
        </is>
      </c>
      <c r="H1265" t="inlineStr">
        <is>
          <t>Fast Food</t>
        </is>
      </c>
      <c r="I1265" t="n">
        <v>249</v>
      </c>
      <c r="J1265" t="n">
        <v>2.76</v>
      </c>
      <c r="K1265" t="n">
        <v>26</v>
      </c>
      <c r="L1265" t="n">
        <v>0.18</v>
      </c>
      <c r="M1265" t="n">
        <v>51.32</v>
      </c>
      <c r="N1265" t="n">
        <v>3.2</v>
      </c>
      <c r="O1265" t="n">
        <v>31.1</v>
      </c>
      <c r="P1265" t="inlineStr">
        <is>
          <t>UPI</t>
        </is>
      </c>
      <c r="Q1265" t="inlineStr">
        <is>
          <t>Delivered</t>
        </is>
      </c>
      <c r="R1265" t="n">
        <v>5</v>
      </c>
    </row>
    <row r="1266">
      <c r="A1266" t="inlineStr">
        <is>
          <t>ORD2265</t>
        </is>
      </c>
      <c r="B1266" t="inlineStr">
        <is>
          <t>2025-11-09</t>
        </is>
      </c>
      <c r="C1266" t="inlineStr">
        <is>
          <t>14:15:10</t>
        </is>
      </c>
      <c r="D1266" t="n">
        <v>1186</v>
      </c>
      <c r="E1266" t="n">
        <v>102</v>
      </c>
      <c r="F1266" t="n">
        <v>215</v>
      </c>
      <c r="G1266" t="inlineStr">
        <is>
          <t>Hyderabad</t>
        </is>
      </c>
      <c r="H1266" t="inlineStr">
        <is>
          <t>Biryani</t>
        </is>
      </c>
      <c r="I1266" t="n">
        <v>802</v>
      </c>
      <c r="J1266" t="n">
        <v>75.22</v>
      </c>
      <c r="K1266" t="n">
        <v>27</v>
      </c>
      <c r="L1266" t="n">
        <v>0.22</v>
      </c>
      <c r="M1266" t="n">
        <v>183.19</v>
      </c>
      <c r="N1266" t="n">
        <v>3.4</v>
      </c>
      <c r="O1266" t="n">
        <v>32.7</v>
      </c>
      <c r="P1266" t="inlineStr">
        <is>
          <t>Debit Card</t>
        </is>
      </c>
      <c r="Q1266" t="inlineStr">
        <is>
          <t>Delivered</t>
        </is>
      </c>
      <c r="R1266" t="n">
        <v>5</v>
      </c>
    </row>
    <row r="1267">
      <c r="A1267" t="inlineStr">
        <is>
          <t>ORD2266</t>
        </is>
      </c>
      <c r="B1267" t="inlineStr">
        <is>
          <t>2025-10-10</t>
        </is>
      </c>
      <c r="C1267" t="inlineStr">
        <is>
          <t>21:32:55</t>
        </is>
      </c>
      <c r="D1267" t="n">
        <v>1078</v>
      </c>
      <c r="E1267" t="n">
        <v>112</v>
      </c>
      <c r="F1267" t="n">
        <v>221</v>
      </c>
      <c r="G1267" t="inlineStr">
        <is>
          <t>Delhi NCR</t>
        </is>
      </c>
      <c r="H1267" t="inlineStr">
        <is>
          <t>North Indian</t>
        </is>
      </c>
      <c r="I1267" t="n">
        <v>417</v>
      </c>
      <c r="J1267" t="n">
        <v>5.38</v>
      </c>
      <c r="K1267" t="n">
        <v>25</v>
      </c>
      <c r="L1267" t="n">
        <v>0.22</v>
      </c>
      <c r="M1267" t="n">
        <v>97.98999999999999</v>
      </c>
      <c r="N1267" t="n">
        <v>1.2</v>
      </c>
      <c r="O1267" t="n">
        <v>23.7</v>
      </c>
      <c r="P1267" t="inlineStr">
        <is>
          <t>Credit Card</t>
        </is>
      </c>
      <c r="Q1267" t="inlineStr">
        <is>
          <t>Delivered</t>
        </is>
      </c>
      <c r="R1267" t="n">
        <v>4</v>
      </c>
    </row>
    <row r="1268">
      <c r="A1268" t="inlineStr">
        <is>
          <t>ORD2267</t>
        </is>
      </c>
      <c r="B1268" t="inlineStr">
        <is>
          <t>2025-12-31</t>
        </is>
      </c>
      <c r="C1268" t="inlineStr">
        <is>
          <t>21:58:12</t>
        </is>
      </c>
      <c r="D1268" t="n">
        <v>1156</v>
      </c>
      <c r="E1268" t="n">
        <v>120</v>
      </c>
      <c r="F1268" t="n">
        <v>217</v>
      </c>
      <c r="G1268" t="inlineStr">
        <is>
          <t>Pune</t>
        </is>
      </c>
      <c r="H1268" t="inlineStr">
        <is>
          <t>Fast Food</t>
        </is>
      </c>
      <c r="I1268" t="n">
        <v>550</v>
      </c>
      <c r="J1268" t="n">
        <v>0</v>
      </c>
      <c r="K1268" t="n">
        <v>61</v>
      </c>
      <c r="L1268" t="n">
        <v>0.18</v>
      </c>
      <c r="M1268" t="n">
        <v>114.25</v>
      </c>
      <c r="N1268" t="n">
        <v>10.2</v>
      </c>
      <c r="O1268" t="n">
        <v>54</v>
      </c>
      <c r="P1268" t="inlineStr">
        <is>
          <t>UPI</t>
        </is>
      </c>
      <c r="Q1268" t="inlineStr">
        <is>
          <t>Delivered</t>
        </is>
      </c>
      <c r="R1268" t="n">
        <v>1</v>
      </c>
    </row>
    <row r="1269">
      <c r="A1269" t="inlineStr">
        <is>
          <t>ORD2268</t>
        </is>
      </c>
      <c r="B1269" t="inlineStr">
        <is>
          <t>2025-08-24</t>
        </is>
      </c>
      <c r="C1269" t="inlineStr">
        <is>
          <t>21:15:43</t>
        </is>
      </c>
      <c r="D1269" t="n">
        <v>1206</v>
      </c>
      <c r="E1269" t="n">
        <v>113</v>
      </c>
      <c r="F1269" t="n">
        <v>202</v>
      </c>
      <c r="G1269" t="inlineStr">
        <is>
          <t>Mumbai</t>
        </is>
      </c>
      <c r="H1269" t="inlineStr">
        <is>
          <t>Fast Food</t>
        </is>
      </c>
      <c r="I1269" t="n">
        <v>837</v>
      </c>
      <c r="J1269" t="n">
        <v>0</v>
      </c>
      <c r="K1269" t="n">
        <v>58</v>
      </c>
      <c r="L1269" t="n">
        <v>0.18</v>
      </c>
      <c r="M1269" t="n">
        <v>165.16</v>
      </c>
      <c r="N1269" t="n">
        <v>9.6</v>
      </c>
      <c r="O1269" t="n">
        <v>55.8</v>
      </c>
      <c r="P1269" t="inlineStr">
        <is>
          <t>Credit Card</t>
        </is>
      </c>
      <c r="Q1269" t="inlineStr">
        <is>
          <t>Delivered</t>
        </is>
      </c>
      <c r="R1269" t="n">
        <v>3</v>
      </c>
    </row>
    <row r="1270">
      <c r="A1270" t="inlineStr">
        <is>
          <t>ORD2269</t>
        </is>
      </c>
      <c r="B1270" t="inlineStr">
        <is>
          <t>2025-03-23</t>
        </is>
      </c>
      <c r="C1270" t="inlineStr">
        <is>
          <t>18:15:29</t>
        </is>
      </c>
      <c r="D1270" t="n">
        <v>1247</v>
      </c>
      <c r="E1270" t="n">
        <v>101</v>
      </c>
      <c r="F1270" t="n">
        <v>203</v>
      </c>
      <c r="G1270" t="inlineStr">
        <is>
          <t>Bangalore</t>
        </is>
      </c>
      <c r="H1270" t="inlineStr">
        <is>
          <t>North Indian</t>
        </is>
      </c>
      <c r="I1270" t="n">
        <v>291</v>
      </c>
      <c r="J1270" t="n">
        <v>0</v>
      </c>
      <c r="K1270" t="n">
        <v>35</v>
      </c>
      <c r="L1270" t="n">
        <v>0.2</v>
      </c>
      <c r="M1270" t="n">
        <v>66.95</v>
      </c>
      <c r="N1270" t="n">
        <v>5</v>
      </c>
      <c r="O1270" t="n">
        <v>29.9</v>
      </c>
      <c r="P1270" t="inlineStr">
        <is>
          <t>Cash on Delivery</t>
        </is>
      </c>
      <c r="Q1270" t="inlineStr">
        <is>
          <t>Delivered</t>
        </is>
      </c>
      <c r="R1270" t="n">
        <v>5</v>
      </c>
    </row>
    <row r="1271">
      <c r="A1271" t="inlineStr">
        <is>
          <t>ORD2270</t>
        </is>
      </c>
      <c r="B1271" t="inlineStr">
        <is>
          <t>2025-08-02</t>
        </is>
      </c>
      <c r="C1271" t="inlineStr">
        <is>
          <t>07:16:56</t>
        </is>
      </c>
      <c r="D1271" t="n">
        <v>1259</v>
      </c>
      <c r="E1271" t="n">
        <v>114</v>
      </c>
      <c r="F1271" t="n">
        <v>216</v>
      </c>
      <c r="G1271" t="inlineStr">
        <is>
          <t>Hyderabad</t>
        </is>
      </c>
      <c r="H1271" t="inlineStr">
        <is>
          <t>Biryani</t>
        </is>
      </c>
      <c r="I1271" t="n">
        <v>770</v>
      </c>
      <c r="J1271" t="n">
        <v>0</v>
      </c>
      <c r="K1271" t="n">
        <v>49</v>
      </c>
      <c r="L1271" t="n">
        <v>0.22</v>
      </c>
      <c r="M1271" t="n">
        <v>181.65</v>
      </c>
      <c r="N1271" t="n">
        <v>7.8</v>
      </c>
      <c r="O1271" t="n">
        <v>46</v>
      </c>
      <c r="P1271" t="inlineStr">
        <is>
          <t>Digital Wallet</t>
        </is>
      </c>
      <c r="Q1271" t="inlineStr">
        <is>
          <t>Delivered</t>
        </is>
      </c>
      <c r="R1271" t="n">
        <v>4</v>
      </c>
    </row>
    <row r="1272">
      <c r="A1272" t="inlineStr">
        <is>
          <t>ORD2271</t>
        </is>
      </c>
      <c r="B1272" t="inlineStr">
        <is>
          <t>2025-01-31</t>
        </is>
      </c>
      <c r="C1272" t="inlineStr">
        <is>
          <t>10:18:51</t>
        </is>
      </c>
      <c r="D1272" t="n">
        <v>1012</v>
      </c>
      <c r="E1272" t="n">
        <v>120</v>
      </c>
      <c r="F1272" t="n">
        <v>217</v>
      </c>
      <c r="G1272" t="inlineStr">
        <is>
          <t>Pune</t>
        </is>
      </c>
      <c r="H1272" t="inlineStr">
        <is>
          <t>Fast Food</t>
        </is>
      </c>
      <c r="I1272" t="n">
        <v>939</v>
      </c>
      <c r="J1272" t="n">
        <v>171.12</v>
      </c>
      <c r="K1272" t="n">
        <v>0</v>
      </c>
      <c r="L1272" t="n">
        <v>0.18</v>
      </c>
      <c r="M1272" t="n">
        <v>169.02</v>
      </c>
      <c r="N1272" t="n">
        <v>5.9</v>
      </c>
      <c r="O1272" t="n">
        <v>48.3</v>
      </c>
      <c r="P1272" t="inlineStr">
        <is>
          <t>Debit Card</t>
        </is>
      </c>
      <c r="Q1272" t="inlineStr">
        <is>
          <t>Delivered</t>
        </is>
      </c>
      <c r="R1272" t="n">
        <v>4</v>
      </c>
    </row>
    <row r="1273">
      <c r="A1273" t="inlineStr">
        <is>
          <t>ORD2272</t>
        </is>
      </c>
      <c r="B1273" t="inlineStr">
        <is>
          <t>2025-03-05</t>
        </is>
      </c>
      <c r="C1273" t="inlineStr">
        <is>
          <t>18:06:09</t>
        </is>
      </c>
      <c r="D1273" t="n">
        <v>1087</v>
      </c>
      <c r="E1273" t="n">
        <v>110</v>
      </c>
      <c r="F1273" t="n">
        <v>226</v>
      </c>
      <c r="G1273" t="inlineStr">
        <is>
          <t>Pune</t>
        </is>
      </c>
      <c r="H1273" t="inlineStr">
        <is>
          <t>North Indian</t>
        </is>
      </c>
      <c r="I1273" t="n">
        <v>488</v>
      </c>
      <c r="J1273" t="n">
        <v>50.29</v>
      </c>
      <c r="K1273" t="n">
        <v>27.5</v>
      </c>
      <c r="L1273" t="n">
        <v>0.18</v>
      </c>
      <c r="M1273" t="n">
        <v>94.72</v>
      </c>
      <c r="N1273" t="n">
        <v>3.5</v>
      </c>
      <c r="O1273" t="n">
        <v>31.4</v>
      </c>
      <c r="P1273" t="inlineStr">
        <is>
          <t>UPI</t>
        </is>
      </c>
      <c r="Q1273" t="inlineStr">
        <is>
          <t>Delivered</t>
        </is>
      </c>
      <c r="R1273" t="n">
        <v>4</v>
      </c>
    </row>
    <row r="1274">
      <c r="A1274" t="inlineStr">
        <is>
          <t>ORD2273</t>
        </is>
      </c>
      <c r="B1274" t="inlineStr">
        <is>
          <t>2025-12-03</t>
        </is>
      </c>
      <c r="C1274" t="inlineStr">
        <is>
          <t>18:21:09</t>
        </is>
      </c>
      <c r="D1274" t="n">
        <v>1058</v>
      </c>
      <c r="E1274" t="n">
        <v>113</v>
      </c>
      <c r="F1274" t="n">
        <v>202</v>
      </c>
      <c r="G1274" t="inlineStr">
        <is>
          <t>Mumbai</t>
        </is>
      </c>
      <c r="H1274" t="inlineStr">
        <is>
          <t>Fast Food</t>
        </is>
      </c>
      <c r="I1274" t="n">
        <v>468</v>
      </c>
      <c r="J1274" t="n">
        <v>7.87</v>
      </c>
      <c r="K1274" t="n">
        <v>35</v>
      </c>
      <c r="L1274" t="n">
        <v>0.18</v>
      </c>
      <c r="M1274" t="n">
        <v>92.98999999999999</v>
      </c>
      <c r="N1274" t="n">
        <v>5</v>
      </c>
      <c r="O1274" t="n">
        <v>37.5</v>
      </c>
      <c r="P1274" t="inlineStr">
        <is>
          <t>UPI</t>
        </is>
      </c>
      <c r="Q1274" t="inlineStr">
        <is>
          <t>Delivered</t>
        </is>
      </c>
      <c r="R1274" t="n">
        <v>5</v>
      </c>
    </row>
    <row r="1275">
      <c r="A1275" t="inlineStr">
        <is>
          <t>ORD2274</t>
        </is>
      </c>
      <c r="B1275" t="inlineStr">
        <is>
          <t>2025-05-14</t>
        </is>
      </c>
      <c r="C1275" t="inlineStr">
        <is>
          <t>11:21:18</t>
        </is>
      </c>
      <c r="D1275" t="n">
        <v>1235</v>
      </c>
      <c r="E1275" t="n">
        <v>119</v>
      </c>
      <c r="F1275" t="n">
        <v>225</v>
      </c>
      <c r="G1275" t="inlineStr">
        <is>
          <t>Hyderabad</t>
        </is>
      </c>
      <c r="H1275" t="inlineStr">
        <is>
          <t>Biryani</t>
        </is>
      </c>
      <c r="I1275" t="n">
        <v>925</v>
      </c>
      <c r="J1275" t="n">
        <v>0</v>
      </c>
      <c r="K1275" t="n">
        <v>29.5</v>
      </c>
      <c r="L1275" t="n">
        <v>0.2</v>
      </c>
      <c r="M1275" t="n">
        <v>192.38</v>
      </c>
      <c r="N1275" t="n">
        <v>3.9</v>
      </c>
      <c r="O1275" t="n">
        <v>33.2</v>
      </c>
      <c r="P1275" t="inlineStr">
        <is>
          <t>Debit Card</t>
        </is>
      </c>
      <c r="Q1275" t="inlineStr">
        <is>
          <t>Delivered</t>
        </is>
      </c>
      <c r="R1275" t="n">
        <v>4</v>
      </c>
    </row>
    <row r="1276">
      <c r="A1276" t="inlineStr">
        <is>
          <t>ORD2275</t>
        </is>
      </c>
      <c r="B1276" t="inlineStr">
        <is>
          <t>2025-03-17</t>
        </is>
      </c>
      <c r="C1276" t="inlineStr">
        <is>
          <t>10:33:18</t>
        </is>
      </c>
      <c r="D1276" t="n">
        <v>1164</v>
      </c>
      <c r="E1276" t="n">
        <v>110</v>
      </c>
      <c r="F1276" t="n">
        <v>208</v>
      </c>
      <c r="G1276" t="inlineStr">
        <is>
          <t>Pune</t>
        </is>
      </c>
      <c r="H1276" t="inlineStr">
        <is>
          <t>North Indian</t>
        </is>
      </c>
      <c r="I1276" t="n">
        <v>246</v>
      </c>
      <c r="J1276" t="n">
        <v>0</v>
      </c>
      <c r="K1276" t="n">
        <v>25</v>
      </c>
      <c r="L1276" t="n">
        <v>0.18</v>
      </c>
      <c r="M1276" t="n">
        <v>50.53</v>
      </c>
      <c r="N1276" t="n">
        <v>2.3</v>
      </c>
      <c r="O1276" t="n">
        <v>23.9</v>
      </c>
      <c r="P1276" t="inlineStr">
        <is>
          <t>Debit Card</t>
        </is>
      </c>
      <c r="Q1276" t="inlineStr">
        <is>
          <t>Delivered</t>
        </is>
      </c>
      <c r="R1276" t="n">
        <v>5</v>
      </c>
    </row>
    <row r="1277">
      <c r="A1277" t="inlineStr">
        <is>
          <t>ORD2276</t>
        </is>
      </c>
      <c r="B1277" t="inlineStr">
        <is>
          <t>2025-10-18</t>
        </is>
      </c>
      <c r="C1277" t="inlineStr">
        <is>
          <t>21:40:19</t>
        </is>
      </c>
      <c r="D1277" t="n">
        <v>1193</v>
      </c>
      <c r="E1277" t="n">
        <v>104</v>
      </c>
      <c r="F1277" t="n">
        <v>230</v>
      </c>
      <c r="G1277" t="inlineStr">
        <is>
          <t>Delhi NCR</t>
        </is>
      </c>
      <c r="H1277" t="inlineStr">
        <is>
          <t>Fast Food</t>
        </is>
      </c>
      <c r="I1277" t="n">
        <v>988</v>
      </c>
      <c r="J1277" t="n">
        <v>142.26</v>
      </c>
      <c r="K1277" t="n">
        <v>0</v>
      </c>
      <c r="L1277" t="n">
        <v>0.18</v>
      </c>
      <c r="M1277" t="n">
        <v>177.84</v>
      </c>
      <c r="N1277" t="n">
        <v>6.7</v>
      </c>
      <c r="O1277" t="n">
        <v>41.1</v>
      </c>
      <c r="P1277" t="inlineStr">
        <is>
          <t>Credit Card</t>
        </is>
      </c>
      <c r="Q1277" t="inlineStr">
        <is>
          <t>Delivered</t>
        </is>
      </c>
      <c r="R1277" t="n">
        <v>2</v>
      </c>
    </row>
    <row r="1278">
      <c r="A1278" t="inlineStr">
        <is>
          <t>ORD2277</t>
        </is>
      </c>
      <c r="B1278" t="inlineStr">
        <is>
          <t>2025-07-16</t>
        </is>
      </c>
      <c r="C1278" t="inlineStr">
        <is>
          <t>12:16:40</t>
        </is>
      </c>
      <c r="D1278" t="n">
        <v>1291</v>
      </c>
      <c r="E1278" t="n">
        <v>114</v>
      </c>
      <c r="F1278" t="n">
        <v>216</v>
      </c>
      <c r="G1278" t="inlineStr">
        <is>
          <t>Hyderabad</t>
        </is>
      </c>
      <c r="H1278" t="inlineStr">
        <is>
          <t>Biryani</t>
        </is>
      </c>
      <c r="I1278" t="n">
        <v>453</v>
      </c>
      <c r="J1278" t="n">
        <v>0</v>
      </c>
      <c r="K1278" t="n">
        <v>35.5</v>
      </c>
      <c r="L1278" t="n">
        <v>0.22</v>
      </c>
      <c r="M1278" t="n">
        <v>108.54</v>
      </c>
      <c r="N1278" t="n">
        <v>5.1</v>
      </c>
      <c r="O1278" t="n">
        <v>37.4</v>
      </c>
      <c r="P1278" t="inlineStr">
        <is>
          <t>Debit Card</t>
        </is>
      </c>
      <c r="Q1278" t="inlineStr">
        <is>
          <t>Delivered</t>
        </is>
      </c>
      <c r="R1278" t="n">
        <v>3</v>
      </c>
    </row>
    <row r="1279">
      <c r="A1279" t="inlineStr">
        <is>
          <t>ORD2278</t>
        </is>
      </c>
      <c r="B1279" t="inlineStr">
        <is>
          <t>2025-05-13</t>
        </is>
      </c>
      <c r="C1279" t="inlineStr">
        <is>
          <t>12:23:46</t>
        </is>
      </c>
      <c r="D1279" t="n">
        <v>1226</v>
      </c>
      <c r="E1279" t="n">
        <v>111</v>
      </c>
      <c r="F1279" t="n">
        <v>223</v>
      </c>
      <c r="G1279" t="inlineStr">
        <is>
          <t>Bangalore</t>
        </is>
      </c>
      <c r="H1279" t="inlineStr">
        <is>
          <t>South Indian</t>
        </is>
      </c>
      <c r="I1279" t="n">
        <v>740</v>
      </c>
      <c r="J1279" t="n">
        <v>58.97</v>
      </c>
      <c r="K1279" t="n">
        <v>53</v>
      </c>
      <c r="L1279" t="n">
        <v>0.15</v>
      </c>
      <c r="M1279" t="n">
        <v>124.25</v>
      </c>
      <c r="N1279" t="n">
        <v>8.6</v>
      </c>
      <c r="O1279" t="n">
        <v>52.5</v>
      </c>
      <c r="P1279" t="inlineStr">
        <is>
          <t>Digital Wallet</t>
        </is>
      </c>
      <c r="Q1279" t="inlineStr">
        <is>
          <t>Returned</t>
        </is>
      </c>
      <c r="R1279" t="n">
        <v>4</v>
      </c>
    </row>
    <row r="1280">
      <c r="A1280" t="inlineStr">
        <is>
          <t>ORD2279</t>
        </is>
      </c>
      <c r="B1280" t="inlineStr">
        <is>
          <t>2025-11-26</t>
        </is>
      </c>
      <c r="C1280" t="inlineStr">
        <is>
          <t>23:09:37</t>
        </is>
      </c>
      <c r="D1280" t="n">
        <v>1007</v>
      </c>
      <c r="E1280" t="n">
        <v>115</v>
      </c>
      <c r="F1280" t="n">
        <v>203</v>
      </c>
      <c r="G1280" t="inlineStr">
        <is>
          <t>Bangalore</t>
        </is>
      </c>
      <c r="H1280" t="inlineStr">
        <is>
          <t>Italian</t>
        </is>
      </c>
      <c r="I1280" t="n">
        <v>733</v>
      </c>
      <c r="J1280" t="n">
        <v>0</v>
      </c>
      <c r="K1280" t="n">
        <v>25</v>
      </c>
      <c r="L1280" t="n">
        <v>0.2</v>
      </c>
      <c r="M1280" t="n">
        <v>152.85</v>
      </c>
      <c r="N1280" t="n">
        <v>2.4</v>
      </c>
      <c r="O1280" t="n">
        <v>36.4</v>
      </c>
      <c r="P1280" t="inlineStr">
        <is>
          <t>Cash on Delivery</t>
        </is>
      </c>
      <c r="Q1280" t="inlineStr">
        <is>
          <t>Delivered</t>
        </is>
      </c>
      <c r="R1280" t="n">
        <v>4</v>
      </c>
    </row>
    <row r="1281">
      <c r="A1281" t="inlineStr">
        <is>
          <t>ORD2280</t>
        </is>
      </c>
      <c r="B1281" t="inlineStr">
        <is>
          <t>2025-09-05</t>
        </is>
      </c>
      <c r="C1281" t="inlineStr">
        <is>
          <t>18:57:24</t>
        </is>
      </c>
      <c r="D1281" t="n">
        <v>1077</v>
      </c>
      <c r="E1281" t="n">
        <v>109</v>
      </c>
      <c r="F1281" t="n">
        <v>216</v>
      </c>
      <c r="G1281" t="inlineStr">
        <is>
          <t>Hyderabad</t>
        </is>
      </c>
      <c r="H1281" t="inlineStr">
        <is>
          <t>Biryani</t>
        </is>
      </c>
      <c r="I1281" t="n">
        <v>234</v>
      </c>
      <c r="J1281" t="n">
        <v>22.65</v>
      </c>
      <c r="K1281" t="n">
        <v>50</v>
      </c>
      <c r="L1281" t="n">
        <v>0.2</v>
      </c>
      <c r="M1281" t="n">
        <v>59.3</v>
      </c>
      <c r="N1281" t="n">
        <v>8</v>
      </c>
      <c r="O1281" t="n">
        <v>35.7</v>
      </c>
      <c r="P1281" t="inlineStr">
        <is>
          <t>Credit Card</t>
        </is>
      </c>
      <c r="Q1281" t="inlineStr">
        <is>
          <t>Delivered</t>
        </is>
      </c>
      <c r="R1281" t="n">
        <v>4</v>
      </c>
    </row>
    <row r="1282">
      <c r="A1282" t="inlineStr">
        <is>
          <t>ORD2281</t>
        </is>
      </c>
      <c r="B1282" t="inlineStr">
        <is>
          <t>2025-03-18</t>
        </is>
      </c>
      <c r="C1282" t="inlineStr">
        <is>
          <t>19:17:38</t>
        </is>
      </c>
      <c r="D1282" t="n">
        <v>1076</v>
      </c>
      <c r="E1282" t="n">
        <v>108</v>
      </c>
      <c r="F1282" t="n">
        <v>228</v>
      </c>
      <c r="G1282" t="inlineStr">
        <is>
          <t>Delhi NCR</t>
        </is>
      </c>
      <c r="H1282" t="inlineStr">
        <is>
          <t>Fast Food</t>
        </is>
      </c>
      <c r="I1282" t="n">
        <v>342</v>
      </c>
      <c r="J1282" t="n">
        <v>32.66</v>
      </c>
      <c r="K1282" t="n">
        <v>30.5</v>
      </c>
      <c r="L1282" t="n">
        <v>0.18</v>
      </c>
      <c r="M1282" t="n">
        <v>69.18000000000001</v>
      </c>
      <c r="N1282" t="n">
        <v>4.1</v>
      </c>
      <c r="O1282" t="n">
        <v>31.2</v>
      </c>
      <c r="P1282" t="inlineStr">
        <is>
          <t>Cash on Delivery</t>
        </is>
      </c>
      <c r="Q1282" t="inlineStr">
        <is>
          <t>Delivered</t>
        </is>
      </c>
      <c r="R1282" t="n">
        <v>5</v>
      </c>
    </row>
    <row r="1283">
      <c r="A1283" t="inlineStr">
        <is>
          <t>ORD2282</t>
        </is>
      </c>
      <c r="B1283" t="inlineStr">
        <is>
          <t>2025-07-06</t>
        </is>
      </c>
      <c r="C1283" t="inlineStr">
        <is>
          <t>06:42:02</t>
        </is>
      </c>
      <c r="D1283" t="n">
        <v>1203</v>
      </c>
      <c r="E1283" t="n">
        <v>108</v>
      </c>
      <c r="F1283" t="n">
        <v>221</v>
      </c>
      <c r="G1283" t="inlineStr">
        <is>
          <t>Delhi NCR</t>
        </is>
      </c>
      <c r="H1283" t="inlineStr">
        <is>
          <t>Fast Food</t>
        </is>
      </c>
      <c r="I1283" t="n">
        <v>628</v>
      </c>
      <c r="J1283" t="n">
        <v>47.83</v>
      </c>
      <c r="K1283" t="n">
        <v>25</v>
      </c>
      <c r="L1283" t="n">
        <v>0.18</v>
      </c>
      <c r="M1283" t="n">
        <v>119.29</v>
      </c>
      <c r="N1283" t="n">
        <v>2.3</v>
      </c>
      <c r="O1283" t="n">
        <v>23.7</v>
      </c>
      <c r="P1283" t="inlineStr">
        <is>
          <t>Debit Card</t>
        </is>
      </c>
      <c r="Q1283" t="inlineStr">
        <is>
          <t>Delivered</t>
        </is>
      </c>
      <c r="R1283" t="n">
        <v>5</v>
      </c>
    </row>
    <row r="1284">
      <c r="A1284" t="inlineStr">
        <is>
          <t>ORD2283</t>
        </is>
      </c>
      <c r="B1284" t="inlineStr">
        <is>
          <t>2025-10-18</t>
        </is>
      </c>
      <c r="C1284" t="inlineStr">
        <is>
          <t>13:33:15</t>
        </is>
      </c>
      <c r="D1284" t="n">
        <v>1248</v>
      </c>
      <c r="E1284" t="n">
        <v>108</v>
      </c>
      <c r="F1284" t="n">
        <v>211</v>
      </c>
      <c r="G1284" t="inlineStr">
        <is>
          <t>Delhi NCR</t>
        </is>
      </c>
      <c r="H1284" t="inlineStr">
        <is>
          <t>Fast Food</t>
        </is>
      </c>
      <c r="I1284" t="n">
        <v>635</v>
      </c>
      <c r="J1284" t="n">
        <v>114.13</v>
      </c>
      <c r="K1284" t="n">
        <v>0</v>
      </c>
      <c r="L1284" t="n">
        <v>0.18</v>
      </c>
      <c r="M1284" t="n">
        <v>114.3</v>
      </c>
      <c r="N1284" t="n">
        <v>5.3</v>
      </c>
      <c r="O1284" t="n">
        <v>40</v>
      </c>
      <c r="P1284" t="inlineStr">
        <is>
          <t>Credit Card</t>
        </is>
      </c>
      <c r="Q1284" t="inlineStr">
        <is>
          <t>Delivered</t>
        </is>
      </c>
      <c r="R1284" t="n">
        <v>5</v>
      </c>
    </row>
    <row r="1285">
      <c r="A1285" t="inlineStr">
        <is>
          <t>ORD2284</t>
        </is>
      </c>
      <c r="B1285" t="inlineStr">
        <is>
          <t>2025-04-01</t>
        </is>
      </c>
      <c r="C1285" t="inlineStr">
        <is>
          <t>12:02:38</t>
        </is>
      </c>
      <c r="D1285" t="n">
        <v>1286</v>
      </c>
      <c r="E1285" t="n">
        <v>118</v>
      </c>
      <c r="F1285" t="n">
        <v>211</v>
      </c>
      <c r="G1285" t="inlineStr">
        <is>
          <t>Delhi NCR</t>
        </is>
      </c>
      <c r="H1285" t="inlineStr">
        <is>
          <t>North Indian</t>
        </is>
      </c>
      <c r="I1285" t="n">
        <v>492</v>
      </c>
      <c r="J1285" t="n">
        <v>3.6</v>
      </c>
      <c r="K1285" t="n">
        <v>38.5</v>
      </c>
      <c r="L1285" t="n">
        <v>0.2</v>
      </c>
      <c r="M1285" t="n">
        <v>108.02</v>
      </c>
      <c r="N1285" t="n">
        <v>5.7</v>
      </c>
      <c r="O1285" t="n">
        <v>40.2</v>
      </c>
      <c r="P1285" t="inlineStr">
        <is>
          <t>UPI</t>
        </is>
      </c>
      <c r="Q1285" t="inlineStr">
        <is>
          <t>Delivered</t>
        </is>
      </c>
      <c r="R1285" t="n">
        <v>1</v>
      </c>
    </row>
    <row r="1286">
      <c r="A1286" t="inlineStr">
        <is>
          <t>ORD2285</t>
        </is>
      </c>
      <c r="B1286" t="inlineStr">
        <is>
          <t>2025-02-01</t>
        </is>
      </c>
      <c r="C1286" t="inlineStr">
        <is>
          <t>23:13:14</t>
        </is>
      </c>
      <c r="D1286" t="n">
        <v>1076</v>
      </c>
      <c r="E1286" t="n">
        <v>112</v>
      </c>
      <c r="F1286" t="n">
        <v>221</v>
      </c>
      <c r="G1286" t="inlineStr">
        <is>
          <t>Delhi NCR</t>
        </is>
      </c>
      <c r="H1286" t="inlineStr">
        <is>
          <t>North Indian</t>
        </is>
      </c>
      <c r="I1286" t="n">
        <v>469</v>
      </c>
      <c r="J1286" t="n">
        <v>42.68</v>
      </c>
      <c r="K1286" t="n">
        <v>36.5</v>
      </c>
      <c r="L1286" t="n">
        <v>0.22</v>
      </c>
      <c r="M1286" t="n">
        <v>112.3</v>
      </c>
      <c r="N1286" t="n">
        <v>5.3</v>
      </c>
      <c r="O1286" t="n">
        <v>33.6</v>
      </c>
      <c r="P1286" t="inlineStr">
        <is>
          <t>Cash on Delivery</t>
        </is>
      </c>
      <c r="Q1286" t="inlineStr">
        <is>
          <t>Delivered</t>
        </is>
      </c>
      <c r="R1286" t="n">
        <v>5</v>
      </c>
    </row>
    <row r="1287">
      <c r="A1287" t="inlineStr">
        <is>
          <t>ORD2286</t>
        </is>
      </c>
      <c r="B1287" t="inlineStr">
        <is>
          <t>2025-06-13</t>
        </is>
      </c>
      <c r="C1287" t="inlineStr">
        <is>
          <t>07:50:40</t>
        </is>
      </c>
      <c r="D1287" t="n">
        <v>1190</v>
      </c>
      <c r="E1287" t="n">
        <v>102</v>
      </c>
      <c r="F1287" t="n">
        <v>215</v>
      </c>
      <c r="G1287" t="inlineStr">
        <is>
          <t>Hyderabad</t>
        </is>
      </c>
      <c r="H1287" t="inlineStr">
        <is>
          <t>Biryani</t>
        </is>
      </c>
      <c r="I1287" t="n">
        <v>294</v>
      </c>
      <c r="J1287" t="n">
        <v>0</v>
      </c>
      <c r="K1287" t="n">
        <v>41.5</v>
      </c>
      <c r="L1287" t="n">
        <v>0.22</v>
      </c>
      <c r="M1287" t="n">
        <v>75.06</v>
      </c>
      <c r="N1287" t="n">
        <v>6.3</v>
      </c>
      <c r="O1287" t="n">
        <v>31.6</v>
      </c>
      <c r="P1287" t="inlineStr">
        <is>
          <t>UPI</t>
        </is>
      </c>
      <c r="Q1287" t="inlineStr">
        <is>
          <t>Delivered</t>
        </is>
      </c>
      <c r="R1287" t="n">
        <v>4</v>
      </c>
    </row>
    <row r="1288">
      <c r="A1288" t="inlineStr">
        <is>
          <t>ORD2287</t>
        </is>
      </c>
      <c r="B1288" t="inlineStr">
        <is>
          <t>2025-10-05</t>
        </is>
      </c>
      <c r="C1288" t="inlineStr">
        <is>
          <t>21:37:13</t>
        </is>
      </c>
      <c r="D1288" t="n">
        <v>1163</v>
      </c>
      <c r="E1288" t="n">
        <v>107</v>
      </c>
      <c r="F1288" t="n">
        <v>222</v>
      </c>
      <c r="G1288" t="inlineStr">
        <is>
          <t>Mumbai</t>
        </is>
      </c>
      <c r="H1288" t="inlineStr">
        <is>
          <t>Desserts</t>
        </is>
      </c>
      <c r="I1288" t="n">
        <v>832</v>
      </c>
      <c r="J1288" t="n">
        <v>69.98</v>
      </c>
      <c r="K1288" t="n">
        <v>39.5</v>
      </c>
      <c r="L1288" t="n">
        <v>0.25</v>
      </c>
      <c r="M1288" t="n">
        <v>217.88</v>
      </c>
      <c r="N1288" t="n">
        <v>5.9</v>
      </c>
      <c r="O1288" t="n">
        <v>43.1</v>
      </c>
      <c r="P1288" t="inlineStr">
        <is>
          <t>Digital Wallet</t>
        </is>
      </c>
      <c r="Q1288" t="inlineStr">
        <is>
          <t>Delivered</t>
        </is>
      </c>
      <c r="R1288" t="n">
        <v>1</v>
      </c>
    </row>
    <row r="1289">
      <c r="A1289" t="inlineStr">
        <is>
          <t>ORD2288</t>
        </is>
      </c>
      <c r="B1289" t="inlineStr">
        <is>
          <t>2025-11-26</t>
        </is>
      </c>
      <c r="C1289" t="inlineStr">
        <is>
          <t>20:12:37</t>
        </is>
      </c>
      <c r="D1289" t="n">
        <v>1040</v>
      </c>
      <c r="E1289" t="n">
        <v>116</v>
      </c>
      <c r="F1289" t="n">
        <v>209</v>
      </c>
      <c r="G1289" t="inlineStr">
        <is>
          <t>Pune</t>
        </is>
      </c>
      <c r="H1289" t="inlineStr">
        <is>
          <t>Desserts</t>
        </is>
      </c>
      <c r="I1289" t="n">
        <v>870</v>
      </c>
      <c r="J1289" t="n">
        <v>31.76</v>
      </c>
      <c r="K1289" t="n">
        <v>25</v>
      </c>
      <c r="L1289" t="n">
        <v>0.25</v>
      </c>
      <c r="M1289" t="n">
        <v>223.75</v>
      </c>
      <c r="N1289" t="n">
        <v>2.2</v>
      </c>
      <c r="O1289" t="n">
        <v>20.9</v>
      </c>
      <c r="P1289" t="inlineStr">
        <is>
          <t>Cash on Delivery</t>
        </is>
      </c>
      <c r="Q1289" t="inlineStr">
        <is>
          <t>Delivered</t>
        </is>
      </c>
      <c r="R1289" t="n">
        <v>2</v>
      </c>
    </row>
    <row r="1290">
      <c r="A1290" t="inlineStr">
        <is>
          <t>ORD2289</t>
        </is>
      </c>
      <c r="B1290" t="inlineStr">
        <is>
          <t>2025-06-18</t>
        </is>
      </c>
      <c r="C1290" t="inlineStr">
        <is>
          <t>18:32:30</t>
        </is>
      </c>
      <c r="D1290" t="n">
        <v>1134</v>
      </c>
      <c r="E1290" t="n">
        <v>114</v>
      </c>
      <c r="F1290" t="n">
        <v>225</v>
      </c>
      <c r="G1290" t="inlineStr">
        <is>
          <t>Hyderabad</t>
        </is>
      </c>
      <c r="H1290" t="inlineStr">
        <is>
          <t>Biryani</t>
        </is>
      </c>
      <c r="I1290" t="n">
        <v>746</v>
      </c>
      <c r="J1290" t="n">
        <v>0</v>
      </c>
      <c r="K1290" t="n">
        <v>27.5</v>
      </c>
      <c r="L1290" t="n">
        <v>0.22</v>
      </c>
      <c r="M1290" t="n">
        <v>171</v>
      </c>
      <c r="N1290" t="n">
        <v>3.5</v>
      </c>
      <c r="O1290" t="n">
        <v>28.4</v>
      </c>
      <c r="P1290" t="inlineStr">
        <is>
          <t>Debit Card</t>
        </is>
      </c>
      <c r="Q1290" t="inlineStr">
        <is>
          <t>Delivered</t>
        </is>
      </c>
      <c r="R1290" t="n">
        <v>4</v>
      </c>
    </row>
    <row r="1291">
      <c r="A1291" t="inlineStr">
        <is>
          <t>ORD2290</t>
        </is>
      </c>
      <c r="B1291" t="inlineStr">
        <is>
          <t>2025-12-14</t>
        </is>
      </c>
      <c r="C1291" t="inlineStr">
        <is>
          <t>14:35:32</t>
        </is>
      </c>
      <c r="D1291" t="n">
        <v>1256</v>
      </c>
      <c r="E1291" t="n">
        <v>111</v>
      </c>
      <c r="F1291" t="n">
        <v>218</v>
      </c>
      <c r="G1291" t="inlineStr">
        <is>
          <t>Bangalore</t>
        </is>
      </c>
      <c r="H1291" t="inlineStr">
        <is>
          <t>South Indian</t>
        </is>
      </c>
      <c r="I1291" t="n">
        <v>536</v>
      </c>
      <c r="J1291" t="n">
        <v>4.78</v>
      </c>
      <c r="K1291" t="n">
        <v>34</v>
      </c>
      <c r="L1291" t="n">
        <v>0.15</v>
      </c>
      <c r="M1291" t="n">
        <v>88.90000000000001</v>
      </c>
      <c r="N1291" t="n">
        <v>4.8</v>
      </c>
      <c r="O1291" t="n">
        <v>43.8</v>
      </c>
      <c r="P1291" t="inlineStr">
        <is>
          <t>Credit Card</t>
        </is>
      </c>
      <c r="Q1291" t="inlineStr">
        <is>
          <t>Delivered</t>
        </is>
      </c>
      <c r="R1291" t="n">
        <v>4</v>
      </c>
    </row>
    <row r="1292">
      <c r="A1292" t="inlineStr">
        <is>
          <t>ORD2291</t>
        </is>
      </c>
      <c r="B1292" t="inlineStr">
        <is>
          <t>2025-09-18</t>
        </is>
      </c>
      <c r="C1292" t="inlineStr">
        <is>
          <t>13:30:31</t>
        </is>
      </c>
      <c r="D1292" t="n">
        <v>1249</v>
      </c>
      <c r="E1292" t="n">
        <v>119</v>
      </c>
      <c r="F1292" t="n">
        <v>216</v>
      </c>
      <c r="G1292" t="inlineStr">
        <is>
          <t>Hyderabad</t>
        </is>
      </c>
      <c r="H1292" t="inlineStr">
        <is>
          <t>Biryani</t>
        </is>
      </c>
      <c r="I1292" t="n">
        <v>532</v>
      </c>
      <c r="J1292" t="n">
        <v>56.69</v>
      </c>
      <c r="K1292" t="n">
        <v>0</v>
      </c>
      <c r="L1292" t="n">
        <v>0.2</v>
      </c>
      <c r="M1292" t="n">
        <v>106.4</v>
      </c>
      <c r="N1292" t="n">
        <v>6.6</v>
      </c>
      <c r="O1292" t="n">
        <v>50.3</v>
      </c>
      <c r="P1292" t="inlineStr">
        <is>
          <t>Debit Card</t>
        </is>
      </c>
      <c r="Q1292" t="inlineStr">
        <is>
          <t>Delivered</t>
        </is>
      </c>
      <c r="R1292" t="n">
        <v>2</v>
      </c>
    </row>
    <row r="1293">
      <c r="A1293" t="inlineStr">
        <is>
          <t>ORD2292</t>
        </is>
      </c>
      <c r="B1293" t="inlineStr">
        <is>
          <t>2025-06-25</t>
        </is>
      </c>
      <c r="C1293" t="inlineStr">
        <is>
          <t>12:40:43</t>
        </is>
      </c>
      <c r="D1293" t="n">
        <v>1139</v>
      </c>
      <c r="E1293" t="n">
        <v>108</v>
      </c>
      <c r="F1293" t="n">
        <v>219</v>
      </c>
      <c r="G1293" t="inlineStr">
        <is>
          <t>Delhi NCR</t>
        </is>
      </c>
      <c r="H1293" t="inlineStr">
        <is>
          <t>Fast Food</t>
        </is>
      </c>
      <c r="I1293" t="n">
        <v>771</v>
      </c>
      <c r="J1293" t="n">
        <v>11.94</v>
      </c>
      <c r="K1293" t="n">
        <v>25.5</v>
      </c>
      <c r="L1293" t="n">
        <v>0.18</v>
      </c>
      <c r="M1293" t="n">
        <v>145.16</v>
      </c>
      <c r="N1293" t="n">
        <v>3.1</v>
      </c>
      <c r="O1293" t="n">
        <v>25.9</v>
      </c>
      <c r="P1293" t="inlineStr">
        <is>
          <t>Credit Card</t>
        </is>
      </c>
      <c r="Q1293" t="inlineStr">
        <is>
          <t>Delivered</t>
        </is>
      </c>
      <c r="R1293" t="n">
        <v>4</v>
      </c>
    </row>
    <row r="1294">
      <c r="A1294" t="inlineStr">
        <is>
          <t>ORD2293</t>
        </is>
      </c>
      <c r="B1294" t="inlineStr">
        <is>
          <t>2025-09-14</t>
        </is>
      </c>
      <c r="C1294" t="inlineStr">
        <is>
          <t>23:19:20</t>
        </is>
      </c>
      <c r="D1294" t="n">
        <v>1061</v>
      </c>
      <c r="E1294" t="n">
        <v>116</v>
      </c>
      <c r="F1294" t="n">
        <v>204</v>
      </c>
      <c r="G1294" t="inlineStr">
        <is>
          <t>Pune</t>
        </is>
      </c>
      <c r="H1294" t="inlineStr">
        <is>
          <t>Desserts</t>
        </is>
      </c>
      <c r="I1294" t="n">
        <v>763</v>
      </c>
      <c r="J1294" t="n">
        <v>0</v>
      </c>
      <c r="K1294" t="n">
        <v>25</v>
      </c>
      <c r="L1294" t="n">
        <v>0.25</v>
      </c>
      <c r="M1294" t="n">
        <v>197</v>
      </c>
      <c r="N1294" t="n">
        <v>2.7</v>
      </c>
      <c r="O1294" t="n">
        <v>31.1</v>
      </c>
      <c r="P1294" t="inlineStr">
        <is>
          <t>Digital Wallet</t>
        </is>
      </c>
      <c r="Q1294" t="inlineStr">
        <is>
          <t>Delivered</t>
        </is>
      </c>
      <c r="R1294" t="n">
        <v>5</v>
      </c>
    </row>
    <row r="1295">
      <c r="A1295" t="inlineStr">
        <is>
          <t>ORD2294</t>
        </is>
      </c>
      <c r="B1295" t="inlineStr">
        <is>
          <t>2025-06-15</t>
        </is>
      </c>
      <c r="C1295" t="inlineStr">
        <is>
          <t>20:10:12</t>
        </is>
      </c>
      <c r="D1295" t="n">
        <v>1290</v>
      </c>
      <c r="E1295" t="n">
        <v>113</v>
      </c>
      <c r="F1295" t="n">
        <v>222</v>
      </c>
      <c r="G1295" t="inlineStr">
        <is>
          <t>Mumbai</t>
        </is>
      </c>
      <c r="H1295" t="inlineStr">
        <is>
          <t>Fast Food</t>
        </is>
      </c>
      <c r="I1295" t="n">
        <v>625</v>
      </c>
      <c r="J1295" t="n">
        <v>42.62</v>
      </c>
      <c r="K1295" t="n">
        <v>40.5</v>
      </c>
      <c r="L1295" t="n">
        <v>0.18</v>
      </c>
      <c r="M1295" t="n">
        <v>122.62</v>
      </c>
      <c r="N1295" t="n">
        <v>6.1</v>
      </c>
      <c r="O1295" t="n">
        <v>41.9</v>
      </c>
      <c r="P1295" t="inlineStr">
        <is>
          <t>Credit Card</t>
        </is>
      </c>
      <c r="Q1295" t="inlineStr">
        <is>
          <t>Delivered</t>
        </is>
      </c>
      <c r="R1295" t="n">
        <v>2</v>
      </c>
    </row>
    <row r="1296">
      <c r="A1296" t="inlineStr">
        <is>
          <t>ORD2295</t>
        </is>
      </c>
      <c r="B1296" t="inlineStr">
        <is>
          <t>2025-05-18</t>
        </is>
      </c>
      <c r="C1296" t="inlineStr">
        <is>
          <t>10:14:59</t>
        </is>
      </c>
      <c r="D1296" t="n">
        <v>1020</v>
      </c>
      <c r="E1296" t="n">
        <v>108</v>
      </c>
      <c r="F1296" t="n">
        <v>219</v>
      </c>
      <c r="G1296" t="inlineStr">
        <is>
          <t>Delhi NCR</t>
        </is>
      </c>
      <c r="H1296" t="inlineStr">
        <is>
          <t>Fast Food</t>
        </is>
      </c>
      <c r="I1296" t="n">
        <v>489</v>
      </c>
      <c r="J1296" t="n">
        <v>0</v>
      </c>
      <c r="K1296" t="n">
        <v>33</v>
      </c>
      <c r="L1296" t="n">
        <v>0.18</v>
      </c>
      <c r="M1296" t="n">
        <v>96.27</v>
      </c>
      <c r="N1296" t="n">
        <v>4.6</v>
      </c>
      <c r="O1296" t="n">
        <v>34.5</v>
      </c>
      <c r="P1296" t="inlineStr">
        <is>
          <t>Debit Card</t>
        </is>
      </c>
      <c r="Q1296" t="inlineStr">
        <is>
          <t>Delivered</t>
        </is>
      </c>
      <c r="R1296" t="n">
        <v>3</v>
      </c>
    </row>
    <row r="1297">
      <c r="A1297" t="inlineStr">
        <is>
          <t>ORD2296</t>
        </is>
      </c>
      <c r="B1297" t="inlineStr">
        <is>
          <t>2025-06-20</t>
        </is>
      </c>
      <c r="C1297" t="inlineStr">
        <is>
          <t>19:46:22</t>
        </is>
      </c>
      <c r="D1297" t="n">
        <v>1173</v>
      </c>
      <c r="E1297" t="n">
        <v>115</v>
      </c>
      <c r="F1297" t="n">
        <v>213</v>
      </c>
      <c r="G1297" t="inlineStr">
        <is>
          <t>Bangalore</t>
        </is>
      </c>
      <c r="H1297" t="inlineStr">
        <is>
          <t>Italian</t>
        </is>
      </c>
      <c r="I1297" t="n">
        <v>542</v>
      </c>
      <c r="J1297" t="n">
        <v>0</v>
      </c>
      <c r="K1297" t="n">
        <v>32</v>
      </c>
      <c r="L1297" t="n">
        <v>0.2</v>
      </c>
      <c r="M1297" t="n">
        <v>116.4</v>
      </c>
      <c r="N1297" t="n">
        <v>4.4</v>
      </c>
      <c r="O1297" t="n">
        <v/>
      </c>
      <c r="P1297" t="inlineStr">
        <is>
          <t>Cash on Delivery</t>
        </is>
      </c>
      <c r="Q1297" t="inlineStr">
        <is>
          <t>Cancelled</t>
        </is>
      </c>
      <c r="R1297" t="n">
        <v/>
      </c>
    </row>
    <row r="1298">
      <c r="A1298" t="inlineStr">
        <is>
          <t>ORD2297</t>
        </is>
      </c>
      <c r="B1298" t="inlineStr">
        <is>
          <t>2025-01-29</t>
        </is>
      </c>
      <c r="C1298" t="inlineStr">
        <is>
          <t>12:26:22</t>
        </is>
      </c>
      <c r="D1298" t="n">
        <v>1136</v>
      </c>
      <c r="E1298" t="n">
        <v>109</v>
      </c>
      <c r="F1298" t="n">
        <v>225</v>
      </c>
      <c r="G1298" t="inlineStr">
        <is>
          <t>Hyderabad</t>
        </is>
      </c>
      <c r="H1298" t="inlineStr">
        <is>
          <t>Biryani</t>
        </is>
      </c>
      <c r="I1298" t="n">
        <v>881</v>
      </c>
      <c r="J1298" t="n">
        <v>68.72</v>
      </c>
      <c r="K1298" t="n">
        <v>35.5</v>
      </c>
      <c r="L1298" t="n">
        <v>0.2</v>
      </c>
      <c r="M1298" t="n">
        <v>185.08</v>
      </c>
      <c r="N1298" t="n">
        <v>5.1</v>
      </c>
      <c r="O1298" t="n">
        <v>42</v>
      </c>
      <c r="P1298" t="inlineStr">
        <is>
          <t>UPI</t>
        </is>
      </c>
      <c r="Q1298" t="inlineStr">
        <is>
          <t>Delivered</t>
        </is>
      </c>
      <c r="R1298" t="n">
        <v>1</v>
      </c>
    </row>
    <row r="1299">
      <c r="A1299" t="inlineStr">
        <is>
          <t>ORD2298</t>
        </is>
      </c>
      <c r="B1299" t="inlineStr">
        <is>
          <t>2025-05-31</t>
        </is>
      </c>
      <c r="C1299" t="inlineStr">
        <is>
          <t>12:53:23</t>
        </is>
      </c>
      <c r="D1299" t="n">
        <v>1042</v>
      </c>
      <c r="E1299" t="n">
        <v>107</v>
      </c>
      <c r="F1299" t="n">
        <v>222</v>
      </c>
      <c r="G1299" t="inlineStr">
        <is>
          <t>Mumbai</t>
        </is>
      </c>
      <c r="H1299" t="inlineStr">
        <is>
          <t>Desserts</t>
        </is>
      </c>
      <c r="I1299" t="n">
        <v>244</v>
      </c>
      <c r="J1299" t="n">
        <v>0</v>
      </c>
      <c r="K1299" t="n">
        <v>35.5</v>
      </c>
      <c r="L1299" t="n">
        <v>0.25</v>
      </c>
      <c r="M1299" t="n">
        <v>69.88</v>
      </c>
      <c r="N1299" t="n">
        <v>5.1</v>
      </c>
      <c r="O1299" t="n">
        <v>40.6</v>
      </c>
      <c r="P1299" t="inlineStr">
        <is>
          <t>Debit Card</t>
        </is>
      </c>
      <c r="Q1299" t="inlineStr">
        <is>
          <t>Delivered</t>
        </is>
      </c>
      <c r="R1299" t="n">
        <v>4</v>
      </c>
    </row>
    <row r="1300">
      <c r="A1300" t="inlineStr">
        <is>
          <t>ORD2299</t>
        </is>
      </c>
      <c r="B1300" t="inlineStr">
        <is>
          <t>2025-05-21</t>
        </is>
      </c>
      <c r="C1300" t="inlineStr">
        <is>
          <t>11:06:04</t>
        </is>
      </c>
      <c r="D1300" t="n">
        <v>1296</v>
      </c>
      <c r="E1300" t="n">
        <v>104</v>
      </c>
      <c r="F1300" t="n">
        <v>211</v>
      </c>
      <c r="G1300" t="inlineStr">
        <is>
          <t>Delhi NCR</t>
        </is>
      </c>
      <c r="H1300" t="inlineStr">
        <is>
          <t>Fast Food</t>
        </is>
      </c>
      <c r="I1300" t="n">
        <v>468</v>
      </c>
      <c r="J1300" t="n">
        <v>0</v>
      </c>
      <c r="K1300" t="n">
        <v>25</v>
      </c>
      <c r="L1300" t="n">
        <v>0.18</v>
      </c>
      <c r="M1300" t="n">
        <v>90.48999999999999</v>
      </c>
      <c r="N1300" t="n">
        <v>2.9</v>
      </c>
      <c r="O1300" t="n">
        <v>30.3</v>
      </c>
      <c r="P1300" t="inlineStr">
        <is>
          <t>Digital Wallet</t>
        </is>
      </c>
      <c r="Q1300" t="inlineStr">
        <is>
          <t>Delivered</t>
        </is>
      </c>
      <c r="R1300" t="n">
        <v>5</v>
      </c>
    </row>
    <row r="1301">
      <c r="A1301" t="inlineStr">
        <is>
          <t>ORD2300</t>
        </is>
      </c>
      <c r="B1301" t="inlineStr">
        <is>
          <t>2025-12-19</t>
        </is>
      </c>
      <c r="C1301" t="inlineStr">
        <is>
          <t>12:58:45</t>
        </is>
      </c>
      <c r="D1301" t="n">
        <v>1022</v>
      </c>
      <c r="E1301" t="n">
        <v>108</v>
      </c>
      <c r="F1301" t="n">
        <v>221</v>
      </c>
      <c r="G1301" t="inlineStr">
        <is>
          <t>Delhi NCR</t>
        </is>
      </c>
      <c r="H1301" t="inlineStr">
        <is>
          <t>Fast Food</t>
        </is>
      </c>
      <c r="I1301" t="n">
        <v>718</v>
      </c>
      <c r="J1301" t="n">
        <v>0</v>
      </c>
      <c r="K1301" t="n">
        <v>32.5</v>
      </c>
      <c r="L1301" t="n">
        <v>0.18</v>
      </c>
      <c r="M1301" t="n">
        <v>137.36</v>
      </c>
      <c r="N1301" t="n">
        <v>4.5</v>
      </c>
      <c r="O1301" t="n">
        <v>40.2</v>
      </c>
      <c r="P1301" t="inlineStr">
        <is>
          <t>Digital Wallet</t>
        </is>
      </c>
      <c r="Q1301" t="inlineStr">
        <is>
          <t>Delivered</t>
        </is>
      </c>
      <c r="R1301" t="n">
        <v>3</v>
      </c>
    </row>
    <row r="1302">
      <c r="A1302" t="inlineStr">
        <is>
          <t>ORD2301</t>
        </is>
      </c>
      <c r="B1302" t="inlineStr">
        <is>
          <t>2025-01-29</t>
        </is>
      </c>
      <c r="C1302" t="inlineStr">
        <is>
          <t>19:40:21</t>
        </is>
      </c>
      <c r="D1302" t="n">
        <v>1230</v>
      </c>
      <c r="E1302" t="n">
        <v>102</v>
      </c>
      <c r="F1302" t="n">
        <v>215</v>
      </c>
      <c r="G1302" t="inlineStr">
        <is>
          <t>Hyderabad</t>
        </is>
      </c>
      <c r="H1302" t="inlineStr">
        <is>
          <t>Biryani</t>
        </is>
      </c>
      <c r="I1302" t="n">
        <v>502</v>
      </c>
      <c r="J1302" t="n">
        <v>44</v>
      </c>
      <c r="K1302" t="n">
        <v>31.5</v>
      </c>
      <c r="L1302" t="n">
        <v>0.22</v>
      </c>
      <c r="M1302" t="n">
        <v>118.32</v>
      </c>
      <c r="N1302" t="n">
        <v>4.3</v>
      </c>
      <c r="O1302" t="n">
        <v>34.7</v>
      </c>
      <c r="P1302" t="inlineStr">
        <is>
          <t>Debit Card</t>
        </is>
      </c>
      <c r="Q1302" t="inlineStr">
        <is>
          <t>Delivered</t>
        </is>
      </c>
      <c r="R1302" t="n">
        <v>5</v>
      </c>
    </row>
    <row r="1303">
      <c r="A1303" t="inlineStr">
        <is>
          <t>ORD2302</t>
        </is>
      </c>
      <c r="B1303" t="inlineStr">
        <is>
          <t>2025-03-10</t>
        </is>
      </c>
      <c r="C1303" t="inlineStr">
        <is>
          <t>14:56:47</t>
        </is>
      </c>
      <c r="D1303" t="n">
        <v>1143</v>
      </c>
      <c r="E1303" t="n">
        <v>114</v>
      </c>
      <c r="F1303" t="n">
        <v>215</v>
      </c>
      <c r="G1303" t="inlineStr">
        <is>
          <t>Hyderabad</t>
        </is>
      </c>
      <c r="H1303" t="inlineStr">
        <is>
          <t>Biryani</t>
        </is>
      </c>
      <c r="I1303" t="n">
        <v>295</v>
      </c>
      <c r="J1303" t="n">
        <v>0</v>
      </c>
      <c r="K1303" t="n">
        <v>25</v>
      </c>
      <c r="L1303" t="n">
        <v>0.22</v>
      </c>
      <c r="M1303" t="n">
        <v>71.15000000000001</v>
      </c>
      <c r="N1303" t="n">
        <v>2.2</v>
      </c>
      <c r="O1303" t="n">
        <v>30</v>
      </c>
      <c r="P1303" t="inlineStr">
        <is>
          <t>Cash on Delivery</t>
        </is>
      </c>
      <c r="Q1303" t="inlineStr">
        <is>
          <t>Delivered</t>
        </is>
      </c>
      <c r="R1303" t="n">
        <v>3</v>
      </c>
    </row>
    <row r="1304">
      <c r="A1304" t="inlineStr">
        <is>
          <t>ORD2303</t>
        </is>
      </c>
      <c r="B1304" t="inlineStr">
        <is>
          <t>2025-10-29</t>
        </is>
      </c>
      <c r="C1304" t="inlineStr">
        <is>
          <t>19:19:36</t>
        </is>
      </c>
      <c r="D1304" t="n">
        <v>1065</v>
      </c>
      <c r="E1304" t="n">
        <v>118</v>
      </c>
      <c r="F1304" t="n">
        <v>219</v>
      </c>
      <c r="G1304" t="inlineStr">
        <is>
          <t>Delhi NCR</t>
        </is>
      </c>
      <c r="H1304" t="inlineStr">
        <is>
          <t>North Indian</t>
        </is>
      </c>
      <c r="I1304" t="n">
        <v>424</v>
      </c>
      <c r="J1304" t="n">
        <v>14.87</v>
      </c>
      <c r="K1304" t="n">
        <v>26.5</v>
      </c>
      <c r="L1304" t="n">
        <v>0.2</v>
      </c>
      <c r="M1304" t="n">
        <v>91.43000000000001</v>
      </c>
      <c r="N1304" t="n">
        <v>3.3</v>
      </c>
      <c r="O1304" t="n">
        <v>33.4</v>
      </c>
      <c r="P1304" t="inlineStr">
        <is>
          <t>Digital Wallet</t>
        </is>
      </c>
      <c r="Q1304" t="inlineStr">
        <is>
          <t>Delivered</t>
        </is>
      </c>
      <c r="R1304" t="n">
        <v>4</v>
      </c>
    </row>
    <row r="1305">
      <c r="A1305" t="inlineStr">
        <is>
          <t>ORD2304</t>
        </is>
      </c>
      <c r="B1305" t="inlineStr">
        <is>
          <t>2025-03-13</t>
        </is>
      </c>
      <c r="C1305" t="inlineStr">
        <is>
          <t>19:49:49</t>
        </is>
      </c>
      <c r="D1305" t="n">
        <v>1068</v>
      </c>
      <c r="E1305" t="n">
        <v>116</v>
      </c>
      <c r="F1305" t="n">
        <v>207</v>
      </c>
      <c r="G1305" t="inlineStr">
        <is>
          <t>Pune</t>
        </is>
      </c>
      <c r="H1305" t="inlineStr">
        <is>
          <t>Desserts</t>
        </is>
      </c>
      <c r="I1305" t="n">
        <v>289</v>
      </c>
      <c r="J1305" t="n">
        <v>32.06</v>
      </c>
      <c r="K1305" t="n">
        <v>27.5</v>
      </c>
      <c r="L1305" t="n">
        <v>0.25</v>
      </c>
      <c r="M1305" t="n">
        <v>79.12</v>
      </c>
      <c r="N1305" t="n">
        <v>3.5</v>
      </c>
      <c r="O1305" t="n">
        <v>32.8</v>
      </c>
      <c r="P1305" t="inlineStr">
        <is>
          <t>Debit Card</t>
        </is>
      </c>
      <c r="Q1305" t="inlineStr">
        <is>
          <t>Delivered</t>
        </is>
      </c>
      <c r="R1305" t="n">
        <v>4</v>
      </c>
    </row>
    <row r="1306">
      <c r="A1306" t="inlineStr">
        <is>
          <t>ORD2305</t>
        </is>
      </c>
      <c r="B1306" t="inlineStr">
        <is>
          <t>2025-04-05</t>
        </is>
      </c>
      <c r="C1306" t="inlineStr">
        <is>
          <t>12:20:29</t>
        </is>
      </c>
      <c r="D1306" t="n">
        <v>1199</v>
      </c>
      <c r="E1306" t="n">
        <v>109</v>
      </c>
      <c r="F1306" t="n">
        <v>216</v>
      </c>
      <c r="G1306" t="inlineStr">
        <is>
          <t>Hyderabad</t>
        </is>
      </c>
      <c r="H1306" t="inlineStr">
        <is>
          <t>Biryani</t>
        </is>
      </c>
      <c r="I1306" t="n">
        <v>670</v>
      </c>
      <c r="J1306" t="n">
        <v>91.27</v>
      </c>
      <c r="K1306" t="n">
        <v>0</v>
      </c>
      <c r="L1306" t="n">
        <v>0.2</v>
      </c>
      <c r="M1306" t="n">
        <v>134</v>
      </c>
      <c r="N1306" t="n">
        <v>1.7</v>
      </c>
      <c r="O1306" t="n">
        <v>20.6</v>
      </c>
      <c r="P1306" t="inlineStr">
        <is>
          <t>Debit Card</t>
        </is>
      </c>
      <c r="Q1306" t="inlineStr">
        <is>
          <t>Delivered</t>
        </is>
      </c>
      <c r="R1306" t="n">
        <v>4</v>
      </c>
    </row>
    <row r="1307">
      <c r="A1307" t="inlineStr">
        <is>
          <t>ORD2306</t>
        </is>
      </c>
      <c r="B1307" t="inlineStr">
        <is>
          <t>2025-03-03</t>
        </is>
      </c>
      <c r="C1307" t="inlineStr">
        <is>
          <t>20:41:26</t>
        </is>
      </c>
      <c r="D1307" t="n">
        <v>1008</v>
      </c>
      <c r="E1307" t="n">
        <v>107</v>
      </c>
      <c r="F1307" t="n">
        <v>202</v>
      </c>
      <c r="G1307" t="inlineStr">
        <is>
          <t>Mumbai</t>
        </is>
      </c>
      <c r="H1307" t="inlineStr">
        <is>
          <t>Desserts</t>
        </is>
      </c>
      <c r="I1307" t="n">
        <v>858</v>
      </c>
      <c r="J1307" t="n">
        <v>154.96</v>
      </c>
      <c r="K1307" t="n">
        <v>0</v>
      </c>
      <c r="L1307" t="n">
        <v>0.25</v>
      </c>
      <c r="M1307" t="n">
        <v>214.5</v>
      </c>
      <c r="N1307" t="n">
        <v>5.6</v>
      </c>
      <c r="O1307" t="n">
        <v>43.2</v>
      </c>
      <c r="P1307" t="inlineStr">
        <is>
          <t>Digital Wallet</t>
        </is>
      </c>
      <c r="Q1307" t="inlineStr">
        <is>
          <t>Delivered</t>
        </is>
      </c>
      <c r="R1307" t="n">
        <v>3</v>
      </c>
    </row>
    <row r="1308">
      <c r="A1308" t="inlineStr">
        <is>
          <t>ORD2307</t>
        </is>
      </c>
      <c r="B1308" t="inlineStr">
        <is>
          <t>2025-01-09</t>
        </is>
      </c>
      <c r="C1308" t="inlineStr">
        <is>
          <t>10:36:27</t>
        </is>
      </c>
      <c r="D1308" t="n">
        <v>1183</v>
      </c>
      <c r="E1308" t="n">
        <v>117</v>
      </c>
      <c r="F1308" t="n">
        <v>202</v>
      </c>
      <c r="G1308" t="inlineStr">
        <is>
          <t>Mumbai</t>
        </is>
      </c>
      <c r="H1308" t="inlineStr">
        <is>
          <t>Chinese</t>
        </is>
      </c>
      <c r="I1308" t="n">
        <v>597</v>
      </c>
      <c r="J1308" t="n">
        <v>89.8</v>
      </c>
      <c r="K1308" t="n">
        <v>0</v>
      </c>
      <c r="L1308" t="n">
        <v>0.2</v>
      </c>
      <c r="M1308" t="n">
        <v>119.4</v>
      </c>
      <c r="N1308" t="n">
        <v>7</v>
      </c>
      <c r="O1308" t="n">
        <v>46.5</v>
      </c>
      <c r="P1308" t="inlineStr">
        <is>
          <t>Digital Wallet</t>
        </is>
      </c>
      <c r="Q1308" t="inlineStr">
        <is>
          <t>Delivered</t>
        </is>
      </c>
      <c r="R1308" t="n">
        <v>3</v>
      </c>
    </row>
    <row r="1309">
      <c r="A1309" t="inlineStr">
        <is>
          <t>ORD2308</t>
        </is>
      </c>
      <c r="B1309" t="inlineStr">
        <is>
          <t>2025-11-21</t>
        </is>
      </c>
      <c r="C1309" t="inlineStr">
        <is>
          <t>21:04:47</t>
        </is>
      </c>
      <c r="D1309" t="n">
        <v>1030</v>
      </c>
      <c r="E1309" t="n">
        <v>119</v>
      </c>
      <c r="F1309" t="n">
        <v>216</v>
      </c>
      <c r="G1309" t="inlineStr">
        <is>
          <t>Hyderabad</t>
        </is>
      </c>
      <c r="H1309" t="inlineStr">
        <is>
          <t>Biryani</t>
        </is>
      </c>
      <c r="I1309" t="n">
        <v>297</v>
      </c>
      <c r="J1309" t="n">
        <v>23.15</v>
      </c>
      <c r="K1309" t="n">
        <v>27</v>
      </c>
      <c r="L1309" t="n">
        <v>0.2</v>
      </c>
      <c r="M1309" t="n">
        <v>66.15000000000001</v>
      </c>
      <c r="N1309" t="n">
        <v>3.4</v>
      </c>
      <c r="O1309" t="n">
        <v>33.3</v>
      </c>
      <c r="P1309" t="inlineStr">
        <is>
          <t>Digital Wallet</t>
        </is>
      </c>
      <c r="Q1309" t="inlineStr">
        <is>
          <t>Delivered</t>
        </is>
      </c>
      <c r="R1309" t="n">
        <v>4</v>
      </c>
    </row>
    <row r="1310">
      <c r="A1310" t="inlineStr">
        <is>
          <t>ORD2309</t>
        </is>
      </c>
      <c r="B1310" t="inlineStr">
        <is>
          <t>2025-10-21</t>
        </is>
      </c>
      <c r="C1310" t="inlineStr">
        <is>
          <t>20:59:29</t>
        </is>
      </c>
      <c r="D1310" t="n">
        <v>1090</v>
      </c>
      <c r="E1310" t="n">
        <v>105</v>
      </c>
      <c r="F1310" t="n">
        <v>205</v>
      </c>
      <c r="G1310" t="inlineStr">
        <is>
          <t>Bangalore</t>
        </is>
      </c>
      <c r="H1310" t="inlineStr">
        <is>
          <t>Chinese</t>
        </is>
      </c>
      <c r="I1310" t="n">
        <v>844</v>
      </c>
      <c r="J1310" t="n">
        <v>12.89</v>
      </c>
      <c r="K1310" t="n">
        <v>43</v>
      </c>
      <c r="L1310" t="n">
        <v>0.2</v>
      </c>
      <c r="M1310" t="n">
        <v>179.55</v>
      </c>
      <c r="N1310" t="n">
        <v>6.6</v>
      </c>
      <c r="O1310" t="n">
        <v>37.8</v>
      </c>
      <c r="P1310" t="inlineStr">
        <is>
          <t>Cash on Delivery</t>
        </is>
      </c>
      <c r="Q1310" t="inlineStr">
        <is>
          <t>Delivered</t>
        </is>
      </c>
      <c r="R1310" t="n">
        <v>4</v>
      </c>
    </row>
    <row r="1311">
      <c r="A1311" t="inlineStr">
        <is>
          <t>ORD2310</t>
        </is>
      </c>
      <c r="B1311" t="inlineStr">
        <is>
          <t>2025-03-19</t>
        </is>
      </c>
      <c r="C1311" t="inlineStr">
        <is>
          <t>20:41:21</t>
        </is>
      </c>
      <c r="D1311" t="n">
        <v>1021</v>
      </c>
      <c r="E1311" t="n">
        <v>116</v>
      </c>
      <c r="F1311" t="n">
        <v>226</v>
      </c>
      <c r="G1311" t="inlineStr">
        <is>
          <t>Pune</t>
        </is>
      </c>
      <c r="H1311" t="inlineStr">
        <is>
          <t>Desserts</t>
        </is>
      </c>
      <c r="I1311" t="n">
        <v>294</v>
      </c>
      <c r="J1311" t="n">
        <v>18.44</v>
      </c>
      <c r="K1311" t="n">
        <v>29.5</v>
      </c>
      <c r="L1311" t="n">
        <v>0.25</v>
      </c>
      <c r="M1311" t="n">
        <v>80.88</v>
      </c>
      <c r="N1311" t="n">
        <v>3.9</v>
      </c>
      <c r="O1311" t="n">
        <v>37.6</v>
      </c>
      <c r="P1311" t="inlineStr">
        <is>
          <t>Cash on Delivery</t>
        </is>
      </c>
      <c r="Q1311" t="inlineStr">
        <is>
          <t>Delivered</t>
        </is>
      </c>
      <c r="R1311" t="n">
        <v>3</v>
      </c>
    </row>
    <row r="1312">
      <c r="A1312" t="inlineStr">
        <is>
          <t>ORD2311</t>
        </is>
      </c>
      <c r="B1312" t="inlineStr">
        <is>
          <t>2025-10-22</t>
        </is>
      </c>
      <c r="C1312" t="inlineStr">
        <is>
          <t>10:18:00</t>
        </is>
      </c>
      <c r="D1312" t="n">
        <v>1163</v>
      </c>
      <c r="E1312" t="n">
        <v>107</v>
      </c>
      <c r="F1312" t="n">
        <v>222</v>
      </c>
      <c r="G1312" t="inlineStr">
        <is>
          <t>Mumbai</t>
        </is>
      </c>
      <c r="H1312" t="inlineStr">
        <is>
          <t>Desserts</t>
        </is>
      </c>
      <c r="I1312" t="n">
        <v>858</v>
      </c>
      <c r="J1312" t="n">
        <v>92.64</v>
      </c>
      <c r="K1312" t="n">
        <v>27</v>
      </c>
      <c r="L1312" t="n">
        <v>0.25</v>
      </c>
      <c r="M1312" t="n">
        <v>221.25</v>
      </c>
      <c r="N1312" t="n">
        <v>3.4</v>
      </c>
      <c r="O1312" t="n">
        <v/>
      </c>
      <c r="P1312" t="inlineStr">
        <is>
          <t>Credit Card</t>
        </is>
      </c>
      <c r="Q1312" t="inlineStr">
        <is>
          <t>Cancelled</t>
        </is>
      </c>
      <c r="R1312" t="n">
        <v/>
      </c>
    </row>
    <row r="1313">
      <c r="A1313" t="inlineStr">
        <is>
          <t>ORD2312</t>
        </is>
      </c>
      <c r="B1313" t="inlineStr">
        <is>
          <t>2025-05-13</t>
        </is>
      </c>
      <c r="C1313" t="inlineStr">
        <is>
          <t>20:54:14</t>
        </is>
      </c>
      <c r="D1313" t="n">
        <v>1172</v>
      </c>
      <c r="E1313" t="n">
        <v>116</v>
      </c>
      <c r="F1313" t="n">
        <v>214</v>
      </c>
      <c r="G1313" t="inlineStr">
        <is>
          <t>Pune</t>
        </is>
      </c>
      <c r="H1313" t="inlineStr">
        <is>
          <t>Desserts</t>
        </is>
      </c>
      <c r="I1313" t="n">
        <v>818</v>
      </c>
      <c r="J1313" t="n">
        <v>21.37</v>
      </c>
      <c r="K1313" t="n">
        <v>40</v>
      </c>
      <c r="L1313" t="n">
        <v>0.25</v>
      </c>
      <c r="M1313" t="n">
        <v>214.5</v>
      </c>
      <c r="N1313" t="n">
        <v>6</v>
      </c>
      <c r="O1313" t="n">
        <v>47.4</v>
      </c>
      <c r="P1313" t="inlineStr">
        <is>
          <t>Credit Card</t>
        </is>
      </c>
      <c r="Q1313" t="inlineStr">
        <is>
          <t>Delivered</t>
        </is>
      </c>
      <c r="R1313" t="n">
        <v>3</v>
      </c>
    </row>
    <row r="1314">
      <c r="A1314" t="inlineStr">
        <is>
          <t>ORD2313</t>
        </is>
      </c>
      <c r="B1314" t="inlineStr">
        <is>
          <t>2025-03-17</t>
        </is>
      </c>
      <c r="C1314" t="inlineStr">
        <is>
          <t>14:13:19</t>
        </is>
      </c>
      <c r="D1314" t="n">
        <v>1036</v>
      </c>
      <c r="E1314" t="n">
        <v>117</v>
      </c>
      <c r="F1314" t="n">
        <v>222</v>
      </c>
      <c r="G1314" t="inlineStr">
        <is>
          <t>Mumbai</t>
        </is>
      </c>
      <c r="H1314" t="inlineStr">
        <is>
          <t>Chinese</t>
        </is>
      </c>
      <c r="I1314" t="n">
        <v>405</v>
      </c>
      <c r="J1314" t="n">
        <v>23.11</v>
      </c>
      <c r="K1314" t="n">
        <v>25</v>
      </c>
      <c r="L1314" t="n">
        <v>0.2</v>
      </c>
      <c r="M1314" t="n">
        <v>87.25</v>
      </c>
      <c r="N1314" t="n">
        <v>2.7</v>
      </c>
      <c r="O1314" t="n">
        <v>27.7</v>
      </c>
      <c r="P1314" t="inlineStr">
        <is>
          <t>UPI</t>
        </is>
      </c>
      <c r="Q1314" t="inlineStr">
        <is>
          <t>Delivered</t>
        </is>
      </c>
      <c r="R1314" t="n">
        <v>4</v>
      </c>
    </row>
    <row r="1315">
      <c r="A1315" t="inlineStr">
        <is>
          <t>ORD2314</t>
        </is>
      </c>
      <c r="B1315" t="inlineStr">
        <is>
          <t>2025-02-05</t>
        </is>
      </c>
      <c r="C1315" t="inlineStr">
        <is>
          <t>07:20:55</t>
        </is>
      </c>
      <c r="D1315" t="n">
        <v>1061</v>
      </c>
      <c r="E1315" t="n">
        <v>116</v>
      </c>
      <c r="F1315" t="n">
        <v>214</v>
      </c>
      <c r="G1315" t="inlineStr">
        <is>
          <t>Pune</t>
        </is>
      </c>
      <c r="H1315" t="inlineStr">
        <is>
          <t>Desserts</t>
        </is>
      </c>
      <c r="I1315" t="n">
        <v>542</v>
      </c>
      <c r="J1315" t="n">
        <v>28.54</v>
      </c>
      <c r="K1315" t="n">
        <v>40</v>
      </c>
      <c r="L1315" t="n">
        <v>0.25</v>
      </c>
      <c r="M1315" t="n">
        <v>145.5</v>
      </c>
      <c r="N1315" t="n">
        <v>6</v>
      </c>
      <c r="O1315" t="n">
        <v>35.1</v>
      </c>
      <c r="P1315" t="inlineStr">
        <is>
          <t>Credit Card</t>
        </is>
      </c>
      <c r="Q1315" t="inlineStr">
        <is>
          <t>Delivered</t>
        </is>
      </c>
      <c r="R1315" t="n">
        <v>4</v>
      </c>
    </row>
    <row r="1316">
      <c r="A1316" t="inlineStr">
        <is>
          <t>ORD2315</t>
        </is>
      </c>
      <c r="B1316" t="inlineStr">
        <is>
          <t>2025-04-22</t>
        </is>
      </c>
      <c r="C1316" t="inlineStr">
        <is>
          <t>12:49:22</t>
        </is>
      </c>
      <c r="D1316" t="n">
        <v>1009</v>
      </c>
      <c r="E1316" t="n">
        <v>102</v>
      </c>
      <c r="F1316" t="n">
        <v>216</v>
      </c>
      <c r="G1316" t="inlineStr">
        <is>
          <t>Hyderabad</t>
        </is>
      </c>
      <c r="H1316" t="inlineStr">
        <is>
          <t>Biryani</t>
        </is>
      </c>
      <c r="I1316" t="n">
        <v>247</v>
      </c>
      <c r="J1316" t="n">
        <v>14.72</v>
      </c>
      <c r="K1316" t="n">
        <v>29.5</v>
      </c>
      <c r="L1316" t="n">
        <v>0.22</v>
      </c>
      <c r="M1316" t="n">
        <v>61.72</v>
      </c>
      <c r="N1316" t="n">
        <v>3.9</v>
      </c>
      <c r="O1316" t="n">
        <v>40.7</v>
      </c>
      <c r="P1316" t="inlineStr">
        <is>
          <t>Cash on Delivery</t>
        </is>
      </c>
      <c r="Q1316" t="inlineStr">
        <is>
          <t>Delivered</t>
        </is>
      </c>
      <c r="R1316" t="n">
        <v>2</v>
      </c>
    </row>
    <row r="1317">
      <c r="A1317" t="inlineStr">
        <is>
          <t>ORD2316</t>
        </is>
      </c>
      <c r="B1317" t="inlineStr">
        <is>
          <t>2025-01-14</t>
        </is>
      </c>
      <c r="C1317" t="inlineStr">
        <is>
          <t>20:28:55</t>
        </is>
      </c>
      <c r="D1317" t="n">
        <v>1183</v>
      </c>
      <c r="E1317" t="n">
        <v>107</v>
      </c>
      <c r="F1317" t="n">
        <v>229</v>
      </c>
      <c r="G1317" t="inlineStr">
        <is>
          <t>Mumbai</t>
        </is>
      </c>
      <c r="H1317" t="inlineStr">
        <is>
          <t>Desserts</t>
        </is>
      </c>
      <c r="I1317" t="n">
        <v>630</v>
      </c>
      <c r="J1317" t="n">
        <v>66.09999999999999</v>
      </c>
      <c r="K1317" t="n">
        <v>0</v>
      </c>
      <c r="L1317" t="n">
        <v>0.25</v>
      </c>
      <c r="M1317" t="n">
        <v>157.5</v>
      </c>
      <c r="N1317" t="n">
        <v>4.5</v>
      </c>
      <c r="O1317" t="n">
        <v>35.3</v>
      </c>
      <c r="P1317" t="inlineStr">
        <is>
          <t>Credit Card</t>
        </is>
      </c>
      <c r="Q1317" t="inlineStr">
        <is>
          <t>Delivered</t>
        </is>
      </c>
      <c r="R1317" t="n">
        <v>4</v>
      </c>
    </row>
    <row r="1318">
      <c r="A1318" t="inlineStr">
        <is>
          <t>ORD2317</t>
        </is>
      </c>
      <c r="B1318" t="inlineStr">
        <is>
          <t>2025-10-30</t>
        </is>
      </c>
      <c r="C1318" t="inlineStr">
        <is>
          <t>13:52:07</t>
        </is>
      </c>
      <c r="D1318" t="n">
        <v>1282</v>
      </c>
      <c r="E1318" t="n">
        <v>112</v>
      </c>
      <c r="F1318" t="n">
        <v>211</v>
      </c>
      <c r="G1318" t="inlineStr">
        <is>
          <t>Delhi NCR</t>
        </is>
      </c>
      <c r="H1318" t="inlineStr">
        <is>
          <t>North Indian</t>
        </is>
      </c>
      <c r="I1318" t="n">
        <v>315</v>
      </c>
      <c r="J1318" t="n">
        <v>12.77</v>
      </c>
      <c r="K1318" t="n">
        <v>42</v>
      </c>
      <c r="L1318" t="n">
        <v>0.22</v>
      </c>
      <c r="M1318" t="n">
        <v>79.8</v>
      </c>
      <c r="N1318" t="n">
        <v>6.4</v>
      </c>
      <c r="O1318" t="n">
        <v>44.6</v>
      </c>
      <c r="P1318" t="inlineStr">
        <is>
          <t>Digital Wallet</t>
        </is>
      </c>
      <c r="Q1318" t="inlineStr">
        <is>
          <t>Delivered</t>
        </is>
      </c>
      <c r="R1318" t="n">
        <v>2</v>
      </c>
    </row>
    <row r="1319">
      <c r="A1319" t="inlineStr">
        <is>
          <t>ORD2318</t>
        </is>
      </c>
      <c r="B1319" t="inlineStr">
        <is>
          <t>2025-04-18</t>
        </is>
      </c>
      <c r="C1319" t="inlineStr">
        <is>
          <t>20:07:31</t>
        </is>
      </c>
      <c r="D1319" t="n">
        <v>1199</v>
      </c>
      <c r="E1319" t="n">
        <v>114</v>
      </c>
      <c r="F1319" t="n">
        <v>215</v>
      </c>
      <c r="G1319" t="inlineStr">
        <is>
          <t>Hyderabad</t>
        </is>
      </c>
      <c r="H1319" t="inlineStr">
        <is>
          <t>Biryani</t>
        </is>
      </c>
      <c r="I1319" t="n">
        <v>1030</v>
      </c>
      <c r="J1319" t="n">
        <v>180.22</v>
      </c>
      <c r="K1319" t="n">
        <v>0</v>
      </c>
      <c r="L1319" t="n">
        <v>0.22</v>
      </c>
      <c r="M1319" t="n">
        <v>226.6</v>
      </c>
      <c r="N1319" t="n">
        <v>5.9</v>
      </c>
      <c r="O1319" t="n">
        <v>42.4</v>
      </c>
      <c r="P1319" t="inlineStr">
        <is>
          <t>Credit Card</t>
        </is>
      </c>
      <c r="Q1319" t="inlineStr">
        <is>
          <t>Delivered</t>
        </is>
      </c>
      <c r="R1319" t="n">
        <v>3</v>
      </c>
    </row>
    <row r="1320">
      <c r="A1320" t="inlineStr">
        <is>
          <t>ORD2319</t>
        </is>
      </c>
      <c r="B1320" t="inlineStr">
        <is>
          <t>2025-09-17</t>
        </is>
      </c>
      <c r="C1320" t="inlineStr">
        <is>
          <t>12:23:30</t>
        </is>
      </c>
      <c r="D1320" t="n">
        <v>1108</v>
      </c>
      <c r="E1320" t="n">
        <v>120</v>
      </c>
      <c r="F1320" t="n">
        <v>204</v>
      </c>
      <c r="G1320" t="inlineStr">
        <is>
          <t>Pune</t>
        </is>
      </c>
      <c r="H1320" t="inlineStr">
        <is>
          <t>Fast Food</t>
        </is>
      </c>
      <c r="I1320" t="n">
        <v>481</v>
      </c>
      <c r="J1320" t="n">
        <v>41.18</v>
      </c>
      <c r="K1320" t="n">
        <v>29</v>
      </c>
      <c r="L1320" t="n">
        <v>0.18</v>
      </c>
      <c r="M1320" t="n">
        <v>93.83</v>
      </c>
      <c r="N1320" t="n">
        <v>3.8</v>
      </c>
      <c r="O1320" t="n">
        <v>36.1</v>
      </c>
      <c r="P1320" t="inlineStr">
        <is>
          <t>UPI</t>
        </is>
      </c>
      <c r="Q1320" t="inlineStr">
        <is>
          <t>Delivered</t>
        </is>
      </c>
      <c r="R1320" t="n">
        <v>4</v>
      </c>
    </row>
    <row r="1321">
      <c r="A1321" t="inlineStr">
        <is>
          <t>ORD2320</t>
        </is>
      </c>
      <c r="B1321" t="inlineStr">
        <is>
          <t>2025-08-04</t>
        </is>
      </c>
      <c r="C1321" t="inlineStr">
        <is>
          <t>08:25:54</t>
        </is>
      </c>
      <c r="D1321" t="n">
        <v>1073</v>
      </c>
      <c r="E1321" t="n">
        <v>101</v>
      </c>
      <c r="F1321" t="n">
        <v>227</v>
      </c>
      <c r="G1321" t="inlineStr">
        <is>
          <t>Bangalore</t>
        </is>
      </c>
      <c r="H1321" t="inlineStr">
        <is>
          <t>North Indian</t>
        </is>
      </c>
      <c r="I1321" t="n">
        <v>322</v>
      </c>
      <c r="J1321" t="n">
        <v>0</v>
      </c>
      <c r="K1321" t="n">
        <v>25</v>
      </c>
      <c r="L1321" t="n">
        <v>0.2</v>
      </c>
      <c r="M1321" t="n">
        <v>70.65000000000001</v>
      </c>
      <c r="N1321" t="n">
        <v>2.4</v>
      </c>
      <c r="O1321" t="n">
        <v>29.6</v>
      </c>
      <c r="P1321" t="inlineStr">
        <is>
          <t>UPI</t>
        </is>
      </c>
      <c r="Q1321" t="inlineStr">
        <is>
          <t>Delivered</t>
        </is>
      </c>
      <c r="R1321" t="n">
        <v>4</v>
      </c>
    </row>
    <row r="1322">
      <c r="A1322" t="inlineStr">
        <is>
          <t>ORD2321</t>
        </is>
      </c>
      <c r="B1322" t="inlineStr">
        <is>
          <t>2025-12-26</t>
        </is>
      </c>
      <c r="C1322" t="inlineStr">
        <is>
          <t>20:05:41</t>
        </is>
      </c>
      <c r="D1322" t="n">
        <v>1230</v>
      </c>
      <c r="E1322" t="n">
        <v>119</v>
      </c>
      <c r="F1322" t="n">
        <v>215</v>
      </c>
      <c r="G1322" t="inlineStr">
        <is>
          <t>Hyderabad</t>
        </is>
      </c>
      <c r="H1322" t="inlineStr">
        <is>
          <t>Biryani</t>
        </is>
      </c>
      <c r="I1322" t="n">
        <v>879</v>
      </c>
      <c r="J1322" t="n">
        <v>93.8</v>
      </c>
      <c r="K1322" t="n">
        <v>25</v>
      </c>
      <c r="L1322" t="n">
        <v>0.2</v>
      </c>
      <c r="M1322" t="n">
        <v>182.05</v>
      </c>
      <c r="N1322" t="n">
        <v>2.6</v>
      </c>
      <c r="O1322" t="n">
        <v>33.2</v>
      </c>
      <c r="P1322" t="inlineStr">
        <is>
          <t>UPI</t>
        </is>
      </c>
      <c r="Q1322" t="inlineStr">
        <is>
          <t>Delivered</t>
        </is>
      </c>
      <c r="R1322" t="n">
        <v>5</v>
      </c>
    </row>
    <row r="1323">
      <c r="A1323" t="inlineStr">
        <is>
          <t>ORD2322</t>
        </is>
      </c>
      <c r="B1323" t="inlineStr">
        <is>
          <t>2025-03-14</t>
        </is>
      </c>
      <c r="C1323" t="inlineStr">
        <is>
          <t>22:54:15</t>
        </is>
      </c>
      <c r="D1323" t="n">
        <v>1164</v>
      </c>
      <c r="E1323" t="n">
        <v>110</v>
      </c>
      <c r="F1323" t="n">
        <v>217</v>
      </c>
      <c r="G1323" t="inlineStr">
        <is>
          <t>Pune</t>
        </is>
      </c>
      <c r="H1323" t="inlineStr">
        <is>
          <t>North Indian</t>
        </is>
      </c>
      <c r="I1323" t="n">
        <v>401</v>
      </c>
      <c r="J1323" t="n">
        <v>4.1</v>
      </c>
      <c r="K1323" t="n">
        <v>37</v>
      </c>
      <c r="L1323" t="n">
        <v>0.18</v>
      </c>
      <c r="M1323" t="n">
        <v>81.43000000000001</v>
      </c>
      <c r="N1323" t="n">
        <v>5.4</v>
      </c>
      <c r="O1323" t="n">
        <v>30.4</v>
      </c>
      <c r="P1323" t="inlineStr">
        <is>
          <t>Cash on Delivery</t>
        </is>
      </c>
      <c r="Q1323" t="inlineStr">
        <is>
          <t>Delivered</t>
        </is>
      </c>
      <c r="R1323" t="n">
        <v>4</v>
      </c>
    </row>
    <row r="1324">
      <c r="A1324" t="inlineStr">
        <is>
          <t>ORD2323</t>
        </is>
      </c>
      <c r="B1324" t="inlineStr">
        <is>
          <t>2025-11-02</t>
        </is>
      </c>
      <c r="C1324" t="inlineStr">
        <is>
          <t>20:51:13</t>
        </is>
      </c>
      <c r="D1324" t="n">
        <v>1158</v>
      </c>
      <c r="E1324" t="n">
        <v>120</v>
      </c>
      <c r="F1324" t="n">
        <v>224</v>
      </c>
      <c r="G1324" t="inlineStr">
        <is>
          <t>Pune</t>
        </is>
      </c>
      <c r="H1324" t="inlineStr">
        <is>
          <t>Fast Food</t>
        </is>
      </c>
      <c r="I1324" t="n">
        <v>896</v>
      </c>
      <c r="J1324" t="n">
        <v>63.18</v>
      </c>
      <c r="K1324" t="n">
        <v>29</v>
      </c>
      <c r="L1324" t="n">
        <v>0.18</v>
      </c>
      <c r="M1324" t="n">
        <v>168.53</v>
      </c>
      <c r="N1324" t="n">
        <v>3.8</v>
      </c>
      <c r="O1324" t="n">
        <v>33.5</v>
      </c>
      <c r="P1324" t="inlineStr">
        <is>
          <t>Credit Card</t>
        </is>
      </c>
      <c r="Q1324" t="inlineStr">
        <is>
          <t>Delivered</t>
        </is>
      </c>
      <c r="R1324" t="n">
        <v>5</v>
      </c>
    </row>
    <row r="1325">
      <c r="A1325" t="inlineStr">
        <is>
          <t>ORD2324</t>
        </is>
      </c>
      <c r="B1325" t="inlineStr">
        <is>
          <t>2025-09-23</t>
        </is>
      </c>
      <c r="C1325" t="inlineStr">
        <is>
          <t>19:09:47</t>
        </is>
      </c>
      <c r="D1325" t="n">
        <v>1248</v>
      </c>
      <c r="E1325" t="n">
        <v>104</v>
      </c>
      <c r="F1325" t="n">
        <v>230</v>
      </c>
      <c r="G1325" t="inlineStr">
        <is>
          <t>Delhi NCR</t>
        </is>
      </c>
      <c r="H1325" t="inlineStr">
        <is>
          <t>Fast Food</t>
        </is>
      </c>
      <c r="I1325" t="n">
        <v>1050</v>
      </c>
      <c r="J1325" t="n">
        <v>143.33</v>
      </c>
      <c r="K1325" t="n">
        <v>0</v>
      </c>
      <c r="L1325" t="n">
        <v>0.18</v>
      </c>
      <c r="M1325" t="n">
        <v>189</v>
      </c>
      <c r="N1325" t="n">
        <v>2.9</v>
      </c>
      <c r="O1325" t="n">
        <v>39.5</v>
      </c>
      <c r="P1325" t="inlineStr">
        <is>
          <t>Credit Card</t>
        </is>
      </c>
      <c r="Q1325" t="inlineStr">
        <is>
          <t>Delivered</t>
        </is>
      </c>
      <c r="R1325" t="n">
        <v>5</v>
      </c>
    </row>
    <row r="1326">
      <c r="A1326" t="inlineStr">
        <is>
          <t>ORD2325</t>
        </is>
      </c>
      <c r="B1326" t="inlineStr">
        <is>
          <t>2025-04-15</t>
        </is>
      </c>
      <c r="C1326" t="inlineStr">
        <is>
          <t>16:19:25</t>
        </is>
      </c>
      <c r="D1326" t="n">
        <v>1152</v>
      </c>
      <c r="E1326" t="n">
        <v>114</v>
      </c>
      <c r="F1326" t="n">
        <v>216</v>
      </c>
      <c r="G1326" t="inlineStr">
        <is>
          <t>Hyderabad</t>
        </is>
      </c>
      <c r="H1326" t="inlineStr">
        <is>
          <t>Biryani</t>
        </is>
      </c>
      <c r="I1326" t="n">
        <v>860</v>
      </c>
      <c r="J1326" t="n">
        <v>0</v>
      </c>
      <c r="K1326" t="n">
        <v>25</v>
      </c>
      <c r="L1326" t="n">
        <v>0.22</v>
      </c>
      <c r="M1326" t="n">
        <v>195.45</v>
      </c>
      <c r="N1326" t="n">
        <v>2.3</v>
      </c>
      <c r="O1326" t="n">
        <v>30.5</v>
      </c>
      <c r="P1326" t="inlineStr">
        <is>
          <t>Digital Wallet</t>
        </is>
      </c>
      <c r="Q1326" t="inlineStr">
        <is>
          <t>Delivered</t>
        </is>
      </c>
      <c r="R1326" t="n">
        <v>5</v>
      </c>
    </row>
    <row r="1327">
      <c r="A1327" t="inlineStr">
        <is>
          <t>ORD2326</t>
        </is>
      </c>
      <c r="B1327" t="inlineStr">
        <is>
          <t>2025-06-19</t>
        </is>
      </c>
      <c r="C1327" t="inlineStr">
        <is>
          <t>20:01:56</t>
        </is>
      </c>
      <c r="D1327" t="n">
        <v>1237</v>
      </c>
      <c r="E1327" t="n">
        <v>112</v>
      </c>
      <c r="F1327" t="n">
        <v>228</v>
      </c>
      <c r="G1327" t="inlineStr">
        <is>
          <t>Delhi NCR</t>
        </is>
      </c>
      <c r="H1327" t="inlineStr">
        <is>
          <t>North Indian</t>
        </is>
      </c>
      <c r="I1327" t="n">
        <v>701</v>
      </c>
      <c r="J1327" t="n">
        <v>0</v>
      </c>
      <c r="K1327" t="n">
        <v>27</v>
      </c>
      <c r="L1327" t="n">
        <v>0.22</v>
      </c>
      <c r="M1327" t="n">
        <v>160.97</v>
      </c>
      <c r="N1327" t="n">
        <v>3.4</v>
      </c>
      <c r="O1327" t="n">
        <v>34.7</v>
      </c>
      <c r="P1327" t="inlineStr">
        <is>
          <t>Cash on Delivery</t>
        </is>
      </c>
      <c r="Q1327" t="inlineStr">
        <is>
          <t>Delivered</t>
        </is>
      </c>
      <c r="R1327" t="n">
        <v>4</v>
      </c>
    </row>
    <row r="1328">
      <c r="A1328" t="inlineStr">
        <is>
          <t>ORD2327</t>
        </is>
      </c>
      <c r="B1328" t="inlineStr">
        <is>
          <t>2025-11-03</t>
        </is>
      </c>
      <c r="C1328" t="inlineStr">
        <is>
          <t>18:46:33</t>
        </is>
      </c>
      <c r="D1328" t="n">
        <v>1298</v>
      </c>
      <c r="E1328" t="n">
        <v>102</v>
      </c>
      <c r="F1328" t="n">
        <v>215</v>
      </c>
      <c r="G1328" t="inlineStr">
        <is>
          <t>Hyderabad</t>
        </is>
      </c>
      <c r="H1328" t="inlineStr">
        <is>
          <t>Biryani</t>
        </is>
      </c>
      <c r="I1328" t="n">
        <v>393</v>
      </c>
      <c r="J1328" t="n">
        <v>0</v>
      </c>
      <c r="K1328" t="n">
        <v>29.5</v>
      </c>
      <c r="L1328" t="n">
        <v>0.22</v>
      </c>
      <c r="M1328" t="n">
        <v>93.84</v>
      </c>
      <c r="N1328" t="n">
        <v>3.9</v>
      </c>
      <c r="O1328" t="n">
        <v>35.5</v>
      </c>
      <c r="P1328" t="inlineStr">
        <is>
          <t>Credit Card</t>
        </is>
      </c>
      <c r="Q1328" t="inlineStr">
        <is>
          <t>Delivered</t>
        </is>
      </c>
      <c r="R1328" t="n">
        <v>2</v>
      </c>
    </row>
    <row r="1329">
      <c r="A1329" t="inlineStr">
        <is>
          <t>ORD2328</t>
        </is>
      </c>
      <c r="B1329" t="inlineStr">
        <is>
          <t>2025-02-03</t>
        </is>
      </c>
      <c r="C1329" t="inlineStr">
        <is>
          <t>22:07:30</t>
        </is>
      </c>
      <c r="D1329" t="n">
        <v>1253</v>
      </c>
      <c r="E1329" t="n">
        <v>114</v>
      </c>
      <c r="F1329" t="n">
        <v>216</v>
      </c>
      <c r="G1329" t="inlineStr">
        <is>
          <t>Hyderabad</t>
        </is>
      </c>
      <c r="H1329" t="inlineStr">
        <is>
          <t>Biryani</t>
        </is>
      </c>
      <c r="I1329" t="n">
        <v>901</v>
      </c>
      <c r="J1329" t="n">
        <v>167.24</v>
      </c>
      <c r="K1329" t="n">
        <v>0</v>
      </c>
      <c r="L1329" t="n">
        <v>0.22</v>
      </c>
      <c r="M1329" t="n">
        <v>198.22</v>
      </c>
      <c r="N1329" t="n">
        <v>3.5</v>
      </c>
      <c r="O1329" t="n">
        <v>27.4</v>
      </c>
      <c r="P1329" t="inlineStr">
        <is>
          <t>Credit Card</t>
        </is>
      </c>
      <c r="Q1329" t="inlineStr">
        <is>
          <t>Delivered</t>
        </is>
      </c>
      <c r="R1329" t="n">
        <v>2</v>
      </c>
    </row>
    <row r="1330">
      <c r="A1330" t="inlineStr">
        <is>
          <t>ORD2329</t>
        </is>
      </c>
      <c r="B1330" t="inlineStr">
        <is>
          <t>2025-08-29</t>
        </is>
      </c>
      <c r="C1330" t="inlineStr">
        <is>
          <t>12:57:57</t>
        </is>
      </c>
      <c r="D1330" t="n">
        <v>1092</v>
      </c>
      <c r="E1330" t="n">
        <v>104</v>
      </c>
      <c r="F1330" t="n">
        <v>221</v>
      </c>
      <c r="G1330" t="inlineStr">
        <is>
          <t>Delhi NCR</t>
        </is>
      </c>
      <c r="H1330" t="inlineStr">
        <is>
          <t>Fast Food</t>
        </is>
      </c>
      <c r="I1330" t="n">
        <v>483</v>
      </c>
      <c r="J1330" t="n">
        <v>28.48</v>
      </c>
      <c r="K1330" t="n">
        <v>26.5</v>
      </c>
      <c r="L1330" t="n">
        <v>0.18</v>
      </c>
      <c r="M1330" t="n">
        <v>93.56</v>
      </c>
      <c r="N1330" t="n">
        <v>3.3</v>
      </c>
      <c r="O1330" t="n">
        <v>31.1</v>
      </c>
      <c r="P1330" t="inlineStr">
        <is>
          <t>Debit Card</t>
        </is>
      </c>
      <c r="Q1330" t="inlineStr">
        <is>
          <t>Delivered</t>
        </is>
      </c>
      <c r="R1330" t="n">
        <v>4</v>
      </c>
    </row>
    <row r="1331">
      <c r="A1331" t="inlineStr">
        <is>
          <t>ORD2330</t>
        </is>
      </c>
      <c r="B1331" t="inlineStr">
        <is>
          <t>2025-10-20</t>
        </is>
      </c>
      <c r="C1331" t="inlineStr">
        <is>
          <t>16:12:08</t>
        </is>
      </c>
      <c r="D1331" t="n">
        <v>1191</v>
      </c>
      <c r="E1331" t="n">
        <v>104</v>
      </c>
      <c r="F1331" t="n">
        <v>219</v>
      </c>
      <c r="G1331" t="inlineStr">
        <is>
          <t>Delhi NCR</t>
        </is>
      </c>
      <c r="H1331" t="inlineStr">
        <is>
          <t>Fast Food</t>
        </is>
      </c>
      <c r="I1331" t="n">
        <v>444</v>
      </c>
      <c r="J1331" t="n">
        <v>28.61</v>
      </c>
      <c r="K1331" t="n">
        <v>41</v>
      </c>
      <c r="L1331" t="n">
        <v>0.18</v>
      </c>
      <c r="M1331" t="n">
        <v>90.17</v>
      </c>
      <c r="N1331" t="n">
        <v>6.2</v>
      </c>
      <c r="O1331" t="n">
        <v>33.3</v>
      </c>
      <c r="P1331" t="inlineStr">
        <is>
          <t>UPI</t>
        </is>
      </c>
      <c r="Q1331" t="inlineStr">
        <is>
          <t>Delivered</t>
        </is>
      </c>
      <c r="R1331" t="n">
        <v>5</v>
      </c>
    </row>
    <row r="1332">
      <c r="A1332" t="inlineStr">
        <is>
          <t>ORD2331</t>
        </is>
      </c>
      <c r="B1332" t="inlineStr">
        <is>
          <t>2025-11-11</t>
        </is>
      </c>
      <c r="C1332" t="inlineStr">
        <is>
          <t>07:06:15</t>
        </is>
      </c>
      <c r="D1332" t="n">
        <v>1141</v>
      </c>
      <c r="E1332" t="n">
        <v>112</v>
      </c>
      <c r="F1332" t="n">
        <v>221</v>
      </c>
      <c r="G1332" t="inlineStr">
        <is>
          <t>Delhi NCR</t>
        </is>
      </c>
      <c r="H1332" t="inlineStr">
        <is>
          <t>North Indian</t>
        </is>
      </c>
      <c r="I1332" t="n">
        <v>615</v>
      </c>
      <c r="J1332" t="n">
        <v>72.84999999999999</v>
      </c>
      <c r="K1332" t="n">
        <v>0</v>
      </c>
      <c r="L1332" t="n">
        <v>0.22</v>
      </c>
      <c r="M1332" t="n">
        <v>135.3</v>
      </c>
      <c r="N1332" t="n">
        <v>3.4</v>
      </c>
      <c r="O1332" t="n">
        <v>33.3</v>
      </c>
      <c r="P1332" t="inlineStr">
        <is>
          <t>Debit Card</t>
        </is>
      </c>
      <c r="Q1332" t="inlineStr">
        <is>
          <t>Delivered</t>
        </is>
      </c>
      <c r="R1332" t="n">
        <v>5</v>
      </c>
    </row>
    <row r="1333">
      <c r="A1333" t="inlineStr">
        <is>
          <t>ORD2332</t>
        </is>
      </c>
      <c r="B1333" t="inlineStr">
        <is>
          <t>2025-06-17</t>
        </is>
      </c>
      <c r="C1333" t="inlineStr">
        <is>
          <t>21:27:23</t>
        </is>
      </c>
      <c r="D1333" t="n">
        <v>1277</v>
      </c>
      <c r="E1333" t="n">
        <v>107</v>
      </c>
      <c r="F1333" t="n">
        <v>206</v>
      </c>
      <c r="G1333" t="inlineStr">
        <is>
          <t>Mumbai</t>
        </is>
      </c>
      <c r="H1333" t="inlineStr">
        <is>
          <t>Desserts</t>
        </is>
      </c>
      <c r="I1333" t="n">
        <v>897</v>
      </c>
      <c r="J1333" t="n">
        <v>53.97</v>
      </c>
      <c r="K1333" t="n">
        <v>27.5</v>
      </c>
      <c r="L1333" t="n">
        <v>0.25</v>
      </c>
      <c r="M1333" t="n">
        <v>231.12</v>
      </c>
      <c r="N1333" t="n">
        <v>3.5</v>
      </c>
      <c r="O1333" t="n">
        <v>34.8</v>
      </c>
      <c r="P1333" t="inlineStr">
        <is>
          <t>UPI</t>
        </is>
      </c>
      <c r="Q1333" t="inlineStr">
        <is>
          <t>Delivered</t>
        </is>
      </c>
      <c r="R1333" t="n">
        <v>4</v>
      </c>
    </row>
    <row r="1334">
      <c r="A1334" t="inlineStr">
        <is>
          <t>ORD2333</t>
        </is>
      </c>
      <c r="B1334" t="inlineStr">
        <is>
          <t>2025-04-04</t>
        </is>
      </c>
      <c r="C1334" t="inlineStr">
        <is>
          <t>13:00:09</t>
        </is>
      </c>
      <c r="D1334" t="n">
        <v>1086</v>
      </c>
      <c r="E1334" t="n">
        <v>108</v>
      </c>
      <c r="F1334" t="n">
        <v>228</v>
      </c>
      <c r="G1334" t="inlineStr">
        <is>
          <t>Delhi NCR</t>
        </is>
      </c>
      <c r="H1334" t="inlineStr">
        <is>
          <t>Fast Food</t>
        </is>
      </c>
      <c r="I1334" t="n">
        <v>869</v>
      </c>
      <c r="J1334" t="n">
        <v>0</v>
      </c>
      <c r="K1334" t="n">
        <v>27.5</v>
      </c>
      <c r="L1334" t="n">
        <v>0.18</v>
      </c>
      <c r="M1334" t="n">
        <v>163.29</v>
      </c>
      <c r="N1334" t="n">
        <v>3.5</v>
      </c>
      <c r="O1334" t="n">
        <v>44.3</v>
      </c>
      <c r="P1334" t="inlineStr">
        <is>
          <t>Credit Card</t>
        </is>
      </c>
      <c r="Q1334" t="inlineStr">
        <is>
          <t>Delivered</t>
        </is>
      </c>
      <c r="R1334" t="n">
        <v>1</v>
      </c>
    </row>
    <row r="1335">
      <c r="A1335" t="inlineStr">
        <is>
          <t>ORD2334</t>
        </is>
      </c>
      <c r="B1335" t="inlineStr">
        <is>
          <t>2025-10-20</t>
        </is>
      </c>
      <c r="C1335" t="inlineStr">
        <is>
          <t>14:30:30</t>
        </is>
      </c>
      <c r="D1335" t="n">
        <v>1057</v>
      </c>
      <c r="E1335" t="n">
        <v>113</v>
      </c>
      <c r="F1335" t="n">
        <v>222</v>
      </c>
      <c r="G1335" t="inlineStr">
        <is>
          <t>Mumbai</t>
        </is>
      </c>
      <c r="H1335" t="inlineStr">
        <is>
          <t>Fast Food</t>
        </is>
      </c>
      <c r="I1335" t="n">
        <v>572</v>
      </c>
      <c r="J1335" t="n">
        <v>0</v>
      </c>
      <c r="K1335" t="n">
        <v>25</v>
      </c>
      <c r="L1335" t="n">
        <v>0.18</v>
      </c>
      <c r="M1335" t="n">
        <v>109.21</v>
      </c>
      <c r="N1335" t="n">
        <v>1.1</v>
      </c>
      <c r="O1335" t="n">
        <v>34.5</v>
      </c>
      <c r="P1335" t="inlineStr">
        <is>
          <t>Digital Wallet</t>
        </is>
      </c>
      <c r="Q1335" t="inlineStr">
        <is>
          <t>Delivered</t>
        </is>
      </c>
      <c r="R1335" t="n">
        <v>5</v>
      </c>
    </row>
    <row r="1336">
      <c r="A1336" t="inlineStr">
        <is>
          <t>ORD2335</t>
        </is>
      </c>
      <c r="B1336" t="inlineStr">
        <is>
          <t>2025-08-21</t>
        </is>
      </c>
      <c r="C1336" t="inlineStr">
        <is>
          <t>12:39:16</t>
        </is>
      </c>
      <c r="D1336" t="n">
        <v>1108</v>
      </c>
      <c r="E1336" t="n">
        <v>110</v>
      </c>
      <c r="F1336" t="n">
        <v>217</v>
      </c>
      <c r="G1336" t="inlineStr">
        <is>
          <t>Pune</t>
        </is>
      </c>
      <c r="H1336" t="inlineStr">
        <is>
          <t>North Indian</t>
        </is>
      </c>
      <c r="I1336" t="n">
        <v>778</v>
      </c>
      <c r="J1336" t="n">
        <v>62.85</v>
      </c>
      <c r="K1336" t="n">
        <v>25.5</v>
      </c>
      <c r="L1336" t="n">
        <v>0.18</v>
      </c>
      <c r="M1336" t="n">
        <v>146.42</v>
      </c>
      <c r="N1336" t="n">
        <v>3.1</v>
      </c>
      <c r="O1336" t="n">
        <v>39.9</v>
      </c>
      <c r="P1336" t="inlineStr">
        <is>
          <t>Digital Wallet</t>
        </is>
      </c>
      <c r="Q1336" t="inlineStr">
        <is>
          <t>Delivered</t>
        </is>
      </c>
      <c r="R1336" t="n">
        <v>4</v>
      </c>
    </row>
    <row r="1337">
      <c r="A1337" t="inlineStr">
        <is>
          <t>ORD2336</t>
        </is>
      </c>
      <c r="B1337" t="inlineStr">
        <is>
          <t>2025-05-11</t>
        </is>
      </c>
      <c r="C1337" t="inlineStr">
        <is>
          <t>10:21:51</t>
        </is>
      </c>
      <c r="D1337" t="n">
        <v>1074</v>
      </c>
      <c r="E1337" t="n">
        <v>120</v>
      </c>
      <c r="F1337" t="n">
        <v>207</v>
      </c>
      <c r="G1337" t="inlineStr">
        <is>
          <t>Pune</t>
        </is>
      </c>
      <c r="H1337" t="inlineStr">
        <is>
          <t>Fast Food</t>
        </is>
      </c>
      <c r="I1337" t="n">
        <v>719</v>
      </c>
      <c r="J1337" t="n">
        <v>74.81</v>
      </c>
      <c r="K1337" t="n">
        <v>25</v>
      </c>
      <c r="L1337" t="n">
        <v>0.18</v>
      </c>
      <c r="M1337" t="n">
        <v>135.67</v>
      </c>
      <c r="N1337" t="n">
        <v>2.1</v>
      </c>
      <c r="O1337" t="n">
        <v>24.7</v>
      </c>
      <c r="P1337" t="inlineStr">
        <is>
          <t>UPI</t>
        </is>
      </c>
      <c r="Q1337" t="inlineStr">
        <is>
          <t>Delivered</t>
        </is>
      </c>
      <c r="R1337" t="n">
        <v>5</v>
      </c>
    </row>
    <row r="1338">
      <c r="A1338" t="inlineStr">
        <is>
          <t>ORD2337</t>
        </is>
      </c>
      <c r="B1338" t="inlineStr">
        <is>
          <t>2025-07-07</t>
        </is>
      </c>
      <c r="C1338" t="inlineStr">
        <is>
          <t>19:27:41</t>
        </is>
      </c>
      <c r="D1338" t="n">
        <v>1120</v>
      </c>
      <c r="E1338" t="n">
        <v>116</v>
      </c>
      <c r="F1338" t="n">
        <v>217</v>
      </c>
      <c r="G1338" t="inlineStr">
        <is>
          <t>Pune</t>
        </is>
      </c>
      <c r="H1338" t="inlineStr">
        <is>
          <t>Desserts</t>
        </is>
      </c>
      <c r="I1338" t="n">
        <v>246</v>
      </c>
      <c r="J1338" t="n">
        <v>2.48</v>
      </c>
      <c r="K1338" t="n">
        <v>25</v>
      </c>
      <c r="L1338" t="n">
        <v>0.25</v>
      </c>
      <c r="M1338" t="n">
        <v>67.75</v>
      </c>
      <c r="N1338" t="n">
        <v>2.2</v>
      </c>
      <c r="O1338" t="n">
        <v>26.9</v>
      </c>
      <c r="P1338" t="inlineStr">
        <is>
          <t>Cash on Delivery</t>
        </is>
      </c>
      <c r="Q1338" t="inlineStr">
        <is>
          <t>Delivered</t>
        </is>
      </c>
      <c r="R1338" t="n">
        <v>2</v>
      </c>
    </row>
    <row r="1339">
      <c r="A1339" t="inlineStr">
        <is>
          <t>ORD2338</t>
        </is>
      </c>
      <c r="B1339" t="inlineStr">
        <is>
          <t>2025-10-09</t>
        </is>
      </c>
      <c r="C1339" t="inlineStr">
        <is>
          <t>12:45:18</t>
        </is>
      </c>
      <c r="D1339" t="n">
        <v>1290</v>
      </c>
      <c r="E1339" t="n">
        <v>107</v>
      </c>
      <c r="F1339" t="n">
        <v>206</v>
      </c>
      <c r="G1339" t="inlineStr">
        <is>
          <t>Mumbai</t>
        </is>
      </c>
      <c r="H1339" t="inlineStr">
        <is>
          <t>Desserts</t>
        </is>
      </c>
      <c r="I1339" t="n">
        <v>349</v>
      </c>
      <c r="J1339" t="n">
        <v>8.57</v>
      </c>
      <c r="K1339" t="n">
        <v>35</v>
      </c>
      <c r="L1339" t="n">
        <v>0.25</v>
      </c>
      <c r="M1339" t="n">
        <v>96</v>
      </c>
      <c r="N1339" t="n">
        <v>5</v>
      </c>
      <c r="O1339" t="n">
        <v>36.7</v>
      </c>
      <c r="P1339" t="inlineStr">
        <is>
          <t>UPI</t>
        </is>
      </c>
      <c r="Q1339" t="inlineStr">
        <is>
          <t>Delivered</t>
        </is>
      </c>
      <c r="R1339" t="n">
        <v>4</v>
      </c>
    </row>
    <row r="1340">
      <c r="A1340" t="inlineStr">
        <is>
          <t>ORD2339</t>
        </is>
      </c>
      <c r="B1340" t="inlineStr">
        <is>
          <t>2025-03-14</t>
        </is>
      </c>
      <c r="C1340" t="inlineStr">
        <is>
          <t>11:53:43</t>
        </is>
      </c>
      <c r="D1340" t="n">
        <v>1224</v>
      </c>
      <c r="E1340" t="n">
        <v>118</v>
      </c>
      <c r="F1340" t="n">
        <v>230</v>
      </c>
      <c r="G1340" t="inlineStr">
        <is>
          <t>Delhi NCR</t>
        </is>
      </c>
      <c r="H1340" t="inlineStr">
        <is>
          <t>North Indian</t>
        </is>
      </c>
      <c r="I1340" t="n">
        <v>447</v>
      </c>
      <c r="J1340" t="n">
        <v>7.1</v>
      </c>
      <c r="K1340" t="n">
        <v>26.5</v>
      </c>
      <c r="L1340" t="n">
        <v>0.2</v>
      </c>
      <c r="M1340" t="n">
        <v>96.02</v>
      </c>
      <c r="N1340" t="n">
        <v>3.3</v>
      </c>
      <c r="O1340" t="n">
        <v/>
      </c>
      <c r="P1340" t="inlineStr">
        <is>
          <t>Digital Wallet</t>
        </is>
      </c>
      <c r="Q1340" t="inlineStr">
        <is>
          <t>Cancelled</t>
        </is>
      </c>
      <c r="R1340" t="n">
        <v/>
      </c>
    </row>
    <row r="1341">
      <c r="A1341" t="inlineStr">
        <is>
          <t>ORD2340</t>
        </is>
      </c>
      <c r="B1341" t="inlineStr">
        <is>
          <t>2025-10-04</t>
        </is>
      </c>
      <c r="C1341" t="inlineStr">
        <is>
          <t>08:14:44</t>
        </is>
      </c>
      <c r="D1341" t="n">
        <v>1271</v>
      </c>
      <c r="E1341" t="n">
        <v>118</v>
      </c>
      <c r="F1341" t="n">
        <v>221</v>
      </c>
      <c r="G1341" t="inlineStr">
        <is>
          <t>Delhi NCR</t>
        </is>
      </c>
      <c r="H1341" t="inlineStr">
        <is>
          <t>North Indian</t>
        </is>
      </c>
      <c r="I1341" t="n">
        <v>763</v>
      </c>
      <c r="J1341" t="n">
        <v>47.06</v>
      </c>
      <c r="K1341" t="n">
        <v>28</v>
      </c>
      <c r="L1341" t="n">
        <v>0.2</v>
      </c>
      <c r="M1341" t="n">
        <v>159.6</v>
      </c>
      <c r="N1341" t="n">
        <v>3.6</v>
      </c>
      <c r="O1341" t="n">
        <v>32.8</v>
      </c>
      <c r="P1341" t="inlineStr">
        <is>
          <t>Credit Card</t>
        </is>
      </c>
      <c r="Q1341" t="inlineStr">
        <is>
          <t>Delivered</t>
        </is>
      </c>
      <c r="R1341" t="n">
        <v>5</v>
      </c>
    </row>
    <row r="1342">
      <c r="A1342" t="inlineStr">
        <is>
          <t>ORD2341</t>
        </is>
      </c>
      <c r="B1342" t="inlineStr">
        <is>
          <t>2025-04-14</t>
        </is>
      </c>
      <c r="C1342" t="inlineStr">
        <is>
          <t>19:17:03</t>
        </is>
      </c>
      <c r="D1342" t="n">
        <v>1161</v>
      </c>
      <c r="E1342" t="n">
        <v>119</v>
      </c>
      <c r="F1342" t="n">
        <v>216</v>
      </c>
      <c r="G1342" t="inlineStr">
        <is>
          <t>Hyderabad</t>
        </is>
      </c>
      <c r="H1342" t="inlineStr">
        <is>
          <t>Biryani</t>
        </is>
      </c>
      <c r="I1342" t="n">
        <v>630</v>
      </c>
      <c r="J1342" t="n">
        <v>0</v>
      </c>
      <c r="K1342" t="n">
        <v>42.5</v>
      </c>
      <c r="L1342" t="n">
        <v>0.2</v>
      </c>
      <c r="M1342" t="n">
        <v>136.62</v>
      </c>
      <c r="N1342" t="n">
        <v>6.5</v>
      </c>
      <c r="O1342" t="n">
        <v>49.1</v>
      </c>
      <c r="P1342" t="inlineStr">
        <is>
          <t>Cash on Delivery</t>
        </is>
      </c>
      <c r="Q1342" t="inlineStr">
        <is>
          <t>Delivered</t>
        </is>
      </c>
      <c r="R1342" t="n">
        <v>2</v>
      </c>
    </row>
    <row r="1343">
      <c r="A1343" t="inlineStr">
        <is>
          <t>ORD2342</t>
        </is>
      </c>
      <c r="B1343" t="inlineStr">
        <is>
          <t>2025-03-11</t>
        </is>
      </c>
      <c r="C1343" t="inlineStr">
        <is>
          <t>20:46:19</t>
        </is>
      </c>
      <c r="D1343" t="n">
        <v>1258</v>
      </c>
      <c r="E1343" t="n">
        <v>113</v>
      </c>
      <c r="F1343" t="n">
        <v>202</v>
      </c>
      <c r="G1343" t="inlineStr">
        <is>
          <t>Mumbai</t>
        </is>
      </c>
      <c r="H1343" t="inlineStr">
        <is>
          <t>Fast Food</t>
        </is>
      </c>
      <c r="I1343" t="n">
        <v>220</v>
      </c>
      <c r="J1343" t="n">
        <v>12.15</v>
      </c>
      <c r="K1343" t="n">
        <v>27.5</v>
      </c>
      <c r="L1343" t="n">
        <v>0.18</v>
      </c>
      <c r="M1343" t="n">
        <v>46.48</v>
      </c>
      <c r="N1343" t="n">
        <v>3.5</v>
      </c>
      <c r="O1343" t="n">
        <v>37</v>
      </c>
      <c r="P1343" t="inlineStr">
        <is>
          <t>Debit Card</t>
        </is>
      </c>
      <c r="Q1343" t="inlineStr">
        <is>
          <t>Delivered</t>
        </is>
      </c>
      <c r="R1343" t="n">
        <v>4</v>
      </c>
    </row>
    <row r="1344">
      <c r="A1344" t="inlineStr">
        <is>
          <t>ORD2343</t>
        </is>
      </c>
      <c r="B1344" t="inlineStr">
        <is>
          <t>2025-01-31</t>
        </is>
      </c>
      <c r="C1344" t="inlineStr">
        <is>
          <t>08:48:26</t>
        </is>
      </c>
      <c r="D1344" t="n">
        <v>1090</v>
      </c>
      <c r="E1344" t="n">
        <v>111</v>
      </c>
      <c r="F1344" t="n">
        <v>205</v>
      </c>
      <c r="G1344" t="inlineStr">
        <is>
          <t>Bangalore</t>
        </is>
      </c>
      <c r="H1344" t="inlineStr">
        <is>
          <t>South Indian</t>
        </is>
      </c>
      <c r="I1344" t="n">
        <v>363</v>
      </c>
      <c r="J1344" t="n">
        <v>0</v>
      </c>
      <c r="K1344" t="n">
        <v>31</v>
      </c>
      <c r="L1344" t="n">
        <v>0.15</v>
      </c>
      <c r="M1344" t="n">
        <v>62.2</v>
      </c>
      <c r="N1344" t="n">
        <v>4.2</v>
      </c>
      <c r="O1344" t="n">
        <v>35</v>
      </c>
      <c r="P1344" t="inlineStr">
        <is>
          <t>Credit Card</t>
        </is>
      </c>
      <c r="Q1344" t="inlineStr">
        <is>
          <t>Delivered</t>
        </is>
      </c>
      <c r="R1344" t="n">
        <v>5</v>
      </c>
    </row>
    <row r="1345">
      <c r="A1345" t="inlineStr">
        <is>
          <t>ORD2344</t>
        </is>
      </c>
      <c r="B1345" t="inlineStr">
        <is>
          <t>2025-07-20</t>
        </is>
      </c>
      <c r="C1345" t="inlineStr">
        <is>
          <t>11:37:12</t>
        </is>
      </c>
      <c r="D1345" t="n">
        <v>1052</v>
      </c>
      <c r="E1345" t="n">
        <v>119</v>
      </c>
      <c r="F1345" t="n">
        <v>216</v>
      </c>
      <c r="G1345" t="inlineStr">
        <is>
          <t>Hyderabad</t>
        </is>
      </c>
      <c r="H1345" t="inlineStr">
        <is>
          <t>Biryani</t>
        </is>
      </c>
      <c r="I1345" t="n">
        <v>474</v>
      </c>
      <c r="J1345" t="n">
        <v>51.38</v>
      </c>
      <c r="K1345" t="n">
        <v>25</v>
      </c>
      <c r="L1345" t="n">
        <v>0.2</v>
      </c>
      <c r="M1345" t="n">
        <v>101.05</v>
      </c>
      <c r="N1345" t="n">
        <v>2.9</v>
      </c>
      <c r="O1345" t="n">
        <v>21</v>
      </c>
      <c r="P1345" t="inlineStr">
        <is>
          <t>Debit Card</t>
        </is>
      </c>
      <c r="Q1345" t="inlineStr">
        <is>
          <t>Returned</t>
        </is>
      </c>
      <c r="R1345" t="n">
        <v>4</v>
      </c>
    </row>
    <row r="1346">
      <c r="A1346" t="inlineStr">
        <is>
          <t>ORD2345</t>
        </is>
      </c>
      <c r="B1346" t="inlineStr">
        <is>
          <t>2025-03-05</t>
        </is>
      </c>
      <c r="C1346" t="inlineStr">
        <is>
          <t>21:46:47</t>
        </is>
      </c>
      <c r="D1346" t="n">
        <v>1016</v>
      </c>
      <c r="E1346" t="n">
        <v>101</v>
      </c>
      <c r="F1346" t="n">
        <v>218</v>
      </c>
      <c r="G1346" t="inlineStr">
        <is>
          <t>Bangalore</t>
        </is>
      </c>
      <c r="H1346" t="inlineStr">
        <is>
          <t>North Indian</t>
        </is>
      </c>
      <c r="I1346" t="n">
        <v>819</v>
      </c>
      <c r="J1346" t="n">
        <v>9.949999999999999</v>
      </c>
      <c r="K1346" t="n">
        <v>33</v>
      </c>
      <c r="L1346" t="n">
        <v>0.2</v>
      </c>
      <c r="M1346" t="n">
        <v>172.05</v>
      </c>
      <c r="N1346" t="n">
        <v>4.6</v>
      </c>
      <c r="O1346" t="n">
        <v>34.8</v>
      </c>
      <c r="P1346" t="inlineStr">
        <is>
          <t>Debit Card</t>
        </is>
      </c>
      <c r="Q1346" t="inlineStr">
        <is>
          <t>Delivered</t>
        </is>
      </c>
      <c r="R1346" t="n">
        <v>3</v>
      </c>
    </row>
    <row r="1347">
      <c r="A1347" t="inlineStr">
        <is>
          <t>ORD2346</t>
        </is>
      </c>
      <c r="B1347" t="inlineStr">
        <is>
          <t>2025-09-24</t>
        </is>
      </c>
      <c r="C1347" t="inlineStr">
        <is>
          <t>19:19:33</t>
        </is>
      </c>
      <c r="D1347" t="n">
        <v>1024</v>
      </c>
      <c r="E1347" t="n">
        <v>103</v>
      </c>
      <c r="F1347" t="n">
        <v>222</v>
      </c>
      <c r="G1347" t="inlineStr">
        <is>
          <t>Mumbai</t>
        </is>
      </c>
      <c r="H1347" t="inlineStr">
        <is>
          <t>Italian</t>
        </is>
      </c>
      <c r="I1347" t="n">
        <v>325</v>
      </c>
      <c r="J1347" t="n">
        <v>15.56</v>
      </c>
      <c r="K1347" t="n">
        <v>25</v>
      </c>
      <c r="L1347" t="n">
        <v>0.18</v>
      </c>
      <c r="M1347" t="n">
        <v>64.75</v>
      </c>
      <c r="N1347" t="n">
        <v>1.7</v>
      </c>
      <c r="O1347" t="n">
        <v>21.3</v>
      </c>
      <c r="P1347" t="inlineStr">
        <is>
          <t>Cash on Delivery</t>
        </is>
      </c>
      <c r="Q1347" t="inlineStr">
        <is>
          <t>Delivered</t>
        </is>
      </c>
      <c r="R1347" t="n">
        <v>5</v>
      </c>
    </row>
    <row r="1348">
      <c r="A1348" t="inlineStr">
        <is>
          <t>ORD2347</t>
        </is>
      </c>
      <c r="B1348" t="inlineStr">
        <is>
          <t>2025-03-20</t>
        </is>
      </c>
      <c r="C1348" t="inlineStr">
        <is>
          <t>19:04:56</t>
        </is>
      </c>
      <c r="D1348" t="n">
        <v>1256</v>
      </c>
      <c r="E1348" t="n">
        <v>115</v>
      </c>
      <c r="F1348" t="n">
        <v>220</v>
      </c>
      <c r="G1348" t="inlineStr">
        <is>
          <t>Bangalore</t>
        </is>
      </c>
      <c r="H1348" t="inlineStr">
        <is>
          <t>Italian</t>
        </is>
      </c>
      <c r="I1348" t="n">
        <v>569</v>
      </c>
      <c r="J1348" t="n">
        <v>43.22</v>
      </c>
      <c r="K1348" t="n">
        <v>52</v>
      </c>
      <c r="L1348" t="n">
        <v>0.2</v>
      </c>
      <c r="M1348" t="n">
        <v>126.8</v>
      </c>
      <c r="N1348" t="n">
        <v>8.4</v>
      </c>
      <c r="O1348" t="n">
        <v>46</v>
      </c>
      <c r="P1348" t="inlineStr">
        <is>
          <t>Debit Card</t>
        </is>
      </c>
      <c r="Q1348" t="inlineStr">
        <is>
          <t>Delivered</t>
        </is>
      </c>
      <c r="R1348" t="n">
        <v>4</v>
      </c>
    </row>
    <row r="1349">
      <c r="A1349" t="inlineStr">
        <is>
          <t>ORD2348</t>
        </is>
      </c>
      <c r="B1349" t="inlineStr">
        <is>
          <t>2025-08-07</t>
        </is>
      </c>
      <c r="C1349" t="inlineStr">
        <is>
          <t>09:37:10</t>
        </is>
      </c>
      <c r="D1349" t="n">
        <v>1022</v>
      </c>
      <c r="E1349" t="n">
        <v>108</v>
      </c>
      <c r="F1349" t="n">
        <v>219</v>
      </c>
      <c r="G1349" t="inlineStr">
        <is>
          <t>Delhi NCR</t>
        </is>
      </c>
      <c r="H1349" t="inlineStr">
        <is>
          <t>Fast Food</t>
        </is>
      </c>
      <c r="I1349" t="n">
        <v>946</v>
      </c>
      <c r="J1349" t="n">
        <v>60.12</v>
      </c>
      <c r="K1349" t="n">
        <v>26</v>
      </c>
      <c r="L1349" t="n">
        <v>0.18</v>
      </c>
      <c r="M1349" t="n">
        <v>176.78</v>
      </c>
      <c r="N1349" t="n">
        <v>3.2</v>
      </c>
      <c r="O1349" t="n">
        <v/>
      </c>
      <c r="P1349" t="inlineStr">
        <is>
          <t>Credit Card</t>
        </is>
      </c>
      <c r="Q1349" t="inlineStr">
        <is>
          <t>Cancelled</t>
        </is>
      </c>
      <c r="R1349" t="n">
        <v/>
      </c>
    </row>
    <row r="1350">
      <c r="A1350" t="inlineStr">
        <is>
          <t>ORD2349</t>
        </is>
      </c>
      <c r="B1350" t="inlineStr">
        <is>
          <t>2025-05-04</t>
        </is>
      </c>
      <c r="C1350" t="inlineStr">
        <is>
          <t>09:55:54</t>
        </is>
      </c>
      <c r="D1350" t="n">
        <v>1089</v>
      </c>
      <c r="E1350" t="n">
        <v>105</v>
      </c>
      <c r="F1350" t="n">
        <v>218</v>
      </c>
      <c r="G1350" t="inlineStr">
        <is>
          <t>Bangalore</t>
        </is>
      </c>
      <c r="H1350" t="inlineStr">
        <is>
          <t>Chinese</t>
        </is>
      </c>
      <c r="I1350" t="n">
        <v>1126</v>
      </c>
      <c r="J1350" t="n">
        <v>206.81</v>
      </c>
      <c r="K1350" t="n">
        <v>0</v>
      </c>
      <c r="L1350" t="n">
        <v>0.2</v>
      </c>
      <c r="M1350" t="n">
        <v>225.2</v>
      </c>
      <c r="N1350" t="n">
        <v>4.1</v>
      </c>
      <c r="O1350" t="n">
        <v>38.1</v>
      </c>
      <c r="P1350" t="inlineStr">
        <is>
          <t>Cash on Delivery</t>
        </is>
      </c>
      <c r="Q1350" t="inlineStr">
        <is>
          <t>Delivered</t>
        </is>
      </c>
      <c r="R1350" t="n">
        <v>5</v>
      </c>
    </row>
    <row r="1351">
      <c r="A1351" t="inlineStr">
        <is>
          <t>ORD2350</t>
        </is>
      </c>
      <c r="B1351" t="inlineStr">
        <is>
          <t>2025-05-24</t>
        </is>
      </c>
      <c r="C1351" t="inlineStr">
        <is>
          <t>19:53:46</t>
        </is>
      </c>
      <c r="D1351" t="n">
        <v>1151</v>
      </c>
      <c r="E1351" t="n">
        <v>117</v>
      </c>
      <c r="F1351" t="n">
        <v>202</v>
      </c>
      <c r="G1351" t="inlineStr">
        <is>
          <t>Mumbai</t>
        </is>
      </c>
      <c r="H1351" t="inlineStr">
        <is>
          <t>Chinese</t>
        </is>
      </c>
      <c r="I1351" t="n">
        <v>833</v>
      </c>
      <c r="J1351" t="n">
        <v>104.26</v>
      </c>
      <c r="K1351" t="n">
        <v>0</v>
      </c>
      <c r="L1351" t="n">
        <v>0.2</v>
      </c>
      <c r="M1351" t="n">
        <v>166.6</v>
      </c>
      <c r="N1351" t="n">
        <v>3.1</v>
      </c>
      <c r="O1351" t="n">
        <v>29.1</v>
      </c>
      <c r="P1351" t="inlineStr">
        <is>
          <t>Cash on Delivery</t>
        </is>
      </c>
      <c r="Q1351" t="inlineStr">
        <is>
          <t>Delivered</t>
        </is>
      </c>
      <c r="R1351" t="n">
        <v>5</v>
      </c>
    </row>
    <row r="1352">
      <c r="A1352" t="inlineStr">
        <is>
          <t>ORD2351</t>
        </is>
      </c>
      <c r="B1352" t="inlineStr">
        <is>
          <t>2025-01-07</t>
        </is>
      </c>
      <c r="C1352" t="inlineStr">
        <is>
          <t>23:06:45</t>
        </is>
      </c>
      <c r="D1352" t="n">
        <v>1086</v>
      </c>
      <c r="E1352" t="n">
        <v>112</v>
      </c>
      <c r="F1352" t="n">
        <v>221</v>
      </c>
      <c r="G1352" t="inlineStr">
        <is>
          <t>Delhi NCR</t>
        </is>
      </c>
      <c r="H1352" t="inlineStr">
        <is>
          <t>North Indian</t>
        </is>
      </c>
      <c r="I1352" t="n">
        <v>717</v>
      </c>
      <c r="J1352" t="n">
        <v>0</v>
      </c>
      <c r="K1352" t="n">
        <v>30</v>
      </c>
      <c r="L1352" t="n">
        <v>0.22</v>
      </c>
      <c r="M1352" t="n">
        <v>165.24</v>
      </c>
      <c r="N1352" t="n">
        <v>4</v>
      </c>
      <c r="O1352" t="n">
        <v>28.6</v>
      </c>
      <c r="P1352" t="inlineStr">
        <is>
          <t>Digital Wallet</t>
        </is>
      </c>
      <c r="Q1352" t="inlineStr">
        <is>
          <t>Delivered</t>
        </is>
      </c>
      <c r="R1352" t="n">
        <v>5</v>
      </c>
    </row>
    <row r="1353">
      <c r="A1353" t="inlineStr">
        <is>
          <t>ORD2352</t>
        </is>
      </c>
      <c r="B1353" t="inlineStr">
        <is>
          <t>2025-12-29</t>
        </is>
      </c>
      <c r="C1353" t="inlineStr">
        <is>
          <t>15:31:35</t>
        </is>
      </c>
      <c r="D1353" t="n">
        <v>1297</v>
      </c>
      <c r="E1353" t="n">
        <v>102</v>
      </c>
      <c r="F1353" t="n">
        <v>215</v>
      </c>
      <c r="G1353" t="inlineStr">
        <is>
          <t>Hyderabad</t>
        </is>
      </c>
      <c r="H1353" t="inlineStr">
        <is>
          <t>Biryani</t>
        </is>
      </c>
      <c r="I1353" t="n">
        <v>841</v>
      </c>
      <c r="J1353" t="n">
        <v>91.34999999999999</v>
      </c>
      <c r="K1353" t="n">
        <v>25</v>
      </c>
      <c r="L1353" t="n">
        <v>0.22</v>
      </c>
      <c r="M1353" t="n">
        <v>191.27</v>
      </c>
      <c r="N1353" t="n">
        <v>2.6</v>
      </c>
      <c r="O1353" t="n">
        <v>23.5</v>
      </c>
      <c r="P1353" t="inlineStr">
        <is>
          <t>Digital Wallet</t>
        </is>
      </c>
      <c r="Q1353" t="inlineStr">
        <is>
          <t>Delivered</t>
        </is>
      </c>
      <c r="R1353" t="n">
        <v>3</v>
      </c>
    </row>
    <row r="1354">
      <c r="A1354" t="inlineStr">
        <is>
          <t>ORD2353</t>
        </is>
      </c>
      <c r="B1354" t="inlineStr">
        <is>
          <t>2025-10-30</t>
        </is>
      </c>
      <c r="C1354" t="inlineStr">
        <is>
          <t>21:53:50</t>
        </is>
      </c>
      <c r="D1354" t="n">
        <v>1079</v>
      </c>
      <c r="E1354" t="n">
        <v>115</v>
      </c>
      <c r="F1354" t="n">
        <v>218</v>
      </c>
      <c r="G1354" t="inlineStr">
        <is>
          <t>Bangalore</t>
        </is>
      </c>
      <c r="H1354" t="inlineStr">
        <is>
          <t>Italian</t>
        </is>
      </c>
      <c r="I1354" t="n">
        <v>878</v>
      </c>
      <c r="J1354" t="n">
        <v>40.43</v>
      </c>
      <c r="K1354" t="n">
        <v>63.5</v>
      </c>
      <c r="L1354" t="n">
        <v>0.2</v>
      </c>
      <c r="M1354" t="n">
        <v>191.48</v>
      </c>
      <c r="N1354" t="n">
        <v>10.7</v>
      </c>
      <c r="O1354" t="n">
        <v>60.8</v>
      </c>
      <c r="P1354" t="inlineStr">
        <is>
          <t>Credit Card</t>
        </is>
      </c>
      <c r="Q1354" t="inlineStr">
        <is>
          <t>Delivered</t>
        </is>
      </c>
      <c r="R1354" t="n">
        <v>1</v>
      </c>
    </row>
    <row r="1355">
      <c r="A1355" t="inlineStr">
        <is>
          <t>ORD2354</t>
        </is>
      </c>
      <c r="B1355" t="inlineStr">
        <is>
          <t>2025-01-21</t>
        </is>
      </c>
      <c r="C1355" t="inlineStr">
        <is>
          <t>21:22:41</t>
        </is>
      </c>
      <c r="D1355" t="n">
        <v>1189</v>
      </c>
      <c r="E1355" t="n">
        <v>119</v>
      </c>
      <c r="F1355" t="n">
        <v>215</v>
      </c>
      <c r="G1355" t="inlineStr">
        <is>
          <t>Hyderabad</t>
        </is>
      </c>
      <c r="H1355" t="inlineStr">
        <is>
          <t>Biryani</t>
        </is>
      </c>
      <c r="I1355" t="n">
        <v>670</v>
      </c>
      <c r="J1355" t="n">
        <v>30.73</v>
      </c>
      <c r="K1355" t="n">
        <v>37.5</v>
      </c>
      <c r="L1355" t="n">
        <v>0.2</v>
      </c>
      <c r="M1355" t="n">
        <v>143.38</v>
      </c>
      <c r="N1355" t="n">
        <v>5.5</v>
      </c>
      <c r="O1355" t="n">
        <v>45.8</v>
      </c>
      <c r="P1355" t="inlineStr">
        <is>
          <t>Cash on Delivery</t>
        </is>
      </c>
      <c r="Q1355" t="inlineStr">
        <is>
          <t>Delivered</t>
        </is>
      </c>
      <c r="R1355" t="n">
        <v>4</v>
      </c>
    </row>
    <row r="1356">
      <c r="A1356" t="inlineStr">
        <is>
          <t>ORD2355</t>
        </is>
      </c>
      <c r="B1356" t="inlineStr">
        <is>
          <t>2025-10-18</t>
        </is>
      </c>
      <c r="C1356" t="inlineStr">
        <is>
          <t>00:11:01</t>
        </is>
      </c>
      <c r="D1356" t="n">
        <v>1233</v>
      </c>
      <c r="E1356" t="n">
        <v>106</v>
      </c>
      <c r="F1356" t="n">
        <v>217</v>
      </c>
      <c r="G1356" t="inlineStr">
        <is>
          <t>Pune</t>
        </is>
      </c>
      <c r="H1356" t="inlineStr">
        <is>
          <t>South Indian</t>
        </is>
      </c>
      <c r="I1356" t="n">
        <v>865</v>
      </c>
      <c r="J1356" t="n">
        <v>6.84</v>
      </c>
      <c r="K1356" t="n">
        <v>28</v>
      </c>
      <c r="L1356" t="n">
        <v>0.15</v>
      </c>
      <c r="M1356" t="n">
        <v>136.75</v>
      </c>
      <c r="N1356" t="n">
        <v>3.6</v>
      </c>
      <c r="O1356" t="n">
        <v>31.5</v>
      </c>
      <c r="P1356" t="inlineStr">
        <is>
          <t>UPI</t>
        </is>
      </c>
      <c r="Q1356" t="inlineStr">
        <is>
          <t>Delivered</t>
        </is>
      </c>
      <c r="R1356" t="n">
        <v>3</v>
      </c>
    </row>
    <row r="1357">
      <c r="A1357" t="inlineStr">
        <is>
          <t>ORD2356</t>
        </is>
      </c>
      <c r="B1357" t="inlineStr">
        <is>
          <t>2025-12-16</t>
        </is>
      </c>
      <c r="C1357" t="inlineStr">
        <is>
          <t>21:22:22</t>
        </is>
      </c>
      <c r="D1357" t="n">
        <v>1235</v>
      </c>
      <c r="E1357" t="n">
        <v>119</v>
      </c>
      <c r="F1357" t="n">
        <v>215</v>
      </c>
      <c r="G1357" t="inlineStr">
        <is>
          <t>Hyderabad</t>
        </is>
      </c>
      <c r="H1357" t="inlineStr">
        <is>
          <t>Biryani</t>
        </is>
      </c>
      <c r="I1357" t="n">
        <v>474</v>
      </c>
      <c r="J1357" t="n">
        <v>0</v>
      </c>
      <c r="K1357" t="n">
        <v>37.5</v>
      </c>
      <c r="L1357" t="n">
        <v>0.2</v>
      </c>
      <c r="M1357" t="n">
        <v>104.18</v>
      </c>
      <c r="N1357" t="n">
        <v>5.5</v>
      </c>
      <c r="O1357" t="n">
        <v>42.2</v>
      </c>
      <c r="P1357" t="inlineStr">
        <is>
          <t>Debit Card</t>
        </is>
      </c>
      <c r="Q1357" t="inlineStr">
        <is>
          <t>Delivered</t>
        </is>
      </c>
      <c r="R1357" t="n">
        <v>2</v>
      </c>
    </row>
    <row r="1358">
      <c r="A1358" t="inlineStr">
        <is>
          <t>ORD2357</t>
        </is>
      </c>
      <c r="B1358" t="inlineStr">
        <is>
          <t>2025-04-18</t>
        </is>
      </c>
      <c r="C1358" t="inlineStr">
        <is>
          <t>19:35:49</t>
        </is>
      </c>
      <c r="D1358" t="n">
        <v>1203</v>
      </c>
      <c r="E1358" t="n">
        <v>104</v>
      </c>
      <c r="F1358" t="n">
        <v>211</v>
      </c>
      <c r="G1358" t="inlineStr">
        <is>
          <t>Delhi NCR</t>
        </is>
      </c>
      <c r="H1358" t="inlineStr">
        <is>
          <t>Fast Food</t>
        </is>
      </c>
      <c r="I1358" t="n">
        <v>780</v>
      </c>
      <c r="J1358" t="n">
        <v>46.22</v>
      </c>
      <c r="K1358" t="n">
        <v>25</v>
      </c>
      <c r="L1358" t="n">
        <v>0.18</v>
      </c>
      <c r="M1358" t="n">
        <v>146.65</v>
      </c>
      <c r="N1358" t="n">
        <v>2.1</v>
      </c>
      <c r="O1358" t="n">
        <v>28.4</v>
      </c>
      <c r="P1358" t="inlineStr">
        <is>
          <t>Credit Card</t>
        </is>
      </c>
      <c r="Q1358" t="inlineStr">
        <is>
          <t>Delivered</t>
        </is>
      </c>
      <c r="R1358" t="n">
        <v>4</v>
      </c>
    </row>
    <row r="1359">
      <c r="A1359" t="inlineStr">
        <is>
          <t>ORD2358</t>
        </is>
      </c>
      <c r="B1359" t="inlineStr">
        <is>
          <t>2025-06-30</t>
        </is>
      </c>
      <c r="C1359" t="inlineStr">
        <is>
          <t>19:39:34</t>
        </is>
      </c>
      <c r="D1359" t="n">
        <v>1116</v>
      </c>
      <c r="E1359" t="n">
        <v>103</v>
      </c>
      <c r="F1359" t="n">
        <v>202</v>
      </c>
      <c r="G1359" t="inlineStr">
        <is>
          <t>Mumbai</t>
        </is>
      </c>
      <c r="H1359" t="inlineStr">
        <is>
          <t>Italian</t>
        </is>
      </c>
      <c r="I1359" t="n">
        <v>634</v>
      </c>
      <c r="J1359" t="n">
        <v>115.94</v>
      </c>
      <c r="K1359" t="n">
        <v>0</v>
      </c>
      <c r="L1359" t="n">
        <v>0.18</v>
      </c>
      <c r="M1359" t="n">
        <v>114.12</v>
      </c>
      <c r="N1359" t="n">
        <v>5.8</v>
      </c>
      <c r="O1359" t="n">
        <v>40.6</v>
      </c>
      <c r="P1359" t="inlineStr">
        <is>
          <t>UPI</t>
        </is>
      </c>
      <c r="Q1359" t="inlineStr">
        <is>
          <t>Delivered</t>
        </is>
      </c>
      <c r="R1359" t="n">
        <v>3</v>
      </c>
    </row>
    <row r="1360">
      <c r="A1360" t="inlineStr">
        <is>
          <t>ORD2359</t>
        </is>
      </c>
      <c r="B1360" t="inlineStr">
        <is>
          <t>2025-11-24</t>
        </is>
      </c>
      <c r="C1360" t="inlineStr">
        <is>
          <t>20:11:48</t>
        </is>
      </c>
      <c r="D1360" t="n">
        <v>1177</v>
      </c>
      <c r="E1360" t="n">
        <v>118</v>
      </c>
      <c r="F1360" t="n">
        <v>221</v>
      </c>
      <c r="G1360" t="inlineStr">
        <is>
          <t>Delhi NCR</t>
        </is>
      </c>
      <c r="H1360" t="inlineStr">
        <is>
          <t>North Indian</t>
        </is>
      </c>
      <c r="I1360" t="n">
        <v>611</v>
      </c>
      <c r="J1360" t="n">
        <v>39.2</v>
      </c>
      <c r="K1360" t="n">
        <v>27</v>
      </c>
      <c r="L1360" t="n">
        <v>0.2</v>
      </c>
      <c r="M1360" t="n">
        <v>128.95</v>
      </c>
      <c r="N1360" t="n">
        <v>3.4</v>
      </c>
      <c r="O1360" t="n">
        <v/>
      </c>
      <c r="P1360" t="inlineStr">
        <is>
          <t>Cash on Delivery</t>
        </is>
      </c>
      <c r="Q1360" t="inlineStr">
        <is>
          <t>Cancelled</t>
        </is>
      </c>
      <c r="R1360" t="n">
        <v/>
      </c>
    </row>
    <row r="1361">
      <c r="A1361" t="inlineStr">
        <is>
          <t>ORD2360</t>
        </is>
      </c>
      <c r="B1361" t="inlineStr">
        <is>
          <t>2025-07-05</t>
        </is>
      </c>
      <c r="C1361" t="inlineStr">
        <is>
          <t>18:48:10</t>
        </is>
      </c>
      <c r="D1361" t="n">
        <v>1216</v>
      </c>
      <c r="E1361" t="n">
        <v>110</v>
      </c>
      <c r="F1361" t="n">
        <v>214</v>
      </c>
      <c r="G1361" t="inlineStr">
        <is>
          <t>Pune</t>
        </is>
      </c>
      <c r="H1361" t="inlineStr">
        <is>
          <t>North Indian</t>
        </is>
      </c>
      <c r="I1361" t="n">
        <v>392</v>
      </c>
      <c r="J1361" t="n">
        <v>0</v>
      </c>
      <c r="K1361" t="n">
        <v>25</v>
      </c>
      <c r="L1361" t="n">
        <v>0.18</v>
      </c>
      <c r="M1361" t="n">
        <v>76.81</v>
      </c>
      <c r="N1361" t="n">
        <v>1.7</v>
      </c>
      <c r="O1361" t="n">
        <v>20.8</v>
      </c>
      <c r="P1361" t="inlineStr">
        <is>
          <t>Digital Wallet</t>
        </is>
      </c>
      <c r="Q1361" t="inlineStr">
        <is>
          <t>Delivered</t>
        </is>
      </c>
      <c r="R1361" t="n">
        <v>5</v>
      </c>
    </row>
    <row r="1362">
      <c r="A1362" t="inlineStr">
        <is>
          <t>ORD2361</t>
        </is>
      </c>
      <c r="B1362" t="inlineStr">
        <is>
          <t>2025-07-23</t>
        </is>
      </c>
      <c r="C1362" t="inlineStr">
        <is>
          <t>18:39:44</t>
        </is>
      </c>
      <c r="D1362" t="n">
        <v>1244</v>
      </c>
      <c r="E1362" t="n">
        <v>112</v>
      </c>
      <c r="F1362" t="n">
        <v>221</v>
      </c>
      <c r="G1362" t="inlineStr">
        <is>
          <t>Delhi NCR</t>
        </is>
      </c>
      <c r="H1362" t="inlineStr">
        <is>
          <t>North Indian</t>
        </is>
      </c>
      <c r="I1362" t="n">
        <v>297</v>
      </c>
      <c r="J1362" t="n">
        <v>0</v>
      </c>
      <c r="K1362" t="n">
        <v>31.5</v>
      </c>
      <c r="L1362" t="n">
        <v>0.22</v>
      </c>
      <c r="M1362" t="n">
        <v>73.22</v>
      </c>
      <c r="N1362" t="n">
        <v>4.3</v>
      </c>
      <c r="O1362" t="n">
        <v>33.2</v>
      </c>
      <c r="P1362" t="inlineStr">
        <is>
          <t>Digital Wallet</t>
        </is>
      </c>
      <c r="Q1362" t="inlineStr">
        <is>
          <t>Delivered</t>
        </is>
      </c>
      <c r="R1362" t="n">
        <v>4</v>
      </c>
    </row>
    <row r="1363">
      <c r="A1363" t="inlineStr">
        <is>
          <t>ORD2362</t>
        </is>
      </c>
      <c r="B1363" t="inlineStr">
        <is>
          <t>2025-06-24</t>
        </is>
      </c>
      <c r="C1363" t="inlineStr">
        <is>
          <t>18:34:22</t>
        </is>
      </c>
      <c r="D1363" t="n">
        <v>1249</v>
      </c>
      <c r="E1363" t="n">
        <v>102</v>
      </c>
      <c r="F1363" t="n">
        <v>216</v>
      </c>
      <c r="G1363" t="inlineStr">
        <is>
          <t>Hyderabad</t>
        </is>
      </c>
      <c r="H1363" t="inlineStr">
        <is>
          <t>Biryani</t>
        </is>
      </c>
      <c r="I1363" t="n">
        <v>760</v>
      </c>
      <c r="J1363" t="n">
        <v>146.02</v>
      </c>
      <c r="K1363" t="n">
        <v>0</v>
      </c>
      <c r="L1363" t="n">
        <v>0.22</v>
      </c>
      <c r="M1363" t="n">
        <v>167.2</v>
      </c>
      <c r="N1363" t="n">
        <v>2.8</v>
      </c>
      <c r="O1363" t="n">
        <v>21</v>
      </c>
      <c r="P1363" t="inlineStr">
        <is>
          <t>Debit Card</t>
        </is>
      </c>
      <c r="Q1363" t="inlineStr">
        <is>
          <t>Delivered</t>
        </is>
      </c>
      <c r="R1363" t="n">
        <v>4</v>
      </c>
    </row>
    <row r="1364">
      <c r="A1364" t="inlineStr">
        <is>
          <t>ORD2363</t>
        </is>
      </c>
      <c r="B1364" t="inlineStr">
        <is>
          <t>2025-08-15</t>
        </is>
      </c>
      <c r="C1364" t="inlineStr">
        <is>
          <t>11:52:02</t>
        </is>
      </c>
      <c r="D1364" t="n">
        <v>1059</v>
      </c>
      <c r="E1364" t="n">
        <v>102</v>
      </c>
      <c r="F1364" t="n">
        <v>216</v>
      </c>
      <c r="G1364" t="inlineStr">
        <is>
          <t>Hyderabad</t>
        </is>
      </c>
      <c r="H1364" t="inlineStr">
        <is>
          <t>Biryani</t>
        </is>
      </c>
      <c r="I1364" t="n">
        <v>471</v>
      </c>
      <c r="J1364" t="n">
        <v>25.15</v>
      </c>
      <c r="K1364" t="n">
        <v>25</v>
      </c>
      <c r="L1364" t="n">
        <v>0.22</v>
      </c>
      <c r="M1364" t="n">
        <v>109.87</v>
      </c>
      <c r="N1364" t="n">
        <v>2.3</v>
      </c>
      <c r="O1364" t="n">
        <v>21.3</v>
      </c>
      <c r="P1364" t="inlineStr">
        <is>
          <t>Cash on Delivery</t>
        </is>
      </c>
      <c r="Q1364" t="inlineStr">
        <is>
          <t>Delivered</t>
        </is>
      </c>
      <c r="R1364" t="n">
        <v>4</v>
      </c>
    </row>
    <row r="1365">
      <c r="A1365" t="inlineStr">
        <is>
          <t>ORD2364</t>
        </is>
      </c>
      <c r="B1365" t="inlineStr">
        <is>
          <t>2025-05-06</t>
        </is>
      </c>
      <c r="C1365" t="inlineStr">
        <is>
          <t>08:56:14</t>
        </is>
      </c>
      <c r="D1365" t="n">
        <v>1015</v>
      </c>
      <c r="E1365" t="n">
        <v>119</v>
      </c>
      <c r="F1365" t="n">
        <v>215</v>
      </c>
      <c r="G1365" t="inlineStr">
        <is>
          <t>Hyderabad</t>
        </is>
      </c>
      <c r="H1365" t="inlineStr">
        <is>
          <t>Biryani</t>
        </is>
      </c>
      <c r="I1365" t="n">
        <v>670</v>
      </c>
      <c r="J1365" t="n">
        <v>11.58</v>
      </c>
      <c r="K1365" t="n">
        <v>35</v>
      </c>
      <c r="L1365" t="n">
        <v>0.2</v>
      </c>
      <c r="M1365" t="n">
        <v>142.75</v>
      </c>
      <c r="N1365" t="n">
        <v>5</v>
      </c>
      <c r="O1365" t="n">
        <v>28.3</v>
      </c>
      <c r="P1365" t="inlineStr">
        <is>
          <t>Credit Card</t>
        </is>
      </c>
      <c r="Q1365" t="inlineStr">
        <is>
          <t>Delivered</t>
        </is>
      </c>
      <c r="R1365" t="n">
        <v>5</v>
      </c>
    </row>
    <row r="1366">
      <c r="A1366" t="inlineStr">
        <is>
          <t>ORD2365</t>
        </is>
      </c>
      <c r="B1366" t="inlineStr">
        <is>
          <t>2025-08-13</t>
        </is>
      </c>
      <c r="C1366" t="inlineStr">
        <is>
          <t>11:26:35</t>
        </is>
      </c>
      <c r="D1366" t="n">
        <v>1298</v>
      </c>
      <c r="E1366" t="n">
        <v>102</v>
      </c>
      <c r="F1366" t="n">
        <v>216</v>
      </c>
      <c r="G1366" t="inlineStr">
        <is>
          <t>Hyderabad</t>
        </is>
      </c>
      <c r="H1366" t="inlineStr">
        <is>
          <t>Biryani</t>
        </is>
      </c>
      <c r="I1366" t="n">
        <v>784</v>
      </c>
      <c r="J1366" t="n">
        <v>12.06</v>
      </c>
      <c r="K1366" t="n">
        <v>25</v>
      </c>
      <c r="L1366" t="n">
        <v>0.22</v>
      </c>
      <c r="M1366" t="n">
        <v>178.73</v>
      </c>
      <c r="N1366" t="n">
        <v>1.9</v>
      </c>
      <c r="O1366" t="n">
        <v>20.2</v>
      </c>
      <c r="P1366" t="inlineStr">
        <is>
          <t>Digital Wallet</t>
        </is>
      </c>
      <c r="Q1366" t="inlineStr">
        <is>
          <t>Delivered</t>
        </is>
      </c>
      <c r="R1366" t="n">
        <v>4</v>
      </c>
    </row>
    <row r="1367">
      <c r="A1367" t="inlineStr">
        <is>
          <t>ORD2366</t>
        </is>
      </c>
      <c r="B1367" t="inlineStr">
        <is>
          <t>2025-12-28</t>
        </is>
      </c>
      <c r="C1367" t="inlineStr">
        <is>
          <t>13:50:23</t>
        </is>
      </c>
      <c r="D1367" t="n">
        <v>1286</v>
      </c>
      <c r="E1367" t="n">
        <v>118</v>
      </c>
      <c r="F1367" t="n">
        <v>219</v>
      </c>
      <c r="G1367" t="inlineStr">
        <is>
          <t>Delhi NCR</t>
        </is>
      </c>
      <c r="H1367" t="inlineStr">
        <is>
          <t>North Indian</t>
        </is>
      </c>
      <c r="I1367" t="n">
        <v>489</v>
      </c>
      <c r="J1367" t="n">
        <v>0</v>
      </c>
      <c r="K1367" t="n">
        <v>26.5</v>
      </c>
      <c r="L1367" t="n">
        <v>0.2</v>
      </c>
      <c r="M1367" t="n">
        <v>104.43</v>
      </c>
      <c r="N1367" t="n">
        <v>3.3</v>
      </c>
      <c r="O1367" t="n">
        <v>32.3</v>
      </c>
      <c r="P1367" t="inlineStr">
        <is>
          <t>Credit Card</t>
        </is>
      </c>
      <c r="Q1367" t="inlineStr">
        <is>
          <t>Delivered</t>
        </is>
      </c>
      <c r="R1367" t="n">
        <v>4</v>
      </c>
    </row>
    <row r="1368">
      <c r="A1368" t="inlineStr">
        <is>
          <t>ORD2367</t>
        </is>
      </c>
      <c r="B1368" t="inlineStr">
        <is>
          <t>2025-12-21</t>
        </is>
      </c>
      <c r="C1368" t="inlineStr">
        <is>
          <t>12:08:20</t>
        </is>
      </c>
      <c r="D1368" t="n">
        <v>1251</v>
      </c>
      <c r="E1368" t="n">
        <v>102</v>
      </c>
      <c r="F1368" t="n">
        <v>225</v>
      </c>
      <c r="G1368" t="inlineStr">
        <is>
          <t>Hyderabad</t>
        </is>
      </c>
      <c r="H1368" t="inlineStr">
        <is>
          <t>Biryani</t>
        </is>
      </c>
      <c r="I1368" t="n">
        <v>939</v>
      </c>
      <c r="J1368" t="n">
        <v>0</v>
      </c>
      <c r="K1368" t="n">
        <v>25</v>
      </c>
      <c r="L1368" t="n">
        <v>0.22</v>
      </c>
      <c r="M1368" t="n">
        <v>212.83</v>
      </c>
      <c r="N1368" t="n">
        <v>2.6</v>
      </c>
      <c r="O1368" t="n">
        <v>32.5</v>
      </c>
      <c r="P1368" t="inlineStr">
        <is>
          <t>Credit Card</t>
        </is>
      </c>
      <c r="Q1368" t="inlineStr">
        <is>
          <t>Delivered</t>
        </is>
      </c>
      <c r="R1368" t="n">
        <v>4</v>
      </c>
    </row>
    <row r="1369">
      <c r="A1369" t="inlineStr">
        <is>
          <t>ORD2368</t>
        </is>
      </c>
      <c r="B1369" t="inlineStr">
        <is>
          <t>2025-10-02</t>
        </is>
      </c>
      <c r="C1369" t="inlineStr">
        <is>
          <t>13:20:06</t>
        </is>
      </c>
      <c r="D1369" t="n">
        <v>1154</v>
      </c>
      <c r="E1369" t="n">
        <v>113</v>
      </c>
      <c r="F1369" t="n">
        <v>206</v>
      </c>
      <c r="G1369" t="inlineStr">
        <is>
          <t>Mumbai</t>
        </is>
      </c>
      <c r="H1369" t="inlineStr">
        <is>
          <t>Fast Food</t>
        </is>
      </c>
      <c r="I1369" t="n">
        <v>838</v>
      </c>
      <c r="J1369" t="n">
        <v>0</v>
      </c>
      <c r="K1369" t="n">
        <v>25</v>
      </c>
      <c r="L1369" t="n">
        <v>0.18</v>
      </c>
      <c r="M1369" t="n">
        <v>157.09</v>
      </c>
      <c r="N1369" t="n">
        <v>1.9</v>
      </c>
      <c r="O1369" t="n">
        <v>26.3</v>
      </c>
      <c r="P1369" t="inlineStr">
        <is>
          <t>Digital Wallet</t>
        </is>
      </c>
      <c r="Q1369" t="inlineStr">
        <is>
          <t>Delivered</t>
        </is>
      </c>
      <c r="R1369" t="n">
        <v>5</v>
      </c>
    </row>
    <row r="1370">
      <c r="A1370" t="inlineStr">
        <is>
          <t>ORD2369</t>
        </is>
      </c>
      <c r="B1370" t="inlineStr">
        <is>
          <t>2025-05-18</t>
        </is>
      </c>
      <c r="C1370" t="inlineStr">
        <is>
          <t>14:36:53</t>
        </is>
      </c>
      <c r="D1370" t="n">
        <v>1146</v>
      </c>
      <c r="E1370" t="n">
        <v>103</v>
      </c>
      <c r="F1370" t="n">
        <v>229</v>
      </c>
      <c r="G1370" t="inlineStr">
        <is>
          <t>Mumbai</t>
        </is>
      </c>
      <c r="H1370" t="inlineStr">
        <is>
          <t>Italian</t>
        </is>
      </c>
      <c r="I1370" t="n">
        <v>274</v>
      </c>
      <c r="J1370" t="n">
        <v>0</v>
      </c>
      <c r="K1370" t="n">
        <v>25</v>
      </c>
      <c r="L1370" t="n">
        <v>0.18</v>
      </c>
      <c r="M1370" t="n">
        <v>55.57</v>
      </c>
      <c r="N1370" t="n">
        <v>3</v>
      </c>
      <c r="O1370" t="n">
        <v>30.6</v>
      </c>
      <c r="P1370" t="inlineStr">
        <is>
          <t>Digital Wallet</t>
        </is>
      </c>
      <c r="Q1370" t="inlineStr">
        <is>
          <t>Delivered</t>
        </is>
      </c>
      <c r="R1370" t="n">
        <v>4</v>
      </c>
    </row>
    <row r="1371">
      <c r="A1371" t="inlineStr">
        <is>
          <t>ORD2370</t>
        </is>
      </c>
      <c r="B1371" t="inlineStr">
        <is>
          <t>2025-01-12</t>
        </is>
      </c>
      <c r="C1371" t="inlineStr">
        <is>
          <t>13:35:28</t>
        </is>
      </c>
      <c r="D1371" t="n">
        <v>1242</v>
      </c>
      <c r="E1371" t="n">
        <v>116</v>
      </c>
      <c r="F1371" t="n">
        <v>207</v>
      </c>
      <c r="G1371" t="inlineStr">
        <is>
          <t>Pune</t>
        </is>
      </c>
      <c r="H1371" t="inlineStr">
        <is>
          <t>Desserts</t>
        </is>
      </c>
      <c r="I1371" t="n">
        <v>1058</v>
      </c>
      <c r="J1371" t="n">
        <v>111.89</v>
      </c>
      <c r="K1371" t="n">
        <v>0</v>
      </c>
      <c r="L1371" t="n">
        <v>0.25</v>
      </c>
      <c r="M1371" t="n">
        <v>264.5</v>
      </c>
      <c r="N1371" t="n">
        <v>4.4</v>
      </c>
      <c r="O1371" t="n">
        <v>33.6</v>
      </c>
      <c r="P1371" t="inlineStr">
        <is>
          <t>Credit Card</t>
        </is>
      </c>
      <c r="Q1371" t="inlineStr">
        <is>
          <t>Delivered</t>
        </is>
      </c>
      <c r="R1371" t="n">
        <v>5</v>
      </c>
    </row>
    <row r="1372">
      <c r="A1372" t="inlineStr">
        <is>
          <t>ORD2371</t>
        </is>
      </c>
      <c r="B1372" t="inlineStr">
        <is>
          <t>2025-02-03</t>
        </is>
      </c>
      <c r="C1372" t="inlineStr">
        <is>
          <t>18:46:17</t>
        </is>
      </c>
      <c r="D1372" t="n">
        <v>1145</v>
      </c>
      <c r="E1372" t="n">
        <v>110</v>
      </c>
      <c r="F1372" t="n">
        <v>217</v>
      </c>
      <c r="G1372" t="inlineStr">
        <is>
          <t>Pune</t>
        </is>
      </c>
      <c r="H1372" t="inlineStr">
        <is>
          <t>North Indian</t>
        </is>
      </c>
      <c r="I1372" t="n">
        <v>803</v>
      </c>
      <c r="J1372" t="n">
        <v>0</v>
      </c>
      <c r="K1372" t="n">
        <v>31.5</v>
      </c>
      <c r="L1372" t="n">
        <v>0.18</v>
      </c>
      <c r="M1372" t="n">
        <v>152.42</v>
      </c>
      <c r="N1372" t="n">
        <v>4.3</v>
      </c>
      <c r="O1372" t="n">
        <v>40.2</v>
      </c>
      <c r="P1372" t="inlineStr">
        <is>
          <t>UPI</t>
        </is>
      </c>
      <c r="Q1372" t="inlineStr">
        <is>
          <t>Delivered</t>
        </is>
      </c>
      <c r="R1372" t="n">
        <v>3</v>
      </c>
    </row>
    <row r="1373">
      <c r="A1373" t="inlineStr">
        <is>
          <t>ORD2372</t>
        </is>
      </c>
      <c r="B1373" t="inlineStr">
        <is>
          <t>2025-07-22</t>
        </is>
      </c>
      <c r="C1373" t="inlineStr">
        <is>
          <t>15:13:42</t>
        </is>
      </c>
      <c r="D1373" t="n">
        <v>1236</v>
      </c>
      <c r="E1373" t="n">
        <v>118</v>
      </c>
      <c r="F1373" t="n">
        <v>221</v>
      </c>
      <c r="G1373" t="inlineStr">
        <is>
          <t>Delhi NCR</t>
        </is>
      </c>
      <c r="H1373" t="inlineStr">
        <is>
          <t>North Indian</t>
        </is>
      </c>
      <c r="I1373" t="n">
        <v>682</v>
      </c>
      <c r="J1373" t="n">
        <v>48.89</v>
      </c>
      <c r="K1373" t="n">
        <v>33.5</v>
      </c>
      <c r="L1373" t="n">
        <v>0.2</v>
      </c>
      <c r="M1373" t="n">
        <v>144.78</v>
      </c>
      <c r="N1373" t="n">
        <v>4.7</v>
      </c>
      <c r="O1373" t="n">
        <v>39.3</v>
      </c>
      <c r="P1373" t="inlineStr">
        <is>
          <t>Debit Card</t>
        </is>
      </c>
      <c r="Q1373" t="inlineStr">
        <is>
          <t>Delivered</t>
        </is>
      </c>
      <c r="R1373" t="n">
        <v>1</v>
      </c>
    </row>
    <row r="1374">
      <c r="A1374" t="inlineStr">
        <is>
          <t>ORD2373</t>
        </is>
      </c>
      <c r="B1374" t="inlineStr">
        <is>
          <t>2025-03-15</t>
        </is>
      </c>
      <c r="C1374" t="inlineStr">
        <is>
          <t>18:49:34</t>
        </is>
      </c>
      <c r="D1374" t="n">
        <v>1258</v>
      </c>
      <c r="E1374" t="n">
        <v>113</v>
      </c>
      <c r="F1374" t="n">
        <v>229</v>
      </c>
      <c r="G1374" t="inlineStr">
        <is>
          <t>Mumbai</t>
        </is>
      </c>
      <c r="H1374" t="inlineStr">
        <is>
          <t>Fast Food</t>
        </is>
      </c>
      <c r="I1374" t="n">
        <v>917</v>
      </c>
      <c r="J1374" t="n">
        <v>83.52</v>
      </c>
      <c r="K1374" t="n">
        <v>25</v>
      </c>
      <c r="L1374" t="n">
        <v>0.18</v>
      </c>
      <c r="M1374" t="n">
        <v>171.31</v>
      </c>
      <c r="N1374" t="n">
        <v>2.3</v>
      </c>
      <c r="O1374" t="n">
        <v>28</v>
      </c>
      <c r="P1374" t="inlineStr">
        <is>
          <t>Digital Wallet</t>
        </is>
      </c>
      <c r="Q1374" t="inlineStr">
        <is>
          <t>Delivered</t>
        </is>
      </c>
      <c r="R1374" t="n">
        <v>3</v>
      </c>
    </row>
    <row r="1375">
      <c r="A1375" t="inlineStr">
        <is>
          <t>ORD2374</t>
        </is>
      </c>
      <c r="B1375" t="inlineStr">
        <is>
          <t>2025-10-28</t>
        </is>
      </c>
      <c r="C1375" t="inlineStr">
        <is>
          <t>20:07:49</t>
        </is>
      </c>
      <c r="D1375" t="n">
        <v>1097</v>
      </c>
      <c r="E1375" t="n">
        <v>115</v>
      </c>
      <c r="F1375" t="n">
        <v>218</v>
      </c>
      <c r="G1375" t="inlineStr">
        <is>
          <t>Bangalore</t>
        </is>
      </c>
      <c r="H1375" t="inlineStr">
        <is>
          <t>Italian</t>
        </is>
      </c>
      <c r="I1375" t="n">
        <v>292</v>
      </c>
      <c r="J1375" t="n">
        <v>12.38</v>
      </c>
      <c r="K1375" t="n">
        <v>25</v>
      </c>
      <c r="L1375" t="n">
        <v>0.2</v>
      </c>
      <c r="M1375" t="n">
        <v>64.65000000000001</v>
      </c>
      <c r="N1375" t="n">
        <v>1.8</v>
      </c>
      <c r="O1375" t="n">
        <v>35.1</v>
      </c>
      <c r="P1375" t="inlineStr">
        <is>
          <t>Credit Card</t>
        </is>
      </c>
      <c r="Q1375" t="inlineStr">
        <is>
          <t>Delivered</t>
        </is>
      </c>
      <c r="R1375" t="n">
        <v>4</v>
      </c>
    </row>
    <row r="1376">
      <c r="A1376" t="inlineStr">
        <is>
          <t>ORD2375</t>
        </is>
      </c>
      <c r="B1376" t="inlineStr">
        <is>
          <t>2025-04-03</t>
        </is>
      </c>
      <c r="C1376" t="inlineStr">
        <is>
          <t>22:01:41</t>
        </is>
      </c>
      <c r="D1376" t="n">
        <v>1226</v>
      </c>
      <c r="E1376" t="n">
        <v>105</v>
      </c>
      <c r="F1376" t="n">
        <v>218</v>
      </c>
      <c r="G1376" t="inlineStr">
        <is>
          <t>Bangalore</t>
        </is>
      </c>
      <c r="H1376" t="inlineStr">
        <is>
          <t>Chinese</t>
        </is>
      </c>
      <c r="I1376" t="n">
        <v>726</v>
      </c>
      <c r="J1376" t="n">
        <v>19.27</v>
      </c>
      <c r="K1376" t="n">
        <v>33</v>
      </c>
      <c r="L1376" t="n">
        <v>0.2</v>
      </c>
      <c r="M1376" t="n">
        <v>153.45</v>
      </c>
      <c r="N1376" t="n">
        <v>4.6</v>
      </c>
      <c r="O1376" t="n">
        <v>28.4</v>
      </c>
      <c r="P1376" t="inlineStr">
        <is>
          <t>Cash on Delivery</t>
        </is>
      </c>
      <c r="Q1376" t="inlineStr">
        <is>
          <t>Delivered</t>
        </is>
      </c>
      <c r="R1376" t="n">
        <v>4</v>
      </c>
    </row>
    <row r="1377">
      <c r="A1377" t="inlineStr">
        <is>
          <t>ORD2376</t>
        </is>
      </c>
      <c r="B1377" t="inlineStr">
        <is>
          <t>2025-12-23</t>
        </is>
      </c>
      <c r="C1377" t="inlineStr">
        <is>
          <t>22:30:08</t>
        </is>
      </c>
      <c r="D1377" t="n">
        <v>1274</v>
      </c>
      <c r="E1377" t="n">
        <v>113</v>
      </c>
      <c r="F1377" t="n">
        <v>229</v>
      </c>
      <c r="G1377" t="inlineStr">
        <is>
          <t>Mumbai</t>
        </is>
      </c>
      <c r="H1377" t="inlineStr">
        <is>
          <t>Fast Food</t>
        </is>
      </c>
      <c r="I1377" t="n">
        <v>717</v>
      </c>
      <c r="J1377" t="n">
        <v>78.56999999999999</v>
      </c>
      <c r="K1377" t="n">
        <v>0</v>
      </c>
      <c r="L1377" t="n">
        <v>0.18</v>
      </c>
      <c r="M1377" t="n">
        <v>129.06</v>
      </c>
      <c r="N1377" t="n">
        <v>3.9</v>
      </c>
      <c r="O1377" t="n">
        <v>37.6</v>
      </c>
      <c r="P1377" t="inlineStr">
        <is>
          <t>Cash on Delivery</t>
        </is>
      </c>
      <c r="Q1377" t="inlineStr">
        <is>
          <t>Delivered</t>
        </is>
      </c>
      <c r="R1377" t="n">
        <v>4</v>
      </c>
    </row>
    <row r="1378">
      <c r="A1378" t="inlineStr">
        <is>
          <t>ORD2377</t>
        </is>
      </c>
      <c r="B1378" t="inlineStr">
        <is>
          <t>2025-04-05</t>
        </is>
      </c>
      <c r="C1378" t="inlineStr">
        <is>
          <t>20:16:25</t>
        </is>
      </c>
      <c r="D1378" t="n">
        <v>1264</v>
      </c>
      <c r="E1378" t="n">
        <v>115</v>
      </c>
      <c r="F1378" t="n">
        <v>203</v>
      </c>
      <c r="G1378" t="inlineStr">
        <is>
          <t>Bangalore</t>
        </is>
      </c>
      <c r="H1378" t="inlineStr">
        <is>
          <t>Italian</t>
        </is>
      </c>
      <c r="I1378" t="n">
        <v>425</v>
      </c>
      <c r="J1378" t="n">
        <v>0</v>
      </c>
      <c r="K1378" t="n">
        <v>31.5</v>
      </c>
      <c r="L1378" t="n">
        <v>0.2</v>
      </c>
      <c r="M1378" t="n">
        <v>92.88</v>
      </c>
      <c r="N1378" t="n">
        <v>4.3</v>
      </c>
      <c r="O1378" t="n">
        <v>44.7</v>
      </c>
      <c r="P1378" t="inlineStr">
        <is>
          <t>UPI</t>
        </is>
      </c>
      <c r="Q1378" t="inlineStr">
        <is>
          <t>Delivered</t>
        </is>
      </c>
      <c r="R1378" t="n">
        <v>2</v>
      </c>
    </row>
    <row r="1379">
      <c r="A1379" t="inlineStr">
        <is>
          <t>ORD2378</t>
        </is>
      </c>
      <c r="B1379" t="inlineStr">
        <is>
          <t>2025-09-26</t>
        </is>
      </c>
      <c r="C1379" t="inlineStr">
        <is>
          <t>11:16:01</t>
        </is>
      </c>
      <c r="D1379" t="n">
        <v>1218</v>
      </c>
      <c r="E1379" t="n">
        <v>118</v>
      </c>
      <c r="F1379" t="n">
        <v>219</v>
      </c>
      <c r="G1379" t="inlineStr">
        <is>
          <t>Delhi NCR</t>
        </is>
      </c>
      <c r="H1379" t="inlineStr">
        <is>
          <t>North Indian</t>
        </is>
      </c>
      <c r="I1379" t="n">
        <v>840</v>
      </c>
      <c r="J1379" t="n">
        <v>45.58</v>
      </c>
      <c r="K1379" t="n">
        <v>30</v>
      </c>
      <c r="L1379" t="n">
        <v>0.2</v>
      </c>
      <c r="M1379" t="n">
        <v>175.5</v>
      </c>
      <c r="N1379" t="n">
        <v>4</v>
      </c>
      <c r="O1379" t="n">
        <v>32.1</v>
      </c>
      <c r="P1379" t="inlineStr">
        <is>
          <t>Debit Card</t>
        </is>
      </c>
      <c r="Q1379" t="inlineStr">
        <is>
          <t>Delivered</t>
        </is>
      </c>
      <c r="R1379" t="n">
        <v>2</v>
      </c>
    </row>
    <row r="1380">
      <c r="A1380" t="inlineStr">
        <is>
          <t>ORD2379</t>
        </is>
      </c>
      <c r="B1380" t="inlineStr">
        <is>
          <t>2025-01-01</t>
        </is>
      </c>
      <c r="C1380" t="inlineStr">
        <is>
          <t>19:33:00</t>
        </is>
      </c>
      <c r="D1380" t="n">
        <v>1186</v>
      </c>
      <c r="E1380" t="n">
        <v>119</v>
      </c>
      <c r="F1380" t="n">
        <v>216</v>
      </c>
      <c r="G1380" t="inlineStr">
        <is>
          <t>Hyderabad</t>
        </is>
      </c>
      <c r="H1380" t="inlineStr">
        <is>
          <t>Biryani</t>
        </is>
      </c>
      <c r="I1380" t="n">
        <v>224</v>
      </c>
      <c r="J1380" t="n">
        <v>16.33</v>
      </c>
      <c r="K1380" t="n">
        <v>26</v>
      </c>
      <c r="L1380" t="n">
        <v>0.2</v>
      </c>
      <c r="M1380" t="n">
        <v>51.3</v>
      </c>
      <c r="N1380" t="n">
        <v>3.2</v>
      </c>
      <c r="O1380" t="n">
        <v>37.4</v>
      </c>
      <c r="P1380" t="inlineStr">
        <is>
          <t>Digital Wallet</t>
        </is>
      </c>
      <c r="Q1380" t="inlineStr">
        <is>
          <t>Delivered</t>
        </is>
      </c>
      <c r="R1380" t="n">
        <v>5</v>
      </c>
    </row>
    <row r="1381">
      <c r="A1381" t="inlineStr">
        <is>
          <t>ORD2380</t>
        </is>
      </c>
      <c r="B1381" t="inlineStr">
        <is>
          <t>2025-04-07</t>
        </is>
      </c>
      <c r="C1381" t="inlineStr">
        <is>
          <t>11:40:39</t>
        </is>
      </c>
      <c r="D1381" t="n">
        <v>1293</v>
      </c>
      <c r="E1381" t="n">
        <v>109</v>
      </c>
      <c r="F1381" t="n">
        <v>225</v>
      </c>
      <c r="G1381" t="inlineStr">
        <is>
          <t>Hyderabad</t>
        </is>
      </c>
      <c r="H1381" t="inlineStr">
        <is>
          <t>Biryani</t>
        </is>
      </c>
      <c r="I1381" t="n">
        <v>730</v>
      </c>
      <c r="J1381" t="n">
        <v>45.79</v>
      </c>
      <c r="K1381" t="n">
        <v>36.5</v>
      </c>
      <c r="L1381" t="n">
        <v>0.2</v>
      </c>
      <c r="M1381" t="n">
        <v>155.12</v>
      </c>
      <c r="N1381" t="n">
        <v>5.3</v>
      </c>
      <c r="O1381" t="n">
        <v>30.3</v>
      </c>
      <c r="P1381" t="inlineStr">
        <is>
          <t>Debit Card</t>
        </is>
      </c>
      <c r="Q1381" t="inlineStr">
        <is>
          <t>Delivered</t>
        </is>
      </c>
      <c r="R1381" t="n">
        <v>4</v>
      </c>
    </row>
    <row r="1382">
      <c r="A1382" t="inlineStr">
        <is>
          <t>ORD2381</t>
        </is>
      </c>
      <c r="B1382" t="inlineStr">
        <is>
          <t>2025-11-04</t>
        </is>
      </c>
      <c r="C1382" t="inlineStr">
        <is>
          <t>13:23:36</t>
        </is>
      </c>
      <c r="D1382" t="n">
        <v>1199</v>
      </c>
      <c r="E1382" t="n">
        <v>119</v>
      </c>
      <c r="F1382" t="n">
        <v>216</v>
      </c>
      <c r="G1382" t="inlineStr">
        <is>
          <t>Hyderabad</t>
        </is>
      </c>
      <c r="H1382" t="inlineStr">
        <is>
          <t>Biryani</t>
        </is>
      </c>
      <c r="I1382" t="n">
        <v>729</v>
      </c>
      <c r="J1382" t="n">
        <v>105.03</v>
      </c>
      <c r="K1382" t="n">
        <v>0</v>
      </c>
      <c r="L1382" t="n">
        <v>0.2</v>
      </c>
      <c r="M1382" t="n">
        <v>145.8</v>
      </c>
      <c r="N1382" t="n">
        <v>2.8</v>
      </c>
      <c r="O1382" t="n">
        <v>32.2</v>
      </c>
      <c r="P1382" t="inlineStr">
        <is>
          <t>Credit Card</t>
        </is>
      </c>
      <c r="Q1382" t="inlineStr">
        <is>
          <t>Delivered</t>
        </is>
      </c>
      <c r="R1382" t="n">
        <v>5</v>
      </c>
    </row>
    <row r="1383">
      <c r="A1383" t="inlineStr">
        <is>
          <t>ORD2382</t>
        </is>
      </c>
      <c r="B1383" t="inlineStr">
        <is>
          <t>2025-11-15</t>
        </is>
      </c>
      <c r="C1383" t="inlineStr">
        <is>
          <t>10:02:59</t>
        </is>
      </c>
      <c r="D1383" t="n">
        <v>1162</v>
      </c>
      <c r="E1383" t="n">
        <v>119</v>
      </c>
      <c r="F1383" t="n">
        <v>215</v>
      </c>
      <c r="G1383" t="inlineStr">
        <is>
          <t>Hyderabad</t>
        </is>
      </c>
      <c r="H1383" t="inlineStr">
        <is>
          <t>Biryani</t>
        </is>
      </c>
      <c r="I1383" t="n">
        <v>770</v>
      </c>
      <c r="J1383" t="n">
        <v>86.38</v>
      </c>
      <c r="K1383" t="n">
        <v>28.5</v>
      </c>
      <c r="L1383" t="n">
        <v>0.2</v>
      </c>
      <c r="M1383" t="n">
        <v>161.12</v>
      </c>
      <c r="N1383" t="n">
        <v>3.7</v>
      </c>
      <c r="O1383" t="n">
        <v>30.7</v>
      </c>
      <c r="P1383" t="inlineStr">
        <is>
          <t>UPI</t>
        </is>
      </c>
      <c r="Q1383" t="inlineStr">
        <is>
          <t>Delivered</t>
        </is>
      </c>
      <c r="R1383" t="n">
        <v>4</v>
      </c>
    </row>
    <row r="1384">
      <c r="A1384" t="inlineStr">
        <is>
          <t>ORD2383</t>
        </is>
      </c>
      <c r="B1384" t="inlineStr">
        <is>
          <t>2025-06-28</t>
        </is>
      </c>
      <c r="C1384" t="inlineStr">
        <is>
          <t>15:43:11</t>
        </is>
      </c>
      <c r="D1384" t="n">
        <v>1286</v>
      </c>
      <c r="E1384" t="n">
        <v>112</v>
      </c>
      <c r="F1384" t="n">
        <v>228</v>
      </c>
      <c r="G1384" t="inlineStr">
        <is>
          <t>Delhi NCR</t>
        </is>
      </c>
      <c r="H1384" t="inlineStr">
        <is>
          <t>North Indian</t>
        </is>
      </c>
      <c r="I1384" t="n">
        <v>824</v>
      </c>
      <c r="J1384" t="n">
        <v>59.34</v>
      </c>
      <c r="K1384" t="n">
        <v>25</v>
      </c>
      <c r="L1384" t="n">
        <v>0.22</v>
      </c>
      <c r="M1384" t="n">
        <v>187.53</v>
      </c>
      <c r="N1384" t="n">
        <v>2.7</v>
      </c>
      <c r="O1384" t="n">
        <v>25.5</v>
      </c>
      <c r="P1384" t="inlineStr">
        <is>
          <t>Digital Wallet</t>
        </is>
      </c>
      <c r="Q1384" t="inlineStr">
        <is>
          <t>Delivered</t>
        </is>
      </c>
      <c r="R1384" t="n">
        <v>4</v>
      </c>
    </row>
    <row r="1385">
      <c r="A1385" t="inlineStr">
        <is>
          <t>ORD2384</t>
        </is>
      </c>
      <c r="B1385" t="inlineStr">
        <is>
          <t>2025-08-21</t>
        </is>
      </c>
      <c r="C1385" t="inlineStr">
        <is>
          <t>20:59:42</t>
        </is>
      </c>
      <c r="D1385" t="n">
        <v>1039</v>
      </c>
      <c r="E1385" t="n">
        <v>101</v>
      </c>
      <c r="F1385" t="n">
        <v>227</v>
      </c>
      <c r="G1385" t="inlineStr">
        <is>
          <t>Bangalore</t>
        </is>
      </c>
      <c r="H1385" t="inlineStr">
        <is>
          <t>North Indian</t>
        </is>
      </c>
      <c r="I1385" t="n">
        <v>781</v>
      </c>
      <c r="J1385" t="n">
        <v>84.52</v>
      </c>
      <c r="K1385" t="n">
        <v>27</v>
      </c>
      <c r="L1385" t="n">
        <v>0.2</v>
      </c>
      <c r="M1385" t="n">
        <v>162.95</v>
      </c>
      <c r="N1385" t="n">
        <v>3.4</v>
      </c>
      <c r="O1385" t="n">
        <v>45.4</v>
      </c>
      <c r="P1385" t="inlineStr">
        <is>
          <t>UPI</t>
        </is>
      </c>
      <c r="Q1385" t="inlineStr">
        <is>
          <t>Delivered</t>
        </is>
      </c>
      <c r="R1385" t="n">
        <v>3</v>
      </c>
    </row>
    <row r="1386">
      <c r="A1386" t="inlineStr">
        <is>
          <t>ORD2385</t>
        </is>
      </c>
      <c r="B1386" t="inlineStr">
        <is>
          <t>2025-07-07</t>
        </is>
      </c>
      <c r="C1386" t="inlineStr">
        <is>
          <t>11:09:15</t>
        </is>
      </c>
      <c r="D1386" t="n">
        <v>1300</v>
      </c>
      <c r="E1386" t="n">
        <v>104</v>
      </c>
      <c r="F1386" t="n">
        <v>228</v>
      </c>
      <c r="G1386" t="inlineStr">
        <is>
          <t>Delhi NCR</t>
        </is>
      </c>
      <c r="H1386" t="inlineStr">
        <is>
          <t>Fast Food</t>
        </is>
      </c>
      <c r="I1386" t="n">
        <v>722</v>
      </c>
      <c r="J1386" t="n">
        <v>0</v>
      </c>
      <c r="K1386" t="n">
        <v>30</v>
      </c>
      <c r="L1386" t="n">
        <v>0.18</v>
      </c>
      <c r="M1386" t="n">
        <v>137.46</v>
      </c>
      <c r="N1386" t="n">
        <v>4</v>
      </c>
      <c r="O1386" t="n">
        <v>29.1</v>
      </c>
      <c r="P1386" t="inlineStr">
        <is>
          <t>Debit Card</t>
        </is>
      </c>
      <c r="Q1386" t="inlineStr">
        <is>
          <t>Delivered</t>
        </is>
      </c>
      <c r="R1386" t="n">
        <v>5</v>
      </c>
    </row>
    <row r="1387">
      <c r="A1387" t="inlineStr">
        <is>
          <t>ORD2386</t>
        </is>
      </c>
      <c r="B1387" t="inlineStr">
        <is>
          <t>2025-12-04</t>
        </is>
      </c>
      <c r="C1387" t="inlineStr">
        <is>
          <t>11:45:48</t>
        </is>
      </c>
      <c r="D1387" t="n">
        <v>1220</v>
      </c>
      <c r="E1387" t="n">
        <v>109</v>
      </c>
      <c r="F1387" t="n">
        <v>216</v>
      </c>
      <c r="G1387" t="inlineStr">
        <is>
          <t>Hyderabad</t>
        </is>
      </c>
      <c r="H1387" t="inlineStr">
        <is>
          <t>Biryani</t>
        </is>
      </c>
      <c r="I1387" t="n">
        <v>825</v>
      </c>
      <c r="J1387" t="n">
        <v>46.95</v>
      </c>
      <c r="K1387" t="n">
        <v>34</v>
      </c>
      <c r="L1387" t="n">
        <v>0.2</v>
      </c>
      <c r="M1387" t="n">
        <v>173.5</v>
      </c>
      <c r="N1387" t="n">
        <v>4.8</v>
      </c>
      <c r="O1387" t="n">
        <v/>
      </c>
      <c r="P1387" t="inlineStr">
        <is>
          <t>Debit Card</t>
        </is>
      </c>
      <c r="Q1387" t="inlineStr">
        <is>
          <t>Cancelled</t>
        </is>
      </c>
      <c r="R1387" t="n">
        <v/>
      </c>
    </row>
    <row r="1388">
      <c r="A1388" t="inlineStr">
        <is>
          <t>ORD2387</t>
        </is>
      </c>
      <c r="B1388" t="inlineStr">
        <is>
          <t>2025-06-14</t>
        </is>
      </c>
      <c r="C1388" t="inlineStr">
        <is>
          <t>10:08:28</t>
        </is>
      </c>
      <c r="D1388" t="n">
        <v>1061</v>
      </c>
      <c r="E1388" t="n">
        <v>110</v>
      </c>
      <c r="F1388" t="n">
        <v>224</v>
      </c>
      <c r="G1388" t="inlineStr">
        <is>
          <t>Pune</t>
        </is>
      </c>
      <c r="H1388" t="inlineStr">
        <is>
          <t>North Indian</t>
        </is>
      </c>
      <c r="I1388" t="n">
        <v>422</v>
      </c>
      <c r="J1388" t="n">
        <v>0</v>
      </c>
      <c r="K1388" t="n">
        <v>78.5</v>
      </c>
      <c r="L1388" t="n">
        <v>0.18</v>
      </c>
      <c r="M1388" t="n">
        <v>95.58</v>
      </c>
      <c r="N1388" t="n">
        <v>13.7</v>
      </c>
      <c r="O1388" t="n">
        <v>59</v>
      </c>
      <c r="P1388" t="inlineStr">
        <is>
          <t>Cash on Delivery</t>
        </is>
      </c>
      <c r="Q1388" t="inlineStr">
        <is>
          <t>Delivered</t>
        </is>
      </c>
      <c r="R1388" t="n">
        <v>1</v>
      </c>
    </row>
    <row r="1389">
      <c r="A1389" t="inlineStr">
        <is>
          <t>ORD2388</t>
        </is>
      </c>
      <c r="B1389" t="inlineStr">
        <is>
          <t>2025-09-09</t>
        </is>
      </c>
      <c r="C1389" t="inlineStr">
        <is>
          <t>20:01:31</t>
        </is>
      </c>
      <c r="D1389" t="n">
        <v>1052</v>
      </c>
      <c r="E1389" t="n">
        <v>102</v>
      </c>
      <c r="F1389" t="n">
        <v>216</v>
      </c>
      <c r="G1389" t="inlineStr">
        <is>
          <t>Hyderabad</t>
        </is>
      </c>
      <c r="H1389" t="inlineStr">
        <is>
          <t>Biryani</t>
        </is>
      </c>
      <c r="I1389" t="n">
        <v>326</v>
      </c>
      <c r="J1389" t="n">
        <v>23.64</v>
      </c>
      <c r="K1389" t="n">
        <v>45</v>
      </c>
      <c r="L1389" t="n">
        <v>0.22</v>
      </c>
      <c r="M1389" t="n">
        <v>82.97</v>
      </c>
      <c r="N1389" t="n">
        <v>7</v>
      </c>
      <c r="O1389" t="n">
        <v>44.1</v>
      </c>
      <c r="P1389" t="inlineStr">
        <is>
          <t>Cash on Delivery</t>
        </is>
      </c>
      <c r="Q1389" t="inlineStr">
        <is>
          <t>Delivered</t>
        </is>
      </c>
      <c r="R1389" t="n">
        <v>4</v>
      </c>
    </row>
    <row r="1390">
      <c r="A1390" t="inlineStr">
        <is>
          <t>ORD2389</t>
        </is>
      </c>
      <c r="B1390" t="inlineStr">
        <is>
          <t>2025-12-17</t>
        </is>
      </c>
      <c r="C1390" t="inlineStr">
        <is>
          <t>21:44:03</t>
        </is>
      </c>
      <c r="D1390" t="n">
        <v>1044</v>
      </c>
      <c r="E1390" t="n">
        <v>109</v>
      </c>
      <c r="F1390" t="n">
        <v>215</v>
      </c>
      <c r="G1390" t="inlineStr">
        <is>
          <t>Hyderabad</t>
        </is>
      </c>
      <c r="H1390" t="inlineStr">
        <is>
          <t>Biryani</t>
        </is>
      </c>
      <c r="I1390" t="n">
        <v>1072</v>
      </c>
      <c r="J1390" t="n">
        <v>111.66</v>
      </c>
      <c r="K1390" t="n">
        <v>0</v>
      </c>
      <c r="L1390" t="n">
        <v>0.2</v>
      </c>
      <c r="M1390" t="n">
        <v>214.4</v>
      </c>
      <c r="N1390" t="n">
        <v>6.4</v>
      </c>
      <c r="O1390" t="n">
        <v>55.6</v>
      </c>
      <c r="P1390" t="inlineStr">
        <is>
          <t>Debit Card</t>
        </is>
      </c>
      <c r="Q1390" t="inlineStr">
        <is>
          <t>Delivered</t>
        </is>
      </c>
      <c r="R1390" t="n">
        <v>3</v>
      </c>
    </row>
    <row r="1391">
      <c r="A1391" t="inlineStr">
        <is>
          <t>ORD2390</t>
        </is>
      </c>
      <c r="B1391" t="inlineStr">
        <is>
          <t>2025-10-01</t>
        </is>
      </c>
      <c r="C1391" t="inlineStr">
        <is>
          <t>20:01:03</t>
        </is>
      </c>
      <c r="D1391" t="n">
        <v>1248</v>
      </c>
      <c r="E1391" t="n">
        <v>104</v>
      </c>
      <c r="F1391" t="n">
        <v>212</v>
      </c>
      <c r="G1391" t="inlineStr">
        <is>
          <t>Delhi NCR</t>
        </is>
      </c>
      <c r="H1391" t="inlineStr">
        <is>
          <t>Fast Food</t>
        </is>
      </c>
      <c r="I1391" t="n">
        <v>728</v>
      </c>
      <c r="J1391" t="n">
        <v>86.5</v>
      </c>
      <c r="K1391" t="n">
        <v>0</v>
      </c>
      <c r="L1391" t="n">
        <v>0.18</v>
      </c>
      <c r="M1391" t="n">
        <v>131.04</v>
      </c>
      <c r="N1391" t="n">
        <v>2.7</v>
      </c>
      <c r="O1391" t="n">
        <v>32</v>
      </c>
      <c r="P1391" t="inlineStr">
        <is>
          <t>UPI</t>
        </is>
      </c>
      <c r="Q1391" t="inlineStr">
        <is>
          <t>Delivered</t>
        </is>
      </c>
      <c r="R1391" t="n">
        <v>5</v>
      </c>
    </row>
    <row r="1392">
      <c r="A1392" t="inlineStr">
        <is>
          <t>ORD2391</t>
        </is>
      </c>
      <c r="B1392" t="inlineStr">
        <is>
          <t>2025-12-15</t>
        </is>
      </c>
      <c r="C1392" t="inlineStr">
        <is>
          <t>13:44:02</t>
        </is>
      </c>
      <c r="D1392" t="n">
        <v>1125</v>
      </c>
      <c r="E1392" t="n">
        <v>106</v>
      </c>
      <c r="F1392" t="n">
        <v>209</v>
      </c>
      <c r="G1392" t="inlineStr">
        <is>
          <t>Pune</t>
        </is>
      </c>
      <c r="H1392" t="inlineStr">
        <is>
          <t>South Indian</t>
        </is>
      </c>
      <c r="I1392" t="n">
        <v>439</v>
      </c>
      <c r="J1392" t="n">
        <v>0</v>
      </c>
      <c r="K1392" t="n">
        <v>29</v>
      </c>
      <c r="L1392" t="n">
        <v>0.15</v>
      </c>
      <c r="M1392" t="n">
        <v>73.09999999999999</v>
      </c>
      <c r="N1392" t="n">
        <v>3.8</v>
      </c>
      <c r="O1392" t="n">
        <v>37.3</v>
      </c>
      <c r="P1392" t="inlineStr">
        <is>
          <t>Credit Card</t>
        </is>
      </c>
      <c r="Q1392" t="inlineStr">
        <is>
          <t>Delivered</t>
        </is>
      </c>
      <c r="R1392" t="n">
        <v>4</v>
      </c>
    </row>
    <row r="1393">
      <c r="A1393" t="inlineStr">
        <is>
          <t>ORD2392</t>
        </is>
      </c>
      <c r="B1393" t="inlineStr">
        <is>
          <t>2025-09-11</t>
        </is>
      </c>
      <c r="C1393" t="inlineStr">
        <is>
          <t>00:13:36</t>
        </is>
      </c>
      <c r="D1393" t="n">
        <v>1216</v>
      </c>
      <c r="E1393" t="n">
        <v>116</v>
      </c>
      <c r="F1393" t="n">
        <v>214</v>
      </c>
      <c r="G1393" t="inlineStr">
        <is>
          <t>Pune</t>
        </is>
      </c>
      <c r="H1393" t="inlineStr">
        <is>
          <t>Desserts</t>
        </is>
      </c>
      <c r="I1393" t="n">
        <v>875</v>
      </c>
      <c r="J1393" t="n">
        <v>3.17</v>
      </c>
      <c r="K1393" t="n">
        <v>29</v>
      </c>
      <c r="L1393" t="n">
        <v>0.25</v>
      </c>
      <c r="M1393" t="n">
        <v>226</v>
      </c>
      <c r="N1393" t="n">
        <v>3.8</v>
      </c>
      <c r="O1393" t="n">
        <v>39.8</v>
      </c>
      <c r="P1393" t="inlineStr">
        <is>
          <t>UPI</t>
        </is>
      </c>
      <c r="Q1393" t="inlineStr">
        <is>
          <t>Delivered</t>
        </is>
      </c>
      <c r="R1393" t="n">
        <v>3</v>
      </c>
    </row>
    <row r="1394">
      <c r="A1394" t="inlineStr">
        <is>
          <t>ORD2393</t>
        </is>
      </c>
      <c r="B1394" t="inlineStr">
        <is>
          <t>2025-12-04</t>
        </is>
      </c>
      <c r="C1394" t="inlineStr">
        <is>
          <t>21:52:58</t>
        </is>
      </c>
      <c r="D1394" t="n">
        <v>1261</v>
      </c>
      <c r="E1394" t="n">
        <v>119</v>
      </c>
      <c r="F1394" t="n">
        <v>215</v>
      </c>
      <c r="G1394" t="inlineStr">
        <is>
          <t>Hyderabad</t>
        </is>
      </c>
      <c r="H1394" t="inlineStr">
        <is>
          <t>Biryani</t>
        </is>
      </c>
      <c r="I1394" t="n">
        <v>558</v>
      </c>
      <c r="J1394" t="n">
        <v>66.34999999999999</v>
      </c>
      <c r="K1394" t="n">
        <v>25</v>
      </c>
      <c r="L1394" t="n">
        <v>0.2</v>
      </c>
      <c r="M1394" t="n">
        <v>117.85</v>
      </c>
      <c r="N1394" t="n">
        <v>3</v>
      </c>
      <c r="O1394" t="n">
        <v>35.4</v>
      </c>
      <c r="P1394" t="inlineStr">
        <is>
          <t>Credit Card</t>
        </is>
      </c>
      <c r="Q1394" t="inlineStr">
        <is>
          <t>Delivered</t>
        </is>
      </c>
      <c r="R1394" t="n">
        <v>4</v>
      </c>
    </row>
    <row r="1395">
      <c r="A1395" t="inlineStr">
        <is>
          <t>ORD2394</t>
        </is>
      </c>
      <c r="B1395" t="inlineStr">
        <is>
          <t>2025-03-21</t>
        </is>
      </c>
      <c r="C1395" t="inlineStr">
        <is>
          <t>20:09:38</t>
        </is>
      </c>
      <c r="D1395" t="n">
        <v>1083</v>
      </c>
      <c r="E1395" t="n">
        <v>108</v>
      </c>
      <c r="F1395" t="n">
        <v>212</v>
      </c>
      <c r="G1395" t="inlineStr">
        <is>
          <t>Delhi NCR</t>
        </is>
      </c>
      <c r="H1395" t="inlineStr">
        <is>
          <t>Fast Food</t>
        </is>
      </c>
      <c r="I1395" t="n">
        <v>472</v>
      </c>
      <c r="J1395" t="n">
        <v>9.75</v>
      </c>
      <c r="K1395" t="n">
        <v>26.5</v>
      </c>
      <c r="L1395" t="n">
        <v>0.18</v>
      </c>
      <c r="M1395" t="n">
        <v>91.58</v>
      </c>
      <c r="N1395" t="n">
        <v>3.3</v>
      </c>
      <c r="O1395" t="n">
        <v>34.7</v>
      </c>
      <c r="P1395" t="inlineStr">
        <is>
          <t>Digital Wallet</t>
        </is>
      </c>
      <c r="Q1395" t="inlineStr">
        <is>
          <t>Delivered</t>
        </is>
      </c>
      <c r="R1395" t="n">
        <v>5</v>
      </c>
    </row>
    <row r="1396">
      <c r="A1396" t="inlineStr">
        <is>
          <t>ORD2395</t>
        </is>
      </c>
      <c r="B1396" t="inlineStr">
        <is>
          <t>2025-07-29</t>
        </is>
      </c>
      <c r="C1396" t="inlineStr">
        <is>
          <t>06:44:00</t>
        </is>
      </c>
      <c r="D1396" t="n">
        <v>1269</v>
      </c>
      <c r="E1396" t="n">
        <v>103</v>
      </c>
      <c r="F1396" t="n">
        <v>206</v>
      </c>
      <c r="G1396" t="inlineStr">
        <is>
          <t>Mumbai</t>
        </is>
      </c>
      <c r="H1396" t="inlineStr">
        <is>
          <t>Italian</t>
        </is>
      </c>
      <c r="I1396" t="n">
        <v>645</v>
      </c>
      <c r="J1396" t="n">
        <v>19.46</v>
      </c>
      <c r="K1396" t="n">
        <v>25</v>
      </c>
      <c r="L1396" t="n">
        <v>0.18</v>
      </c>
      <c r="M1396" t="n">
        <v>122.35</v>
      </c>
      <c r="N1396" t="n">
        <v>2.9</v>
      </c>
      <c r="O1396" t="n">
        <v/>
      </c>
      <c r="P1396" t="inlineStr">
        <is>
          <t>Credit Card</t>
        </is>
      </c>
      <c r="Q1396" t="inlineStr">
        <is>
          <t>Cancelled</t>
        </is>
      </c>
      <c r="R1396" t="n">
        <v/>
      </c>
    </row>
    <row r="1397">
      <c r="A1397" t="inlineStr">
        <is>
          <t>ORD2396</t>
        </is>
      </c>
      <c r="B1397" t="inlineStr">
        <is>
          <t>2025-11-17</t>
        </is>
      </c>
      <c r="C1397" t="inlineStr">
        <is>
          <t>09:44:25</t>
        </is>
      </c>
      <c r="D1397" t="n">
        <v>1008</v>
      </c>
      <c r="E1397" t="n">
        <v>107</v>
      </c>
      <c r="F1397" t="n">
        <v>229</v>
      </c>
      <c r="G1397" t="inlineStr">
        <is>
          <t>Mumbai</t>
        </is>
      </c>
      <c r="H1397" t="inlineStr">
        <is>
          <t>Desserts</t>
        </is>
      </c>
      <c r="I1397" t="n">
        <v>540</v>
      </c>
      <c r="J1397" t="n">
        <v>95.42</v>
      </c>
      <c r="K1397" t="n">
        <v>0</v>
      </c>
      <c r="L1397" t="n">
        <v>0.25</v>
      </c>
      <c r="M1397" t="n">
        <v>135</v>
      </c>
      <c r="N1397" t="n">
        <v>2.8</v>
      </c>
      <c r="O1397" t="n">
        <v>22.4</v>
      </c>
      <c r="P1397" t="inlineStr">
        <is>
          <t>Credit Card</t>
        </is>
      </c>
      <c r="Q1397" t="inlineStr">
        <is>
          <t>Delivered</t>
        </is>
      </c>
      <c r="R1397" t="n">
        <v>4</v>
      </c>
    </row>
    <row r="1398">
      <c r="A1398" t="inlineStr">
        <is>
          <t>ORD2397</t>
        </is>
      </c>
      <c r="B1398" t="inlineStr">
        <is>
          <t>2025-03-01</t>
        </is>
      </c>
      <c r="C1398" t="inlineStr">
        <is>
          <t>22:10:57</t>
        </is>
      </c>
      <c r="D1398" t="n">
        <v>1246</v>
      </c>
      <c r="E1398" t="n">
        <v>106</v>
      </c>
      <c r="F1398" t="n">
        <v>217</v>
      </c>
      <c r="G1398" t="inlineStr">
        <is>
          <t>Pune</t>
        </is>
      </c>
      <c r="H1398" t="inlineStr">
        <is>
          <t>South Indian</t>
        </is>
      </c>
      <c r="I1398" t="n">
        <v>837</v>
      </c>
      <c r="J1398" t="n">
        <v>99.05</v>
      </c>
      <c r="K1398" t="n">
        <v>0</v>
      </c>
      <c r="L1398" t="n">
        <v>0.15</v>
      </c>
      <c r="M1398" t="n">
        <v>125.55</v>
      </c>
      <c r="N1398" t="n">
        <v>6</v>
      </c>
      <c r="O1398" t="n">
        <v>45.1</v>
      </c>
      <c r="P1398" t="inlineStr">
        <is>
          <t>Debit Card</t>
        </is>
      </c>
      <c r="Q1398" t="inlineStr">
        <is>
          <t>Delivered</t>
        </is>
      </c>
      <c r="R1398" t="n">
        <v>3</v>
      </c>
    </row>
    <row r="1399">
      <c r="A1399" t="inlineStr">
        <is>
          <t>ORD2398</t>
        </is>
      </c>
      <c r="B1399" t="inlineStr">
        <is>
          <t>2025-05-26</t>
        </is>
      </c>
      <c r="C1399" t="inlineStr">
        <is>
          <t>13:54:36</t>
        </is>
      </c>
      <c r="D1399" t="n">
        <v>1059</v>
      </c>
      <c r="E1399" t="n">
        <v>109</v>
      </c>
      <c r="F1399" t="n">
        <v>225</v>
      </c>
      <c r="G1399" t="inlineStr">
        <is>
          <t>Hyderabad</t>
        </is>
      </c>
      <c r="H1399" t="inlineStr">
        <is>
          <t>Biryani</t>
        </is>
      </c>
      <c r="I1399" t="n">
        <v>487</v>
      </c>
      <c r="J1399" t="n">
        <v>0</v>
      </c>
      <c r="K1399" t="n">
        <v>35.5</v>
      </c>
      <c r="L1399" t="n">
        <v>0.2</v>
      </c>
      <c r="M1399" t="n">
        <v>106.28</v>
      </c>
      <c r="N1399" t="n">
        <v>5.1</v>
      </c>
      <c r="O1399" t="n">
        <v>32.7</v>
      </c>
      <c r="P1399" t="inlineStr">
        <is>
          <t>Credit Card</t>
        </is>
      </c>
      <c r="Q1399" t="inlineStr">
        <is>
          <t>Delivered</t>
        </is>
      </c>
      <c r="R1399" t="n">
        <v>5</v>
      </c>
    </row>
    <row r="1400">
      <c r="A1400" t="inlineStr">
        <is>
          <t>ORD2399</t>
        </is>
      </c>
      <c r="B1400" t="inlineStr">
        <is>
          <t>2025-04-13</t>
        </is>
      </c>
      <c r="C1400" t="inlineStr">
        <is>
          <t>09:08:33</t>
        </is>
      </c>
      <c r="D1400" t="n">
        <v>1117</v>
      </c>
      <c r="E1400" t="n">
        <v>113</v>
      </c>
      <c r="F1400" t="n">
        <v>229</v>
      </c>
      <c r="G1400" t="inlineStr">
        <is>
          <t>Mumbai</t>
        </is>
      </c>
      <c r="H1400" t="inlineStr">
        <is>
          <t>Fast Food</t>
        </is>
      </c>
      <c r="I1400" t="n">
        <v>256</v>
      </c>
      <c r="J1400" t="n">
        <v>21.2</v>
      </c>
      <c r="K1400" t="n">
        <v>27.5</v>
      </c>
      <c r="L1400" t="n">
        <v>0.18</v>
      </c>
      <c r="M1400" t="n">
        <v>52.96</v>
      </c>
      <c r="N1400" t="n">
        <v>3.5</v>
      </c>
      <c r="O1400" t="n">
        <v>25.3</v>
      </c>
      <c r="P1400" t="inlineStr">
        <is>
          <t>Credit Card</t>
        </is>
      </c>
      <c r="Q1400" t="inlineStr">
        <is>
          <t>Delivered</t>
        </is>
      </c>
      <c r="R1400" t="n">
        <v>3</v>
      </c>
    </row>
    <row r="1401">
      <c r="A1401" t="inlineStr">
        <is>
          <t>ORD2400</t>
        </is>
      </c>
      <c r="B1401" t="inlineStr">
        <is>
          <t>2025-04-05</t>
        </is>
      </c>
      <c r="C1401" t="inlineStr">
        <is>
          <t>18:05:48</t>
        </is>
      </c>
      <c r="D1401" t="n">
        <v>1158</v>
      </c>
      <c r="E1401" t="n">
        <v>110</v>
      </c>
      <c r="F1401" t="n">
        <v>209</v>
      </c>
      <c r="G1401" t="inlineStr">
        <is>
          <t>Pune</t>
        </is>
      </c>
      <c r="H1401" t="inlineStr">
        <is>
          <t>North Indian</t>
        </is>
      </c>
      <c r="I1401" t="n">
        <v>930</v>
      </c>
      <c r="J1401" t="n">
        <v>99</v>
      </c>
      <c r="K1401" t="n">
        <v>25.5</v>
      </c>
      <c r="L1401" t="n">
        <v>0.18</v>
      </c>
      <c r="M1401" t="n">
        <v>173.78</v>
      </c>
      <c r="N1401" t="n">
        <v>3.1</v>
      </c>
      <c r="O1401" t="n">
        <v>25.6</v>
      </c>
      <c r="P1401" t="inlineStr">
        <is>
          <t>Digital Wallet</t>
        </is>
      </c>
      <c r="Q1401" t="inlineStr">
        <is>
          <t>Delivered</t>
        </is>
      </c>
      <c r="R1401" t="n">
        <v>5</v>
      </c>
    </row>
    <row r="1402">
      <c r="A1402" t="inlineStr">
        <is>
          <t>ORD2401</t>
        </is>
      </c>
      <c r="B1402" t="inlineStr">
        <is>
          <t>2025-08-15</t>
        </is>
      </c>
      <c r="C1402" t="inlineStr">
        <is>
          <t>18:38:49</t>
        </is>
      </c>
      <c r="D1402" t="n">
        <v>1132</v>
      </c>
      <c r="E1402" t="n">
        <v>111</v>
      </c>
      <c r="F1402" t="n">
        <v>223</v>
      </c>
      <c r="G1402" t="inlineStr">
        <is>
          <t>Bangalore</t>
        </is>
      </c>
      <c r="H1402" t="inlineStr">
        <is>
          <t>South Indian</t>
        </is>
      </c>
      <c r="I1402" t="n">
        <v>262</v>
      </c>
      <c r="J1402" t="n">
        <v>10.56</v>
      </c>
      <c r="K1402" t="n">
        <v>25</v>
      </c>
      <c r="L1402" t="n">
        <v>0.15</v>
      </c>
      <c r="M1402" t="n">
        <v>45.55</v>
      </c>
      <c r="N1402" t="n">
        <v>1.9</v>
      </c>
      <c r="O1402" t="n">
        <v>28.8</v>
      </c>
      <c r="P1402" t="inlineStr">
        <is>
          <t>Credit Card</t>
        </is>
      </c>
      <c r="Q1402" t="inlineStr">
        <is>
          <t>Delivered</t>
        </is>
      </c>
      <c r="R1402" t="n">
        <v>4</v>
      </c>
    </row>
    <row r="1403">
      <c r="A1403" t="inlineStr">
        <is>
          <t>ORD2402</t>
        </is>
      </c>
      <c r="B1403" t="inlineStr">
        <is>
          <t>2025-03-20</t>
        </is>
      </c>
      <c r="C1403" t="inlineStr">
        <is>
          <t>12:21:55</t>
        </is>
      </c>
      <c r="D1403" t="n">
        <v>1277</v>
      </c>
      <c r="E1403" t="n">
        <v>113</v>
      </c>
      <c r="F1403" t="n">
        <v>206</v>
      </c>
      <c r="G1403" t="inlineStr">
        <is>
          <t>Mumbai</t>
        </is>
      </c>
      <c r="H1403" t="inlineStr">
        <is>
          <t>Fast Food</t>
        </is>
      </c>
      <c r="I1403" t="n">
        <v>476</v>
      </c>
      <c r="J1403" t="n">
        <v>54.52</v>
      </c>
      <c r="K1403" t="n">
        <v>42</v>
      </c>
      <c r="L1403" t="n">
        <v>0.18</v>
      </c>
      <c r="M1403" t="n">
        <v>96.18000000000001</v>
      </c>
      <c r="N1403" t="n">
        <v>6.4</v>
      </c>
      <c r="O1403" t="n">
        <v>51.3</v>
      </c>
      <c r="P1403" t="inlineStr">
        <is>
          <t>Credit Card</t>
        </is>
      </c>
      <c r="Q1403" t="inlineStr">
        <is>
          <t>Delivered</t>
        </is>
      </c>
      <c r="R1403" t="n">
        <v>1</v>
      </c>
    </row>
    <row r="1404">
      <c r="A1404" t="inlineStr">
        <is>
          <t>ORD2403</t>
        </is>
      </c>
      <c r="B1404" t="inlineStr">
        <is>
          <t>2025-03-20</t>
        </is>
      </c>
      <c r="C1404" t="inlineStr">
        <is>
          <t>12:18:32</t>
        </is>
      </c>
      <c r="D1404" t="n">
        <v>1069</v>
      </c>
      <c r="E1404" t="n">
        <v>115</v>
      </c>
      <c r="F1404" t="n">
        <v>201</v>
      </c>
      <c r="G1404" t="inlineStr">
        <is>
          <t>Bangalore</t>
        </is>
      </c>
      <c r="H1404" t="inlineStr">
        <is>
          <t>Italian</t>
        </is>
      </c>
      <c r="I1404" t="n">
        <v>285</v>
      </c>
      <c r="J1404" t="n">
        <v>0</v>
      </c>
      <c r="K1404" t="n">
        <v>35.5</v>
      </c>
      <c r="L1404" t="n">
        <v>0.2</v>
      </c>
      <c r="M1404" t="n">
        <v>65.88</v>
      </c>
      <c r="N1404" t="n">
        <v>5.1</v>
      </c>
      <c r="O1404" t="n">
        <v>41.2</v>
      </c>
      <c r="P1404" t="inlineStr">
        <is>
          <t>Debit Card</t>
        </is>
      </c>
      <c r="Q1404" t="inlineStr">
        <is>
          <t>Delivered</t>
        </is>
      </c>
      <c r="R1404" t="n">
        <v>3</v>
      </c>
    </row>
    <row r="1405">
      <c r="A1405" t="inlineStr">
        <is>
          <t>ORD2404</t>
        </is>
      </c>
      <c r="B1405" t="inlineStr">
        <is>
          <t>2025-02-05</t>
        </is>
      </c>
      <c r="C1405" t="inlineStr">
        <is>
          <t>15:53:15</t>
        </is>
      </c>
      <c r="D1405" t="n">
        <v>1255</v>
      </c>
      <c r="E1405" t="n">
        <v>120</v>
      </c>
      <c r="F1405" t="n">
        <v>208</v>
      </c>
      <c r="G1405" t="inlineStr">
        <is>
          <t>Pune</t>
        </is>
      </c>
      <c r="H1405" t="inlineStr">
        <is>
          <t>Fast Food</t>
        </is>
      </c>
      <c r="I1405" t="n">
        <v>836</v>
      </c>
      <c r="J1405" t="n">
        <v>37.24</v>
      </c>
      <c r="K1405" t="n">
        <v>31.5</v>
      </c>
      <c r="L1405" t="n">
        <v>0.18</v>
      </c>
      <c r="M1405" t="n">
        <v>158.35</v>
      </c>
      <c r="N1405" t="n">
        <v>4.3</v>
      </c>
      <c r="O1405" t="n">
        <v>31.2</v>
      </c>
      <c r="P1405" t="inlineStr">
        <is>
          <t>Debit Card</t>
        </is>
      </c>
      <c r="Q1405" t="inlineStr">
        <is>
          <t>Delivered</t>
        </is>
      </c>
      <c r="R1405" t="n">
        <v>4</v>
      </c>
    </row>
    <row r="1406">
      <c r="A1406" t="inlineStr">
        <is>
          <t>ORD2405</t>
        </is>
      </c>
      <c r="B1406" t="inlineStr">
        <is>
          <t>2025-12-17</t>
        </is>
      </c>
      <c r="C1406" t="inlineStr">
        <is>
          <t>18:04:26</t>
        </is>
      </c>
      <c r="D1406" t="n">
        <v>1269</v>
      </c>
      <c r="E1406" t="n">
        <v>103</v>
      </c>
      <c r="F1406" t="n">
        <v>229</v>
      </c>
      <c r="G1406" t="inlineStr">
        <is>
          <t>Mumbai</t>
        </is>
      </c>
      <c r="H1406" t="inlineStr">
        <is>
          <t>Italian</t>
        </is>
      </c>
      <c r="I1406" t="n">
        <v>750</v>
      </c>
      <c r="J1406" t="n">
        <v>37.12</v>
      </c>
      <c r="K1406" t="n">
        <v>36</v>
      </c>
      <c r="L1406" t="n">
        <v>0.18</v>
      </c>
      <c r="M1406" t="n">
        <v>144</v>
      </c>
      <c r="N1406" t="n">
        <v>5.2</v>
      </c>
      <c r="O1406" t="n">
        <v>28.5</v>
      </c>
      <c r="P1406" t="inlineStr">
        <is>
          <t>Debit Card</t>
        </is>
      </c>
      <c r="Q1406" t="inlineStr">
        <is>
          <t>Delivered</t>
        </is>
      </c>
      <c r="R1406" t="n">
        <v>3</v>
      </c>
    </row>
    <row r="1407">
      <c r="A1407" t="inlineStr">
        <is>
          <t>ORD2406</t>
        </is>
      </c>
      <c r="B1407" t="inlineStr">
        <is>
          <t>2025-02-23</t>
        </is>
      </c>
      <c r="C1407" t="inlineStr">
        <is>
          <t>18:43:14</t>
        </is>
      </c>
      <c r="D1407" t="n">
        <v>1255</v>
      </c>
      <c r="E1407" t="n">
        <v>120</v>
      </c>
      <c r="F1407" t="n">
        <v>224</v>
      </c>
      <c r="G1407" t="inlineStr">
        <is>
          <t>Pune</t>
        </is>
      </c>
      <c r="H1407" t="inlineStr">
        <is>
          <t>Fast Food</t>
        </is>
      </c>
      <c r="I1407" t="n">
        <v>226</v>
      </c>
      <c r="J1407" t="n">
        <v>0</v>
      </c>
      <c r="K1407" t="n">
        <v>27.5</v>
      </c>
      <c r="L1407" t="n">
        <v>0.18</v>
      </c>
      <c r="M1407" t="n">
        <v>47.56</v>
      </c>
      <c r="N1407" t="n">
        <v>3.5</v>
      </c>
      <c r="O1407" t="n">
        <v>35</v>
      </c>
      <c r="P1407" t="inlineStr">
        <is>
          <t>Cash on Delivery</t>
        </is>
      </c>
      <c r="Q1407" t="inlineStr">
        <is>
          <t>Delivered</t>
        </is>
      </c>
      <c r="R1407" t="n">
        <v>4</v>
      </c>
    </row>
    <row r="1408">
      <c r="A1408" t="inlineStr">
        <is>
          <t>ORD2407</t>
        </is>
      </c>
      <c r="B1408" t="inlineStr">
        <is>
          <t>2025-10-16</t>
        </is>
      </c>
      <c r="C1408" t="inlineStr">
        <is>
          <t>20:34:04</t>
        </is>
      </c>
      <c r="D1408" t="n">
        <v>1005</v>
      </c>
      <c r="E1408" t="n">
        <v>119</v>
      </c>
      <c r="F1408" t="n">
        <v>216</v>
      </c>
      <c r="G1408" t="inlineStr">
        <is>
          <t>Hyderabad</t>
        </is>
      </c>
      <c r="H1408" t="inlineStr">
        <is>
          <t>Biryani</t>
        </is>
      </c>
      <c r="I1408" t="n">
        <v>240</v>
      </c>
      <c r="J1408" t="n">
        <v>17.49</v>
      </c>
      <c r="K1408" t="n">
        <v>56.5</v>
      </c>
      <c r="L1408" t="n">
        <v>0.2</v>
      </c>
      <c r="M1408" t="n">
        <v>62.12</v>
      </c>
      <c r="N1408" t="n">
        <v>9.300000000000001</v>
      </c>
      <c r="O1408" t="n">
        <v>57.2</v>
      </c>
      <c r="P1408" t="inlineStr">
        <is>
          <t>Cash on Delivery</t>
        </is>
      </c>
      <c r="Q1408" t="inlineStr">
        <is>
          <t>Delivered</t>
        </is>
      </c>
      <c r="R1408" t="n">
        <v>5</v>
      </c>
    </row>
    <row r="1409">
      <c r="A1409" t="inlineStr">
        <is>
          <t>ORD2408</t>
        </is>
      </c>
      <c r="B1409" t="inlineStr">
        <is>
          <t>2025-05-02</t>
        </is>
      </c>
      <c r="C1409" t="inlineStr">
        <is>
          <t>23:43:31</t>
        </is>
      </c>
      <c r="D1409" t="n">
        <v>1273</v>
      </c>
      <c r="E1409" t="n">
        <v>109</v>
      </c>
      <c r="F1409" t="n">
        <v>225</v>
      </c>
      <c r="G1409" t="inlineStr">
        <is>
          <t>Hyderabad</t>
        </is>
      </c>
      <c r="H1409" t="inlineStr">
        <is>
          <t>Biryani</t>
        </is>
      </c>
      <c r="I1409" t="n">
        <v>1011</v>
      </c>
      <c r="J1409" t="n">
        <v>135.99</v>
      </c>
      <c r="K1409" t="n">
        <v>0</v>
      </c>
      <c r="L1409" t="n">
        <v>0.2</v>
      </c>
      <c r="M1409" t="n">
        <v>202.2</v>
      </c>
      <c r="N1409" t="n">
        <v>4.9</v>
      </c>
      <c r="O1409" t="n">
        <v/>
      </c>
      <c r="P1409" t="inlineStr">
        <is>
          <t>Cash on Delivery</t>
        </is>
      </c>
      <c r="Q1409" t="inlineStr">
        <is>
          <t>Cancelled</t>
        </is>
      </c>
      <c r="R1409" t="n">
        <v/>
      </c>
    </row>
    <row r="1410">
      <c r="A1410" t="inlineStr">
        <is>
          <t>ORD2409</t>
        </is>
      </c>
      <c r="B1410" t="inlineStr">
        <is>
          <t>2025-10-02</t>
        </is>
      </c>
      <c r="C1410" t="inlineStr">
        <is>
          <t>10:56:23</t>
        </is>
      </c>
      <c r="D1410" t="n">
        <v>1222</v>
      </c>
      <c r="E1410" t="n">
        <v>102</v>
      </c>
      <c r="F1410" t="n">
        <v>216</v>
      </c>
      <c r="G1410" t="inlineStr">
        <is>
          <t>Hyderabad</t>
        </is>
      </c>
      <c r="H1410" t="inlineStr">
        <is>
          <t>Biryani</t>
        </is>
      </c>
      <c r="I1410" t="n">
        <v>449</v>
      </c>
      <c r="J1410" t="n">
        <v>0</v>
      </c>
      <c r="K1410" t="n">
        <v>26.5</v>
      </c>
      <c r="L1410" t="n">
        <v>0.22</v>
      </c>
      <c r="M1410" t="n">
        <v>105.4</v>
      </c>
      <c r="N1410" t="n">
        <v>3.3</v>
      </c>
      <c r="O1410" t="n">
        <v>33.4</v>
      </c>
      <c r="P1410" t="inlineStr">
        <is>
          <t>Credit Card</t>
        </is>
      </c>
      <c r="Q1410" t="inlineStr">
        <is>
          <t>Delivered</t>
        </is>
      </c>
      <c r="R1410" t="n">
        <v>4</v>
      </c>
    </row>
    <row r="1411">
      <c r="A1411" t="inlineStr">
        <is>
          <t>ORD2410</t>
        </is>
      </c>
      <c r="B1411" t="inlineStr">
        <is>
          <t>2025-07-08</t>
        </is>
      </c>
      <c r="C1411" t="inlineStr">
        <is>
          <t>20:47:01</t>
        </is>
      </c>
      <c r="D1411" t="n">
        <v>1121</v>
      </c>
      <c r="E1411" t="n">
        <v>111</v>
      </c>
      <c r="F1411" t="n">
        <v>218</v>
      </c>
      <c r="G1411" t="inlineStr">
        <is>
          <t>Bangalore</t>
        </is>
      </c>
      <c r="H1411" t="inlineStr">
        <is>
          <t>South Indian</t>
        </is>
      </c>
      <c r="I1411" t="n">
        <v>662</v>
      </c>
      <c r="J1411" t="n">
        <v>70.42</v>
      </c>
      <c r="K1411" t="n">
        <v>25</v>
      </c>
      <c r="L1411" t="n">
        <v>0.15</v>
      </c>
      <c r="M1411" t="n">
        <v>105.55</v>
      </c>
      <c r="N1411" t="n">
        <v>2.1</v>
      </c>
      <c r="O1411" t="n">
        <v/>
      </c>
      <c r="P1411" t="inlineStr">
        <is>
          <t>Cash on Delivery</t>
        </is>
      </c>
      <c r="Q1411" t="inlineStr">
        <is>
          <t>Cancelled</t>
        </is>
      </c>
      <c r="R1411" t="n">
        <v/>
      </c>
    </row>
    <row r="1412">
      <c r="A1412" t="inlineStr">
        <is>
          <t>ORD2411</t>
        </is>
      </c>
      <c r="B1412" t="inlineStr">
        <is>
          <t>2025-03-06</t>
        </is>
      </c>
      <c r="C1412" t="inlineStr">
        <is>
          <t>21:53:40</t>
        </is>
      </c>
      <c r="D1412" t="n">
        <v>1293</v>
      </c>
      <c r="E1412" t="n">
        <v>102</v>
      </c>
      <c r="F1412" t="n">
        <v>216</v>
      </c>
      <c r="G1412" t="inlineStr">
        <is>
          <t>Hyderabad</t>
        </is>
      </c>
      <c r="H1412" t="inlineStr">
        <is>
          <t>Biryani</t>
        </is>
      </c>
      <c r="I1412" t="n">
        <v>581</v>
      </c>
      <c r="J1412" t="n">
        <v>37.51</v>
      </c>
      <c r="K1412" t="n">
        <v>31</v>
      </c>
      <c r="L1412" t="n">
        <v>0.22</v>
      </c>
      <c r="M1412" t="n">
        <v>135.57</v>
      </c>
      <c r="N1412" t="n">
        <v>4.2</v>
      </c>
      <c r="O1412" t="n">
        <v>37.6</v>
      </c>
      <c r="P1412" t="inlineStr">
        <is>
          <t>Cash on Delivery</t>
        </is>
      </c>
      <c r="Q1412" t="inlineStr">
        <is>
          <t>Delivered</t>
        </is>
      </c>
      <c r="R1412" t="n">
        <v>3</v>
      </c>
    </row>
    <row r="1413">
      <c r="A1413" t="inlineStr">
        <is>
          <t>ORD2412</t>
        </is>
      </c>
      <c r="B1413" t="inlineStr">
        <is>
          <t>2025-07-18</t>
        </is>
      </c>
      <c r="C1413" t="inlineStr">
        <is>
          <t>19:29:23</t>
        </is>
      </c>
      <c r="D1413" t="n">
        <v>1272</v>
      </c>
      <c r="E1413" t="n">
        <v>118</v>
      </c>
      <c r="F1413" t="n">
        <v>212</v>
      </c>
      <c r="G1413" t="inlineStr">
        <is>
          <t>Delhi NCR</t>
        </is>
      </c>
      <c r="H1413" t="inlineStr">
        <is>
          <t>North Indian</t>
        </is>
      </c>
      <c r="I1413" t="n">
        <v>565</v>
      </c>
      <c r="J1413" t="n">
        <v>41.14</v>
      </c>
      <c r="K1413" t="n">
        <v>25</v>
      </c>
      <c r="L1413" t="n">
        <v>0.2</v>
      </c>
      <c r="M1413" t="n">
        <v>119.25</v>
      </c>
      <c r="N1413" t="n">
        <v>2.4</v>
      </c>
      <c r="O1413" t="n">
        <v>27.2</v>
      </c>
      <c r="P1413" t="inlineStr">
        <is>
          <t>Digital Wallet</t>
        </is>
      </c>
      <c r="Q1413" t="inlineStr">
        <is>
          <t>Delivered</t>
        </is>
      </c>
      <c r="R1413" t="n">
        <v>4</v>
      </c>
    </row>
    <row r="1414">
      <c r="A1414" t="inlineStr">
        <is>
          <t>ORD2413</t>
        </is>
      </c>
      <c r="B1414" t="inlineStr">
        <is>
          <t>2025-04-22</t>
        </is>
      </c>
      <c r="C1414" t="inlineStr">
        <is>
          <t>22:45:12</t>
        </is>
      </c>
      <c r="D1414" t="n">
        <v>1135</v>
      </c>
      <c r="E1414" t="n">
        <v>103</v>
      </c>
      <c r="F1414" t="n">
        <v>229</v>
      </c>
      <c r="G1414" t="inlineStr">
        <is>
          <t>Mumbai</t>
        </is>
      </c>
      <c r="H1414" t="inlineStr">
        <is>
          <t>Italian</t>
        </is>
      </c>
      <c r="I1414" t="n">
        <v>951</v>
      </c>
      <c r="J1414" t="n">
        <v>185.26</v>
      </c>
      <c r="K1414" t="n">
        <v>0</v>
      </c>
      <c r="L1414" t="n">
        <v>0.18</v>
      </c>
      <c r="M1414" t="n">
        <v>171.18</v>
      </c>
      <c r="N1414" t="n">
        <v>3.7</v>
      </c>
      <c r="O1414" t="n">
        <v/>
      </c>
      <c r="P1414" t="inlineStr">
        <is>
          <t>Digital Wallet</t>
        </is>
      </c>
      <c r="Q1414" t="inlineStr">
        <is>
          <t>Cancelled</t>
        </is>
      </c>
      <c r="R1414" t="n">
        <v/>
      </c>
    </row>
    <row r="1415">
      <c r="A1415" t="inlineStr">
        <is>
          <t>ORD2414</t>
        </is>
      </c>
      <c r="B1415" t="inlineStr">
        <is>
          <t>2025-07-11</t>
        </is>
      </c>
      <c r="C1415" t="inlineStr">
        <is>
          <t>16:41:19</t>
        </is>
      </c>
      <c r="D1415" t="n">
        <v>1078</v>
      </c>
      <c r="E1415" t="n">
        <v>118</v>
      </c>
      <c r="F1415" t="n">
        <v>212</v>
      </c>
      <c r="G1415" t="inlineStr">
        <is>
          <t>Delhi NCR</t>
        </is>
      </c>
      <c r="H1415" t="inlineStr">
        <is>
          <t>North Indian</t>
        </is>
      </c>
      <c r="I1415" t="n">
        <v>438</v>
      </c>
      <c r="J1415" t="n">
        <v>0</v>
      </c>
      <c r="K1415" t="n">
        <v>32</v>
      </c>
      <c r="L1415" t="n">
        <v>0.2</v>
      </c>
      <c r="M1415" t="n">
        <v>95.59999999999999</v>
      </c>
      <c r="N1415" t="n">
        <v>4.4</v>
      </c>
      <c r="O1415" t="n">
        <v>29.2</v>
      </c>
      <c r="P1415" t="inlineStr">
        <is>
          <t>Digital Wallet</t>
        </is>
      </c>
      <c r="Q1415" t="inlineStr">
        <is>
          <t>Delivered</t>
        </is>
      </c>
      <c r="R1415" t="n">
        <v>2</v>
      </c>
    </row>
    <row r="1416">
      <c r="A1416" t="inlineStr">
        <is>
          <t>ORD2415</t>
        </is>
      </c>
      <c r="B1416" t="inlineStr">
        <is>
          <t>2025-01-27</t>
        </is>
      </c>
      <c r="C1416" t="inlineStr">
        <is>
          <t>20:12:13</t>
        </is>
      </c>
      <c r="D1416" t="n">
        <v>1263</v>
      </c>
      <c r="E1416" t="n">
        <v>104</v>
      </c>
      <c r="F1416" t="n">
        <v>230</v>
      </c>
      <c r="G1416" t="inlineStr">
        <is>
          <t>Delhi NCR</t>
        </is>
      </c>
      <c r="H1416" t="inlineStr">
        <is>
          <t>Fast Food</t>
        </is>
      </c>
      <c r="I1416" t="n">
        <v>565</v>
      </c>
      <c r="J1416" t="n">
        <v>7.08</v>
      </c>
      <c r="K1416" t="n">
        <v>35</v>
      </c>
      <c r="L1416" t="n">
        <v>0.18</v>
      </c>
      <c r="M1416" t="n">
        <v>110.45</v>
      </c>
      <c r="N1416" t="n">
        <v>5</v>
      </c>
      <c r="O1416" t="n">
        <v>35.6</v>
      </c>
      <c r="P1416" t="inlineStr">
        <is>
          <t>Digital Wallet</t>
        </is>
      </c>
      <c r="Q1416" t="inlineStr">
        <is>
          <t>Delivered</t>
        </is>
      </c>
      <c r="R1416" t="n">
        <v>4</v>
      </c>
    </row>
    <row r="1417">
      <c r="A1417" t="inlineStr">
        <is>
          <t>ORD2416</t>
        </is>
      </c>
      <c r="B1417" t="inlineStr">
        <is>
          <t>2025-01-13</t>
        </is>
      </c>
      <c r="C1417" t="inlineStr">
        <is>
          <t>20:44:13</t>
        </is>
      </c>
      <c r="D1417" t="n">
        <v>1146</v>
      </c>
      <c r="E1417" t="n">
        <v>113</v>
      </c>
      <c r="F1417" t="n">
        <v>202</v>
      </c>
      <c r="G1417" t="inlineStr">
        <is>
          <t>Mumbai</t>
        </is>
      </c>
      <c r="H1417" t="inlineStr">
        <is>
          <t>Fast Food</t>
        </is>
      </c>
      <c r="I1417" t="n">
        <v>615</v>
      </c>
      <c r="J1417" t="n">
        <v>8.48</v>
      </c>
      <c r="K1417" t="n">
        <v>30.5</v>
      </c>
      <c r="L1417" t="n">
        <v>0.18</v>
      </c>
      <c r="M1417" t="n">
        <v>118.32</v>
      </c>
      <c r="N1417" t="n">
        <v>4.1</v>
      </c>
      <c r="O1417" t="n">
        <v>39.3</v>
      </c>
      <c r="P1417" t="inlineStr">
        <is>
          <t>Digital Wallet</t>
        </is>
      </c>
      <c r="Q1417" t="inlineStr">
        <is>
          <t>Delivered</t>
        </is>
      </c>
      <c r="R1417" t="n">
        <v>5</v>
      </c>
    </row>
    <row r="1418">
      <c r="A1418" t="inlineStr">
        <is>
          <t>ORD2417</t>
        </is>
      </c>
      <c r="B1418" t="inlineStr">
        <is>
          <t>2025-10-22</t>
        </is>
      </c>
      <c r="C1418" t="inlineStr">
        <is>
          <t>14:50:51</t>
        </is>
      </c>
      <c r="D1418" t="n">
        <v>1037</v>
      </c>
      <c r="E1418" t="n">
        <v>105</v>
      </c>
      <c r="F1418" t="n">
        <v>205</v>
      </c>
      <c r="G1418" t="inlineStr">
        <is>
          <t>Bangalore</t>
        </is>
      </c>
      <c r="H1418" t="inlineStr">
        <is>
          <t>Chinese</t>
        </is>
      </c>
      <c r="I1418" t="n">
        <v>422</v>
      </c>
      <c r="J1418" t="n">
        <v>0</v>
      </c>
      <c r="K1418" t="n">
        <v>25</v>
      </c>
      <c r="L1418" t="n">
        <v>0.2</v>
      </c>
      <c r="M1418" t="n">
        <v>90.65000000000001</v>
      </c>
      <c r="N1418" t="n">
        <v>2.9</v>
      </c>
      <c r="O1418" t="n">
        <v>28.2</v>
      </c>
      <c r="P1418" t="inlineStr">
        <is>
          <t>Credit Card</t>
        </is>
      </c>
      <c r="Q1418" t="inlineStr">
        <is>
          <t>Delivered</t>
        </is>
      </c>
      <c r="R1418" t="n">
        <v>5</v>
      </c>
    </row>
    <row r="1419">
      <c r="A1419" t="inlineStr">
        <is>
          <t>ORD2418</t>
        </is>
      </c>
      <c r="B1419" t="inlineStr">
        <is>
          <t>2025-11-09</t>
        </is>
      </c>
      <c r="C1419" t="inlineStr">
        <is>
          <t>12:59:48</t>
        </is>
      </c>
      <c r="D1419" t="n">
        <v>1078</v>
      </c>
      <c r="E1419" t="n">
        <v>104</v>
      </c>
      <c r="F1419" t="n">
        <v>219</v>
      </c>
      <c r="G1419" t="inlineStr">
        <is>
          <t>Delhi NCR</t>
        </is>
      </c>
      <c r="H1419" t="inlineStr">
        <is>
          <t>Fast Food</t>
        </is>
      </c>
      <c r="I1419" t="n">
        <v>847</v>
      </c>
      <c r="J1419" t="n">
        <v>42.56</v>
      </c>
      <c r="K1419" t="n">
        <v>43.5</v>
      </c>
      <c r="L1419" t="n">
        <v>0.18</v>
      </c>
      <c r="M1419" t="n">
        <v>163.34</v>
      </c>
      <c r="N1419" t="n">
        <v>6.7</v>
      </c>
      <c r="O1419" t="n">
        <v>42.1</v>
      </c>
      <c r="P1419" t="inlineStr">
        <is>
          <t>UPI</t>
        </is>
      </c>
      <c r="Q1419" t="inlineStr">
        <is>
          <t>Delivered</t>
        </is>
      </c>
      <c r="R1419" t="n">
        <v>3</v>
      </c>
    </row>
    <row r="1420">
      <c r="A1420" t="inlineStr">
        <is>
          <t>ORD2419</t>
        </is>
      </c>
      <c r="B1420" t="inlineStr">
        <is>
          <t>2025-01-11</t>
        </is>
      </c>
      <c r="C1420" t="inlineStr">
        <is>
          <t>21:00:58</t>
        </is>
      </c>
      <c r="D1420" t="n">
        <v>1141</v>
      </c>
      <c r="E1420" t="n">
        <v>118</v>
      </c>
      <c r="F1420" t="n">
        <v>212</v>
      </c>
      <c r="G1420" t="inlineStr">
        <is>
          <t>Delhi NCR</t>
        </is>
      </c>
      <c r="H1420" t="inlineStr">
        <is>
          <t>North Indian</t>
        </is>
      </c>
      <c r="I1420" t="n">
        <v>458</v>
      </c>
      <c r="J1420" t="n">
        <v>84.84999999999999</v>
      </c>
      <c r="K1420" t="n">
        <v>49.5</v>
      </c>
      <c r="L1420" t="n">
        <v>0.2</v>
      </c>
      <c r="M1420" t="n">
        <v>103.98</v>
      </c>
      <c r="N1420" t="n">
        <v>7.9</v>
      </c>
      <c r="O1420" t="n">
        <v>45.4</v>
      </c>
      <c r="P1420" t="inlineStr">
        <is>
          <t>Debit Card</t>
        </is>
      </c>
      <c r="Q1420" t="inlineStr">
        <is>
          <t>Delivered</t>
        </is>
      </c>
      <c r="R1420" t="n">
        <v>2</v>
      </c>
    </row>
    <row r="1421">
      <c r="A1421" t="inlineStr">
        <is>
          <t>ORD2420</t>
        </is>
      </c>
      <c r="B1421" t="inlineStr">
        <is>
          <t>2025-04-20</t>
        </is>
      </c>
      <c r="C1421" t="inlineStr">
        <is>
          <t>20:19:53</t>
        </is>
      </c>
      <c r="D1421" t="n">
        <v>1269</v>
      </c>
      <c r="E1421" t="n">
        <v>107</v>
      </c>
      <c r="F1421" t="n">
        <v>229</v>
      </c>
      <c r="G1421" t="inlineStr">
        <is>
          <t>Mumbai</t>
        </is>
      </c>
      <c r="H1421" t="inlineStr">
        <is>
          <t>Desserts</t>
        </is>
      </c>
      <c r="I1421" t="n">
        <v>287</v>
      </c>
      <c r="J1421" t="n">
        <v>0</v>
      </c>
      <c r="K1421" t="n">
        <v>25</v>
      </c>
      <c r="L1421" t="n">
        <v>0.25</v>
      </c>
      <c r="M1421" t="n">
        <v>78</v>
      </c>
      <c r="N1421" t="n">
        <v>1.8</v>
      </c>
      <c r="O1421" t="n">
        <v>28.7</v>
      </c>
      <c r="P1421" t="inlineStr">
        <is>
          <t>Digital Wallet</t>
        </is>
      </c>
      <c r="Q1421" t="inlineStr">
        <is>
          <t>Delivered</t>
        </is>
      </c>
      <c r="R1421" t="n">
        <v>3</v>
      </c>
    </row>
    <row r="1422">
      <c r="A1422" t="inlineStr">
        <is>
          <t>ORD2421</t>
        </is>
      </c>
      <c r="B1422" t="inlineStr">
        <is>
          <t>2025-12-27</t>
        </is>
      </c>
      <c r="C1422" t="inlineStr">
        <is>
          <t>20:11:18</t>
        </is>
      </c>
      <c r="D1422" t="n">
        <v>1140</v>
      </c>
      <c r="E1422" t="n">
        <v>116</v>
      </c>
      <c r="F1422" t="n">
        <v>208</v>
      </c>
      <c r="G1422" t="inlineStr">
        <is>
          <t>Pune</t>
        </is>
      </c>
      <c r="H1422" t="inlineStr">
        <is>
          <t>Desserts</t>
        </is>
      </c>
      <c r="I1422" t="n">
        <v>655</v>
      </c>
      <c r="J1422" t="n">
        <v>118.05</v>
      </c>
      <c r="K1422" t="n">
        <v>0</v>
      </c>
      <c r="L1422" t="n">
        <v>0.25</v>
      </c>
      <c r="M1422" t="n">
        <v>163.75</v>
      </c>
      <c r="N1422" t="n">
        <v>2.4</v>
      </c>
      <c r="O1422" t="n">
        <v>26.2</v>
      </c>
      <c r="P1422" t="inlineStr">
        <is>
          <t>Credit Card</t>
        </is>
      </c>
      <c r="Q1422" t="inlineStr">
        <is>
          <t>Delivered</t>
        </is>
      </c>
      <c r="R1422" t="n">
        <v>4</v>
      </c>
    </row>
    <row r="1423">
      <c r="A1423" t="inlineStr">
        <is>
          <t>ORD2422</t>
        </is>
      </c>
      <c r="B1423" t="inlineStr">
        <is>
          <t>2025-03-02</t>
        </is>
      </c>
      <c r="C1423" t="inlineStr">
        <is>
          <t>13:34:58</t>
        </is>
      </c>
      <c r="D1423" t="n">
        <v>1191</v>
      </c>
      <c r="E1423" t="n">
        <v>118</v>
      </c>
      <c r="F1423" t="n">
        <v>230</v>
      </c>
      <c r="G1423" t="inlineStr">
        <is>
          <t>Delhi NCR</t>
        </is>
      </c>
      <c r="H1423" t="inlineStr">
        <is>
          <t>North Indian</t>
        </is>
      </c>
      <c r="I1423" t="n">
        <v>853</v>
      </c>
      <c r="J1423" t="n">
        <v>0</v>
      </c>
      <c r="K1423" t="n">
        <v>36.5</v>
      </c>
      <c r="L1423" t="n">
        <v>0.2</v>
      </c>
      <c r="M1423" t="n">
        <v>179.73</v>
      </c>
      <c r="N1423" t="n">
        <v>5.3</v>
      </c>
      <c r="O1423" t="n">
        <v>42.5</v>
      </c>
      <c r="P1423" t="inlineStr">
        <is>
          <t>Cash on Delivery</t>
        </is>
      </c>
      <c r="Q1423" t="inlineStr">
        <is>
          <t>Delivered</t>
        </is>
      </c>
      <c r="R1423" t="n">
        <v>4</v>
      </c>
    </row>
    <row r="1424">
      <c r="A1424" t="inlineStr">
        <is>
          <t>ORD2423</t>
        </is>
      </c>
      <c r="B1424" t="inlineStr">
        <is>
          <t>2025-12-06</t>
        </is>
      </c>
      <c r="C1424" t="inlineStr">
        <is>
          <t>20:09:58</t>
        </is>
      </c>
      <c r="D1424" t="n">
        <v>1213</v>
      </c>
      <c r="E1424" t="n">
        <v>112</v>
      </c>
      <c r="F1424" t="n">
        <v>228</v>
      </c>
      <c r="G1424" t="inlineStr">
        <is>
          <t>Delhi NCR</t>
        </is>
      </c>
      <c r="H1424" t="inlineStr">
        <is>
          <t>North Indian</t>
        </is>
      </c>
      <c r="I1424" t="n">
        <v>675</v>
      </c>
      <c r="J1424" t="n">
        <v>38.34</v>
      </c>
      <c r="K1424" t="n">
        <v>26</v>
      </c>
      <c r="L1424" t="n">
        <v>0.22</v>
      </c>
      <c r="M1424" t="n">
        <v>155</v>
      </c>
      <c r="N1424" t="n">
        <v>3.2</v>
      </c>
      <c r="O1424" t="n">
        <v>25.4</v>
      </c>
      <c r="P1424" t="inlineStr">
        <is>
          <t>Cash on Delivery</t>
        </is>
      </c>
      <c r="Q1424" t="inlineStr">
        <is>
          <t>Delivered</t>
        </is>
      </c>
      <c r="R1424" t="n">
        <v>4</v>
      </c>
    </row>
    <row r="1425">
      <c r="A1425" t="inlineStr">
        <is>
          <t>ORD2424</t>
        </is>
      </c>
      <c r="B1425" t="inlineStr">
        <is>
          <t>2025-03-29</t>
        </is>
      </c>
      <c r="C1425" t="inlineStr">
        <is>
          <t>12:49:01</t>
        </is>
      </c>
      <c r="D1425" t="n">
        <v>1036</v>
      </c>
      <c r="E1425" t="n">
        <v>117</v>
      </c>
      <c r="F1425" t="n">
        <v>222</v>
      </c>
      <c r="G1425" t="inlineStr">
        <is>
          <t>Mumbai</t>
        </is>
      </c>
      <c r="H1425" t="inlineStr">
        <is>
          <t>Chinese</t>
        </is>
      </c>
      <c r="I1425" t="n">
        <v>820</v>
      </c>
      <c r="J1425" t="n">
        <v>80.5</v>
      </c>
      <c r="K1425" t="n">
        <v>30.5</v>
      </c>
      <c r="L1425" t="n">
        <v>0.2</v>
      </c>
      <c r="M1425" t="n">
        <v>171.62</v>
      </c>
      <c r="N1425" t="n">
        <v>4.1</v>
      </c>
      <c r="O1425" t="n">
        <v>35.9</v>
      </c>
      <c r="P1425" t="inlineStr">
        <is>
          <t>Cash on Delivery</t>
        </is>
      </c>
      <c r="Q1425" t="inlineStr">
        <is>
          <t>Delivered</t>
        </is>
      </c>
      <c r="R1425" t="n">
        <v>3</v>
      </c>
    </row>
    <row r="1426">
      <c r="A1426" t="inlineStr">
        <is>
          <t>ORD2425</t>
        </is>
      </c>
      <c r="B1426" t="inlineStr">
        <is>
          <t>2025-09-09</t>
        </is>
      </c>
      <c r="C1426" t="inlineStr">
        <is>
          <t>08:42:36</t>
        </is>
      </c>
      <c r="D1426" t="n">
        <v>1264</v>
      </c>
      <c r="E1426" t="n">
        <v>111</v>
      </c>
      <c r="F1426" t="n">
        <v>205</v>
      </c>
      <c r="G1426" t="inlineStr">
        <is>
          <t>Bangalore</t>
        </is>
      </c>
      <c r="H1426" t="inlineStr">
        <is>
          <t>South Indian</t>
        </is>
      </c>
      <c r="I1426" t="n">
        <v>572</v>
      </c>
      <c r="J1426" t="n">
        <v>45.2</v>
      </c>
      <c r="K1426" t="n">
        <v>25</v>
      </c>
      <c r="L1426" t="n">
        <v>0.15</v>
      </c>
      <c r="M1426" t="n">
        <v>92.05</v>
      </c>
      <c r="N1426" t="n">
        <v>1.7</v>
      </c>
      <c r="O1426" t="n">
        <v>33.8</v>
      </c>
      <c r="P1426" t="inlineStr">
        <is>
          <t>UPI</t>
        </is>
      </c>
      <c r="Q1426" t="inlineStr">
        <is>
          <t>Delivered</t>
        </is>
      </c>
      <c r="R1426" t="n">
        <v>4</v>
      </c>
    </row>
    <row r="1427">
      <c r="A1427" t="inlineStr">
        <is>
          <t>ORD2426</t>
        </is>
      </c>
      <c r="B1427" t="inlineStr">
        <is>
          <t>2025-11-16</t>
        </is>
      </c>
      <c r="C1427" t="inlineStr">
        <is>
          <t>20:19:43</t>
        </is>
      </c>
      <c r="D1427" t="n">
        <v>1114</v>
      </c>
      <c r="E1427" t="n">
        <v>109</v>
      </c>
      <c r="F1427" t="n">
        <v>215</v>
      </c>
      <c r="G1427" t="inlineStr">
        <is>
          <t>Hyderabad</t>
        </is>
      </c>
      <c r="H1427" t="inlineStr">
        <is>
          <t>Biryani</t>
        </is>
      </c>
      <c r="I1427" t="n">
        <v>623</v>
      </c>
      <c r="J1427" t="n">
        <v>71.13</v>
      </c>
      <c r="K1427" t="n">
        <v>31.5</v>
      </c>
      <c r="L1427" t="n">
        <v>0.2</v>
      </c>
      <c r="M1427" t="n">
        <v>132.48</v>
      </c>
      <c r="N1427" t="n">
        <v>4.3</v>
      </c>
      <c r="O1427" t="n">
        <v>43.8</v>
      </c>
      <c r="P1427" t="inlineStr">
        <is>
          <t>Credit Card</t>
        </is>
      </c>
      <c r="Q1427" t="inlineStr">
        <is>
          <t>Delivered</t>
        </is>
      </c>
      <c r="R1427" t="n">
        <v>3</v>
      </c>
    </row>
    <row r="1428">
      <c r="A1428" t="inlineStr">
        <is>
          <t>ORD2427</t>
        </is>
      </c>
      <c r="B1428" t="inlineStr">
        <is>
          <t>2025-07-01</t>
        </is>
      </c>
      <c r="C1428" t="inlineStr">
        <is>
          <t>23:38:51</t>
        </is>
      </c>
      <c r="D1428" t="n">
        <v>1281</v>
      </c>
      <c r="E1428" t="n">
        <v>101</v>
      </c>
      <c r="F1428" t="n">
        <v>203</v>
      </c>
      <c r="G1428" t="inlineStr">
        <is>
          <t>Bangalore</t>
        </is>
      </c>
      <c r="H1428" t="inlineStr">
        <is>
          <t>North Indian</t>
        </is>
      </c>
      <c r="I1428" t="n">
        <v>830</v>
      </c>
      <c r="J1428" t="n">
        <v>134.61</v>
      </c>
      <c r="K1428" t="n">
        <v>0</v>
      </c>
      <c r="L1428" t="n">
        <v>0.2</v>
      </c>
      <c r="M1428" t="n">
        <v>166</v>
      </c>
      <c r="N1428" t="n">
        <v>3</v>
      </c>
      <c r="O1428" t="n">
        <v>26.9</v>
      </c>
      <c r="P1428" t="inlineStr">
        <is>
          <t>Credit Card</t>
        </is>
      </c>
      <c r="Q1428" t="inlineStr">
        <is>
          <t>Delivered</t>
        </is>
      </c>
      <c r="R1428" t="n">
        <v>4</v>
      </c>
    </row>
    <row r="1429">
      <c r="A1429" t="inlineStr">
        <is>
          <t>ORD2428</t>
        </is>
      </c>
      <c r="B1429" t="inlineStr">
        <is>
          <t>2025-09-20</t>
        </is>
      </c>
      <c r="C1429" t="inlineStr">
        <is>
          <t>21:17:33</t>
        </is>
      </c>
      <c r="D1429" t="n">
        <v>1033</v>
      </c>
      <c r="E1429" t="n">
        <v>102</v>
      </c>
      <c r="F1429" t="n">
        <v>216</v>
      </c>
      <c r="G1429" t="inlineStr">
        <is>
          <t>Hyderabad</t>
        </is>
      </c>
      <c r="H1429" t="inlineStr">
        <is>
          <t>Biryani</t>
        </is>
      </c>
      <c r="I1429" t="n">
        <v>244</v>
      </c>
      <c r="J1429" t="n">
        <v>0</v>
      </c>
      <c r="K1429" t="n">
        <v>40.5</v>
      </c>
      <c r="L1429" t="n">
        <v>0.22</v>
      </c>
      <c r="M1429" t="n">
        <v>63.8</v>
      </c>
      <c r="N1429" t="n">
        <v>6.1</v>
      </c>
      <c r="O1429" t="n">
        <v>47.2</v>
      </c>
      <c r="P1429" t="inlineStr">
        <is>
          <t>UPI</t>
        </is>
      </c>
      <c r="Q1429" t="inlineStr">
        <is>
          <t>Delivered</t>
        </is>
      </c>
      <c r="R1429" t="n">
        <v>3</v>
      </c>
    </row>
    <row r="1430">
      <c r="A1430" t="inlineStr">
        <is>
          <t>ORD2429</t>
        </is>
      </c>
      <c r="B1430" t="inlineStr">
        <is>
          <t>2025-08-18</t>
        </is>
      </c>
      <c r="C1430" t="inlineStr">
        <is>
          <t>13:27:21</t>
        </is>
      </c>
      <c r="D1430" t="n">
        <v>1092</v>
      </c>
      <c r="E1430" t="n">
        <v>104</v>
      </c>
      <c r="F1430" t="n">
        <v>230</v>
      </c>
      <c r="G1430" t="inlineStr">
        <is>
          <t>Delhi NCR</t>
        </is>
      </c>
      <c r="H1430" t="inlineStr">
        <is>
          <t>Fast Food</t>
        </is>
      </c>
      <c r="I1430" t="n">
        <v>261</v>
      </c>
      <c r="J1430" t="n">
        <v>18.03</v>
      </c>
      <c r="K1430" t="n">
        <v>30</v>
      </c>
      <c r="L1430" t="n">
        <v>0.18</v>
      </c>
      <c r="M1430" t="n">
        <v>54.48</v>
      </c>
      <c r="N1430" t="n">
        <v>4</v>
      </c>
      <c r="O1430" t="n">
        <v>43.8</v>
      </c>
      <c r="P1430" t="inlineStr">
        <is>
          <t>Cash on Delivery</t>
        </is>
      </c>
      <c r="Q1430" t="inlineStr">
        <is>
          <t>Delivered</t>
        </is>
      </c>
      <c r="R1430" t="n">
        <v>4</v>
      </c>
    </row>
    <row r="1431">
      <c r="A1431" t="inlineStr">
        <is>
          <t>ORD2430</t>
        </is>
      </c>
      <c r="B1431" t="inlineStr">
        <is>
          <t>2025-03-08</t>
        </is>
      </c>
      <c r="C1431" t="inlineStr">
        <is>
          <t>21:55:59</t>
        </is>
      </c>
      <c r="D1431" t="n">
        <v>1252</v>
      </c>
      <c r="E1431" t="n">
        <v>113</v>
      </c>
      <c r="F1431" t="n">
        <v>222</v>
      </c>
      <c r="G1431" t="inlineStr">
        <is>
          <t>Mumbai</t>
        </is>
      </c>
      <c r="H1431" t="inlineStr">
        <is>
          <t>Fast Food</t>
        </is>
      </c>
      <c r="I1431" t="n">
        <v>859</v>
      </c>
      <c r="J1431" t="n">
        <v>0</v>
      </c>
      <c r="K1431" t="n">
        <v>54</v>
      </c>
      <c r="L1431" t="n">
        <v>0.18</v>
      </c>
      <c r="M1431" t="n">
        <v>168.12</v>
      </c>
      <c r="N1431" t="n">
        <v>8.800000000000001</v>
      </c>
      <c r="O1431" t="n">
        <v>51.4</v>
      </c>
      <c r="P1431" t="inlineStr">
        <is>
          <t>Debit Card</t>
        </is>
      </c>
      <c r="Q1431" t="inlineStr">
        <is>
          <t>Delivered</t>
        </is>
      </c>
      <c r="R1431" t="n">
        <v>2</v>
      </c>
    </row>
    <row r="1432">
      <c r="A1432" t="inlineStr">
        <is>
          <t>ORD2431</t>
        </is>
      </c>
      <c r="B1432" t="inlineStr">
        <is>
          <t>2025-07-14</t>
        </is>
      </c>
      <c r="C1432" t="inlineStr">
        <is>
          <t>21:24:02</t>
        </is>
      </c>
      <c r="D1432" t="n">
        <v>1038</v>
      </c>
      <c r="E1432" t="n">
        <v>101</v>
      </c>
      <c r="F1432" t="n">
        <v>205</v>
      </c>
      <c r="G1432" t="inlineStr">
        <is>
          <t>Bangalore</t>
        </is>
      </c>
      <c r="H1432" t="inlineStr">
        <is>
          <t>North Indian</t>
        </is>
      </c>
      <c r="I1432" t="n">
        <v>931</v>
      </c>
      <c r="J1432" t="n">
        <v>51.9</v>
      </c>
      <c r="K1432" t="n">
        <v>26</v>
      </c>
      <c r="L1432" t="n">
        <v>0.2</v>
      </c>
      <c r="M1432" t="n">
        <v>192.7</v>
      </c>
      <c r="N1432" t="n">
        <v>3.2</v>
      </c>
      <c r="O1432" t="n">
        <v/>
      </c>
      <c r="P1432" t="inlineStr">
        <is>
          <t>Digital Wallet</t>
        </is>
      </c>
      <c r="Q1432" t="inlineStr">
        <is>
          <t>Cancelled</t>
        </is>
      </c>
      <c r="R1432" t="n">
        <v/>
      </c>
    </row>
    <row r="1433">
      <c r="A1433" t="inlineStr">
        <is>
          <t>ORD2432</t>
        </is>
      </c>
      <c r="B1433" t="inlineStr">
        <is>
          <t>2025-03-09</t>
        </is>
      </c>
      <c r="C1433" t="inlineStr">
        <is>
          <t>23:22:46</t>
        </is>
      </c>
      <c r="D1433" t="n">
        <v>1226</v>
      </c>
      <c r="E1433" t="n">
        <v>115</v>
      </c>
      <c r="F1433" t="n">
        <v>210</v>
      </c>
      <c r="G1433" t="inlineStr">
        <is>
          <t>Bangalore</t>
        </is>
      </c>
      <c r="H1433" t="inlineStr">
        <is>
          <t>Italian</t>
        </is>
      </c>
      <c r="I1433" t="n">
        <v>487</v>
      </c>
      <c r="J1433" t="n">
        <v>19.04</v>
      </c>
      <c r="K1433" t="n">
        <v>25</v>
      </c>
      <c r="L1433" t="n">
        <v>0.2</v>
      </c>
      <c r="M1433" t="n">
        <v>103.65</v>
      </c>
      <c r="N1433" t="n">
        <v>1.9</v>
      </c>
      <c r="O1433" t="n">
        <v>22.2</v>
      </c>
      <c r="P1433" t="inlineStr">
        <is>
          <t>Cash on Delivery</t>
        </is>
      </c>
      <c r="Q1433" t="inlineStr">
        <is>
          <t>Delivered</t>
        </is>
      </c>
      <c r="R1433" t="n">
        <v>2</v>
      </c>
    </row>
    <row r="1434">
      <c r="A1434" t="inlineStr">
        <is>
          <t>ORD2433</t>
        </is>
      </c>
      <c r="B1434" t="inlineStr">
        <is>
          <t>2025-01-12</t>
        </is>
      </c>
      <c r="C1434" t="inlineStr">
        <is>
          <t>14:51:08</t>
        </is>
      </c>
      <c r="D1434" t="n">
        <v>1046</v>
      </c>
      <c r="E1434" t="n">
        <v>109</v>
      </c>
      <c r="F1434" t="n">
        <v>216</v>
      </c>
      <c r="G1434" t="inlineStr">
        <is>
          <t>Hyderabad</t>
        </is>
      </c>
      <c r="H1434" t="inlineStr">
        <is>
          <t>Biryani</t>
        </is>
      </c>
      <c r="I1434" t="n">
        <v>329</v>
      </c>
      <c r="J1434" t="n">
        <v>22.05</v>
      </c>
      <c r="K1434" t="n">
        <v>25</v>
      </c>
      <c r="L1434" t="n">
        <v>0.2</v>
      </c>
      <c r="M1434" t="n">
        <v>72.05</v>
      </c>
      <c r="N1434" t="n">
        <v>2.8</v>
      </c>
      <c r="O1434" t="n">
        <v>25.9</v>
      </c>
      <c r="P1434" t="inlineStr">
        <is>
          <t>UPI</t>
        </is>
      </c>
      <c r="Q1434" t="inlineStr">
        <is>
          <t>Delivered</t>
        </is>
      </c>
      <c r="R1434" t="n">
        <v>2</v>
      </c>
    </row>
    <row r="1435">
      <c r="A1435" t="inlineStr">
        <is>
          <t>ORD2434</t>
        </is>
      </c>
      <c r="B1435" t="inlineStr">
        <is>
          <t>2025-02-14</t>
        </is>
      </c>
      <c r="C1435" t="inlineStr">
        <is>
          <t>12:55:04</t>
        </is>
      </c>
      <c r="D1435" t="n">
        <v>1205</v>
      </c>
      <c r="E1435" t="n">
        <v>113</v>
      </c>
      <c r="F1435" t="n">
        <v>222</v>
      </c>
      <c r="G1435" t="inlineStr">
        <is>
          <t>Mumbai</t>
        </is>
      </c>
      <c r="H1435" t="inlineStr">
        <is>
          <t>Fast Food</t>
        </is>
      </c>
      <c r="I1435" t="n">
        <v>229</v>
      </c>
      <c r="J1435" t="n">
        <v>23.04</v>
      </c>
      <c r="K1435" t="n">
        <v>29.5</v>
      </c>
      <c r="L1435" t="n">
        <v>0.18</v>
      </c>
      <c r="M1435" t="n">
        <v>48.6</v>
      </c>
      <c r="N1435" t="n">
        <v>3.9</v>
      </c>
      <c r="O1435" t="n">
        <v>37.5</v>
      </c>
      <c r="P1435" t="inlineStr">
        <is>
          <t>Debit Card</t>
        </is>
      </c>
      <c r="Q1435" t="inlineStr">
        <is>
          <t>Delivered</t>
        </is>
      </c>
      <c r="R1435" t="n">
        <v>4</v>
      </c>
    </row>
    <row r="1436">
      <c r="A1436" t="inlineStr">
        <is>
          <t>ORD2435</t>
        </is>
      </c>
      <c r="B1436" t="inlineStr">
        <is>
          <t>2025-11-20</t>
        </is>
      </c>
      <c r="C1436" t="inlineStr">
        <is>
          <t>12:55:21</t>
        </is>
      </c>
      <c r="D1436" t="n">
        <v>1001</v>
      </c>
      <c r="E1436" t="n">
        <v>102</v>
      </c>
      <c r="F1436" t="n">
        <v>215</v>
      </c>
      <c r="G1436" t="inlineStr">
        <is>
          <t>Hyderabad</t>
        </is>
      </c>
      <c r="H1436" t="inlineStr">
        <is>
          <t>Biryani</t>
        </is>
      </c>
      <c r="I1436" t="n">
        <v>900</v>
      </c>
      <c r="J1436" t="n">
        <v>0</v>
      </c>
      <c r="K1436" t="n">
        <v>28</v>
      </c>
      <c r="L1436" t="n">
        <v>0.22</v>
      </c>
      <c r="M1436" t="n">
        <v>205</v>
      </c>
      <c r="N1436" t="n">
        <v>3.6</v>
      </c>
      <c r="O1436" t="n">
        <v>28</v>
      </c>
      <c r="P1436" t="inlineStr">
        <is>
          <t>Credit Card</t>
        </is>
      </c>
      <c r="Q1436" t="inlineStr">
        <is>
          <t>Delivered</t>
        </is>
      </c>
      <c r="R1436" t="n">
        <v>5</v>
      </c>
    </row>
    <row r="1437">
      <c r="A1437" t="inlineStr">
        <is>
          <t>ORD2436</t>
        </is>
      </c>
      <c r="B1437" t="inlineStr">
        <is>
          <t>2025-04-06</t>
        </is>
      </c>
      <c r="C1437" t="inlineStr">
        <is>
          <t>19:05:45</t>
        </is>
      </c>
      <c r="D1437" t="n">
        <v>1212</v>
      </c>
      <c r="E1437" t="n">
        <v>114</v>
      </c>
      <c r="F1437" t="n">
        <v>216</v>
      </c>
      <c r="G1437" t="inlineStr">
        <is>
          <t>Hyderabad</t>
        </is>
      </c>
      <c r="H1437" t="inlineStr">
        <is>
          <t>Biryani</t>
        </is>
      </c>
      <c r="I1437" t="n">
        <v>313</v>
      </c>
      <c r="J1437" t="n">
        <v>15.73</v>
      </c>
      <c r="K1437" t="n">
        <v>29.5</v>
      </c>
      <c r="L1437" t="n">
        <v>0.22</v>
      </c>
      <c r="M1437" t="n">
        <v>76.23999999999999</v>
      </c>
      <c r="N1437" t="n">
        <v>3.9</v>
      </c>
      <c r="O1437" t="n">
        <v>37.7</v>
      </c>
      <c r="P1437" t="inlineStr">
        <is>
          <t>Credit Card</t>
        </is>
      </c>
      <c r="Q1437" t="inlineStr">
        <is>
          <t>Delivered</t>
        </is>
      </c>
      <c r="R1437" t="n">
        <v>4</v>
      </c>
    </row>
    <row r="1438">
      <c r="A1438" t="inlineStr">
        <is>
          <t>ORD2437</t>
        </is>
      </c>
      <c r="B1438" t="inlineStr">
        <is>
          <t>2025-02-10</t>
        </is>
      </c>
      <c r="C1438" t="inlineStr">
        <is>
          <t>12:24:20</t>
        </is>
      </c>
      <c r="D1438" t="n">
        <v>1122</v>
      </c>
      <c r="E1438" t="n">
        <v>120</v>
      </c>
      <c r="F1438" t="n">
        <v>226</v>
      </c>
      <c r="G1438" t="inlineStr">
        <is>
          <t>Pune</t>
        </is>
      </c>
      <c r="H1438" t="inlineStr">
        <is>
          <t>Fast Food</t>
        </is>
      </c>
      <c r="I1438" t="n">
        <v>1095</v>
      </c>
      <c r="J1438" t="n">
        <v>130.59</v>
      </c>
      <c r="K1438" t="n">
        <v>0</v>
      </c>
      <c r="L1438" t="n">
        <v>0.18</v>
      </c>
      <c r="M1438" t="n">
        <v>197.1</v>
      </c>
      <c r="N1438" t="n">
        <v>3.2</v>
      </c>
      <c r="O1438" t="n">
        <v>38.7</v>
      </c>
      <c r="P1438" t="inlineStr">
        <is>
          <t>Cash on Delivery</t>
        </is>
      </c>
      <c r="Q1438" t="inlineStr">
        <is>
          <t>Delivered</t>
        </is>
      </c>
      <c r="R1438" t="n">
        <v>5</v>
      </c>
    </row>
    <row r="1439">
      <c r="A1439" t="inlineStr">
        <is>
          <t>ORD2438</t>
        </is>
      </c>
      <c r="B1439" t="inlineStr">
        <is>
          <t>2025-12-13</t>
        </is>
      </c>
      <c r="C1439" t="inlineStr">
        <is>
          <t>19:37:55</t>
        </is>
      </c>
      <c r="D1439" t="n">
        <v>1068</v>
      </c>
      <c r="E1439" t="n">
        <v>120</v>
      </c>
      <c r="F1439" t="n">
        <v>208</v>
      </c>
      <c r="G1439" t="inlineStr">
        <is>
          <t>Pune</t>
        </is>
      </c>
      <c r="H1439" t="inlineStr">
        <is>
          <t>Fast Food</t>
        </is>
      </c>
      <c r="I1439" t="n">
        <v>282</v>
      </c>
      <c r="J1439" t="n">
        <v>22.84</v>
      </c>
      <c r="K1439" t="n">
        <v>37.5</v>
      </c>
      <c r="L1439" t="n">
        <v>0.18</v>
      </c>
      <c r="M1439" t="n">
        <v>60.14</v>
      </c>
      <c r="N1439" t="n">
        <v>5.5</v>
      </c>
      <c r="O1439" t="n">
        <v>42.3</v>
      </c>
      <c r="P1439" t="inlineStr">
        <is>
          <t>UPI</t>
        </is>
      </c>
      <c r="Q1439" t="inlineStr">
        <is>
          <t>Delivered</t>
        </is>
      </c>
      <c r="R1439" t="n">
        <v>3</v>
      </c>
    </row>
    <row r="1440">
      <c r="A1440" t="inlineStr">
        <is>
          <t>ORD2439</t>
        </is>
      </c>
      <c r="B1440" t="inlineStr">
        <is>
          <t>2025-05-15</t>
        </is>
      </c>
      <c r="C1440" t="inlineStr">
        <is>
          <t>21:09:56</t>
        </is>
      </c>
      <c r="D1440" t="n">
        <v>1019</v>
      </c>
      <c r="E1440" t="n">
        <v>106</v>
      </c>
      <c r="F1440" t="n">
        <v>208</v>
      </c>
      <c r="G1440" t="inlineStr">
        <is>
          <t>Pune</t>
        </is>
      </c>
      <c r="H1440" t="inlineStr">
        <is>
          <t>South Indian</t>
        </is>
      </c>
      <c r="I1440" t="n">
        <v>775</v>
      </c>
      <c r="J1440" t="n">
        <v>11.74</v>
      </c>
      <c r="K1440" t="n">
        <v>25</v>
      </c>
      <c r="L1440" t="n">
        <v>0.15</v>
      </c>
      <c r="M1440" t="n">
        <v>122.5</v>
      </c>
      <c r="N1440" t="n">
        <v>3</v>
      </c>
      <c r="O1440" t="n">
        <v/>
      </c>
      <c r="P1440" t="inlineStr">
        <is>
          <t>UPI</t>
        </is>
      </c>
      <c r="Q1440" t="inlineStr">
        <is>
          <t>Cancelled</t>
        </is>
      </c>
      <c r="R1440" t="n">
        <v/>
      </c>
    </row>
    <row r="1441">
      <c r="A1441" t="inlineStr">
        <is>
          <t>ORD2440</t>
        </is>
      </c>
      <c r="B1441" t="inlineStr">
        <is>
          <t>2025-06-14</t>
        </is>
      </c>
      <c r="C1441" t="inlineStr">
        <is>
          <t>19:48:14</t>
        </is>
      </c>
      <c r="D1441" t="n">
        <v>1253</v>
      </c>
      <c r="E1441" t="n">
        <v>119</v>
      </c>
      <c r="F1441" t="n">
        <v>215</v>
      </c>
      <c r="G1441" t="inlineStr">
        <is>
          <t>Hyderabad</t>
        </is>
      </c>
      <c r="H1441" t="inlineStr">
        <is>
          <t>Biryani</t>
        </is>
      </c>
      <c r="I1441" t="n">
        <v>587</v>
      </c>
      <c r="J1441" t="n">
        <v>95.98999999999999</v>
      </c>
      <c r="K1441" t="n">
        <v>0</v>
      </c>
      <c r="L1441" t="n">
        <v>0.2</v>
      </c>
      <c r="M1441" t="n">
        <v>117.4</v>
      </c>
      <c r="N1441" t="n">
        <v>4.8</v>
      </c>
      <c r="O1441" t="n">
        <v>42.8</v>
      </c>
      <c r="P1441" t="inlineStr">
        <is>
          <t>Digital Wallet</t>
        </is>
      </c>
      <c r="Q1441" t="inlineStr">
        <is>
          <t>Delivered</t>
        </is>
      </c>
      <c r="R1441" t="n">
        <v>3</v>
      </c>
    </row>
    <row r="1442">
      <c r="A1442" t="inlineStr">
        <is>
          <t>ORD2441</t>
        </is>
      </c>
      <c r="B1442" t="inlineStr">
        <is>
          <t>2025-08-07</t>
        </is>
      </c>
      <c r="C1442" t="inlineStr">
        <is>
          <t>19:16:52</t>
        </is>
      </c>
      <c r="D1442" t="n">
        <v>1078</v>
      </c>
      <c r="E1442" t="n">
        <v>108</v>
      </c>
      <c r="F1442" t="n">
        <v>211</v>
      </c>
      <c r="G1442" t="inlineStr">
        <is>
          <t>Delhi NCR</t>
        </is>
      </c>
      <c r="H1442" t="inlineStr">
        <is>
          <t>Fast Food</t>
        </is>
      </c>
      <c r="I1442" t="n">
        <v>573</v>
      </c>
      <c r="J1442" t="n">
        <v>24.32</v>
      </c>
      <c r="K1442" t="n">
        <v>25</v>
      </c>
      <c r="L1442" t="n">
        <v>0.18</v>
      </c>
      <c r="M1442" t="n">
        <v>109.39</v>
      </c>
      <c r="N1442" t="n">
        <v>2.4</v>
      </c>
      <c r="O1442" t="n">
        <v>27.8</v>
      </c>
      <c r="P1442" t="inlineStr">
        <is>
          <t>Debit Card</t>
        </is>
      </c>
      <c r="Q1442" t="inlineStr">
        <is>
          <t>Delivered</t>
        </is>
      </c>
      <c r="R1442" t="n">
        <v>4</v>
      </c>
    </row>
    <row r="1443">
      <c r="A1443" t="inlineStr">
        <is>
          <t>ORD2442</t>
        </is>
      </c>
      <c r="B1443" t="inlineStr">
        <is>
          <t>2025-02-01</t>
        </is>
      </c>
      <c r="C1443" t="inlineStr">
        <is>
          <t>13:04:31</t>
        </is>
      </c>
      <c r="D1443" t="n">
        <v>1160</v>
      </c>
      <c r="E1443" t="n">
        <v>120</v>
      </c>
      <c r="F1443" t="n">
        <v>209</v>
      </c>
      <c r="G1443" t="inlineStr">
        <is>
          <t>Pune</t>
        </is>
      </c>
      <c r="H1443" t="inlineStr">
        <is>
          <t>Fast Food</t>
        </is>
      </c>
      <c r="I1443" t="n">
        <v>572</v>
      </c>
      <c r="J1443" t="n">
        <v>64.73999999999999</v>
      </c>
      <c r="K1443" t="n">
        <v>60.5</v>
      </c>
      <c r="L1443" t="n">
        <v>0.18</v>
      </c>
      <c r="M1443" t="n">
        <v>118.08</v>
      </c>
      <c r="N1443" t="n">
        <v>10.1</v>
      </c>
      <c r="O1443" t="n">
        <v>56.2</v>
      </c>
      <c r="P1443" t="inlineStr">
        <is>
          <t>Cash on Delivery</t>
        </is>
      </c>
      <c r="Q1443" t="inlineStr">
        <is>
          <t>Delivered</t>
        </is>
      </c>
      <c r="R1443" t="n">
        <v>1</v>
      </c>
    </row>
    <row r="1444">
      <c r="A1444" t="inlineStr">
        <is>
          <t>ORD2443</t>
        </is>
      </c>
      <c r="B1444" t="inlineStr">
        <is>
          <t>2025-01-07</t>
        </is>
      </c>
      <c r="C1444" t="inlineStr">
        <is>
          <t>21:47:43</t>
        </is>
      </c>
      <c r="D1444" t="n">
        <v>1159</v>
      </c>
      <c r="E1444" t="n">
        <v>118</v>
      </c>
      <c r="F1444" t="n">
        <v>219</v>
      </c>
      <c r="G1444" t="inlineStr">
        <is>
          <t>Delhi NCR</t>
        </is>
      </c>
      <c r="H1444" t="inlineStr">
        <is>
          <t>North Indian</t>
        </is>
      </c>
      <c r="I1444" t="n">
        <v>310</v>
      </c>
      <c r="J1444" t="n">
        <v>0</v>
      </c>
      <c r="K1444" t="n">
        <v>36</v>
      </c>
      <c r="L1444" t="n">
        <v>0.2</v>
      </c>
      <c r="M1444" t="n">
        <v>71</v>
      </c>
      <c r="N1444" t="n">
        <v>5.2</v>
      </c>
      <c r="O1444" t="n">
        <v>39.9</v>
      </c>
      <c r="P1444" t="inlineStr">
        <is>
          <t>Debit Card</t>
        </is>
      </c>
      <c r="Q1444" t="inlineStr">
        <is>
          <t>Delivered</t>
        </is>
      </c>
      <c r="R1444" t="n">
        <v>2</v>
      </c>
    </row>
    <row r="1445">
      <c r="A1445" t="inlineStr">
        <is>
          <t>ORD2444</t>
        </is>
      </c>
      <c r="B1445" t="inlineStr">
        <is>
          <t>2025-08-19</t>
        </is>
      </c>
      <c r="C1445" t="inlineStr">
        <is>
          <t>16:22:47</t>
        </is>
      </c>
      <c r="D1445" t="n">
        <v>1203</v>
      </c>
      <c r="E1445" t="n">
        <v>104</v>
      </c>
      <c r="F1445" t="n">
        <v>219</v>
      </c>
      <c r="G1445" t="inlineStr">
        <is>
          <t>Delhi NCR</t>
        </is>
      </c>
      <c r="H1445" t="inlineStr">
        <is>
          <t>Fast Food</t>
        </is>
      </c>
      <c r="I1445" t="n">
        <v>711</v>
      </c>
      <c r="J1445" t="n">
        <v>0</v>
      </c>
      <c r="K1445" t="n">
        <v>25.5</v>
      </c>
      <c r="L1445" t="n">
        <v>0.18</v>
      </c>
      <c r="M1445" t="n">
        <v>134.35</v>
      </c>
      <c r="N1445" t="n">
        <v>3.1</v>
      </c>
      <c r="O1445" t="n">
        <v>31.6</v>
      </c>
      <c r="P1445" t="inlineStr">
        <is>
          <t>Cash on Delivery</t>
        </is>
      </c>
      <c r="Q1445" t="inlineStr">
        <is>
          <t>Delivered</t>
        </is>
      </c>
      <c r="R1445" t="n">
        <v>5</v>
      </c>
    </row>
    <row r="1446">
      <c r="A1446" t="inlineStr">
        <is>
          <t>ORD2445</t>
        </is>
      </c>
      <c r="B1446" t="inlineStr">
        <is>
          <t>2025-10-28</t>
        </is>
      </c>
      <c r="C1446" t="inlineStr">
        <is>
          <t>21:10:02</t>
        </is>
      </c>
      <c r="D1446" t="n">
        <v>1235</v>
      </c>
      <c r="E1446" t="n">
        <v>102</v>
      </c>
      <c r="F1446" t="n">
        <v>215</v>
      </c>
      <c r="G1446" t="inlineStr">
        <is>
          <t>Hyderabad</t>
        </is>
      </c>
      <c r="H1446" t="inlineStr">
        <is>
          <t>Biryani</t>
        </is>
      </c>
      <c r="I1446" t="n">
        <v>927</v>
      </c>
      <c r="J1446" t="n">
        <v>0</v>
      </c>
      <c r="K1446" t="n">
        <v>39</v>
      </c>
      <c r="L1446" t="n">
        <v>0.22</v>
      </c>
      <c r="M1446" t="n">
        <v>213.69</v>
      </c>
      <c r="N1446" t="n">
        <v>5.8</v>
      </c>
      <c r="O1446" t="n">
        <v>39.6</v>
      </c>
      <c r="P1446" t="inlineStr">
        <is>
          <t>Cash on Delivery</t>
        </is>
      </c>
      <c r="Q1446" t="inlineStr">
        <is>
          <t>Delivered</t>
        </is>
      </c>
      <c r="R1446" t="n">
        <v>2</v>
      </c>
    </row>
    <row r="1447">
      <c r="A1447" t="inlineStr">
        <is>
          <t>ORD2446</t>
        </is>
      </c>
      <c r="B1447" t="inlineStr">
        <is>
          <t>2025-08-26</t>
        </is>
      </c>
      <c r="C1447" t="inlineStr">
        <is>
          <t>12:28:09</t>
        </is>
      </c>
      <c r="D1447" t="n">
        <v>1259</v>
      </c>
      <c r="E1447" t="n">
        <v>114</v>
      </c>
      <c r="F1447" t="n">
        <v>215</v>
      </c>
      <c r="G1447" t="inlineStr">
        <is>
          <t>Hyderabad</t>
        </is>
      </c>
      <c r="H1447" t="inlineStr">
        <is>
          <t>Biryani</t>
        </is>
      </c>
      <c r="I1447" t="n">
        <v>365</v>
      </c>
      <c r="J1447" t="n">
        <v>11.26</v>
      </c>
      <c r="K1447" t="n">
        <v>26</v>
      </c>
      <c r="L1447" t="n">
        <v>0.22</v>
      </c>
      <c r="M1447" t="n">
        <v>86.8</v>
      </c>
      <c r="N1447" t="n">
        <v>3.2</v>
      </c>
      <c r="O1447" t="n">
        <v>34.3</v>
      </c>
      <c r="P1447" t="inlineStr">
        <is>
          <t>Credit Card</t>
        </is>
      </c>
      <c r="Q1447" t="inlineStr">
        <is>
          <t>Delivered</t>
        </is>
      </c>
      <c r="R1447" t="n">
        <v>5</v>
      </c>
    </row>
    <row r="1448">
      <c r="A1448" t="inlineStr">
        <is>
          <t>ORD2447</t>
        </is>
      </c>
      <c r="B1448" t="inlineStr">
        <is>
          <t>2025-07-24</t>
        </is>
      </c>
      <c r="C1448" t="inlineStr">
        <is>
          <t>23:23:00</t>
        </is>
      </c>
      <c r="D1448" t="n">
        <v>1088</v>
      </c>
      <c r="E1448" t="n">
        <v>120</v>
      </c>
      <c r="F1448" t="n">
        <v>207</v>
      </c>
      <c r="G1448" t="inlineStr">
        <is>
          <t>Pune</t>
        </is>
      </c>
      <c r="H1448" t="inlineStr">
        <is>
          <t>Fast Food</t>
        </is>
      </c>
      <c r="I1448" t="n">
        <v>664</v>
      </c>
      <c r="J1448" t="n">
        <v>69.98</v>
      </c>
      <c r="K1448" t="n">
        <v>40.5</v>
      </c>
      <c r="L1448" t="n">
        <v>0.18</v>
      </c>
      <c r="M1448" t="n">
        <v>129.64</v>
      </c>
      <c r="N1448" t="n">
        <v>6.1</v>
      </c>
      <c r="O1448" t="n">
        <v>39.5</v>
      </c>
      <c r="P1448" t="inlineStr">
        <is>
          <t>Credit Card</t>
        </is>
      </c>
      <c r="Q1448" t="inlineStr">
        <is>
          <t>Delivered</t>
        </is>
      </c>
      <c r="R1448" t="n">
        <v>5</v>
      </c>
    </row>
    <row r="1449">
      <c r="A1449" t="inlineStr">
        <is>
          <t>ORD2448</t>
        </is>
      </c>
      <c r="B1449" t="inlineStr">
        <is>
          <t>2025-04-22</t>
        </is>
      </c>
      <c r="C1449" t="inlineStr">
        <is>
          <t>17:06:01</t>
        </is>
      </c>
      <c r="D1449" t="n">
        <v>1057</v>
      </c>
      <c r="E1449" t="n">
        <v>103</v>
      </c>
      <c r="F1449" t="n">
        <v>222</v>
      </c>
      <c r="G1449" t="inlineStr">
        <is>
          <t>Mumbai</t>
        </is>
      </c>
      <c r="H1449" t="inlineStr">
        <is>
          <t>Italian</t>
        </is>
      </c>
      <c r="I1449" t="n">
        <v>620</v>
      </c>
      <c r="J1449" t="n">
        <v>0</v>
      </c>
      <c r="K1449" t="n">
        <v>25</v>
      </c>
      <c r="L1449" t="n">
        <v>0.18</v>
      </c>
      <c r="M1449" t="n">
        <v>117.85</v>
      </c>
      <c r="N1449" t="n">
        <v>2.7</v>
      </c>
      <c r="O1449" t="n">
        <v>22.8</v>
      </c>
      <c r="P1449" t="inlineStr">
        <is>
          <t>Credit Card</t>
        </is>
      </c>
      <c r="Q1449" t="inlineStr">
        <is>
          <t>Delivered</t>
        </is>
      </c>
      <c r="R1449" t="n">
        <v>5</v>
      </c>
    </row>
    <row r="1450">
      <c r="A1450" t="inlineStr">
        <is>
          <t>ORD2449</t>
        </is>
      </c>
      <c r="B1450" t="inlineStr">
        <is>
          <t>2025-07-20</t>
        </is>
      </c>
      <c r="C1450" t="inlineStr">
        <is>
          <t>21:10:19</t>
        </is>
      </c>
      <c r="D1450" t="n">
        <v>1085</v>
      </c>
      <c r="E1450" t="n">
        <v>114</v>
      </c>
      <c r="F1450" t="n">
        <v>215</v>
      </c>
      <c r="G1450" t="inlineStr">
        <is>
          <t>Hyderabad</t>
        </is>
      </c>
      <c r="H1450" t="inlineStr">
        <is>
          <t>Biryani</t>
        </is>
      </c>
      <c r="I1450" t="n">
        <v>782</v>
      </c>
      <c r="J1450" t="n">
        <v>0</v>
      </c>
      <c r="K1450" t="n">
        <v>27</v>
      </c>
      <c r="L1450" t="n">
        <v>0.22</v>
      </c>
      <c r="M1450" t="n">
        <v>178.79</v>
      </c>
      <c r="N1450" t="n">
        <v>3.4</v>
      </c>
      <c r="O1450" t="n">
        <v>30.9</v>
      </c>
      <c r="P1450" t="inlineStr">
        <is>
          <t>Digital Wallet</t>
        </is>
      </c>
      <c r="Q1450" t="inlineStr">
        <is>
          <t>Delivered</t>
        </is>
      </c>
      <c r="R1450" t="n">
        <v>5</v>
      </c>
    </row>
    <row r="1451">
      <c r="A1451" t="inlineStr">
        <is>
          <t>ORD2450</t>
        </is>
      </c>
      <c r="B1451" t="inlineStr">
        <is>
          <t>2025-03-23</t>
        </is>
      </c>
      <c r="C1451" t="inlineStr">
        <is>
          <t>10:31:42</t>
        </is>
      </c>
      <c r="D1451" t="n">
        <v>1147</v>
      </c>
      <c r="E1451" t="n">
        <v>107</v>
      </c>
      <c r="F1451" t="n">
        <v>206</v>
      </c>
      <c r="G1451" t="inlineStr">
        <is>
          <t>Mumbai</t>
        </is>
      </c>
      <c r="H1451" t="inlineStr">
        <is>
          <t>Desserts</t>
        </is>
      </c>
      <c r="I1451" t="n">
        <v>281</v>
      </c>
      <c r="J1451" t="n">
        <v>21</v>
      </c>
      <c r="K1451" t="n">
        <v>29.5</v>
      </c>
      <c r="L1451" t="n">
        <v>0.25</v>
      </c>
      <c r="M1451" t="n">
        <v>77.62</v>
      </c>
      <c r="N1451" t="n">
        <v>3.9</v>
      </c>
      <c r="O1451" t="n">
        <v>82.5</v>
      </c>
      <c r="P1451" t="inlineStr">
        <is>
          <t>Cash on Delivery</t>
        </is>
      </c>
      <c r="Q1451" t="inlineStr">
        <is>
          <t>Delivered</t>
        </is>
      </c>
      <c r="R1451" t="n">
        <v>1</v>
      </c>
    </row>
    <row r="1452">
      <c r="A1452" t="inlineStr">
        <is>
          <t>ORD2451</t>
        </is>
      </c>
      <c r="B1452" t="inlineStr">
        <is>
          <t>2025-09-23</t>
        </is>
      </c>
      <c r="C1452" t="inlineStr">
        <is>
          <t>09:31:51</t>
        </is>
      </c>
      <c r="D1452" t="n">
        <v>1156</v>
      </c>
      <c r="E1452" t="n">
        <v>110</v>
      </c>
      <c r="F1452" t="n">
        <v>226</v>
      </c>
      <c r="G1452" t="inlineStr">
        <is>
          <t>Pune</t>
        </is>
      </c>
      <c r="H1452" t="inlineStr">
        <is>
          <t>North Indian</t>
        </is>
      </c>
      <c r="I1452" t="n">
        <v>441</v>
      </c>
      <c r="J1452" t="n">
        <v>0</v>
      </c>
      <c r="K1452" t="n">
        <v>49</v>
      </c>
      <c r="L1452" t="n">
        <v>0.18</v>
      </c>
      <c r="M1452" t="n">
        <v>91.63</v>
      </c>
      <c r="N1452" t="n">
        <v>7.8</v>
      </c>
      <c r="O1452" t="n">
        <v>34.9</v>
      </c>
      <c r="P1452" t="inlineStr">
        <is>
          <t>Debit Card</t>
        </is>
      </c>
      <c r="Q1452" t="inlineStr">
        <is>
          <t>Delivered</t>
        </is>
      </c>
      <c r="R1452" t="n">
        <v>4</v>
      </c>
    </row>
    <row r="1453">
      <c r="A1453" t="inlineStr">
        <is>
          <t>ORD2452</t>
        </is>
      </c>
      <c r="B1453" t="inlineStr">
        <is>
          <t>2025-12-17</t>
        </is>
      </c>
      <c r="C1453" t="inlineStr">
        <is>
          <t>20:39:27</t>
        </is>
      </c>
      <c r="D1453" t="n">
        <v>1176</v>
      </c>
      <c r="E1453" t="n">
        <v>119</v>
      </c>
      <c r="F1453" t="n">
        <v>215</v>
      </c>
      <c r="G1453" t="inlineStr">
        <is>
          <t>Hyderabad</t>
        </is>
      </c>
      <c r="H1453" t="inlineStr">
        <is>
          <t>Biryani</t>
        </is>
      </c>
      <c r="I1453" t="n">
        <v>846</v>
      </c>
      <c r="J1453" t="n">
        <v>0</v>
      </c>
      <c r="K1453" t="n">
        <v>31.5</v>
      </c>
      <c r="L1453" t="n">
        <v>0.2</v>
      </c>
      <c r="M1453" t="n">
        <v>177.08</v>
      </c>
      <c r="N1453" t="n">
        <v>4.3</v>
      </c>
      <c r="O1453" t="n">
        <v>31.6</v>
      </c>
      <c r="P1453" t="inlineStr">
        <is>
          <t>Debit Card</t>
        </is>
      </c>
      <c r="Q1453" t="inlineStr">
        <is>
          <t>Delivered</t>
        </is>
      </c>
      <c r="R1453" t="n">
        <v>1</v>
      </c>
    </row>
    <row r="1454">
      <c r="A1454" t="inlineStr">
        <is>
          <t>ORD2453</t>
        </is>
      </c>
      <c r="B1454" t="inlineStr">
        <is>
          <t>2025-07-09</t>
        </is>
      </c>
      <c r="C1454" t="inlineStr">
        <is>
          <t>14:36:30</t>
        </is>
      </c>
      <c r="D1454" t="n">
        <v>1038</v>
      </c>
      <c r="E1454" t="n">
        <v>115</v>
      </c>
      <c r="F1454" t="n">
        <v>227</v>
      </c>
      <c r="G1454" t="inlineStr">
        <is>
          <t>Bangalore</t>
        </is>
      </c>
      <c r="H1454" t="inlineStr">
        <is>
          <t>Italian</t>
        </is>
      </c>
      <c r="I1454" t="n">
        <v>284</v>
      </c>
      <c r="J1454" t="n">
        <v>0</v>
      </c>
      <c r="K1454" t="n">
        <v>25</v>
      </c>
      <c r="L1454" t="n">
        <v>0.2</v>
      </c>
      <c r="M1454" t="n">
        <v>63.05</v>
      </c>
      <c r="N1454" t="n">
        <v>2.1</v>
      </c>
      <c r="O1454" t="n">
        <v>24</v>
      </c>
      <c r="P1454" t="inlineStr">
        <is>
          <t>Credit Card</t>
        </is>
      </c>
      <c r="Q1454" t="inlineStr">
        <is>
          <t>Delivered</t>
        </is>
      </c>
      <c r="R1454" t="n">
        <v>4</v>
      </c>
    </row>
    <row r="1455">
      <c r="A1455" t="inlineStr">
        <is>
          <t>ORD2454</t>
        </is>
      </c>
      <c r="B1455" t="inlineStr">
        <is>
          <t>2025-12-19</t>
        </is>
      </c>
      <c r="C1455" t="inlineStr">
        <is>
          <t>12:14:58</t>
        </is>
      </c>
      <c r="D1455" t="n">
        <v>1075</v>
      </c>
      <c r="E1455" t="n">
        <v>112</v>
      </c>
      <c r="F1455" t="n">
        <v>230</v>
      </c>
      <c r="G1455" t="inlineStr">
        <is>
          <t>Delhi NCR</t>
        </is>
      </c>
      <c r="H1455" t="inlineStr">
        <is>
          <t>North Indian</t>
        </is>
      </c>
      <c r="I1455" t="n">
        <v>540</v>
      </c>
      <c r="J1455" t="n">
        <v>50.96</v>
      </c>
      <c r="K1455" t="n">
        <v>61</v>
      </c>
      <c r="L1455" t="n">
        <v>0.22</v>
      </c>
      <c r="M1455" t="n">
        <v>134.05</v>
      </c>
      <c r="N1455" t="n">
        <v>10.2</v>
      </c>
      <c r="O1455" t="n">
        <v>63.1</v>
      </c>
      <c r="P1455" t="inlineStr">
        <is>
          <t>Cash on Delivery</t>
        </is>
      </c>
      <c r="Q1455" t="inlineStr">
        <is>
          <t>Delivered</t>
        </is>
      </c>
      <c r="R1455" t="n">
        <v>2</v>
      </c>
    </row>
    <row r="1456">
      <c r="A1456" t="inlineStr">
        <is>
          <t>ORD2455</t>
        </is>
      </c>
      <c r="B1456" t="inlineStr">
        <is>
          <t>2025-12-24</t>
        </is>
      </c>
      <c r="C1456" t="inlineStr">
        <is>
          <t>20:12:57</t>
        </is>
      </c>
      <c r="D1456" t="n">
        <v>1075</v>
      </c>
      <c r="E1456" t="n">
        <v>118</v>
      </c>
      <c r="F1456" t="n">
        <v>230</v>
      </c>
      <c r="G1456" t="inlineStr">
        <is>
          <t>Delhi NCR</t>
        </is>
      </c>
      <c r="H1456" t="inlineStr">
        <is>
          <t>North Indian</t>
        </is>
      </c>
      <c r="I1456" t="n">
        <v>350</v>
      </c>
      <c r="J1456" t="n">
        <v>41.15</v>
      </c>
      <c r="K1456" t="n">
        <v>27.5</v>
      </c>
      <c r="L1456" t="n">
        <v>0.2</v>
      </c>
      <c r="M1456" t="n">
        <v>76.88</v>
      </c>
      <c r="N1456" t="n">
        <v>3.5</v>
      </c>
      <c r="O1456" t="n">
        <v/>
      </c>
      <c r="P1456" t="inlineStr">
        <is>
          <t>Digital Wallet</t>
        </is>
      </c>
      <c r="Q1456" t="inlineStr">
        <is>
          <t>Cancelled</t>
        </is>
      </c>
      <c r="R1456" t="n">
        <v/>
      </c>
    </row>
    <row r="1457">
      <c r="A1457" t="inlineStr">
        <is>
          <t>ORD2456</t>
        </is>
      </c>
      <c r="B1457" t="inlineStr">
        <is>
          <t>2025-05-08</t>
        </is>
      </c>
      <c r="C1457" t="inlineStr">
        <is>
          <t>19:31:36</t>
        </is>
      </c>
      <c r="D1457" t="n">
        <v>1121</v>
      </c>
      <c r="E1457" t="n">
        <v>111</v>
      </c>
      <c r="F1457" t="n">
        <v>201</v>
      </c>
      <c r="G1457" t="inlineStr">
        <is>
          <t>Bangalore</t>
        </is>
      </c>
      <c r="H1457" t="inlineStr">
        <is>
          <t>South Indian</t>
        </is>
      </c>
      <c r="I1457" t="n">
        <v>701</v>
      </c>
      <c r="J1457" t="n">
        <v>78.75</v>
      </c>
      <c r="K1457" t="n">
        <v>67</v>
      </c>
      <c r="L1457" t="n">
        <v>0.15</v>
      </c>
      <c r="M1457" t="n">
        <v>121.9</v>
      </c>
      <c r="N1457" t="n">
        <v>11.4</v>
      </c>
      <c r="O1457" t="n">
        <v>58.7</v>
      </c>
      <c r="P1457" t="inlineStr">
        <is>
          <t>UPI</t>
        </is>
      </c>
      <c r="Q1457" t="inlineStr">
        <is>
          <t>Delivered</t>
        </is>
      </c>
      <c r="R1457" t="n">
        <v>2</v>
      </c>
    </row>
    <row r="1458">
      <c r="A1458" t="inlineStr">
        <is>
          <t>ORD2457</t>
        </is>
      </c>
      <c r="B1458" t="inlineStr">
        <is>
          <t>2025-02-11</t>
        </is>
      </c>
      <c r="C1458" t="inlineStr">
        <is>
          <t>18:33:31</t>
        </is>
      </c>
      <c r="D1458" t="n">
        <v>1286</v>
      </c>
      <c r="E1458" t="n">
        <v>112</v>
      </c>
      <c r="F1458" t="n">
        <v>219</v>
      </c>
      <c r="G1458" t="inlineStr">
        <is>
          <t>Delhi NCR</t>
        </is>
      </c>
      <c r="H1458" t="inlineStr">
        <is>
          <t>North Indian</t>
        </is>
      </c>
      <c r="I1458" t="n">
        <v>693</v>
      </c>
      <c r="J1458" t="n">
        <v>49.39</v>
      </c>
      <c r="K1458" t="n">
        <v>25</v>
      </c>
      <c r="L1458" t="n">
        <v>0.22</v>
      </c>
      <c r="M1458" t="n">
        <v>158.71</v>
      </c>
      <c r="N1458" t="n">
        <v>1.4</v>
      </c>
      <c r="O1458" t="n">
        <v>31.6</v>
      </c>
      <c r="P1458" t="inlineStr">
        <is>
          <t>Debit Card</t>
        </is>
      </c>
      <c r="Q1458" t="inlineStr">
        <is>
          <t>Delivered</t>
        </is>
      </c>
      <c r="R1458" t="n">
        <v>4</v>
      </c>
    </row>
    <row r="1459">
      <c r="A1459" t="inlineStr">
        <is>
          <t>ORD2458</t>
        </is>
      </c>
      <c r="B1459" t="inlineStr">
        <is>
          <t>2025-07-19</t>
        </is>
      </c>
      <c r="C1459" t="inlineStr">
        <is>
          <t>12:49:12</t>
        </is>
      </c>
      <c r="D1459" t="n">
        <v>1183</v>
      </c>
      <c r="E1459" t="n">
        <v>103</v>
      </c>
      <c r="F1459" t="n">
        <v>229</v>
      </c>
      <c r="G1459" t="inlineStr">
        <is>
          <t>Mumbai</t>
        </is>
      </c>
      <c r="H1459" t="inlineStr">
        <is>
          <t>Italian</t>
        </is>
      </c>
      <c r="I1459" t="n">
        <v>784</v>
      </c>
      <c r="J1459" t="n">
        <v>89.62</v>
      </c>
      <c r="K1459" t="n">
        <v>0</v>
      </c>
      <c r="L1459" t="n">
        <v>0.18</v>
      </c>
      <c r="M1459" t="n">
        <v>141.12</v>
      </c>
      <c r="N1459" t="n">
        <v>6.1</v>
      </c>
      <c r="O1459" t="n">
        <v>46.8</v>
      </c>
      <c r="P1459" t="inlineStr">
        <is>
          <t>UPI</t>
        </is>
      </c>
      <c r="Q1459" t="inlineStr">
        <is>
          <t>Delivered</t>
        </is>
      </c>
      <c r="R1459" t="n">
        <v>4</v>
      </c>
    </row>
    <row r="1460">
      <c r="A1460" t="inlineStr">
        <is>
          <t>ORD2459</t>
        </is>
      </c>
      <c r="B1460" t="inlineStr">
        <is>
          <t>2025-11-21</t>
        </is>
      </c>
      <c r="C1460" t="inlineStr">
        <is>
          <t>13:00:20</t>
        </is>
      </c>
      <c r="D1460" t="n">
        <v>1097</v>
      </c>
      <c r="E1460" t="n">
        <v>111</v>
      </c>
      <c r="F1460" t="n">
        <v>220</v>
      </c>
      <c r="G1460" t="inlineStr">
        <is>
          <t>Bangalore</t>
        </is>
      </c>
      <c r="H1460" t="inlineStr">
        <is>
          <t>South Indian</t>
        </is>
      </c>
      <c r="I1460" t="n">
        <v>584</v>
      </c>
      <c r="J1460" t="n">
        <v>22.54</v>
      </c>
      <c r="K1460" t="n">
        <v>40</v>
      </c>
      <c r="L1460" t="n">
        <v>0.15</v>
      </c>
      <c r="M1460" t="n">
        <v>97.59999999999999</v>
      </c>
      <c r="N1460" t="n">
        <v>6</v>
      </c>
      <c r="O1460" t="n">
        <v>40.5</v>
      </c>
      <c r="P1460" t="inlineStr">
        <is>
          <t>Debit Card</t>
        </is>
      </c>
      <c r="Q1460" t="inlineStr">
        <is>
          <t>Delivered</t>
        </is>
      </c>
      <c r="R1460" t="n">
        <v>1</v>
      </c>
    </row>
    <row r="1461">
      <c r="A1461" t="inlineStr">
        <is>
          <t>ORD2460</t>
        </is>
      </c>
      <c r="B1461" t="inlineStr">
        <is>
          <t>2025-11-06</t>
        </is>
      </c>
      <c r="C1461" t="inlineStr">
        <is>
          <t>20:56:34</t>
        </is>
      </c>
      <c r="D1461" t="n">
        <v>1153</v>
      </c>
      <c r="E1461" t="n">
        <v>115</v>
      </c>
      <c r="F1461" t="n">
        <v>220</v>
      </c>
      <c r="G1461" t="inlineStr">
        <is>
          <t>Bangalore</t>
        </is>
      </c>
      <c r="H1461" t="inlineStr">
        <is>
          <t>Italian</t>
        </is>
      </c>
      <c r="I1461" t="n">
        <v>424</v>
      </c>
      <c r="J1461" t="n">
        <v>21.91</v>
      </c>
      <c r="K1461" t="n">
        <v>35</v>
      </c>
      <c r="L1461" t="n">
        <v>0.2</v>
      </c>
      <c r="M1461" t="n">
        <v>93.55</v>
      </c>
      <c r="N1461" t="n">
        <v>5</v>
      </c>
      <c r="O1461" t="n">
        <v>41.8</v>
      </c>
      <c r="P1461" t="inlineStr">
        <is>
          <t>Digital Wallet</t>
        </is>
      </c>
      <c r="Q1461" t="inlineStr">
        <is>
          <t>Delivered</t>
        </is>
      </c>
      <c r="R1461" t="n">
        <v>2</v>
      </c>
    </row>
    <row r="1462">
      <c r="A1462" t="inlineStr">
        <is>
          <t>ORD2461</t>
        </is>
      </c>
      <c r="B1462" t="inlineStr">
        <is>
          <t>2025-04-10</t>
        </is>
      </c>
      <c r="C1462" t="inlineStr">
        <is>
          <t>20:33:51</t>
        </is>
      </c>
      <c r="D1462" t="n">
        <v>1116</v>
      </c>
      <c r="E1462" t="n">
        <v>103</v>
      </c>
      <c r="F1462" t="n">
        <v>202</v>
      </c>
      <c r="G1462" t="inlineStr">
        <is>
          <t>Mumbai</t>
        </is>
      </c>
      <c r="H1462" t="inlineStr">
        <is>
          <t>Italian</t>
        </is>
      </c>
      <c r="I1462" t="n">
        <v>908</v>
      </c>
      <c r="J1462" t="n">
        <v>113.34</v>
      </c>
      <c r="K1462" t="n">
        <v>0</v>
      </c>
      <c r="L1462" t="n">
        <v>0.18</v>
      </c>
      <c r="M1462" t="n">
        <v>163.44</v>
      </c>
      <c r="N1462" t="n">
        <v>3.9</v>
      </c>
      <c r="O1462" t="n">
        <v>33.6</v>
      </c>
      <c r="P1462" t="inlineStr">
        <is>
          <t>UPI</t>
        </is>
      </c>
      <c r="Q1462" t="inlineStr">
        <is>
          <t>Delivered</t>
        </is>
      </c>
      <c r="R1462" t="n">
        <v>4</v>
      </c>
    </row>
    <row r="1463">
      <c r="A1463" t="inlineStr">
        <is>
          <t>ORD2462</t>
        </is>
      </c>
      <c r="B1463" t="inlineStr">
        <is>
          <t>2025-03-15</t>
        </is>
      </c>
      <c r="C1463" t="inlineStr">
        <is>
          <t>07:18:01</t>
        </is>
      </c>
      <c r="D1463" t="n">
        <v>1009</v>
      </c>
      <c r="E1463" t="n">
        <v>109</v>
      </c>
      <c r="F1463" t="n">
        <v>215</v>
      </c>
      <c r="G1463" t="inlineStr">
        <is>
          <t>Hyderabad</t>
        </is>
      </c>
      <c r="H1463" t="inlineStr">
        <is>
          <t>Biryani</t>
        </is>
      </c>
      <c r="I1463" t="n">
        <v>249</v>
      </c>
      <c r="J1463" t="n">
        <v>23.81</v>
      </c>
      <c r="K1463" t="n">
        <v>25</v>
      </c>
      <c r="L1463" t="n">
        <v>0.2</v>
      </c>
      <c r="M1463" t="n">
        <v>56.05</v>
      </c>
      <c r="N1463" t="n">
        <v>2.1</v>
      </c>
      <c r="O1463" t="n">
        <v>35.4</v>
      </c>
      <c r="P1463" t="inlineStr">
        <is>
          <t>UPI</t>
        </is>
      </c>
      <c r="Q1463" t="inlineStr">
        <is>
          <t>Delivered</t>
        </is>
      </c>
      <c r="R1463" t="n">
        <v>4</v>
      </c>
    </row>
    <row r="1464">
      <c r="A1464" t="inlineStr">
        <is>
          <t>ORD2463</t>
        </is>
      </c>
      <c r="B1464" t="inlineStr">
        <is>
          <t>2025-08-17</t>
        </is>
      </c>
      <c r="C1464" t="inlineStr">
        <is>
          <t>12:40:24</t>
        </is>
      </c>
      <c r="D1464" t="n">
        <v>1274</v>
      </c>
      <c r="E1464" t="n">
        <v>117</v>
      </c>
      <c r="F1464" t="n">
        <v>206</v>
      </c>
      <c r="G1464" t="inlineStr">
        <is>
          <t>Mumbai</t>
        </is>
      </c>
      <c r="H1464" t="inlineStr">
        <is>
          <t>Chinese</t>
        </is>
      </c>
      <c r="I1464" t="n">
        <v>928</v>
      </c>
      <c r="J1464" t="n">
        <v>147.91</v>
      </c>
      <c r="K1464" t="n">
        <v>0</v>
      </c>
      <c r="L1464" t="n">
        <v>0.2</v>
      </c>
      <c r="M1464" t="n">
        <v>185.6</v>
      </c>
      <c r="N1464" t="n">
        <v>3.2</v>
      </c>
      <c r="O1464" t="n">
        <v/>
      </c>
      <c r="P1464" t="inlineStr">
        <is>
          <t>UPI</t>
        </is>
      </c>
      <c r="Q1464" t="inlineStr">
        <is>
          <t>Cancelled</t>
        </is>
      </c>
      <c r="R1464" t="n">
        <v/>
      </c>
    </row>
    <row r="1465">
      <c r="A1465" t="inlineStr">
        <is>
          <t>ORD2464</t>
        </is>
      </c>
      <c r="B1465" t="inlineStr">
        <is>
          <t>2025-04-12</t>
        </is>
      </c>
      <c r="C1465" t="inlineStr">
        <is>
          <t>13:45:38</t>
        </is>
      </c>
      <c r="D1465" t="n">
        <v>1077</v>
      </c>
      <c r="E1465" t="n">
        <v>114</v>
      </c>
      <c r="F1465" t="n">
        <v>215</v>
      </c>
      <c r="G1465" t="inlineStr">
        <is>
          <t>Hyderabad</t>
        </is>
      </c>
      <c r="H1465" t="inlineStr">
        <is>
          <t>Biryani</t>
        </is>
      </c>
      <c r="I1465" t="n">
        <v>684</v>
      </c>
      <c r="J1465" t="n">
        <v>47.83</v>
      </c>
      <c r="K1465" t="n">
        <v>30</v>
      </c>
      <c r="L1465" t="n">
        <v>0.22</v>
      </c>
      <c r="M1465" t="n">
        <v>157.98</v>
      </c>
      <c r="N1465" t="n">
        <v>4</v>
      </c>
      <c r="O1465" t="n">
        <v/>
      </c>
      <c r="P1465" t="inlineStr">
        <is>
          <t>Debit Card</t>
        </is>
      </c>
      <c r="Q1465" t="inlineStr">
        <is>
          <t>Cancelled</t>
        </is>
      </c>
      <c r="R1465" t="n">
        <v/>
      </c>
    </row>
    <row r="1466">
      <c r="A1466" t="inlineStr">
        <is>
          <t>ORD2465</t>
        </is>
      </c>
      <c r="B1466" t="inlineStr">
        <is>
          <t>2025-01-27</t>
        </is>
      </c>
      <c r="C1466" t="inlineStr">
        <is>
          <t>22:55:20</t>
        </is>
      </c>
      <c r="D1466" t="n">
        <v>1013</v>
      </c>
      <c r="E1466" t="n">
        <v>115</v>
      </c>
      <c r="F1466" t="n">
        <v>227</v>
      </c>
      <c r="G1466" t="inlineStr">
        <is>
          <t>Bangalore</t>
        </is>
      </c>
      <c r="H1466" t="inlineStr">
        <is>
          <t>Italian</t>
        </is>
      </c>
      <c r="I1466" t="n">
        <v>785</v>
      </c>
      <c r="J1466" t="n">
        <v>65.47</v>
      </c>
      <c r="K1466" t="n">
        <v>25</v>
      </c>
      <c r="L1466" t="n">
        <v>0.2</v>
      </c>
      <c r="M1466" t="n">
        <v>163.25</v>
      </c>
      <c r="N1466" t="n">
        <v>2.6</v>
      </c>
      <c r="O1466" t="n">
        <v>31.8</v>
      </c>
      <c r="P1466" t="inlineStr">
        <is>
          <t>Cash on Delivery</t>
        </is>
      </c>
      <c r="Q1466" t="inlineStr">
        <is>
          <t>Delivered</t>
        </is>
      </c>
      <c r="R1466" t="n">
        <v>2</v>
      </c>
    </row>
    <row r="1467">
      <c r="A1467" t="inlineStr">
        <is>
          <t>ORD2466</t>
        </is>
      </c>
      <c r="B1467" t="inlineStr">
        <is>
          <t>2025-07-22</t>
        </is>
      </c>
      <c r="C1467" t="inlineStr">
        <is>
          <t>22:11:20</t>
        </is>
      </c>
      <c r="D1467" t="n">
        <v>1198</v>
      </c>
      <c r="E1467" t="n">
        <v>111</v>
      </c>
      <c r="F1467" t="n">
        <v>205</v>
      </c>
      <c r="G1467" t="inlineStr">
        <is>
          <t>Bangalore</t>
        </is>
      </c>
      <c r="H1467" t="inlineStr">
        <is>
          <t>South Indian</t>
        </is>
      </c>
      <c r="I1467" t="n">
        <v>1161</v>
      </c>
      <c r="J1467" t="n">
        <v>204.4</v>
      </c>
      <c r="K1467" t="n">
        <v>0</v>
      </c>
      <c r="L1467" t="n">
        <v>0.15</v>
      </c>
      <c r="M1467" t="n">
        <v>174.15</v>
      </c>
      <c r="N1467" t="n">
        <v>3.7</v>
      </c>
      <c r="O1467" t="n">
        <v>29.3</v>
      </c>
      <c r="P1467" t="inlineStr">
        <is>
          <t>Debit Card</t>
        </is>
      </c>
      <c r="Q1467" t="inlineStr">
        <is>
          <t>Delivered</t>
        </is>
      </c>
      <c r="R1467" t="n">
        <v>5</v>
      </c>
    </row>
    <row r="1468">
      <c r="A1468" t="inlineStr">
        <is>
          <t>ORD2467</t>
        </is>
      </c>
      <c r="B1468" t="inlineStr">
        <is>
          <t>2025-09-12</t>
        </is>
      </c>
      <c r="C1468" t="inlineStr">
        <is>
          <t>17:04:59</t>
        </is>
      </c>
      <c r="D1468" t="n">
        <v>1096</v>
      </c>
      <c r="E1468" t="n">
        <v>109</v>
      </c>
      <c r="F1468" t="n">
        <v>216</v>
      </c>
      <c r="G1468" t="inlineStr">
        <is>
          <t>Hyderabad</t>
        </is>
      </c>
      <c r="H1468" t="inlineStr">
        <is>
          <t>Biryani</t>
        </is>
      </c>
      <c r="I1468" t="n">
        <v>289</v>
      </c>
      <c r="J1468" t="n">
        <v>0</v>
      </c>
      <c r="K1468" t="n">
        <v>30</v>
      </c>
      <c r="L1468" t="n">
        <v>0.2</v>
      </c>
      <c r="M1468" t="n">
        <v>65.3</v>
      </c>
      <c r="N1468" t="n">
        <v>4</v>
      </c>
      <c r="O1468" t="n">
        <v>30.1</v>
      </c>
      <c r="P1468" t="inlineStr">
        <is>
          <t>Credit Card</t>
        </is>
      </c>
      <c r="Q1468" t="inlineStr">
        <is>
          <t>Delivered</t>
        </is>
      </c>
      <c r="R1468" t="n">
        <v>3</v>
      </c>
    </row>
    <row r="1469">
      <c r="A1469" t="inlineStr">
        <is>
          <t>ORD2468</t>
        </is>
      </c>
      <c r="B1469" t="inlineStr">
        <is>
          <t>2025-07-02</t>
        </is>
      </c>
      <c r="C1469" t="inlineStr">
        <is>
          <t>12:21:05</t>
        </is>
      </c>
      <c r="D1469" t="n">
        <v>1274</v>
      </c>
      <c r="E1469" t="n">
        <v>113</v>
      </c>
      <c r="F1469" t="n">
        <v>229</v>
      </c>
      <c r="G1469" t="inlineStr">
        <is>
          <t>Mumbai</t>
        </is>
      </c>
      <c r="H1469" t="inlineStr">
        <is>
          <t>Fast Food</t>
        </is>
      </c>
      <c r="I1469" t="n">
        <v>829</v>
      </c>
      <c r="J1469" t="n">
        <v>145.15</v>
      </c>
      <c r="K1469" t="n">
        <v>0</v>
      </c>
      <c r="L1469" t="n">
        <v>0.18</v>
      </c>
      <c r="M1469" t="n">
        <v>149.22</v>
      </c>
      <c r="N1469" t="n">
        <v>7</v>
      </c>
      <c r="O1469" t="n">
        <v>46.7</v>
      </c>
      <c r="P1469" t="inlineStr">
        <is>
          <t>Digital Wallet</t>
        </is>
      </c>
      <c r="Q1469" t="inlineStr">
        <is>
          <t>Delivered</t>
        </is>
      </c>
      <c r="R1469" t="n">
        <v>4</v>
      </c>
    </row>
    <row r="1470">
      <c r="A1470" t="inlineStr">
        <is>
          <t>ORD2469</t>
        </is>
      </c>
      <c r="B1470" t="inlineStr">
        <is>
          <t>2025-11-25</t>
        </is>
      </c>
      <c r="C1470" t="inlineStr">
        <is>
          <t>20:50:25</t>
        </is>
      </c>
      <c r="D1470" t="n">
        <v>1149</v>
      </c>
      <c r="E1470" t="n">
        <v>120</v>
      </c>
      <c r="F1470" t="n">
        <v>224</v>
      </c>
      <c r="G1470" t="inlineStr">
        <is>
          <t>Pune</t>
        </is>
      </c>
      <c r="H1470" t="inlineStr">
        <is>
          <t>Fast Food</t>
        </is>
      </c>
      <c r="I1470" t="n">
        <v>931</v>
      </c>
      <c r="J1470" t="n">
        <v>0</v>
      </c>
      <c r="K1470" t="n">
        <v>25</v>
      </c>
      <c r="L1470" t="n">
        <v>0.18</v>
      </c>
      <c r="M1470" t="n">
        <v>173.83</v>
      </c>
      <c r="N1470" t="n">
        <v>2.4</v>
      </c>
      <c r="O1470" t="n">
        <v>34</v>
      </c>
      <c r="P1470" t="inlineStr">
        <is>
          <t>Credit Card</t>
        </is>
      </c>
      <c r="Q1470" t="inlineStr">
        <is>
          <t>Delivered</t>
        </is>
      </c>
      <c r="R1470" t="n">
        <v>5</v>
      </c>
    </row>
    <row r="1471">
      <c r="A1471" t="inlineStr">
        <is>
          <t>ORD2470</t>
        </is>
      </c>
      <c r="B1471" t="inlineStr">
        <is>
          <t>2025-05-14</t>
        </is>
      </c>
      <c r="C1471" t="inlineStr">
        <is>
          <t>19:14:15</t>
        </is>
      </c>
      <c r="D1471" t="n">
        <v>1165</v>
      </c>
      <c r="E1471" t="n">
        <v>103</v>
      </c>
      <c r="F1471" t="n">
        <v>222</v>
      </c>
      <c r="G1471" t="inlineStr">
        <is>
          <t>Mumbai</t>
        </is>
      </c>
      <c r="H1471" t="inlineStr">
        <is>
          <t>Italian</t>
        </is>
      </c>
      <c r="I1471" t="n">
        <v>277</v>
      </c>
      <c r="J1471" t="n">
        <v>12.36</v>
      </c>
      <c r="K1471" t="n">
        <v>25</v>
      </c>
      <c r="L1471" t="n">
        <v>0.18</v>
      </c>
      <c r="M1471" t="n">
        <v>56.11</v>
      </c>
      <c r="N1471" t="n">
        <v>1.5</v>
      </c>
      <c r="O1471" t="n">
        <v>19.8</v>
      </c>
      <c r="P1471" t="inlineStr">
        <is>
          <t>Credit Card</t>
        </is>
      </c>
      <c r="Q1471" t="inlineStr">
        <is>
          <t>Delivered</t>
        </is>
      </c>
      <c r="R1471" t="n">
        <v>5</v>
      </c>
    </row>
    <row r="1472">
      <c r="A1472" t="inlineStr">
        <is>
          <t>ORD2471</t>
        </is>
      </c>
      <c r="B1472" t="inlineStr">
        <is>
          <t>2025-04-23</t>
        </is>
      </c>
      <c r="C1472" t="inlineStr">
        <is>
          <t>11:48:14</t>
        </is>
      </c>
      <c r="D1472" t="n">
        <v>1059</v>
      </c>
      <c r="E1472" t="n">
        <v>102</v>
      </c>
      <c r="F1472" t="n">
        <v>215</v>
      </c>
      <c r="G1472" t="inlineStr">
        <is>
          <t>Hyderabad</t>
        </is>
      </c>
      <c r="H1472" t="inlineStr">
        <is>
          <t>Biryani</t>
        </is>
      </c>
      <c r="I1472" t="n">
        <v>376</v>
      </c>
      <c r="J1472" t="n">
        <v>4.14</v>
      </c>
      <c r="K1472" t="n">
        <v>46</v>
      </c>
      <c r="L1472" t="n">
        <v>0.22</v>
      </c>
      <c r="M1472" t="n">
        <v>94.22</v>
      </c>
      <c r="N1472" t="n">
        <v>7.2</v>
      </c>
      <c r="O1472" t="n">
        <v/>
      </c>
      <c r="P1472" t="inlineStr">
        <is>
          <t>Cash on Delivery</t>
        </is>
      </c>
      <c r="Q1472" t="inlineStr">
        <is>
          <t>Cancelled</t>
        </is>
      </c>
      <c r="R1472" t="n">
        <v/>
      </c>
    </row>
    <row r="1473">
      <c r="A1473" t="inlineStr">
        <is>
          <t>ORD2472</t>
        </is>
      </c>
      <c r="B1473" t="inlineStr">
        <is>
          <t>2025-09-10</t>
        </is>
      </c>
      <c r="C1473" t="inlineStr">
        <is>
          <t>14:01:42</t>
        </is>
      </c>
      <c r="D1473" t="n">
        <v>1079</v>
      </c>
      <c r="E1473" t="n">
        <v>101</v>
      </c>
      <c r="F1473" t="n">
        <v>227</v>
      </c>
      <c r="G1473" t="inlineStr">
        <is>
          <t>Bangalore</t>
        </is>
      </c>
      <c r="H1473" t="inlineStr">
        <is>
          <t>North Indian</t>
        </is>
      </c>
      <c r="I1473" t="n">
        <v>933</v>
      </c>
      <c r="J1473" t="n">
        <v>0</v>
      </c>
      <c r="K1473" t="n">
        <v>33.5</v>
      </c>
      <c r="L1473" t="n">
        <v>0.2</v>
      </c>
      <c r="M1473" t="n">
        <v>194.98</v>
      </c>
      <c r="N1473" t="n">
        <v>4.7</v>
      </c>
      <c r="O1473" t="n">
        <v>32</v>
      </c>
      <c r="P1473" t="inlineStr">
        <is>
          <t>Credit Card</t>
        </is>
      </c>
      <c r="Q1473" t="inlineStr">
        <is>
          <t>Delivered</t>
        </is>
      </c>
      <c r="R1473" t="n">
        <v>4</v>
      </c>
    </row>
    <row r="1474">
      <c r="A1474" t="inlineStr">
        <is>
          <t>ORD2473</t>
        </is>
      </c>
      <c r="B1474" t="inlineStr">
        <is>
          <t>2025-10-26</t>
        </is>
      </c>
      <c r="C1474" t="inlineStr">
        <is>
          <t>20:31:00</t>
        </is>
      </c>
      <c r="D1474" t="n">
        <v>1213</v>
      </c>
      <c r="E1474" t="n">
        <v>112</v>
      </c>
      <c r="F1474" t="n">
        <v>221</v>
      </c>
      <c r="G1474" t="inlineStr">
        <is>
          <t>Delhi NCR</t>
        </is>
      </c>
      <c r="H1474" t="inlineStr">
        <is>
          <t>North Indian</t>
        </is>
      </c>
      <c r="I1474" t="n">
        <v>577</v>
      </c>
      <c r="J1474" t="n">
        <v>57.2</v>
      </c>
      <c r="K1474" t="n">
        <v>42.5</v>
      </c>
      <c r="L1474" t="n">
        <v>0.22</v>
      </c>
      <c r="M1474" t="n">
        <v>137.56</v>
      </c>
      <c r="N1474" t="n">
        <v>6.5</v>
      </c>
      <c r="O1474" t="n">
        <v>42.4</v>
      </c>
      <c r="P1474" t="inlineStr">
        <is>
          <t>Debit Card</t>
        </is>
      </c>
      <c r="Q1474" t="inlineStr">
        <is>
          <t>Delivered</t>
        </is>
      </c>
      <c r="R1474" t="n">
        <v>5</v>
      </c>
    </row>
    <row r="1475">
      <c r="A1475" t="inlineStr">
        <is>
          <t>ORD2474</t>
        </is>
      </c>
      <c r="B1475" t="inlineStr">
        <is>
          <t>2025-03-19</t>
        </is>
      </c>
      <c r="C1475" t="inlineStr">
        <is>
          <t>07:34:00</t>
        </is>
      </c>
      <c r="D1475" t="n">
        <v>1059</v>
      </c>
      <c r="E1475" t="n">
        <v>109</v>
      </c>
      <c r="F1475" t="n">
        <v>215</v>
      </c>
      <c r="G1475" t="inlineStr">
        <is>
          <t>Hyderabad</t>
        </is>
      </c>
      <c r="H1475" t="inlineStr">
        <is>
          <t>Biryani</t>
        </is>
      </c>
      <c r="I1475" t="n">
        <v>862</v>
      </c>
      <c r="J1475" t="n">
        <v>19.41</v>
      </c>
      <c r="K1475" t="n">
        <v>29</v>
      </c>
      <c r="L1475" t="n">
        <v>0.2</v>
      </c>
      <c r="M1475" t="n">
        <v>179.65</v>
      </c>
      <c r="N1475" t="n">
        <v>3.8</v>
      </c>
      <c r="O1475" t="n">
        <v>29.7</v>
      </c>
      <c r="P1475" t="inlineStr">
        <is>
          <t>Digital Wallet</t>
        </is>
      </c>
      <c r="Q1475" t="inlineStr">
        <is>
          <t>Delivered</t>
        </is>
      </c>
      <c r="R1475" t="n">
        <v>3</v>
      </c>
    </row>
    <row r="1476">
      <c r="A1476" t="inlineStr">
        <is>
          <t>ORD2475</t>
        </is>
      </c>
      <c r="B1476" t="inlineStr">
        <is>
          <t>2025-11-08</t>
        </is>
      </c>
      <c r="C1476" t="inlineStr">
        <is>
          <t>19:16:21</t>
        </is>
      </c>
      <c r="D1476" t="n">
        <v>1108</v>
      </c>
      <c r="E1476" t="n">
        <v>120</v>
      </c>
      <c r="F1476" t="n">
        <v>214</v>
      </c>
      <c r="G1476" t="inlineStr">
        <is>
          <t>Pune</t>
        </is>
      </c>
      <c r="H1476" t="inlineStr">
        <is>
          <t>Fast Food</t>
        </is>
      </c>
      <c r="I1476" t="n">
        <v>420</v>
      </c>
      <c r="J1476" t="n">
        <v>30.62</v>
      </c>
      <c r="K1476" t="n">
        <v>38.5</v>
      </c>
      <c r="L1476" t="n">
        <v>0.18</v>
      </c>
      <c r="M1476" t="n">
        <v>85.22</v>
      </c>
      <c r="N1476" t="n">
        <v>5.7</v>
      </c>
      <c r="O1476" t="n">
        <v>38.1</v>
      </c>
      <c r="P1476" t="inlineStr">
        <is>
          <t>UPI</t>
        </is>
      </c>
      <c r="Q1476" t="inlineStr">
        <is>
          <t>Delivered</t>
        </is>
      </c>
      <c r="R1476" t="n">
        <v>4</v>
      </c>
    </row>
    <row r="1477">
      <c r="A1477" t="inlineStr">
        <is>
          <t>ORD2476</t>
        </is>
      </c>
      <c r="B1477" t="inlineStr">
        <is>
          <t>2025-08-17</t>
        </is>
      </c>
      <c r="C1477" t="inlineStr">
        <is>
          <t>20:38:41</t>
        </is>
      </c>
      <c r="D1477" t="n">
        <v>1247</v>
      </c>
      <c r="E1477" t="n">
        <v>105</v>
      </c>
      <c r="F1477" t="n">
        <v>220</v>
      </c>
      <c r="G1477" t="inlineStr">
        <is>
          <t>Bangalore</t>
        </is>
      </c>
      <c r="H1477" t="inlineStr">
        <is>
          <t>Chinese</t>
        </is>
      </c>
      <c r="I1477" t="n">
        <v>907</v>
      </c>
      <c r="J1477" t="n">
        <v>29.44</v>
      </c>
      <c r="K1477" t="n">
        <v>25</v>
      </c>
      <c r="L1477" t="n">
        <v>0.2</v>
      </c>
      <c r="M1477" t="n">
        <v>187.65</v>
      </c>
      <c r="N1477" t="n">
        <v>2.2</v>
      </c>
      <c r="O1477" t="n">
        <v>24</v>
      </c>
      <c r="P1477" t="inlineStr">
        <is>
          <t>UPI</t>
        </is>
      </c>
      <c r="Q1477" t="inlineStr">
        <is>
          <t>Delivered</t>
        </is>
      </c>
      <c r="R1477" t="n">
        <v>4</v>
      </c>
    </row>
    <row r="1478">
      <c r="A1478" t="inlineStr">
        <is>
          <t>ORD2477</t>
        </is>
      </c>
      <c r="B1478" t="inlineStr">
        <is>
          <t>2025-04-13</t>
        </is>
      </c>
      <c r="C1478" t="inlineStr">
        <is>
          <t>17:48:36</t>
        </is>
      </c>
      <c r="D1478" t="n">
        <v>1219</v>
      </c>
      <c r="E1478" t="n">
        <v>112</v>
      </c>
      <c r="F1478" t="n">
        <v>221</v>
      </c>
      <c r="G1478" t="inlineStr">
        <is>
          <t>Delhi NCR</t>
        </is>
      </c>
      <c r="H1478" t="inlineStr">
        <is>
          <t>North Indian</t>
        </is>
      </c>
      <c r="I1478" t="n">
        <v>525</v>
      </c>
      <c r="J1478" t="n">
        <v>56.86</v>
      </c>
      <c r="K1478" t="n">
        <v>31</v>
      </c>
      <c r="L1478" t="n">
        <v>0.22</v>
      </c>
      <c r="M1478" t="n">
        <v>123.25</v>
      </c>
      <c r="N1478" t="n">
        <v>4.2</v>
      </c>
      <c r="O1478" t="n">
        <v/>
      </c>
      <c r="P1478" t="inlineStr">
        <is>
          <t>Digital Wallet</t>
        </is>
      </c>
      <c r="Q1478" t="inlineStr">
        <is>
          <t>Cancelled</t>
        </is>
      </c>
      <c r="R1478" t="n">
        <v/>
      </c>
    </row>
    <row r="1479">
      <c r="A1479" t="inlineStr">
        <is>
          <t>ORD2478</t>
        </is>
      </c>
      <c r="B1479" t="inlineStr">
        <is>
          <t>2025-01-28</t>
        </is>
      </c>
      <c r="C1479" t="inlineStr">
        <is>
          <t>19:41:40</t>
        </is>
      </c>
      <c r="D1479" t="n">
        <v>1156</v>
      </c>
      <c r="E1479" t="n">
        <v>106</v>
      </c>
      <c r="F1479" t="n">
        <v>209</v>
      </c>
      <c r="G1479" t="inlineStr">
        <is>
          <t>Pune</t>
        </is>
      </c>
      <c r="H1479" t="inlineStr">
        <is>
          <t>South Indian</t>
        </is>
      </c>
      <c r="I1479" t="n">
        <v>455</v>
      </c>
      <c r="J1479" t="n">
        <v>32.19</v>
      </c>
      <c r="K1479" t="n">
        <v>59.5</v>
      </c>
      <c r="L1479" t="n">
        <v>0.15</v>
      </c>
      <c r="M1479" t="n">
        <v>83.12</v>
      </c>
      <c r="N1479" t="n">
        <v>9.9</v>
      </c>
      <c r="O1479" t="n">
        <v>56.8</v>
      </c>
      <c r="P1479" t="inlineStr">
        <is>
          <t>Digital Wallet</t>
        </is>
      </c>
      <c r="Q1479" t="inlineStr">
        <is>
          <t>Delivered</t>
        </is>
      </c>
      <c r="R1479" t="n">
        <v>3</v>
      </c>
    </row>
    <row r="1480">
      <c r="A1480" t="inlineStr">
        <is>
          <t>ORD2479</t>
        </is>
      </c>
      <c r="B1480" t="inlineStr">
        <is>
          <t>2025-01-07</t>
        </is>
      </c>
      <c r="C1480" t="inlineStr">
        <is>
          <t>17:13:53</t>
        </is>
      </c>
      <c r="D1480" t="n">
        <v>1109</v>
      </c>
      <c r="E1480" t="n">
        <v>113</v>
      </c>
      <c r="F1480" t="n">
        <v>202</v>
      </c>
      <c r="G1480" t="inlineStr">
        <is>
          <t>Mumbai</t>
        </is>
      </c>
      <c r="H1480" t="inlineStr">
        <is>
          <t>Fast Food</t>
        </is>
      </c>
      <c r="I1480" t="n">
        <v>405</v>
      </c>
      <c r="J1480" t="n">
        <v>6.69</v>
      </c>
      <c r="K1480" t="n">
        <v>60.5</v>
      </c>
      <c r="L1480" t="n">
        <v>0.18</v>
      </c>
      <c r="M1480" t="n">
        <v>88.02</v>
      </c>
      <c r="N1480" t="n">
        <v>10.1</v>
      </c>
      <c r="O1480" t="n">
        <v>54.6</v>
      </c>
      <c r="P1480" t="inlineStr">
        <is>
          <t>Cash on Delivery</t>
        </is>
      </c>
      <c r="Q1480" t="inlineStr">
        <is>
          <t>Delivered</t>
        </is>
      </c>
      <c r="R1480" t="n">
        <v>1</v>
      </c>
    </row>
    <row r="1481">
      <c r="A1481" t="inlineStr">
        <is>
          <t>ORD2480</t>
        </is>
      </c>
      <c r="B1481" t="inlineStr">
        <is>
          <t>2025-11-05</t>
        </is>
      </c>
      <c r="C1481" t="inlineStr">
        <is>
          <t>19:48:10</t>
        </is>
      </c>
      <c r="D1481" t="n">
        <v>1291</v>
      </c>
      <c r="E1481" t="n">
        <v>109</v>
      </c>
      <c r="F1481" t="n">
        <v>216</v>
      </c>
      <c r="G1481" t="inlineStr">
        <is>
          <t>Hyderabad</t>
        </is>
      </c>
      <c r="H1481" t="inlineStr">
        <is>
          <t>Biryani</t>
        </is>
      </c>
      <c r="I1481" t="n">
        <v>723</v>
      </c>
      <c r="J1481" t="n">
        <v>0</v>
      </c>
      <c r="K1481" t="n">
        <v>28</v>
      </c>
      <c r="L1481" t="n">
        <v>0.2</v>
      </c>
      <c r="M1481" t="n">
        <v>151.6</v>
      </c>
      <c r="N1481" t="n">
        <v>3.6</v>
      </c>
      <c r="O1481" t="n">
        <v>36.3</v>
      </c>
      <c r="P1481" t="inlineStr">
        <is>
          <t>Credit Card</t>
        </is>
      </c>
      <c r="Q1481" t="inlineStr">
        <is>
          <t>Delivered</t>
        </is>
      </c>
      <c r="R1481" t="n">
        <v>4</v>
      </c>
    </row>
    <row r="1482">
      <c r="A1482" t="inlineStr">
        <is>
          <t>ORD2481</t>
        </is>
      </c>
      <c r="B1482" t="inlineStr">
        <is>
          <t>2025-01-01</t>
        </is>
      </c>
      <c r="C1482" t="inlineStr">
        <is>
          <t>13:54:01</t>
        </is>
      </c>
      <c r="D1482" t="n">
        <v>1180</v>
      </c>
      <c r="E1482" t="n">
        <v>118</v>
      </c>
      <c r="F1482" t="n">
        <v>219</v>
      </c>
      <c r="G1482" t="inlineStr">
        <is>
          <t>Delhi NCR</t>
        </is>
      </c>
      <c r="H1482" t="inlineStr">
        <is>
          <t>North Indian</t>
        </is>
      </c>
      <c r="I1482" t="n">
        <v>854</v>
      </c>
      <c r="J1482" t="n">
        <v>0</v>
      </c>
      <c r="K1482" t="n">
        <v>36</v>
      </c>
      <c r="L1482" t="n">
        <v>0.2</v>
      </c>
      <c r="M1482" t="n">
        <v>179.8</v>
      </c>
      <c r="N1482" t="n">
        <v>5.2</v>
      </c>
      <c r="O1482" t="n">
        <v>33.6</v>
      </c>
      <c r="P1482" t="inlineStr">
        <is>
          <t>Debit Card</t>
        </is>
      </c>
      <c r="Q1482" t="inlineStr">
        <is>
          <t>Delivered</t>
        </is>
      </c>
      <c r="R1482" t="n">
        <v>2</v>
      </c>
    </row>
    <row r="1483">
      <c r="A1483" t="inlineStr">
        <is>
          <t>ORD2482</t>
        </is>
      </c>
      <c r="B1483" t="inlineStr">
        <is>
          <t>2025-08-16</t>
        </is>
      </c>
      <c r="C1483" t="inlineStr">
        <is>
          <t>21:24:46</t>
        </is>
      </c>
      <c r="D1483" t="n">
        <v>1164</v>
      </c>
      <c r="E1483" t="n">
        <v>110</v>
      </c>
      <c r="F1483" t="n">
        <v>208</v>
      </c>
      <c r="G1483" t="inlineStr">
        <is>
          <t>Pune</t>
        </is>
      </c>
      <c r="H1483" t="inlineStr">
        <is>
          <t>North Indian</t>
        </is>
      </c>
      <c r="I1483" t="n">
        <v>801</v>
      </c>
      <c r="J1483" t="n">
        <v>6.23</v>
      </c>
      <c r="K1483" t="n">
        <v>27.5</v>
      </c>
      <c r="L1483" t="n">
        <v>0.18</v>
      </c>
      <c r="M1483" t="n">
        <v>151.06</v>
      </c>
      <c r="N1483" t="n">
        <v>3.5</v>
      </c>
      <c r="O1483" t="n">
        <v>30.5</v>
      </c>
      <c r="P1483" t="inlineStr">
        <is>
          <t>Credit Card</t>
        </is>
      </c>
      <c r="Q1483" t="inlineStr">
        <is>
          <t>Delivered</t>
        </is>
      </c>
      <c r="R1483" t="n">
        <v>2</v>
      </c>
    </row>
    <row r="1484">
      <c r="A1484" t="inlineStr">
        <is>
          <t>ORD2483</t>
        </is>
      </c>
      <c r="B1484" t="inlineStr">
        <is>
          <t>2025-05-24</t>
        </is>
      </c>
      <c r="C1484" t="inlineStr">
        <is>
          <t>18:26:41</t>
        </is>
      </c>
      <c r="D1484" t="n">
        <v>1142</v>
      </c>
      <c r="E1484" t="n">
        <v>119</v>
      </c>
      <c r="F1484" t="n">
        <v>225</v>
      </c>
      <c r="G1484" t="inlineStr">
        <is>
          <t>Hyderabad</t>
        </is>
      </c>
      <c r="H1484" t="inlineStr">
        <is>
          <t>Biryani</t>
        </is>
      </c>
      <c r="I1484" t="n">
        <v>242</v>
      </c>
      <c r="J1484" t="n">
        <v>0</v>
      </c>
      <c r="K1484" t="n">
        <v>25</v>
      </c>
      <c r="L1484" t="n">
        <v>0.2</v>
      </c>
      <c r="M1484" t="n">
        <v>54.65</v>
      </c>
      <c r="N1484" t="n">
        <v>3</v>
      </c>
      <c r="O1484" t="n">
        <v>25.9</v>
      </c>
      <c r="P1484" t="inlineStr">
        <is>
          <t>UPI</t>
        </is>
      </c>
      <c r="Q1484" t="inlineStr">
        <is>
          <t>Delivered</t>
        </is>
      </c>
      <c r="R1484" t="n">
        <v>4</v>
      </c>
    </row>
    <row r="1485">
      <c r="A1485" t="inlineStr">
        <is>
          <t>ORD2484</t>
        </is>
      </c>
      <c r="B1485" t="inlineStr">
        <is>
          <t>2025-08-22</t>
        </is>
      </c>
      <c r="C1485" t="inlineStr">
        <is>
          <t>19:59:59</t>
        </is>
      </c>
      <c r="D1485" t="n">
        <v>1274</v>
      </c>
      <c r="E1485" t="n">
        <v>107</v>
      </c>
      <c r="F1485" t="n">
        <v>202</v>
      </c>
      <c r="G1485" t="inlineStr">
        <is>
          <t>Mumbai</t>
        </is>
      </c>
      <c r="H1485" t="inlineStr">
        <is>
          <t>Desserts</t>
        </is>
      </c>
      <c r="I1485" t="n">
        <v>559</v>
      </c>
      <c r="J1485" t="n">
        <v>107.29</v>
      </c>
      <c r="K1485" t="n">
        <v>0</v>
      </c>
      <c r="L1485" t="n">
        <v>0.25</v>
      </c>
      <c r="M1485" t="n">
        <v>139.75</v>
      </c>
      <c r="N1485" t="n">
        <v>6.5</v>
      </c>
      <c r="O1485" t="n">
        <v>46.2</v>
      </c>
      <c r="P1485" t="inlineStr">
        <is>
          <t>UPI</t>
        </is>
      </c>
      <c r="Q1485" t="inlineStr">
        <is>
          <t>Delivered</t>
        </is>
      </c>
      <c r="R1485" t="n">
        <v>3</v>
      </c>
    </row>
    <row r="1486">
      <c r="A1486" t="inlineStr">
        <is>
          <t>ORD2485</t>
        </is>
      </c>
      <c r="B1486" t="inlineStr">
        <is>
          <t>2025-02-27</t>
        </is>
      </c>
      <c r="C1486" t="inlineStr">
        <is>
          <t>20:05:46</t>
        </is>
      </c>
      <c r="D1486" t="n">
        <v>1067</v>
      </c>
      <c r="E1486" t="n">
        <v>106</v>
      </c>
      <c r="F1486" t="n">
        <v>207</v>
      </c>
      <c r="G1486" t="inlineStr">
        <is>
          <t>Pune</t>
        </is>
      </c>
      <c r="H1486" t="inlineStr">
        <is>
          <t>South Indian</t>
        </is>
      </c>
      <c r="I1486" t="n">
        <v>460</v>
      </c>
      <c r="J1486" t="n">
        <v>0</v>
      </c>
      <c r="K1486" t="n">
        <v>25.5</v>
      </c>
      <c r="L1486" t="n">
        <v>0.15</v>
      </c>
      <c r="M1486" t="n">
        <v>75.38</v>
      </c>
      <c r="N1486" t="n">
        <v>3.1</v>
      </c>
      <c r="O1486" t="n">
        <v>32.6</v>
      </c>
      <c r="P1486" t="inlineStr">
        <is>
          <t>Digital Wallet</t>
        </is>
      </c>
      <c r="Q1486" t="inlineStr">
        <is>
          <t>Delivered</t>
        </is>
      </c>
      <c r="R1486" t="n">
        <v>2</v>
      </c>
    </row>
    <row r="1487">
      <c r="A1487" t="inlineStr">
        <is>
          <t>ORD2486</t>
        </is>
      </c>
      <c r="B1487" t="inlineStr">
        <is>
          <t>2025-12-26</t>
        </is>
      </c>
      <c r="C1487" t="inlineStr">
        <is>
          <t>11:36:30</t>
        </is>
      </c>
      <c r="D1487" t="n">
        <v>1208</v>
      </c>
      <c r="E1487" t="n">
        <v>120</v>
      </c>
      <c r="F1487" t="n">
        <v>207</v>
      </c>
      <c r="G1487" t="inlineStr">
        <is>
          <t>Pune</t>
        </is>
      </c>
      <c r="H1487" t="inlineStr">
        <is>
          <t>Fast Food</t>
        </is>
      </c>
      <c r="I1487" t="n">
        <v>284</v>
      </c>
      <c r="J1487" t="n">
        <v>28.74</v>
      </c>
      <c r="K1487" t="n">
        <v>28</v>
      </c>
      <c r="L1487" t="n">
        <v>0.18</v>
      </c>
      <c r="M1487" t="n">
        <v>58.12</v>
      </c>
      <c r="N1487" t="n">
        <v>3.6</v>
      </c>
      <c r="O1487" t="n">
        <v>24.4</v>
      </c>
      <c r="P1487" t="inlineStr">
        <is>
          <t>UPI</t>
        </is>
      </c>
      <c r="Q1487" t="inlineStr">
        <is>
          <t>Delivered</t>
        </is>
      </c>
      <c r="R1487" t="n">
        <v>4</v>
      </c>
    </row>
    <row r="1488">
      <c r="A1488" t="inlineStr">
        <is>
          <t>ORD2487</t>
        </is>
      </c>
      <c r="B1488" t="inlineStr">
        <is>
          <t>2025-01-20</t>
        </is>
      </c>
      <c r="C1488" t="inlineStr">
        <is>
          <t>22:31:27</t>
        </is>
      </c>
      <c r="D1488" t="n">
        <v>1073</v>
      </c>
      <c r="E1488" t="n">
        <v>105</v>
      </c>
      <c r="F1488" t="n">
        <v>203</v>
      </c>
      <c r="G1488" t="inlineStr">
        <is>
          <t>Bangalore</t>
        </is>
      </c>
      <c r="H1488" t="inlineStr">
        <is>
          <t>Chinese</t>
        </is>
      </c>
      <c r="I1488" t="n">
        <v>696</v>
      </c>
      <c r="J1488" t="n">
        <v>0</v>
      </c>
      <c r="K1488" t="n">
        <v>36</v>
      </c>
      <c r="L1488" t="n">
        <v>0.2</v>
      </c>
      <c r="M1488" t="n">
        <v>148.2</v>
      </c>
      <c r="N1488" t="n">
        <v>5.2</v>
      </c>
      <c r="O1488" t="n">
        <v>38.4</v>
      </c>
      <c r="P1488" t="inlineStr">
        <is>
          <t>Digital Wallet</t>
        </is>
      </c>
      <c r="Q1488" t="inlineStr">
        <is>
          <t>Delivered</t>
        </is>
      </c>
      <c r="R1488" t="n">
        <v>1</v>
      </c>
    </row>
    <row r="1489">
      <c r="A1489" t="inlineStr">
        <is>
          <t>ORD2488</t>
        </is>
      </c>
      <c r="B1489" t="inlineStr">
        <is>
          <t>2025-05-24</t>
        </is>
      </c>
      <c r="C1489" t="inlineStr">
        <is>
          <t>19:45:18</t>
        </is>
      </c>
      <c r="D1489" t="n">
        <v>1165</v>
      </c>
      <c r="E1489" t="n">
        <v>117</v>
      </c>
      <c r="F1489" t="n">
        <v>222</v>
      </c>
      <c r="G1489" t="inlineStr">
        <is>
          <t>Mumbai</t>
        </is>
      </c>
      <c r="H1489" t="inlineStr">
        <is>
          <t>Chinese</t>
        </is>
      </c>
      <c r="I1489" t="n">
        <v>710</v>
      </c>
      <c r="J1489" t="n">
        <v>0</v>
      </c>
      <c r="K1489" t="n">
        <v>51</v>
      </c>
      <c r="L1489" t="n">
        <v>0.2</v>
      </c>
      <c r="M1489" t="n">
        <v>154.75</v>
      </c>
      <c r="N1489" t="n">
        <v>8.199999999999999</v>
      </c>
      <c r="O1489" t="n">
        <v>50.4</v>
      </c>
      <c r="P1489" t="inlineStr">
        <is>
          <t>Debit Card</t>
        </is>
      </c>
      <c r="Q1489" t="inlineStr">
        <is>
          <t>Delivered</t>
        </is>
      </c>
      <c r="R1489" t="n">
        <v>1</v>
      </c>
    </row>
    <row r="1490">
      <c r="A1490" t="inlineStr">
        <is>
          <t>ORD2489</t>
        </is>
      </c>
      <c r="B1490" t="inlineStr">
        <is>
          <t>2025-12-20</t>
        </is>
      </c>
      <c r="C1490" t="inlineStr">
        <is>
          <t>22:28:51</t>
        </is>
      </c>
      <c r="D1490" t="n">
        <v>1222</v>
      </c>
      <c r="E1490" t="n">
        <v>119</v>
      </c>
      <c r="F1490" t="n">
        <v>225</v>
      </c>
      <c r="G1490" t="inlineStr">
        <is>
          <t>Hyderabad</t>
        </is>
      </c>
      <c r="H1490" t="inlineStr">
        <is>
          <t>Biryani</t>
        </is>
      </c>
      <c r="I1490" t="n">
        <v>221</v>
      </c>
      <c r="J1490" t="n">
        <v>0.78</v>
      </c>
      <c r="K1490" t="n">
        <v>40.5</v>
      </c>
      <c r="L1490" t="n">
        <v>0.2</v>
      </c>
      <c r="M1490" t="n">
        <v>54.32</v>
      </c>
      <c r="N1490" t="n">
        <v>6.1</v>
      </c>
      <c r="O1490" t="n">
        <v>36.5</v>
      </c>
      <c r="P1490" t="inlineStr">
        <is>
          <t>Cash on Delivery</t>
        </is>
      </c>
      <c r="Q1490" t="inlineStr">
        <is>
          <t>Delivered</t>
        </is>
      </c>
      <c r="R1490" t="n">
        <v>4</v>
      </c>
    </row>
    <row r="1491">
      <c r="A1491" t="inlineStr">
        <is>
          <t>ORD2490</t>
        </is>
      </c>
      <c r="B1491" t="inlineStr">
        <is>
          <t>2025-05-27</t>
        </is>
      </c>
      <c r="C1491" t="inlineStr">
        <is>
          <t>08:23:05</t>
        </is>
      </c>
      <c r="D1491" t="n">
        <v>1206</v>
      </c>
      <c r="E1491" t="n">
        <v>107</v>
      </c>
      <c r="F1491" t="n">
        <v>229</v>
      </c>
      <c r="G1491" t="inlineStr">
        <is>
          <t>Mumbai</t>
        </is>
      </c>
      <c r="H1491" t="inlineStr">
        <is>
          <t>Desserts</t>
        </is>
      </c>
      <c r="I1491" t="n">
        <v>832</v>
      </c>
      <c r="J1491" t="n">
        <v>0</v>
      </c>
      <c r="K1491" t="n">
        <v>25</v>
      </c>
      <c r="L1491" t="n">
        <v>0.25</v>
      </c>
      <c r="M1491" t="n">
        <v>214.25</v>
      </c>
      <c r="N1491" t="n">
        <v>2.4</v>
      </c>
      <c r="O1491" t="n">
        <v>38.6</v>
      </c>
      <c r="P1491" t="inlineStr">
        <is>
          <t>Digital Wallet</t>
        </is>
      </c>
      <c r="Q1491" t="inlineStr">
        <is>
          <t>Delivered</t>
        </is>
      </c>
      <c r="R1491" t="n">
        <v>5</v>
      </c>
    </row>
    <row r="1492">
      <c r="A1492" t="inlineStr">
        <is>
          <t>ORD2491</t>
        </is>
      </c>
      <c r="B1492" t="inlineStr">
        <is>
          <t>2025-12-04</t>
        </is>
      </c>
      <c r="C1492" t="inlineStr">
        <is>
          <t>21:57:23</t>
        </is>
      </c>
      <c r="D1492" t="n">
        <v>1140</v>
      </c>
      <c r="E1492" t="n">
        <v>106</v>
      </c>
      <c r="F1492" t="n">
        <v>226</v>
      </c>
      <c r="G1492" t="inlineStr">
        <is>
          <t>Pune</t>
        </is>
      </c>
      <c r="H1492" t="inlineStr">
        <is>
          <t>South Indian</t>
        </is>
      </c>
      <c r="I1492" t="n">
        <v>1022</v>
      </c>
      <c r="J1492" t="n">
        <v>117.09</v>
      </c>
      <c r="K1492" t="n">
        <v>0</v>
      </c>
      <c r="L1492" t="n">
        <v>0.15</v>
      </c>
      <c r="M1492" t="n">
        <v>153.3</v>
      </c>
      <c r="N1492" t="n">
        <v>5.8</v>
      </c>
      <c r="O1492" t="n">
        <v>42.7</v>
      </c>
      <c r="P1492" t="inlineStr">
        <is>
          <t>Debit Card</t>
        </is>
      </c>
      <c r="Q1492" t="inlineStr">
        <is>
          <t>Delivered</t>
        </is>
      </c>
      <c r="R1492" t="n">
        <v>1</v>
      </c>
    </row>
    <row r="1493">
      <c r="A1493" t="inlineStr">
        <is>
          <t>ORD2492</t>
        </is>
      </c>
      <c r="B1493" t="inlineStr">
        <is>
          <t>2025-07-10</t>
        </is>
      </c>
      <c r="C1493" t="inlineStr">
        <is>
          <t>20:29:22</t>
        </is>
      </c>
      <c r="D1493" t="n">
        <v>1148</v>
      </c>
      <c r="E1493" t="n">
        <v>115</v>
      </c>
      <c r="F1493" t="n">
        <v>210</v>
      </c>
      <c r="G1493" t="inlineStr">
        <is>
          <t>Bangalore</t>
        </is>
      </c>
      <c r="H1493" t="inlineStr">
        <is>
          <t>Italian</t>
        </is>
      </c>
      <c r="I1493" t="n">
        <v>519</v>
      </c>
      <c r="J1493" t="n">
        <v>0</v>
      </c>
      <c r="K1493" t="n">
        <v>33.5</v>
      </c>
      <c r="L1493" t="n">
        <v>0.2</v>
      </c>
      <c r="M1493" t="n">
        <v>112.18</v>
      </c>
      <c r="N1493" t="n">
        <v>4.7</v>
      </c>
      <c r="O1493" t="n">
        <v>37.5</v>
      </c>
      <c r="P1493" t="inlineStr">
        <is>
          <t>Cash on Delivery</t>
        </is>
      </c>
      <c r="Q1493" t="inlineStr">
        <is>
          <t>Delivered</t>
        </is>
      </c>
      <c r="R1493" t="n">
        <v>5</v>
      </c>
    </row>
    <row r="1494">
      <c r="A1494" t="inlineStr">
        <is>
          <t>ORD2493</t>
        </is>
      </c>
      <c r="B1494" t="inlineStr">
        <is>
          <t>2025-02-14</t>
        </is>
      </c>
      <c r="C1494" t="inlineStr">
        <is>
          <t>21:38:16</t>
        </is>
      </c>
      <c r="D1494" t="n">
        <v>1139</v>
      </c>
      <c r="E1494" t="n">
        <v>112</v>
      </c>
      <c r="F1494" t="n">
        <v>228</v>
      </c>
      <c r="G1494" t="inlineStr">
        <is>
          <t>Delhi NCR</t>
        </is>
      </c>
      <c r="H1494" t="inlineStr">
        <is>
          <t>North Indian</t>
        </is>
      </c>
      <c r="I1494" t="n">
        <v>360</v>
      </c>
      <c r="J1494" t="n">
        <v>0</v>
      </c>
      <c r="K1494" t="n">
        <v>42.5</v>
      </c>
      <c r="L1494" t="n">
        <v>0.22</v>
      </c>
      <c r="M1494" t="n">
        <v>89.81999999999999</v>
      </c>
      <c r="N1494" t="n">
        <v>6.5</v>
      </c>
      <c r="O1494" t="n">
        <v/>
      </c>
      <c r="P1494" t="inlineStr">
        <is>
          <t>Cash on Delivery</t>
        </is>
      </c>
      <c r="Q1494" t="inlineStr">
        <is>
          <t>Cancelled</t>
        </is>
      </c>
      <c r="R1494" t="n">
        <v/>
      </c>
    </row>
    <row r="1495">
      <c r="A1495" t="inlineStr">
        <is>
          <t>ORD2494</t>
        </is>
      </c>
      <c r="B1495" t="inlineStr">
        <is>
          <t>2025-06-25</t>
        </is>
      </c>
      <c r="C1495" t="inlineStr">
        <is>
          <t>10:32:58</t>
        </is>
      </c>
      <c r="D1495" t="n">
        <v>1189</v>
      </c>
      <c r="E1495" t="n">
        <v>102</v>
      </c>
      <c r="F1495" t="n">
        <v>225</v>
      </c>
      <c r="G1495" t="inlineStr">
        <is>
          <t>Hyderabad</t>
        </is>
      </c>
      <c r="H1495" t="inlineStr">
        <is>
          <t>Biryani</t>
        </is>
      </c>
      <c r="I1495" t="n">
        <v>860</v>
      </c>
      <c r="J1495" t="n">
        <v>0</v>
      </c>
      <c r="K1495" t="n">
        <v>38.5</v>
      </c>
      <c r="L1495" t="n">
        <v>0.22</v>
      </c>
      <c r="M1495" t="n">
        <v>198.82</v>
      </c>
      <c r="N1495" t="n">
        <v>5.7</v>
      </c>
      <c r="O1495" t="n">
        <v>35.8</v>
      </c>
      <c r="P1495" t="inlineStr">
        <is>
          <t>Credit Card</t>
        </is>
      </c>
      <c r="Q1495" t="inlineStr">
        <is>
          <t>Delivered</t>
        </is>
      </c>
      <c r="R1495" t="n">
        <v>3</v>
      </c>
    </row>
    <row r="1496">
      <c r="A1496" t="inlineStr">
        <is>
          <t>ORD2495</t>
        </is>
      </c>
      <c r="B1496" t="inlineStr">
        <is>
          <t>2025-02-11</t>
        </is>
      </c>
      <c r="C1496" t="inlineStr">
        <is>
          <t>19:52:26</t>
        </is>
      </c>
      <c r="D1496" t="n">
        <v>1201</v>
      </c>
      <c r="E1496" t="n">
        <v>111</v>
      </c>
      <c r="F1496" t="n">
        <v>213</v>
      </c>
      <c r="G1496" t="inlineStr">
        <is>
          <t>Bangalore</t>
        </is>
      </c>
      <c r="H1496" t="inlineStr">
        <is>
          <t>South Indian</t>
        </is>
      </c>
      <c r="I1496" t="n">
        <v>334</v>
      </c>
      <c r="J1496" t="n">
        <v>39.86</v>
      </c>
      <c r="K1496" t="n">
        <v>50.5</v>
      </c>
      <c r="L1496" t="n">
        <v>0.15</v>
      </c>
      <c r="M1496" t="n">
        <v>62.72</v>
      </c>
      <c r="N1496" t="n">
        <v>8.1</v>
      </c>
      <c r="O1496" t="n">
        <v>48.3</v>
      </c>
      <c r="P1496" t="inlineStr">
        <is>
          <t>Digital Wallet</t>
        </is>
      </c>
      <c r="Q1496" t="inlineStr">
        <is>
          <t>Delivered</t>
        </is>
      </c>
      <c r="R1496" t="n">
        <v>3</v>
      </c>
    </row>
    <row r="1497">
      <c r="A1497" t="inlineStr">
        <is>
          <t>ORD2496</t>
        </is>
      </c>
      <c r="B1497" t="inlineStr">
        <is>
          <t>2025-05-11</t>
        </is>
      </c>
      <c r="C1497" t="inlineStr">
        <is>
          <t>20:59:35</t>
        </is>
      </c>
      <c r="D1497" t="n">
        <v>1113</v>
      </c>
      <c r="E1497" t="n">
        <v>115</v>
      </c>
      <c r="F1497" t="n">
        <v>218</v>
      </c>
      <c r="G1497" t="inlineStr">
        <is>
          <t>Bangalore</t>
        </is>
      </c>
      <c r="H1497" t="inlineStr">
        <is>
          <t>Italian</t>
        </is>
      </c>
      <c r="I1497" t="n">
        <v>1241</v>
      </c>
      <c r="J1497" t="n">
        <v>144.54</v>
      </c>
      <c r="K1497" t="n">
        <v>0</v>
      </c>
      <c r="L1497" t="n">
        <v>0.2</v>
      </c>
      <c r="M1497" t="n">
        <v>248.2</v>
      </c>
      <c r="N1497" t="n">
        <v>2.3</v>
      </c>
      <c r="O1497" t="n">
        <v>31.8</v>
      </c>
      <c r="P1497" t="inlineStr">
        <is>
          <t>Debit Card</t>
        </is>
      </c>
      <c r="Q1497" t="inlineStr">
        <is>
          <t>Delivered</t>
        </is>
      </c>
      <c r="R1497" t="n">
        <v>4</v>
      </c>
    </row>
    <row r="1498">
      <c r="A1498" t="inlineStr">
        <is>
          <t>ORD2497</t>
        </is>
      </c>
      <c r="B1498" t="inlineStr">
        <is>
          <t>2025-07-11</t>
        </is>
      </c>
      <c r="C1498" t="inlineStr">
        <is>
          <t>12:35:59</t>
        </is>
      </c>
      <c r="D1498" t="n">
        <v>1255</v>
      </c>
      <c r="E1498" t="n">
        <v>110</v>
      </c>
      <c r="F1498" t="n">
        <v>226</v>
      </c>
      <c r="G1498" t="inlineStr">
        <is>
          <t>Pune</t>
        </is>
      </c>
      <c r="H1498" t="inlineStr">
        <is>
          <t>North Indian</t>
        </is>
      </c>
      <c r="I1498" t="n">
        <v>624</v>
      </c>
      <c r="J1498" t="n">
        <v>40.9</v>
      </c>
      <c r="K1498" t="n">
        <v>25</v>
      </c>
      <c r="L1498" t="n">
        <v>0.18</v>
      </c>
      <c r="M1498" t="n">
        <v>118.57</v>
      </c>
      <c r="N1498" t="n">
        <v>3</v>
      </c>
      <c r="O1498" t="n">
        <v>28.2</v>
      </c>
      <c r="P1498" t="inlineStr">
        <is>
          <t>Debit Card</t>
        </is>
      </c>
      <c r="Q1498" t="inlineStr">
        <is>
          <t>Delivered</t>
        </is>
      </c>
      <c r="R1498" t="n">
        <v>2</v>
      </c>
    </row>
    <row r="1499">
      <c r="A1499" t="inlineStr">
        <is>
          <t>ORD2498</t>
        </is>
      </c>
      <c r="B1499" t="inlineStr">
        <is>
          <t>2025-11-24</t>
        </is>
      </c>
      <c r="C1499" t="inlineStr">
        <is>
          <t>11:41:29</t>
        </is>
      </c>
      <c r="D1499" t="n">
        <v>1273</v>
      </c>
      <c r="E1499" t="n">
        <v>114</v>
      </c>
      <c r="F1499" t="n">
        <v>215</v>
      </c>
      <c r="G1499" t="inlineStr">
        <is>
          <t>Hyderabad</t>
        </is>
      </c>
      <c r="H1499" t="inlineStr">
        <is>
          <t>Biryani</t>
        </is>
      </c>
      <c r="I1499" t="n">
        <v>692</v>
      </c>
      <c r="J1499" t="n">
        <v>117.22</v>
      </c>
      <c r="K1499" t="n">
        <v>0</v>
      </c>
      <c r="L1499" t="n">
        <v>0.22</v>
      </c>
      <c r="M1499" t="n">
        <v>152.24</v>
      </c>
      <c r="N1499" t="n">
        <v>2.7</v>
      </c>
      <c r="O1499" t="n">
        <v>27.7</v>
      </c>
      <c r="P1499" t="inlineStr">
        <is>
          <t>UPI</t>
        </is>
      </c>
      <c r="Q1499" t="inlineStr">
        <is>
          <t>Delivered</t>
        </is>
      </c>
      <c r="R1499" t="n">
        <v>5</v>
      </c>
    </row>
    <row r="1500">
      <c r="A1500" t="inlineStr">
        <is>
          <t>ORD2499</t>
        </is>
      </c>
      <c r="B1500" t="inlineStr">
        <is>
          <t>2025-02-06</t>
        </is>
      </c>
      <c r="C1500" t="inlineStr">
        <is>
          <t>19:44:19</t>
        </is>
      </c>
      <c r="D1500" t="n">
        <v>1224</v>
      </c>
      <c r="E1500" t="n">
        <v>112</v>
      </c>
      <c r="F1500" t="n">
        <v>212</v>
      </c>
      <c r="G1500" t="inlineStr">
        <is>
          <t>Delhi NCR</t>
        </is>
      </c>
      <c r="H1500" t="inlineStr">
        <is>
          <t>North Indian</t>
        </is>
      </c>
      <c r="I1500" t="n">
        <v>467</v>
      </c>
      <c r="J1500" t="n">
        <v>11.31</v>
      </c>
      <c r="K1500" t="n">
        <v>26</v>
      </c>
      <c r="L1500" t="n">
        <v>0.22</v>
      </c>
      <c r="M1500" t="n">
        <v>109.24</v>
      </c>
      <c r="N1500" t="n">
        <v>3.2</v>
      </c>
      <c r="O1500" t="n">
        <v>26.4</v>
      </c>
      <c r="P1500" t="inlineStr">
        <is>
          <t>UPI</t>
        </is>
      </c>
      <c r="Q1500" t="inlineStr">
        <is>
          <t>Delivered</t>
        </is>
      </c>
      <c r="R1500" t="n">
        <v>4</v>
      </c>
    </row>
    <row r="1501">
      <c r="A1501" t="inlineStr">
        <is>
          <t>ORD2500</t>
        </is>
      </c>
      <c r="B1501" t="inlineStr">
        <is>
          <t>2025-01-09</t>
        </is>
      </c>
      <c r="C1501" t="inlineStr">
        <is>
          <t>17:01:18</t>
        </is>
      </c>
      <c r="D1501" t="n">
        <v>1170</v>
      </c>
      <c r="E1501" t="n">
        <v>113</v>
      </c>
      <c r="F1501" t="n">
        <v>222</v>
      </c>
      <c r="G1501" t="inlineStr">
        <is>
          <t>Mumbai</t>
        </is>
      </c>
      <c r="H1501" t="inlineStr">
        <is>
          <t>Fast Food</t>
        </is>
      </c>
      <c r="I1501" t="n">
        <v>343</v>
      </c>
      <c r="J1501" t="n">
        <v>0</v>
      </c>
      <c r="K1501" t="n">
        <v>27.5</v>
      </c>
      <c r="L1501" t="n">
        <v>0.18</v>
      </c>
      <c r="M1501" t="n">
        <v>68.61</v>
      </c>
      <c r="N1501" t="n">
        <v>3.5</v>
      </c>
      <c r="O1501" t="n">
        <v>42</v>
      </c>
      <c r="P1501" t="inlineStr">
        <is>
          <t>UPI</t>
        </is>
      </c>
      <c r="Q1501" t="inlineStr">
        <is>
          <t>Delivered</t>
        </is>
      </c>
      <c r="R1501" t="n">
        <v>1</v>
      </c>
    </row>
    <row r="1502">
      <c r="A1502" t="inlineStr">
        <is>
          <t>ORD2501</t>
        </is>
      </c>
      <c r="B1502" t="inlineStr">
        <is>
          <t>2025-08-20</t>
        </is>
      </c>
      <c r="C1502" t="inlineStr">
        <is>
          <t>13:07:27</t>
        </is>
      </c>
      <c r="D1502" t="n">
        <v>1212</v>
      </c>
      <c r="E1502" t="n">
        <v>102</v>
      </c>
      <c r="F1502" t="n">
        <v>215</v>
      </c>
      <c r="G1502" t="inlineStr">
        <is>
          <t>Hyderabad</t>
        </is>
      </c>
      <c r="H1502" t="inlineStr">
        <is>
          <t>Biryani</t>
        </is>
      </c>
      <c r="I1502" t="n">
        <v>586</v>
      </c>
      <c r="J1502" t="n">
        <v>56.44</v>
      </c>
      <c r="K1502" t="n">
        <v>31</v>
      </c>
      <c r="L1502" t="n">
        <v>0.22</v>
      </c>
      <c r="M1502" t="n">
        <v>136.67</v>
      </c>
      <c r="N1502" t="n">
        <v>4.2</v>
      </c>
      <c r="O1502" t="n">
        <v>46.2</v>
      </c>
      <c r="P1502" t="inlineStr">
        <is>
          <t>Digital Wallet</t>
        </is>
      </c>
      <c r="Q1502" t="inlineStr">
        <is>
          <t>Delivered</t>
        </is>
      </c>
      <c r="R1502" t="n">
        <v>3</v>
      </c>
    </row>
    <row r="1503">
      <c r="A1503" t="inlineStr">
        <is>
          <t>ORD2502</t>
        </is>
      </c>
      <c r="B1503" t="inlineStr">
        <is>
          <t>2025-07-11</t>
        </is>
      </c>
      <c r="C1503" t="inlineStr">
        <is>
          <t>21:13:19</t>
        </is>
      </c>
      <c r="D1503" t="n">
        <v>1141</v>
      </c>
      <c r="E1503" t="n">
        <v>112</v>
      </c>
      <c r="F1503" t="n">
        <v>211</v>
      </c>
      <c r="G1503" t="inlineStr">
        <is>
          <t>Delhi NCR</t>
        </is>
      </c>
      <c r="H1503" t="inlineStr">
        <is>
          <t>North Indian</t>
        </is>
      </c>
      <c r="I1503" t="n">
        <v>916</v>
      </c>
      <c r="J1503" t="n">
        <v>145.62</v>
      </c>
      <c r="K1503" t="n">
        <v>0</v>
      </c>
      <c r="L1503" t="n">
        <v>0.22</v>
      </c>
      <c r="M1503" t="n">
        <v>201.52</v>
      </c>
      <c r="N1503" t="n">
        <v>2.6</v>
      </c>
      <c r="O1503" t="n">
        <v>32.2</v>
      </c>
      <c r="P1503" t="inlineStr">
        <is>
          <t>Digital Wallet</t>
        </is>
      </c>
      <c r="Q1503" t="inlineStr">
        <is>
          <t>Delivered</t>
        </is>
      </c>
      <c r="R1503" t="n">
        <v>2</v>
      </c>
    </row>
    <row r="1504">
      <c r="A1504" t="inlineStr">
        <is>
          <t>ORD2503</t>
        </is>
      </c>
      <c r="B1504" t="inlineStr">
        <is>
          <t>2025-09-13</t>
        </is>
      </c>
      <c r="C1504" t="inlineStr">
        <is>
          <t>20:20:22</t>
        </is>
      </c>
      <c r="D1504" t="n">
        <v>1058</v>
      </c>
      <c r="E1504" t="n">
        <v>103</v>
      </c>
      <c r="F1504" t="n">
        <v>202</v>
      </c>
      <c r="G1504" t="inlineStr">
        <is>
          <t>Mumbai</t>
        </is>
      </c>
      <c r="H1504" t="inlineStr">
        <is>
          <t>Italian</t>
        </is>
      </c>
      <c r="I1504" t="n">
        <v>251</v>
      </c>
      <c r="J1504" t="n">
        <v>0</v>
      </c>
      <c r="K1504" t="n">
        <v>38</v>
      </c>
      <c r="L1504" t="n">
        <v>0.18</v>
      </c>
      <c r="M1504" t="n">
        <v>54.68</v>
      </c>
      <c r="N1504" t="n">
        <v>5.6</v>
      </c>
      <c r="O1504" t="n">
        <v>40.6</v>
      </c>
      <c r="P1504" t="inlineStr">
        <is>
          <t>Cash on Delivery</t>
        </is>
      </c>
      <c r="Q1504" t="inlineStr">
        <is>
          <t>Delivered</t>
        </is>
      </c>
      <c r="R1504" t="n">
        <v>2</v>
      </c>
    </row>
    <row r="1505">
      <c r="A1505" t="inlineStr">
        <is>
          <t>ORD2504</t>
        </is>
      </c>
      <c r="B1505" t="inlineStr">
        <is>
          <t>2025-12-17</t>
        </is>
      </c>
      <c r="C1505" t="inlineStr">
        <is>
          <t>12:31:01</t>
        </is>
      </c>
      <c r="D1505" t="n">
        <v>1215</v>
      </c>
      <c r="E1505" t="n">
        <v>106</v>
      </c>
      <c r="F1505" t="n">
        <v>207</v>
      </c>
      <c r="G1505" t="inlineStr">
        <is>
          <t>Pune</t>
        </is>
      </c>
      <c r="H1505" t="inlineStr">
        <is>
          <t>South Indian</t>
        </is>
      </c>
      <c r="I1505" t="n">
        <v>609</v>
      </c>
      <c r="J1505" t="n">
        <v>32.1</v>
      </c>
      <c r="K1505" t="n">
        <v>25</v>
      </c>
      <c r="L1505" t="n">
        <v>0.15</v>
      </c>
      <c r="M1505" t="n">
        <v>97.59999999999999</v>
      </c>
      <c r="N1505" t="n">
        <v>2.7</v>
      </c>
      <c r="O1505" t="n">
        <v>28.9</v>
      </c>
      <c r="P1505" t="inlineStr">
        <is>
          <t>UPI</t>
        </is>
      </c>
      <c r="Q1505" t="inlineStr">
        <is>
          <t>Delivered</t>
        </is>
      </c>
      <c r="R1505" t="n">
        <v>4</v>
      </c>
    </row>
    <row r="1506">
      <c r="A1506" t="inlineStr">
        <is>
          <t>ORD2505</t>
        </is>
      </c>
      <c r="B1506" t="inlineStr">
        <is>
          <t>2025-02-12</t>
        </is>
      </c>
      <c r="C1506" t="inlineStr">
        <is>
          <t>08:15:46</t>
        </is>
      </c>
      <c r="D1506" t="n">
        <v>1010</v>
      </c>
      <c r="E1506" t="n">
        <v>109</v>
      </c>
      <c r="F1506" t="n">
        <v>216</v>
      </c>
      <c r="G1506" t="inlineStr">
        <is>
          <t>Hyderabad</t>
        </is>
      </c>
      <c r="H1506" t="inlineStr">
        <is>
          <t>Biryani</t>
        </is>
      </c>
      <c r="I1506" t="n">
        <v>866</v>
      </c>
      <c r="J1506" t="n">
        <v>99.20999999999999</v>
      </c>
      <c r="K1506" t="n">
        <v>25</v>
      </c>
      <c r="L1506" t="n">
        <v>0.2</v>
      </c>
      <c r="M1506" t="n">
        <v>179.45</v>
      </c>
      <c r="N1506" t="n">
        <v>2.8</v>
      </c>
      <c r="O1506" t="n">
        <v>24.5</v>
      </c>
      <c r="P1506" t="inlineStr">
        <is>
          <t>Debit Card</t>
        </is>
      </c>
      <c r="Q1506" t="inlineStr">
        <is>
          <t>Delivered</t>
        </is>
      </c>
      <c r="R1506" t="n">
        <v>3</v>
      </c>
    </row>
    <row r="1507">
      <c r="A1507" t="inlineStr">
        <is>
          <t>ORD2506</t>
        </is>
      </c>
      <c r="B1507" t="inlineStr">
        <is>
          <t>2025-01-18</t>
        </is>
      </c>
      <c r="C1507" t="inlineStr">
        <is>
          <t>11:20:19</t>
        </is>
      </c>
      <c r="D1507" t="n">
        <v>1206</v>
      </c>
      <c r="E1507" t="n">
        <v>103</v>
      </c>
      <c r="F1507" t="n">
        <v>222</v>
      </c>
      <c r="G1507" t="inlineStr">
        <is>
          <t>Mumbai</t>
        </is>
      </c>
      <c r="H1507" t="inlineStr">
        <is>
          <t>Italian</t>
        </is>
      </c>
      <c r="I1507" t="n">
        <v>785</v>
      </c>
      <c r="J1507" t="n">
        <v>53.67</v>
      </c>
      <c r="K1507" t="n">
        <v>25</v>
      </c>
      <c r="L1507" t="n">
        <v>0.18</v>
      </c>
      <c r="M1507" t="n">
        <v>147.55</v>
      </c>
      <c r="N1507" t="n">
        <v>2.1</v>
      </c>
      <c r="O1507" t="n">
        <v>20.3</v>
      </c>
      <c r="P1507" t="inlineStr">
        <is>
          <t>Cash on Delivery</t>
        </is>
      </c>
      <c r="Q1507" t="inlineStr">
        <is>
          <t>Delivered</t>
        </is>
      </c>
      <c r="R1507" t="n">
        <v>5</v>
      </c>
    </row>
    <row r="1508">
      <c r="A1508" t="inlineStr">
        <is>
          <t>ORD2507</t>
        </is>
      </c>
      <c r="B1508" t="inlineStr">
        <is>
          <t>2025-12-17</t>
        </is>
      </c>
      <c r="C1508" t="inlineStr">
        <is>
          <t>20:08:37</t>
        </is>
      </c>
      <c r="D1508" t="n">
        <v>1215</v>
      </c>
      <c r="E1508" t="n">
        <v>106</v>
      </c>
      <c r="F1508" t="n">
        <v>207</v>
      </c>
      <c r="G1508" t="inlineStr">
        <is>
          <t>Pune</t>
        </is>
      </c>
      <c r="H1508" t="inlineStr">
        <is>
          <t>South Indian</t>
        </is>
      </c>
      <c r="I1508" t="n">
        <v>911</v>
      </c>
      <c r="J1508" t="n">
        <v>95.34</v>
      </c>
      <c r="K1508" t="n">
        <v>27</v>
      </c>
      <c r="L1508" t="n">
        <v>0.15</v>
      </c>
      <c r="M1508" t="n">
        <v>143.4</v>
      </c>
      <c r="N1508" t="n">
        <v>3.4</v>
      </c>
      <c r="O1508" t="n">
        <v>34.6</v>
      </c>
      <c r="P1508" t="inlineStr">
        <is>
          <t>Cash on Delivery</t>
        </is>
      </c>
      <c r="Q1508" t="inlineStr">
        <is>
          <t>Delivered</t>
        </is>
      </c>
      <c r="R1508" t="n">
        <v>2</v>
      </c>
    </row>
    <row r="1509">
      <c r="A1509" t="inlineStr">
        <is>
          <t>ORD2508</t>
        </is>
      </c>
      <c r="B1509" t="inlineStr">
        <is>
          <t>2025-08-26</t>
        </is>
      </c>
      <c r="C1509" t="inlineStr">
        <is>
          <t>21:17:44</t>
        </is>
      </c>
      <c r="D1509" t="n">
        <v>1119</v>
      </c>
      <c r="E1509" t="n">
        <v>118</v>
      </c>
      <c r="F1509" t="n">
        <v>211</v>
      </c>
      <c r="G1509" t="inlineStr">
        <is>
          <t>Delhi NCR</t>
        </is>
      </c>
      <c r="H1509" t="inlineStr">
        <is>
          <t>North Indian</t>
        </is>
      </c>
      <c r="I1509" t="n">
        <v>997</v>
      </c>
      <c r="J1509" t="n">
        <v>179.59</v>
      </c>
      <c r="K1509" t="n">
        <v>0</v>
      </c>
      <c r="L1509" t="n">
        <v>0.2</v>
      </c>
      <c r="M1509" t="n">
        <v>199.4</v>
      </c>
      <c r="N1509" t="n">
        <v>1.7</v>
      </c>
      <c r="O1509" t="n">
        <v>24.8</v>
      </c>
      <c r="P1509" t="inlineStr">
        <is>
          <t>UPI</t>
        </is>
      </c>
      <c r="Q1509" t="inlineStr">
        <is>
          <t>Delivered</t>
        </is>
      </c>
      <c r="R1509" t="n">
        <v>5</v>
      </c>
    </row>
    <row r="1510">
      <c r="A1510" t="inlineStr">
        <is>
          <t>ORD2509</t>
        </is>
      </c>
      <c r="B1510" t="inlineStr">
        <is>
          <t>2025-03-31</t>
        </is>
      </c>
      <c r="C1510" t="inlineStr">
        <is>
          <t>15:57:28</t>
        </is>
      </c>
      <c r="D1510" t="n">
        <v>1264</v>
      </c>
      <c r="E1510" t="n">
        <v>101</v>
      </c>
      <c r="F1510" t="n">
        <v>213</v>
      </c>
      <c r="G1510" t="inlineStr">
        <is>
          <t>Bangalore</t>
        </is>
      </c>
      <c r="H1510" t="inlineStr">
        <is>
          <t>North Indian</t>
        </is>
      </c>
      <c r="I1510" t="n">
        <v>520</v>
      </c>
      <c r="J1510" t="n">
        <v>1.66</v>
      </c>
      <c r="K1510" t="n">
        <v>38.5</v>
      </c>
      <c r="L1510" t="n">
        <v>0.2</v>
      </c>
      <c r="M1510" t="n">
        <v>113.62</v>
      </c>
      <c r="N1510" t="n">
        <v>5.7</v>
      </c>
      <c r="O1510" t="n">
        <v>34.4</v>
      </c>
      <c r="P1510" t="inlineStr">
        <is>
          <t>Cash on Delivery</t>
        </is>
      </c>
      <c r="Q1510" t="inlineStr">
        <is>
          <t>Delivered</t>
        </is>
      </c>
      <c r="R1510" t="n">
        <v>4</v>
      </c>
    </row>
    <row r="1511">
      <c r="A1511" t="inlineStr">
        <is>
          <t>ORD2510</t>
        </is>
      </c>
      <c r="B1511" t="inlineStr">
        <is>
          <t>2025-02-09</t>
        </is>
      </c>
      <c r="C1511" t="inlineStr">
        <is>
          <t>13:12:30</t>
        </is>
      </c>
      <c r="D1511" t="n">
        <v>1236</v>
      </c>
      <c r="E1511" t="n">
        <v>118</v>
      </c>
      <c r="F1511" t="n">
        <v>219</v>
      </c>
      <c r="G1511" t="inlineStr">
        <is>
          <t>Delhi NCR</t>
        </is>
      </c>
      <c r="H1511" t="inlineStr">
        <is>
          <t>North Indian</t>
        </is>
      </c>
      <c r="I1511" t="n">
        <v>717</v>
      </c>
      <c r="J1511" t="n">
        <v>48.35</v>
      </c>
      <c r="K1511" t="n">
        <v>26</v>
      </c>
      <c r="L1511" t="n">
        <v>0.2</v>
      </c>
      <c r="M1511" t="n">
        <v>149.9</v>
      </c>
      <c r="N1511" t="n">
        <v>3.2</v>
      </c>
      <c r="O1511" t="n">
        <v>28.4</v>
      </c>
      <c r="P1511" t="inlineStr">
        <is>
          <t>Credit Card</t>
        </is>
      </c>
      <c r="Q1511" t="inlineStr">
        <is>
          <t>Returned</t>
        </is>
      </c>
      <c r="R1511" t="n">
        <v>4</v>
      </c>
    </row>
    <row r="1512">
      <c r="A1512" t="inlineStr">
        <is>
          <t>ORD2511</t>
        </is>
      </c>
      <c r="B1512" t="inlineStr">
        <is>
          <t>2025-04-04</t>
        </is>
      </c>
      <c r="C1512" t="inlineStr">
        <is>
          <t>19:14:21</t>
        </is>
      </c>
      <c r="D1512" t="n">
        <v>1165</v>
      </c>
      <c r="E1512" t="n">
        <v>103</v>
      </c>
      <c r="F1512" t="n">
        <v>202</v>
      </c>
      <c r="G1512" t="inlineStr">
        <is>
          <t>Mumbai</t>
        </is>
      </c>
      <c r="H1512" t="inlineStr">
        <is>
          <t>Italian</t>
        </is>
      </c>
      <c r="I1512" t="n">
        <v>919</v>
      </c>
      <c r="J1512" t="n">
        <v>36.27</v>
      </c>
      <c r="K1512" t="n">
        <v>29.5</v>
      </c>
      <c r="L1512" t="n">
        <v>0.18</v>
      </c>
      <c r="M1512" t="n">
        <v>172.8</v>
      </c>
      <c r="N1512" t="n">
        <v>3.9</v>
      </c>
      <c r="O1512" t="n">
        <v>36.5</v>
      </c>
      <c r="P1512" t="inlineStr">
        <is>
          <t>UPI</t>
        </is>
      </c>
      <c r="Q1512" t="inlineStr">
        <is>
          <t>Delivered</t>
        </is>
      </c>
      <c r="R1512" t="n">
        <v>4</v>
      </c>
    </row>
    <row r="1513">
      <c r="A1513" t="inlineStr">
        <is>
          <t>ORD2512</t>
        </is>
      </c>
      <c r="B1513" t="inlineStr">
        <is>
          <t>2025-03-13</t>
        </is>
      </c>
      <c r="C1513" t="inlineStr">
        <is>
          <t>14:08:47</t>
        </is>
      </c>
      <c r="D1513" t="n">
        <v>1166</v>
      </c>
      <c r="E1513" t="n">
        <v>101</v>
      </c>
      <c r="F1513" t="n">
        <v>220</v>
      </c>
      <c r="G1513" t="inlineStr">
        <is>
          <t>Bangalore</t>
        </is>
      </c>
      <c r="H1513" t="inlineStr">
        <is>
          <t>North Indian</t>
        </is>
      </c>
      <c r="I1513" t="n">
        <v>839</v>
      </c>
      <c r="J1513" t="n">
        <v>75</v>
      </c>
      <c r="K1513" t="n">
        <v>26</v>
      </c>
      <c r="L1513" t="n">
        <v>0.2</v>
      </c>
      <c r="M1513" t="n">
        <v>174.3</v>
      </c>
      <c r="N1513" t="n">
        <v>3.2</v>
      </c>
      <c r="O1513" t="n">
        <v>29.1</v>
      </c>
      <c r="P1513" t="inlineStr">
        <is>
          <t>Debit Card</t>
        </is>
      </c>
      <c r="Q1513" t="inlineStr">
        <is>
          <t>Delivered</t>
        </is>
      </c>
      <c r="R1513" t="n">
        <v>4</v>
      </c>
    </row>
    <row r="1514">
      <c r="A1514" t="inlineStr">
        <is>
          <t>ORD2513</t>
        </is>
      </c>
      <c r="B1514" t="inlineStr">
        <is>
          <t>2025-11-22</t>
        </is>
      </c>
      <c r="C1514" t="inlineStr">
        <is>
          <t>21:34:06</t>
        </is>
      </c>
      <c r="D1514" t="n">
        <v>1195</v>
      </c>
      <c r="E1514" t="n">
        <v>113</v>
      </c>
      <c r="F1514" t="n">
        <v>202</v>
      </c>
      <c r="G1514" t="inlineStr">
        <is>
          <t>Mumbai</t>
        </is>
      </c>
      <c r="H1514" t="inlineStr">
        <is>
          <t>Fast Food</t>
        </is>
      </c>
      <c r="I1514" t="n">
        <v>648</v>
      </c>
      <c r="J1514" t="n">
        <v>0</v>
      </c>
      <c r="K1514" t="n">
        <v>36.5</v>
      </c>
      <c r="L1514" t="n">
        <v>0.18</v>
      </c>
      <c r="M1514" t="n">
        <v>125.76</v>
      </c>
      <c r="N1514" t="n">
        <v>5.3</v>
      </c>
      <c r="O1514" t="n">
        <v>40.7</v>
      </c>
      <c r="P1514" t="inlineStr">
        <is>
          <t>Digital Wallet</t>
        </is>
      </c>
      <c r="Q1514" t="inlineStr">
        <is>
          <t>Delivered</t>
        </is>
      </c>
      <c r="R1514" t="n">
        <v>3</v>
      </c>
    </row>
    <row r="1515">
      <c r="A1515" t="inlineStr">
        <is>
          <t>ORD2514</t>
        </is>
      </c>
      <c r="B1515" t="inlineStr">
        <is>
          <t>2025-02-14</t>
        </is>
      </c>
      <c r="C1515" t="inlineStr">
        <is>
          <t>19:16:56</t>
        </is>
      </c>
      <c r="D1515" t="n">
        <v>1055</v>
      </c>
      <c r="E1515" t="n">
        <v>101</v>
      </c>
      <c r="F1515" t="n">
        <v>213</v>
      </c>
      <c r="G1515" t="inlineStr">
        <is>
          <t>Bangalore</t>
        </is>
      </c>
      <c r="H1515" t="inlineStr">
        <is>
          <t>North Indian</t>
        </is>
      </c>
      <c r="I1515" t="n">
        <v>900</v>
      </c>
      <c r="J1515" t="n">
        <v>0</v>
      </c>
      <c r="K1515" t="n">
        <v>32</v>
      </c>
      <c r="L1515" t="n">
        <v>0.2</v>
      </c>
      <c r="M1515" t="n">
        <v>188</v>
      </c>
      <c r="N1515" t="n">
        <v>4.4</v>
      </c>
      <c r="O1515" t="n">
        <v/>
      </c>
      <c r="P1515" t="inlineStr">
        <is>
          <t>Credit Card</t>
        </is>
      </c>
      <c r="Q1515" t="inlineStr">
        <is>
          <t>Cancelled</t>
        </is>
      </c>
      <c r="R1515" t="n">
        <v/>
      </c>
    </row>
    <row r="1516">
      <c r="A1516" t="inlineStr">
        <is>
          <t>ORD2515</t>
        </is>
      </c>
      <c r="B1516" t="inlineStr">
        <is>
          <t>2025-01-13</t>
        </is>
      </c>
      <c r="C1516" t="inlineStr">
        <is>
          <t>10:10:05</t>
        </is>
      </c>
      <c r="D1516" t="n">
        <v>1293</v>
      </c>
      <c r="E1516" t="n">
        <v>109</v>
      </c>
      <c r="F1516" t="n">
        <v>216</v>
      </c>
      <c r="G1516" t="inlineStr">
        <is>
          <t>Hyderabad</t>
        </is>
      </c>
      <c r="H1516" t="inlineStr">
        <is>
          <t>Biryani</t>
        </is>
      </c>
      <c r="I1516" t="n">
        <v>804</v>
      </c>
      <c r="J1516" t="n">
        <v>50.71</v>
      </c>
      <c r="K1516" t="n">
        <v>33</v>
      </c>
      <c r="L1516" t="n">
        <v>0.2</v>
      </c>
      <c r="M1516" t="n">
        <v>169.05</v>
      </c>
      <c r="N1516" t="n">
        <v>4.6</v>
      </c>
      <c r="O1516" t="n">
        <v>30.7</v>
      </c>
      <c r="P1516" t="inlineStr">
        <is>
          <t>Digital Wallet</t>
        </is>
      </c>
      <c r="Q1516" t="inlineStr">
        <is>
          <t>Delivered</t>
        </is>
      </c>
      <c r="R1516" t="n">
        <v>4</v>
      </c>
    </row>
    <row r="1517">
      <c r="A1517" t="inlineStr">
        <is>
          <t>ORD2516</t>
        </is>
      </c>
      <c r="B1517" t="inlineStr">
        <is>
          <t>2025-02-04</t>
        </is>
      </c>
      <c r="C1517" t="inlineStr">
        <is>
          <t>21:50:42</t>
        </is>
      </c>
      <c r="D1517" t="n">
        <v>1101</v>
      </c>
      <c r="E1517" t="n">
        <v>105</v>
      </c>
      <c r="F1517" t="n">
        <v>210</v>
      </c>
      <c r="G1517" t="inlineStr">
        <is>
          <t>Bangalore</t>
        </is>
      </c>
      <c r="H1517" t="inlineStr">
        <is>
          <t>Chinese</t>
        </is>
      </c>
      <c r="I1517" t="n">
        <v>409</v>
      </c>
      <c r="J1517" t="n">
        <v>3.79</v>
      </c>
      <c r="K1517" t="n">
        <v>37.5</v>
      </c>
      <c r="L1517" t="n">
        <v>0.2</v>
      </c>
      <c r="M1517" t="n">
        <v>91.18000000000001</v>
      </c>
      <c r="N1517" t="n">
        <v>5.5</v>
      </c>
      <c r="O1517" t="n">
        <v>34.2</v>
      </c>
      <c r="P1517" t="inlineStr">
        <is>
          <t>Credit Card</t>
        </is>
      </c>
      <c r="Q1517" t="inlineStr">
        <is>
          <t>Delivered</t>
        </is>
      </c>
      <c r="R1517" t="n">
        <v>5</v>
      </c>
    </row>
    <row r="1518">
      <c r="A1518" t="inlineStr">
        <is>
          <t>ORD2517</t>
        </is>
      </c>
      <c r="B1518" t="inlineStr">
        <is>
          <t>2025-03-10</t>
        </is>
      </c>
      <c r="C1518" t="inlineStr">
        <is>
          <t>14:47:44</t>
        </is>
      </c>
      <c r="D1518" t="n">
        <v>1255</v>
      </c>
      <c r="E1518" t="n">
        <v>120</v>
      </c>
      <c r="F1518" t="n">
        <v>214</v>
      </c>
      <c r="G1518" t="inlineStr">
        <is>
          <t>Pune</t>
        </is>
      </c>
      <c r="H1518" t="inlineStr">
        <is>
          <t>Fast Food</t>
        </is>
      </c>
      <c r="I1518" t="n">
        <v>620</v>
      </c>
      <c r="J1518" t="n">
        <v>0</v>
      </c>
      <c r="K1518" t="n">
        <v>25</v>
      </c>
      <c r="L1518" t="n">
        <v>0.18</v>
      </c>
      <c r="M1518" t="n">
        <v>117.85</v>
      </c>
      <c r="N1518" t="n">
        <v>2.8</v>
      </c>
      <c r="O1518" t="n">
        <v>26.2</v>
      </c>
      <c r="P1518" t="inlineStr">
        <is>
          <t>UPI</t>
        </is>
      </c>
      <c r="Q1518" t="inlineStr">
        <is>
          <t>Delivered</t>
        </is>
      </c>
      <c r="R1518" t="n">
        <v>5</v>
      </c>
    </row>
    <row r="1519">
      <c r="A1519" t="inlineStr">
        <is>
          <t>ORD2518</t>
        </is>
      </c>
      <c r="B1519" t="inlineStr">
        <is>
          <t>2025-10-27</t>
        </is>
      </c>
      <c r="C1519" t="inlineStr">
        <is>
          <t>00:33:00</t>
        </is>
      </c>
      <c r="D1519" t="n">
        <v>1205</v>
      </c>
      <c r="E1519" t="n">
        <v>117</v>
      </c>
      <c r="F1519" t="n">
        <v>229</v>
      </c>
      <c r="G1519" t="inlineStr">
        <is>
          <t>Mumbai</t>
        </is>
      </c>
      <c r="H1519" t="inlineStr">
        <is>
          <t>Chinese</t>
        </is>
      </c>
      <c r="I1519" t="n">
        <v>530</v>
      </c>
      <c r="J1519" t="n">
        <v>59.16</v>
      </c>
      <c r="K1519" t="n">
        <v>26.5</v>
      </c>
      <c r="L1519" t="n">
        <v>0.2</v>
      </c>
      <c r="M1519" t="n">
        <v>112.62</v>
      </c>
      <c r="N1519" t="n">
        <v>3.3</v>
      </c>
      <c r="O1519" t="n">
        <v>26.4</v>
      </c>
      <c r="P1519" t="inlineStr">
        <is>
          <t>Credit Card</t>
        </is>
      </c>
      <c r="Q1519" t="inlineStr">
        <is>
          <t>Delivered</t>
        </is>
      </c>
      <c r="R1519" t="n">
        <v>4</v>
      </c>
    </row>
    <row r="1520">
      <c r="A1520" t="inlineStr">
        <is>
          <t>ORD2519</t>
        </is>
      </c>
      <c r="B1520" t="inlineStr">
        <is>
          <t>2025-12-06</t>
        </is>
      </c>
      <c r="C1520" t="inlineStr">
        <is>
          <t>18:30:30</t>
        </is>
      </c>
      <c r="D1520" t="n">
        <v>1175</v>
      </c>
      <c r="E1520" t="n">
        <v>111</v>
      </c>
      <c r="F1520" t="n">
        <v>213</v>
      </c>
      <c r="G1520" t="inlineStr">
        <is>
          <t>Bangalore</t>
        </is>
      </c>
      <c r="H1520" t="inlineStr">
        <is>
          <t>South Indian</t>
        </is>
      </c>
      <c r="I1520" t="n">
        <v>710</v>
      </c>
      <c r="J1520" t="n">
        <v>46.14</v>
      </c>
      <c r="K1520" t="n">
        <v>45</v>
      </c>
      <c r="L1520" t="n">
        <v>0.15</v>
      </c>
      <c r="M1520" t="n">
        <v>117.75</v>
      </c>
      <c r="N1520" t="n">
        <v>7</v>
      </c>
      <c r="O1520" t="n">
        <v>37.7</v>
      </c>
      <c r="P1520" t="inlineStr">
        <is>
          <t>Digital Wallet</t>
        </is>
      </c>
      <c r="Q1520" t="inlineStr">
        <is>
          <t>Delivered</t>
        </is>
      </c>
      <c r="R1520" t="n">
        <v>4</v>
      </c>
    </row>
    <row r="1521">
      <c r="A1521" t="inlineStr">
        <is>
          <t>ORD2520</t>
        </is>
      </c>
      <c r="B1521" t="inlineStr">
        <is>
          <t>2025-09-19</t>
        </is>
      </c>
      <c r="C1521" t="inlineStr">
        <is>
          <t>11:09:55</t>
        </is>
      </c>
      <c r="D1521" t="n">
        <v>1072</v>
      </c>
      <c r="E1521" t="n">
        <v>110</v>
      </c>
      <c r="F1521" t="n">
        <v>224</v>
      </c>
      <c r="G1521" t="inlineStr">
        <is>
          <t>Pune</t>
        </is>
      </c>
      <c r="H1521" t="inlineStr">
        <is>
          <t>North Indian</t>
        </is>
      </c>
      <c r="I1521" t="n">
        <v>289</v>
      </c>
      <c r="J1521" t="n">
        <v>0</v>
      </c>
      <c r="K1521" t="n">
        <v>25</v>
      </c>
      <c r="L1521" t="n">
        <v>0.18</v>
      </c>
      <c r="M1521" t="n">
        <v>58.27</v>
      </c>
      <c r="N1521" t="n">
        <v>2</v>
      </c>
      <c r="O1521" t="n">
        <v>31.5</v>
      </c>
      <c r="P1521" t="inlineStr">
        <is>
          <t>UPI</t>
        </is>
      </c>
      <c r="Q1521" t="inlineStr">
        <is>
          <t>Delivered</t>
        </is>
      </c>
      <c r="R1521" t="n">
        <v>4</v>
      </c>
    </row>
    <row r="1522">
      <c r="A1522" t="inlineStr">
        <is>
          <t>ORD2521</t>
        </is>
      </c>
      <c r="B1522" t="inlineStr">
        <is>
          <t>2025-11-17</t>
        </is>
      </c>
      <c r="C1522" t="inlineStr">
        <is>
          <t>12:23:14</t>
        </is>
      </c>
      <c r="D1522" t="n">
        <v>1232</v>
      </c>
      <c r="E1522" t="n">
        <v>114</v>
      </c>
      <c r="F1522" t="n">
        <v>216</v>
      </c>
      <c r="G1522" t="inlineStr">
        <is>
          <t>Hyderabad</t>
        </is>
      </c>
      <c r="H1522" t="inlineStr">
        <is>
          <t>Biryani</t>
        </is>
      </c>
      <c r="I1522" t="n">
        <v>488</v>
      </c>
      <c r="J1522" t="n">
        <v>0</v>
      </c>
      <c r="K1522" t="n">
        <v>26</v>
      </c>
      <c r="L1522" t="n">
        <v>0.22</v>
      </c>
      <c r="M1522" t="n">
        <v>113.86</v>
      </c>
      <c r="N1522" t="n">
        <v>3.2</v>
      </c>
      <c r="O1522" t="n">
        <v>33.9</v>
      </c>
      <c r="P1522" t="inlineStr">
        <is>
          <t>UPI</t>
        </is>
      </c>
      <c r="Q1522" t="inlineStr">
        <is>
          <t>Delivered</t>
        </is>
      </c>
      <c r="R1522" t="n">
        <v>4</v>
      </c>
    </row>
    <row r="1523">
      <c r="A1523" t="inlineStr">
        <is>
          <t>ORD2522</t>
        </is>
      </c>
      <c r="B1523" t="inlineStr">
        <is>
          <t>2025-04-09</t>
        </is>
      </c>
      <c r="C1523" t="inlineStr">
        <is>
          <t>08:42:46</t>
        </is>
      </c>
      <c r="D1523" t="n">
        <v>1265</v>
      </c>
      <c r="E1523" t="n">
        <v>105</v>
      </c>
      <c r="F1523" t="n">
        <v>210</v>
      </c>
      <c r="G1523" t="inlineStr">
        <is>
          <t>Bangalore</t>
        </is>
      </c>
      <c r="H1523" t="inlineStr">
        <is>
          <t>Chinese</t>
        </is>
      </c>
      <c r="I1523" t="n">
        <v>802</v>
      </c>
      <c r="J1523" t="n">
        <v>116.28</v>
      </c>
      <c r="K1523" t="n">
        <v>0</v>
      </c>
      <c r="L1523" t="n">
        <v>0.2</v>
      </c>
      <c r="M1523" t="n">
        <v>160.4</v>
      </c>
      <c r="N1523" t="n">
        <v>2.8</v>
      </c>
      <c r="O1523" t="n">
        <v>38.1</v>
      </c>
      <c r="P1523" t="inlineStr">
        <is>
          <t>Credit Card</t>
        </is>
      </c>
      <c r="Q1523" t="inlineStr">
        <is>
          <t>Delivered</t>
        </is>
      </c>
      <c r="R1523" t="n">
        <v>5</v>
      </c>
    </row>
    <row r="1524">
      <c r="A1524" t="inlineStr">
        <is>
          <t>ORD2523</t>
        </is>
      </c>
      <c r="B1524" t="inlineStr">
        <is>
          <t>2025-11-27</t>
        </is>
      </c>
      <c r="C1524" t="inlineStr">
        <is>
          <t>20:55:48</t>
        </is>
      </c>
      <c r="D1524" t="n">
        <v>1284</v>
      </c>
      <c r="E1524" t="n">
        <v>109</v>
      </c>
      <c r="F1524" t="n">
        <v>215</v>
      </c>
      <c r="G1524" t="inlineStr">
        <is>
          <t>Hyderabad</t>
        </is>
      </c>
      <c r="H1524" t="inlineStr">
        <is>
          <t>Biryani</t>
        </is>
      </c>
      <c r="I1524" t="n">
        <v>870</v>
      </c>
      <c r="J1524" t="n">
        <v>0</v>
      </c>
      <c r="K1524" t="n">
        <v>60</v>
      </c>
      <c r="L1524" t="n">
        <v>0.2</v>
      </c>
      <c r="M1524" t="n">
        <v>189</v>
      </c>
      <c r="N1524" t="n">
        <v>10</v>
      </c>
      <c r="O1524" t="n">
        <v>59.7</v>
      </c>
      <c r="P1524" t="inlineStr">
        <is>
          <t>Debit Card</t>
        </is>
      </c>
      <c r="Q1524" t="inlineStr">
        <is>
          <t>Delivered</t>
        </is>
      </c>
      <c r="R1524" t="n">
        <v>1</v>
      </c>
    </row>
    <row r="1525">
      <c r="A1525" t="inlineStr">
        <is>
          <t>ORD2524</t>
        </is>
      </c>
      <c r="B1525" t="inlineStr">
        <is>
          <t>2025-11-04</t>
        </is>
      </c>
      <c r="C1525" t="inlineStr">
        <is>
          <t>21:01:26</t>
        </is>
      </c>
      <c r="D1525" t="n">
        <v>1029</v>
      </c>
      <c r="E1525" t="n">
        <v>112</v>
      </c>
      <c r="F1525" t="n">
        <v>219</v>
      </c>
      <c r="G1525" t="inlineStr">
        <is>
          <t>Delhi NCR</t>
        </is>
      </c>
      <c r="H1525" t="inlineStr">
        <is>
          <t>North Indian</t>
        </is>
      </c>
      <c r="I1525" t="n">
        <v>287</v>
      </c>
      <c r="J1525" t="n">
        <v>16.17</v>
      </c>
      <c r="K1525" t="n">
        <v>27</v>
      </c>
      <c r="L1525" t="n">
        <v>0.22</v>
      </c>
      <c r="M1525" t="n">
        <v>69.89</v>
      </c>
      <c r="N1525" t="n">
        <v>3.4</v>
      </c>
      <c r="O1525" t="n">
        <v>35.3</v>
      </c>
      <c r="P1525" t="inlineStr">
        <is>
          <t>UPI</t>
        </is>
      </c>
      <c r="Q1525" t="inlineStr">
        <is>
          <t>Delivered</t>
        </is>
      </c>
      <c r="R1525" t="n">
        <v>3</v>
      </c>
    </row>
    <row r="1526">
      <c r="A1526" t="inlineStr">
        <is>
          <t>ORD2525</t>
        </is>
      </c>
      <c r="B1526" t="inlineStr">
        <is>
          <t>2025-05-24</t>
        </is>
      </c>
      <c r="C1526" t="inlineStr">
        <is>
          <t>10:29:41</t>
        </is>
      </c>
      <c r="D1526" t="n">
        <v>1159</v>
      </c>
      <c r="E1526" t="n">
        <v>104</v>
      </c>
      <c r="F1526" t="n">
        <v>211</v>
      </c>
      <c r="G1526" t="inlineStr">
        <is>
          <t>Delhi NCR</t>
        </is>
      </c>
      <c r="H1526" t="inlineStr">
        <is>
          <t>Fast Food</t>
        </is>
      </c>
      <c r="I1526" t="n">
        <v>569</v>
      </c>
      <c r="J1526" t="n">
        <v>0</v>
      </c>
      <c r="K1526" t="n">
        <v>30.5</v>
      </c>
      <c r="L1526" t="n">
        <v>0.18</v>
      </c>
      <c r="M1526" t="n">
        <v>110.04</v>
      </c>
      <c r="N1526" t="n">
        <v>4.1</v>
      </c>
      <c r="O1526" t="n">
        <v>29.6</v>
      </c>
      <c r="P1526" t="inlineStr">
        <is>
          <t>Debit Card</t>
        </is>
      </c>
      <c r="Q1526" t="inlineStr">
        <is>
          <t>Delivered</t>
        </is>
      </c>
      <c r="R1526" t="n">
        <v>4</v>
      </c>
    </row>
    <row r="1527">
      <c r="A1527" t="inlineStr">
        <is>
          <t>ORD2526</t>
        </is>
      </c>
      <c r="B1527" t="inlineStr">
        <is>
          <t>2025-07-17</t>
        </is>
      </c>
      <c r="C1527" t="inlineStr">
        <is>
          <t>12:48:55</t>
        </is>
      </c>
      <c r="D1527" t="n">
        <v>1065</v>
      </c>
      <c r="E1527" t="n">
        <v>112</v>
      </c>
      <c r="F1527" t="n">
        <v>228</v>
      </c>
      <c r="G1527" t="inlineStr">
        <is>
          <t>Delhi NCR</t>
        </is>
      </c>
      <c r="H1527" t="inlineStr">
        <is>
          <t>North Indian</t>
        </is>
      </c>
      <c r="I1527" t="n">
        <v>924</v>
      </c>
      <c r="J1527" t="n">
        <v>41.41</v>
      </c>
      <c r="K1527" t="n">
        <v>25.5</v>
      </c>
      <c r="L1527" t="n">
        <v>0.22</v>
      </c>
      <c r="M1527" t="n">
        <v>209.66</v>
      </c>
      <c r="N1527" t="n">
        <v>3.1</v>
      </c>
      <c r="O1527" t="n">
        <v>36.6</v>
      </c>
      <c r="P1527" t="inlineStr">
        <is>
          <t>Digital Wallet</t>
        </is>
      </c>
      <c r="Q1527" t="inlineStr">
        <is>
          <t>Delivered</t>
        </is>
      </c>
      <c r="R1527" t="n">
        <v>5</v>
      </c>
    </row>
    <row r="1528">
      <c r="A1528" t="inlineStr">
        <is>
          <t>ORD2527</t>
        </is>
      </c>
      <c r="B1528" t="inlineStr">
        <is>
          <t>2025-02-16</t>
        </is>
      </c>
      <c r="C1528" t="inlineStr">
        <is>
          <t>22:44:31</t>
        </is>
      </c>
      <c r="D1528" t="n">
        <v>1232</v>
      </c>
      <c r="E1528" t="n">
        <v>114</v>
      </c>
      <c r="F1528" t="n">
        <v>225</v>
      </c>
      <c r="G1528" t="inlineStr">
        <is>
          <t>Hyderabad</t>
        </is>
      </c>
      <c r="H1528" t="inlineStr">
        <is>
          <t>Biryani</t>
        </is>
      </c>
      <c r="I1528" t="n">
        <v>570</v>
      </c>
      <c r="J1528" t="n">
        <v>28.11</v>
      </c>
      <c r="K1528" t="n">
        <v>25.5</v>
      </c>
      <c r="L1528" t="n">
        <v>0.22</v>
      </c>
      <c r="M1528" t="n">
        <v>131.78</v>
      </c>
      <c r="N1528" t="n">
        <v>3.1</v>
      </c>
      <c r="O1528" t="n">
        <v>36.8</v>
      </c>
      <c r="P1528" t="inlineStr">
        <is>
          <t>Debit Card</t>
        </is>
      </c>
      <c r="Q1528" t="inlineStr">
        <is>
          <t>Delivered</t>
        </is>
      </c>
      <c r="R1528" t="n">
        <v>4</v>
      </c>
    </row>
    <row r="1529">
      <c r="A1529" t="inlineStr">
        <is>
          <t>ORD2528</t>
        </is>
      </c>
      <c r="B1529" t="inlineStr">
        <is>
          <t>2025-06-10</t>
        </is>
      </c>
      <c r="C1529" t="inlineStr">
        <is>
          <t>14:59:57</t>
        </is>
      </c>
      <c r="D1529" t="n">
        <v>1176</v>
      </c>
      <c r="E1529" t="n">
        <v>102</v>
      </c>
      <c r="F1529" t="n">
        <v>216</v>
      </c>
      <c r="G1529" t="inlineStr">
        <is>
          <t>Hyderabad</t>
        </is>
      </c>
      <c r="H1529" t="inlineStr">
        <is>
          <t>Biryani</t>
        </is>
      </c>
      <c r="I1529" t="n">
        <v>551</v>
      </c>
      <c r="J1529" t="n">
        <v>24.95</v>
      </c>
      <c r="K1529" t="n">
        <v>27.5</v>
      </c>
      <c r="L1529" t="n">
        <v>0.22</v>
      </c>
      <c r="M1529" t="n">
        <v>128.1</v>
      </c>
      <c r="N1529" t="n">
        <v>3.5</v>
      </c>
      <c r="O1529" t="n">
        <v>31.2</v>
      </c>
      <c r="P1529" t="inlineStr">
        <is>
          <t>Debit Card</t>
        </is>
      </c>
      <c r="Q1529" t="inlineStr">
        <is>
          <t>Delivered</t>
        </is>
      </c>
      <c r="R1529" t="n">
        <v>4</v>
      </c>
    </row>
    <row r="1530">
      <c r="A1530" t="inlineStr">
        <is>
          <t>ORD2529</t>
        </is>
      </c>
      <c r="B1530" t="inlineStr">
        <is>
          <t>2025-09-23</t>
        </is>
      </c>
      <c r="C1530" t="inlineStr">
        <is>
          <t>21:43:26</t>
        </is>
      </c>
      <c r="D1530" t="n">
        <v>1194</v>
      </c>
      <c r="E1530" t="n">
        <v>105</v>
      </c>
      <c r="F1530" t="n">
        <v>203</v>
      </c>
      <c r="G1530" t="inlineStr">
        <is>
          <t>Bangalore</t>
        </is>
      </c>
      <c r="H1530" t="inlineStr">
        <is>
          <t>Chinese</t>
        </is>
      </c>
      <c r="I1530" t="n">
        <v>505</v>
      </c>
      <c r="J1530" t="n">
        <v>34.58</v>
      </c>
      <c r="K1530" t="n">
        <v>33</v>
      </c>
      <c r="L1530" t="n">
        <v>0.2</v>
      </c>
      <c r="M1530" t="n">
        <v>109.25</v>
      </c>
      <c r="N1530" t="n">
        <v>4.6</v>
      </c>
      <c r="O1530" t="n">
        <v>41</v>
      </c>
      <c r="P1530" t="inlineStr">
        <is>
          <t>Credit Card</t>
        </is>
      </c>
      <c r="Q1530" t="inlineStr">
        <is>
          <t>Returned</t>
        </is>
      </c>
      <c r="R1530" t="n">
        <v>3</v>
      </c>
    </row>
    <row r="1531">
      <c r="A1531" t="inlineStr">
        <is>
          <t>ORD2530</t>
        </is>
      </c>
      <c r="B1531" t="inlineStr">
        <is>
          <t>2025-12-18</t>
        </is>
      </c>
      <c r="C1531" t="inlineStr">
        <is>
          <t>13:43:23</t>
        </is>
      </c>
      <c r="D1531" t="n">
        <v>1010</v>
      </c>
      <c r="E1531" t="n">
        <v>114</v>
      </c>
      <c r="F1531" t="n">
        <v>225</v>
      </c>
      <c r="G1531" t="inlineStr">
        <is>
          <t>Hyderabad</t>
        </is>
      </c>
      <c r="H1531" t="inlineStr">
        <is>
          <t>Biryani</t>
        </is>
      </c>
      <c r="I1531" t="n">
        <v>949</v>
      </c>
      <c r="J1531" t="n">
        <v>83.51000000000001</v>
      </c>
      <c r="K1531" t="n">
        <v>25</v>
      </c>
      <c r="L1531" t="n">
        <v>0.22</v>
      </c>
      <c r="M1531" t="n">
        <v>215.03</v>
      </c>
      <c r="N1531" t="n">
        <v>2.4</v>
      </c>
      <c r="O1531" t="n">
        <v>25.3</v>
      </c>
      <c r="P1531" t="inlineStr">
        <is>
          <t>Cash on Delivery</t>
        </is>
      </c>
      <c r="Q1531" t="inlineStr">
        <is>
          <t>Returned</t>
        </is>
      </c>
      <c r="R1531" t="n">
        <v>5</v>
      </c>
    </row>
    <row r="1532">
      <c r="A1532" t="inlineStr">
        <is>
          <t>ORD2531</t>
        </is>
      </c>
      <c r="B1532" t="inlineStr">
        <is>
          <t>2025-11-23</t>
        </is>
      </c>
      <c r="C1532" t="inlineStr">
        <is>
          <t>18:15:13</t>
        </is>
      </c>
      <c r="D1532" t="n">
        <v>1246</v>
      </c>
      <c r="E1532" t="n">
        <v>116</v>
      </c>
      <c r="F1532" t="n">
        <v>204</v>
      </c>
      <c r="G1532" t="inlineStr">
        <is>
          <t>Pune</t>
        </is>
      </c>
      <c r="H1532" t="inlineStr">
        <is>
          <t>Desserts</t>
        </is>
      </c>
      <c r="I1532" t="n">
        <v>1134</v>
      </c>
      <c r="J1532" t="n">
        <v>185.23</v>
      </c>
      <c r="K1532" t="n">
        <v>0</v>
      </c>
      <c r="L1532" t="n">
        <v>0.25</v>
      </c>
      <c r="M1532" t="n">
        <v>283.5</v>
      </c>
      <c r="N1532" t="n">
        <v>3.6</v>
      </c>
      <c r="O1532" t="n">
        <v>27.4</v>
      </c>
      <c r="P1532" t="inlineStr">
        <is>
          <t>Cash on Delivery</t>
        </is>
      </c>
      <c r="Q1532" t="inlineStr">
        <is>
          <t>Delivered</t>
        </is>
      </c>
      <c r="R1532" t="n">
        <v>4</v>
      </c>
    </row>
    <row r="1533">
      <c r="A1533" t="inlineStr">
        <is>
          <t>ORD2532</t>
        </is>
      </c>
      <c r="B1533" t="inlineStr">
        <is>
          <t>2025-09-05</t>
        </is>
      </c>
      <c r="C1533" t="inlineStr">
        <is>
          <t>11:45:17</t>
        </is>
      </c>
      <c r="D1533" t="n">
        <v>1001</v>
      </c>
      <c r="E1533" t="n">
        <v>109</v>
      </c>
      <c r="F1533" t="n">
        <v>216</v>
      </c>
      <c r="G1533" t="inlineStr">
        <is>
          <t>Hyderabad</t>
        </is>
      </c>
      <c r="H1533" t="inlineStr">
        <is>
          <t>Biryani</t>
        </is>
      </c>
      <c r="I1533" t="n">
        <v>801</v>
      </c>
      <c r="J1533" t="n">
        <v>0</v>
      </c>
      <c r="K1533" t="n">
        <v>25</v>
      </c>
      <c r="L1533" t="n">
        <v>0.2</v>
      </c>
      <c r="M1533" t="n">
        <v>166.45</v>
      </c>
      <c r="N1533" t="n">
        <v>2.4</v>
      </c>
      <c r="O1533" t="n">
        <v>33.9</v>
      </c>
      <c r="P1533" t="inlineStr">
        <is>
          <t>Debit Card</t>
        </is>
      </c>
      <c r="Q1533" t="inlineStr">
        <is>
          <t>Delivered</t>
        </is>
      </c>
      <c r="R1533" t="n">
        <v>4</v>
      </c>
    </row>
    <row r="1534">
      <c r="A1534" t="inlineStr">
        <is>
          <t>ORD2533</t>
        </is>
      </c>
      <c r="B1534" t="inlineStr">
        <is>
          <t>2025-07-12</t>
        </is>
      </c>
      <c r="C1534" t="inlineStr">
        <is>
          <t>21:52:35</t>
        </is>
      </c>
      <c r="D1534" t="n">
        <v>1244</v>
      </c>
      <c r="E1534" t="n">
        <v>112</v>
      </c>
      <c r="F1534" t="n">
        <v>228</v>
      </c>
      <c r="G1534" t="inlineStr">
        <is>
          <t>Delhi NCR</t>
        </is>
      </c>
      <c r="H1534" t="inlineStr">
        <is>
          <t>North Indian</t>
        </is>
      </c>
      <c r="I1534" t="n">
        <v>622</v>
      </c>
      <c r="J1534" t="n">
        <v>0</v>
      </c>
      <c r="K1534" t="n">
        <v>49</v>
      </c>
      <c r="L1534" t="n">
        <v>0.22</v>
      </c>
      <c r="M1534" t="n">
        <v>149.09</v>
      </c>
      <c r="N1534" t="n">
        <v>7.8</v>
      </c>
      <c r="O1534" t="n">
        <v>48.3</v>
      </c>
      <c r="P1534" t="inlineStr">
        <is>
          <t>Debit Card</t>
        </is>
      </c>
      <c r="Q1534" t="inlineStr">
        <is>
          <t>Delivered</t>
        </is>
      </c>
      <c r="R1534" t="n">
        <v>2</v>
      </c>
    </row>
    <row r="1535">
      <c r="A1535" t="inlineStr">
        <is>
          <t>ORD2534</t>
        </is>
      </c>
      <c r="B1535" t="inlineStr">
        <is>
          <t>2025-09-19</t>
        </is>
      </c>
      <c r="C1535" t="inlineStr">
        <is>
          <t>10:36:26</t>
        </is>
      </c>
      <c r="D1535" t="n">
        <v>1299</v>
      </c>
      <c r="E1535" t="n">
        <v>109</v>
      </c>
      <c r="F1535" t="n">
        <v>225</v>
      </c>
      <c r="G1535" t="inlineStr">
        <is>
          <t>Hyderabad</t>
        </is>
      </c>
      <c r="H1535" t="inlineStr">
        <is>
          <t>Biryani</t>
        </is>
      </c>
      <c r="I1535" t="n">
        <v>423</v>
      </c>
      <c r="J1535" t="n">
        <v>29.02</v>
      </c>
      <c r="K1535" t="n">
        <v>25</v>
      </c>
      <c r="L1535" t="n">
        <v>0.2</v>
      </c>
      <c r="M1535" t="n">
        <v>90.84999999999999</v>
      </c>
      <c r="N1535" t="n">
        <v>2.5</v>
      </c>
      <c r="O1535" t="n">
        <v>30.1</v>
      </c>
      <c r="P1535" t="inlineStr">
        <is>
          <t>Cash on Delivery</t>
        </is>
      </c>
      <c r="Q1535" t="inlineStr">
        <is>
          <t>Delivered</t>
        </is>
      </c>
      <c r="R1535" t="n">
        <v>3</v>
      </c>
    </row>
    <row r="1536">
      <c r="A1536" t="inlineStr">
        <is>
          <t>ORD2535</t>
        </is>
      </c>
      <c r="B1536" t="inlineStr">
        <is>
          <t>2025-07-18</t>
        </is>
      </c>
      <c r="C1536" t="inlineStr">
        <is>
          <t>08:20:07</t>
        </is>
      </c>
      <c r="D1536" t="n">
        <v>1157</v>
      </c>
      <c r="E1536" t="n">
        <v>109</v>
      </c>
      <c r="F1536" t="n">
        <v>225</v>
      </c>
      <c r="G1536" t="inlineStr">
        <is>
          <t>Hyderabad</t>
        </is>
      </c>
      <c r="H1536" t="inlineStr">
        <is>
          <t>Biryani</t>
        </is>
      </c>
      <c r="I1536" t="n">
        <v>363</v>
      </c>
      <c r="J1536" t="n">
        <v>22.75</v>
      </c>
      <c r="K1536" t="n">
        <v>25</v>
      </c>
      <c r="L1536" t="n">
        <v>0.2</v>
      </c>
      <c r="M1536" t="n">
        <v>78.84999999999999</v>
      </c>
      <c r="N1536" t="n">
        <v>2.2</v>
      </c>
      <c r="O1536" t="n">
        <v>26.3</v>
      </c>
      <c r="P1536" t="inlineStr">
        <is>
          <t>UPI</t>
        </is>
      </c>
      <c r="Q1536" t="inlineStr">
        <is>
          <t>Delivered</t>
        </is>
      </c>
      <c r="R1536" t="n">
        <v>4</v>
      </c>
    </row>
    <row r="1537">
      <c r="A1537" t="inlineStr">
        <is>
          <t>ORD2536</t>
        </is>
      </c>
      <c r="B1537" t="inlineStr">
        <is>
          <t>2025-05-23</t>
        </is>
      </c>
      <c r="C1537" t="inlineStr">
        <is>
          <t>23:06:35</t>
        </is>
      </c>
      <c r="D1537" t="n">
        <v>1247</v>
      </c>
      <c r="E1537" t="n">
        <v>111</v>
      </c>
      <c r="F1537" t="n">
        <v>227</v>
      </c>
      <c r="G1537" t="inlineStr">
        <is>
          <t>Bangalore</t>
        </is>
      </c>
      <c r="H1537" t="inlineStr">
        <is>
          <t>South Indian</t>
        </is>
      </c>
      <c r="I1537" t="n">
        <v>768</v>
      </c>
      <c r="J1537" t="n">
        <v>0</v>
      </c>
      <c r="K1537" t="n">
        <v>31</v>
      </c>
      <c r="L1537" t="n">
        <v>0.15</v>
      </c>
      <c r="M1537" t="n">
        <v>122.95</v>
      </c>
      <c r="N1537" t="n">
        <v>4.2</v>
      </c>
      <c r="O1537" t="n">
        <v>33.3</v>
      </c>
      <c r="P1537" t="inlineStr">
        <is>
          <t>Cash on Delivery</t>
        </is>
      </c>
      <c r="Q1537" t="inlineStr">
        <is>
          <t>Delivered</t>
        </is>
      </c>
      <c r="R1537" t="n">
        <v>4</v>
      </c>
    </row>
    <row r="1538">
      <c r="A1538" t="inlineStr">
        <is>
          <t>ORD2537</t>
        </is>
      </c>
      <c r="B1538" t="inlineStr">
        <is>
          <t>2025-12-05</t>
        </is>
      </c>
      <c r="C1538" t="inlineStr">
        <is>
          <t>19:36:03</t>
        </is>
      </c>
      <c r="D1538" t="n">
        <v>1258</v>
      </c>
      <c r="E1538" t="n">
        <v>107</v>
      </c>
      <c r="F1538" t="n">
        <v>202</v>
      </c>
      <c r="G1538" t="inlineStr">
        <is>
          <t>Mumbai</t>
        </is>
      </c>
      <c r="H1538" t="inlineStr">
        <is>
          <t>Desserts</t>
        </is>
      </c>
      <c r="I1538" t="n">
        <v>230</v>
      </c>
      <c r="J1538" t="n">
        <v>13.29</v>
      </c>
      <c r="K1538" t="n">
        <v>32.5</v>
      </c>
      <c r="L1538" t="n">
        <v>0.25</v>
      </c>
      <c r="M1538" t="n">
        <v>65.62</v>
      </c>
      <c r="N1538" t="n">
        <v>4.5</v>
      </c>
      <c r="O1538" t="n">
        <v>43.8</v>
      </c>
      <c r="P1538" t="inlineStr">
        <is>
          <t>Debit Card</t>
        </is>
      </c>
      <c r="Q1538" t="inlineStr">
        <is>
          <t>Delivered</t>
        </is>
      </c>
      <c r="R1538" t="n">
        <v>3</v>
      </c>
    </row>
    <row r="1539">
      <c r="A1539" t="inlineStr">
        <is>
          <t>ORD2538</t>
        </is>
      </c>
      <c r="B1539" t="inlineStr">
        <is>
          <t>2025-04-29</t>
        </is>
      </c>
      <c r="C1539" t="inlineStr">
        <is>
          <t>19:14:39</t>
        </is>
      </c>
      <c r="D1539" t="n">
        <v>1094</v>
      </c>
      <c r="E1539" t="n">
        <v>112</v>
      </c>
      <c r="F1539" t="n">
        <v>221</v>
      </c>
      <c r="G1539" t="inlineStr">
        <is>
          <t>Delhi NCR</t>
        </is>
      </c>
      <c r="H1539" t="inlineStr">
        <is>
          <t>North Indian</t>
        </is>
      </c>
      <c r="I1539" t="n">
        <v>838</v>
      </c>
      <c r="J1539" t="n">
        <v>17.88</v>
      </c>
      <c r="K1539" t="n">
        <v>42</v>
      </c>
      <c r="L1539" t="n">
        <v>0.22</v>
      </c>
      <c r="M1539" t="n">
        <v>194.86</v>
      </c>
      <c r="N1539" t="n">
        <v>6.4</v>
      </c>
      <c r="O1539" t="n">
        <v/>
      </c>
      <c r="P1539" t="inlineStr">
        <is>
          <t>Credit Card</t>
        </is>
      </c>
      <c r="Q1539" t="inlineStr">
        <is>
          <t>Cancelled</t>
        </is>
      </c>
      <c r="R1539" t="n">
        <v/>
      </c>
    </row>
    <row r="1540">
      <c r="A1540" t="inlineStr">
        <is>
          <t>ORD2539</t>
        </is>
      </c>
      <c r="B1540" t="inlineStr">
        <is>
          <t>2025-10-11</t>
        </is>
      </c>
      <c r="C1540" t="inlineStr">
        <is>
          <t>21:37:20</t>
        </is>
      </c>
      <c r="D1540" t="n">
        <v>1194</v>
      </c>
      <c r="E1540" t="n">
        <v>111</v>
      </c>
      <c r="F1540" t="n">
        <v>205</v>
      </c>
      <c r="G1540" t="inlineStr">
        <is>
          <t>Bangalore</t>
        </is>
      </c>
      <c r="H1540" t="inlineStr">
        <is>
          <t>South Indian</t>
        </is>
      </c>
      <c r="I1540" t="n">
        <v>445</v>
      </c>
      <c r="J1540" t="n">
        <v>27.6</v>
      </c>
      <c r="K1540" t="n">
        <v>28.5</v>
      </c>
      <c r="L1540" t="n">
        <v>0.15</v>
      </c>
      <c r="M1540" t="n">
        <v>73.88</v>
      </c>
      <c r="N1540" t="n">
        <v>3.7</v>
      </c>
      <c r="O1540" t="n">
        <v>46.2</v>
      </c>
      <c r="P1540" t="inlineStr">
        <is>
          <t>Cash on Delivery</t>
        </is>
      </c>
      <c r="Q1540" t="inlineStr">
        <is>
          <t>Delivered</t>
        </is>
      </c>
      <c r="R1540" t="n">
        <v>2</v>
      </c>
    </row>
    <row r="1541">
      <c r="A1541" t="inlineStr">
        <is>
          <t>ORD2540</t>
        </is>
      </c>
      <c r="B1541" t="inlineStr">
        <is>
          <t>2025-03-24</t>
        </is>
      </c>
      <c r="C1541" t="inlineStr">
        <is>
          <t>14:05:36</t>
        </is>
      </c>
      <c r="D1541" t="n">
        <v>1260</v>
      </c>
      <c r="E1541" t="n">
        <v>106</v>
      </c>
      <c r="F1541" t="n">
        <v>204</v>
      </c>
      <c r="G1541" t="inlineStr">
        <is>
          <t>Pune</t>
        </is>
      </c>
      <c r="H1541" t="inlineStr">
        <is>
          <t>South Indian</t>
        </is>
      </c>
      <c r="I1541" t="n">
        <v>848</v>
      </c>
      <c r="J1541" t="n">
        <v>18.3</v>
      </c>
      <c r="K1541" t="n">
        <v>25</v>
      </c>
      <c r="L1541" t="n">
        <v>0.15</v>
      </c>
      <c r="M1541" t="n">
        <v>133.45</v>
      </c>
      <c r="N1541" t="n">
        <v>2.9</v>
      </c>
      <c r="O1541" t="n">
        <v>31.5</v>
      </c>
      <c r="P1541" t="inlineStr">
        <is>
          <t>UPI</t>
        </is>
      </c>
      <c r="Q1541" t="inlineStr">
        <is>
          <t>Delivered</t>
        </is>
      </c>
      <c r="R1541" t="n">
        <v>5</v>
      </c>
    </row>
    <row r="1542">
      <c r="A1542" t="inlineStr">
        <is>
          <t>ORD2541</t>
        </is>
      </c>
      <c r="B1542" t="inlineStr">
        <is>
          <t>2025-04-24</t>
        </is>
      </c>
      <c r="C1542" t="inlineStr">
        <is>
          <t>21:15:29</t>
        </is>
      </c>
      <c r="D1542" t="n">
        <v>1025</v>
      </c>
      <c r="E1542" t="n">
        <v>110</v>
      </c>
      <c r="F1542" t="n">
        <v>207</v>
      </c>
      <c r="G1542" t="inlineStr">
        <is>
          <t>Pune</t>
        </is>
      </c>
      <c r="H1542" t="inlineStr">
        <is>
          <t>North Indian</t>
        </is>
      </c>
      <c r="I1542" t="n">
        <v>844</v>
      </c>
      <c r="J1542" t="n">
        <v>0</v>
      </c>
      <c r="K1542" t="n">
        <v>31.5</v>
      </c>
      <c r="L1542" t="n">
        <v>0.18</v>
      </c>
      <c r="M1542" t="n">
        <v>159.79</v>
      </c>
      <c r="N1542" t="n">
        <v>4.3</v>
      </c>
      <c r="O1542" t="n">
        <v>32.7</v>
      </c>
      <c r="P1542" t="inlineStr">
        <is>
          <t>Credit Card</t>
        </is>
      </c>
      <c r="Q1542" t="inlineStr">
        <is>
          <t>Delivered</t>
        </is>
      </c>
      <c r="R1542" t="n">
        <v>4</v>
      </c>
    </row>
    <row r="1543">
      <c r="A1543" t="inlineStr">
        <is>
          <t>ORD2542</t>
        </is>
      </c>
      <c r="B1543" t="inlineStr">
        <is>
          <t>2025-05-03</t>
        </is>
      </c>
      <c r="C1543" t="inlineStr">
        <is>
          <t>20:42:19</t>
        </is>
      </c>
      <c r="D1543" t="n">
        <v>1114</v>
      </c>
      <c r="E1543" t="n">
        <v>114</v>
      </c>
      <c r="F1543" t="n">
        <v>216</v>
      </c>
      <c r="G1543" t="inlineStr">
        <is>
          <t>Hyderabad</t>
        </is>
      </c>
      <c r="H1543" t="inlineStr">
        <is>
          <t>Biryani</t>
        </is>
      </c>
      <c r="I1543" t="n">
        <v>665</v>
      </c>
      <c r="J1543" t="n">
        <v>60.23</v>
      </c>
      <c r="K1543" t="n">
        <v>34</v>
      </c>
      <c r="L1543" t="n">
        <v>0.22</v>
      </c>
      <c r="M1543" t="n">
        <v>154.8</v>
      </c>
      <c r="N1543" t="n">
        <v>4.8</v>
      </c>
      <c r="O1543" t="n">
        <v>49.8</v>
      </c>
      <c r="P1543" t="inlineStr">
        <is>
          <t>Cash on Delivery</t>
        </is>
      </c>
      <c r="Q1543" t="inlineStr">
        <is>
          <t>Delivered</t>
        </is>
      </c>
      <c r="R1543" t="n">
        <v>3</v>
      </c>
    </row>
    <row r="1544">
      <c r="A1544" t="inlineStr">
        <is>
          <t>ORD2543</t>
        </is>
      </c>
      <c r="B1544" t="inlineStr">
        <is>
          <t>2025-02-21</t>
        </is>
      </c>
      <c r="C1544" t="inlineStr">
        <is>
          <t>12:54:05</t>
        </is>
      </c>
      <c r="D1544" t="n">
        <v>1167</v>
      </c>
      <c r="E1544" t="n">
        <v>108</v>
      </c>
      <c r="F1544" t="n">
        <v>212</v>
      </c>
      <c r="G1544" t="inlineStr">
        <is>
          <t>Delhi NCR</t>
        </is>
      </c>
      <c r="H1544" t="inlineStr">
        <is>
          <t>Fast Food</t>
        </is>
      </c>
      <c r="I1544" t="n">
        <v>638</v>
      </c>
      <c r="J1544" t="n">
        <v>22.59</v>
      </c>
      <c r="K1544" t="n">
        <v>74.5</v>
      </c>
      <c r="L1544" t="n">
        <v>0.18</v>
      </c>
      <c r="M1544" t="n">
        <v>133.46</v>
      </c>
      <c r="N1544" t="n">
        <v>12.9</v>
      </c>
      <c r="O1544" t="n">
        <v>71.5</v>
      </c>
      <c r="P1544" t="inlineStr">
        <is>
          <t>Cash on Delivery</t>
        </is>
      </c>
      <c r="Q1544" t="inlineStr">
        <is>
          <t>Delivered</t>
        </is>
      </c>
      <c r="R1544" t="n">
        <v>2</v>
      </c>
    </row>
    <row r="1545">
      <c r="A1545" t="inlineStr">
        <is>
          <t>ORD2544</t>
        </is>
      </c>
      <c r="B1545" t="inlineStr">
        <is>
          <t>2025-04-16</t>
        </is>
      </c>
      <c r="C1545" t="inlineStr">
        <is>
          <t>13:56:43</t>
        </is>
      </c>
      <c r="D1545" t="n">
        <v>1123</v>
      </c>
      <c r="E1545" t="n">
        <v>111</v>
      </c>
      <c r="F1545" t="n">
        <v>201</v>
      </c>
      <c r="G1545" t="inlineStr">
        <is>
          <t>Bangalore</t>
        </is>
      </c>
      <c r="H1545" t="inlineStr">
        <is>
          <t>South Indian</t>
        </is>
      </c>
      <c r="I1545" t="n">
        <v>723</v>
      </c>
      <c r="J1545" t="n">
        <v>0</v>
      </c>
      <c r="K1545" t="n">
        <v>26.5</v>
      </c>
      <c r="L1545" t="n">
        <v>0.15</v>
      </c>
      <c r="M1545" t="n">
        <v>115.08</v>
      </c>
      <c r="N1545" t="n">
        <v>3.3</v>
      </c>
      <c r="O1545" t="n">
        <v>33.4</v>
      </c>
      <c r="P1545" t="inlineStr">
        <is>
          <t>Debit Card</t>
        </is>
      </c>
      <c r="Q1545" t="inlineStr">
        <is>
          <t>Delivered</t>
        </is>
      </c>
      <c r="R1545" t="n">
        <v>5</v>
      </c>
    </row>
    <row r="1546">
      <c r="A1546" t="inlineStr">
        <is>
          <t>ORD2545</t>
        </is>
      </c>
      <c r="B1546" t="inlineStr">
        <is>
          <t>2025-09-17</t>
        </is>
      </c>
      <c r="C1546" t="inlineStr">
        <is>
          <t>13:39:24</t>
        </is>
      </c>
      <c r="D1546" t="n">
        <v>1126</v>
      </c>
      <c r="E1546" t="n">
        <v>119</v>
      </c>
      <c r="F1546" t="n">
        <v>225</v>
      </c>
      <c r="G1546" t="inlineStr">
        <is>
          <t>Hyderabad</t>
        </is>
      </c>
      <c r="H1546" t="inlineStr">
        <is>
          <t>Biryani</t>
        </is>
      </c>
      <c r="I1546" t="n">
        <v>672</v>
      </c>
      <c r="J1546" t="n">
        <v>20.05</v>
      </c>
      <c r="K1546" t="n">
        <v>28.5</v>
      </c>
      <c r="L1546" t="n">
        <v>0.2</v>
      </c>
      <c r="M1546" t="n">
        <v>141.52</v>
      </c>
      <c r="N1546" t="n">
        <v>3.7</v>
      </c>
      <c r="O1546" t="n">
        <v>35.4</v>
      </c>
      <c r="P1546" t="inlineStr">
        <is>
          <t>Digital Wallet</t>
        </is>
      </c>
      <c r="Q1546" t="inlineStr">
        <is>
          <t>Delivered</t>
        </is>
      </c>
      <c r="R1546" t="n">
        <v>5</v>
      </c>
    </row>
    <row r="1547">
      <c r="A1547" t="inlineStr">
        <is>
          <t>ORD2546</t>
        </is>
      </c>
      <c r="B1547" t="inlineStr">
        <is>
          <t>2025-04-17</t>
        </is>
      </c>
      <c r="C1547" t="inlineStr">
        <is>
          <t>11:13:20</t>
        </is>
      </c>
      <c r="D1547" t="n">
        <v>1197</v>
      </c>
      <c r="E1547" t="n">
        <v>113</v>
      </c>
      <c r="F1547" t="n">
        <v>206</v>
      </c>
      <c r="G1547" t="inlineStr">
        <is>
          <t>Mumbai</t>
        </is>
      </c>
      <c r="H1547" t="inlineStr">
        <is>
          <t>Fast Food</t>
        </is>
      </c>
      <c r="I1547" t="n">
        <v>581</v>
      </c>
      <c r="J1547" t="n">
        <v>45.53</v>
      </c>
      <c r="K1547" t="n">
        <v>32.5</v>
      </c>
      <c r="L1547" t="n">
        <v>0.18</v>
      </c>
      <c r="M1547" t="n">
        <v>112.7</v>
      </c>
      <c r="N1547" t="n">
        <v>4.5</v>
      </c>
      <c r="O1547" t="n">
        <v>27.6</v>
      </c>
      <c r="P1547" t="inlineStr">
        <is>
          <t>Debit Card</t>
        </is>
      </c>
      <c r="Q1547" t="inlineStr">
        <is>
          <t>Delivered</t>
        </is>
      </c>
      <c r="R1547" t="n">
        <v>4</v>
      </c>
    </row>
    <row r="1548">
      <c r="A1548" t="inlineStr">
        <is>
          <t>ORD2547</t>
        </is>
      </c>
      <c r="B1548" t="inlineStr">
        <is>
          <t>2025-11-04</t>
        </is>
      </c>
      <c r="C1548" t="inlineStr">
        <is>
          <t>19:56:30</t>
        </is>
      </c>
      <c r="D1548" t="n">
        <v>1118</v>
      </c>
      <c r="E1548" t="n">
        <v>104</v>
      </c>
      <c r="F1548" t="n">
        <v>211</v>
      </c>
      <c r="G1548" t="inlineStr">
        <is>
          <t>Delhi NCR</t>
        </is>
      </c>
      <c r="H1548" t="inlineStr">
        <is>
          <t>Fast Food</t>
        </is>
      </c>
      <c r="I1548" t="n">
        <v>244</v>
      </c>
      <c r="J1548" t="n">
        <v>11</v>
      </c>
      <c r="K1548" t="n">
        <v>25</v>
      </c>
      <c r="L1548" t="n">
        <v>0.18</v>
      </c>
      <c r="M1548" t="n">
        <v>50.17</v>
      </c>
      <c r="N1548" t="n">
        <v>2.2</v>
      </c>
      <c r="O1548" t="n">
        <v>29.9</v>
      </c>
      <c r="P1548" t="inlineStr">
        <is>
          <t>UPI</t>
        </is>
      </c>
      <c r="Q1548" t="inlineStr">
        <is>
          <t>Delivered</t>
        </is>
      </c>
      <c r="R1548" t="n">
        <v>4</v>
      </c>
    </row>
    <row r="1549">
      <c r="A1549" t="inlineStr">
        <is>
          <t>ORD2548</t>
        </is>
      </c>
      <c r="B1549" t="inlineStr">
        <is>
          <t>2025-10-20</t>
        </is>
      </c>
      <c r="C1549" t="inlineStr">
        <is>
          <t>19:22:23</t>
        </is>
      </c>
      <c r="D1549" t="n">
        <v>1222</v>
      </c>
      <c r="E1549" t="n">
        <v>114</v>
      </c>
      <c r="F1549" t="n">
        <v>215</v>
      </c>
      <c r="G1549" t="inlineStr">
        <is>
          <t>Hyderabad</t>
        </is>
      </c>
      <c r="H1549" t="inlineStr">
        <is>
          <t>Biryani</t>
        </is>
      </c>
      <c r="I1549" t="n">
        <v>610</v>
      </c>
      <c r="J1549" t="n">
        <v>0</v>
      </c>
      <c r="K1549" t="n">
        <v>25</v>
      </c>
      <c r="L1549" t="n">
        <v>0.22</v>
      </c>
      <c r="M1549" t="n">
        <v>140.45</v>
      </c>
      <c r="N1549" t="n">
        <v>2.9</v>
      </c>
      <c r="O1549" t="n">
        <v>30.1</v>
      </c>
      <c r="P1549" t="inlineStr">
        <is>
          <t>Cash on Delivery</t>
        </is>
      </c>
      <c r="Q1549" t="inlineStr">
        <is>
          <t>Delivered</t>
        </is>
      </c>
      <c r="R1549" t="n">
        <v>1</v>
      </c>
    </row>
    <row r="1550">
      <c r="A1550" t="inlineStr">
        <is>
          <t>ORD2549</t>
        </is>
      </c>
      <c r="B1550" t="inlineStr">
        <is>
          <t>2025-05-11</t>
        </is>
      </c>
      <c r="C1550" t="inlineStr">
        <is>
          <t>12:22:14</t>
        </is>
      </c>
      <c r="D1550" t="n">
        <v>1184</v>
      </c>
      <c r="E1550" t="n">
        <v>105</v>
      </c>
      <c r="F1550" t="n">
        <v>223</v>
      </c>
      <c r="G1550" t="inlineStr">
        <is>
          <t>Bangalore</t>
        </is>
      </c>
      <c r="H1550" t="inlineStr">
        <is>
          <t>Chinese</t>
        </is>
      </c>
      <c r="I1550" t="n">
        <v>688</v>
      </c>
      <c r="J1550" t="n">
        <v>131.52</v>
      </c>
      <c r="K1550" t="n">
        <v>0</v>
      </c>
      <c r="L1550" t="n">
        <v>0.2</v>
      </c>
      <c r="M1550" t="n">
        <v>137.6</v>
      </c>
      <c r="N1550" t="n">
        <v>5.3</v>
      </c>
      <c r="O1550" t="n">
        <v/>
      </c>
      <c r="P1550" t="inlineStr">
        <is>
          <t>Credit Card</t>
        </is>
      </c>
      <c r="Q1550" t="inlineStr">
        <is>
          <t>Cancelled</t>
        </is>
      </c>
      <c r="R1550" t="n">
        <v/>
      </c>
    </row>
    <row r="1551">
      <c r="A1551" t="inlineStr">
        <is>
          <t>ORD2550</t>
        </is>
      </c>
      <c r="B1551" t="inlineStr">
        <is>
          <t>2025-10-27</t>
        </is>
      </c>
      <c r="C1551" t="inlineStr">
        <is>
          <t>21:41:33</t>
        </is>
      </c>
      <c r="D1551" t="n">
        <v>1240</v>
      </c>
      <c r="E1551" t="n">
        <v>103</v>
      </c>
      <c r="F1551" t="n">
        <v>202</v>
      </c>
      <c r="G1551" t="inlineStr">
        <is>
          <t>Mumbai</t>
        </is>
      </c>
      <c r="H1551" t="inlineStr">
        <is>
          <t>Italian</t>
        </is>
      </c>
      <c r="I1551" t="n">
        <v>833</v>
      </c>
      <c r="J1551" t="n">
        <v>13.04</v>
      </c>
      <c r="K1551" t="n">
        <v>25</v>
      </c>
      <c r="L1551" t="n">
        <v>0.18</v>
      </c>
      <c r="M1551" t="n">
        <v>156.19</v>
      </c>
      <c r="N1551" t="n">
        <v>2.2</v>
      </c>
      <c r="O1551" t="n">
        <v>30.5</v>
      </c>
      <c r="P1551" t="inlineStr">
        <is>
          <t>Cash on Delivery</t>
        </is>
      </c>
      <c r="Q1551" t="inlineStr">
        <is>
          <t>Delivered</t>
        </is>
      </c>
      <c r="R1551" t="n">
        <v>2</v>
      </c>
    </row>
    <row r="1552">
      <c r="A1552" t="inlineStr">
        <is>
          <t>ORD2551</t>
        </is>
      </c>
      <c r="B1552" t="inlineStr">
        <is>
          <t>2025-02-16</t>
        </is>
      </c>
      <c r="C1552" t="inlineStr">
        <is>
          <t>18:45:58</t>
        </is>
      </c>
      <c r="D1552" t="n">
        <v>1227</v>
      </c>
      <c r="E1552" t="n">
        <v>105</v>
      </c>
      <c r="F1552" t="n">
        <v>203</v>
      </c>
      <c r="G1552" t="inlineStr">
        <is>
          <t>Bangalore</t>
        </is>
      </c>
      <c r="H1552" t="inlineStr">
        <is>
          <t>Chinese</t>
        </is>
      </c>
      <c r="I1552" t="n">
        <v>505</v>
      </c>
      <c r="J1552" t="n">
        <v>81.58</v>
      </c>
      <c r="K1552" t="n">
        <v>0</v>
      </c>
      <c r="L1552" t="n">
        <v>0.2</v>
      </c>
      <c r="M1552" t="n">
        <v>101</v>
      </c>
      <c r="N1552" t="n">
        <v>2.6</v>
      </c>
      <c r="O1552" t="n">
        <v>24.9</v>
      </c>
      <c r="P1552" t="inlineStr">
        <is>
          <t>Debit Card</t>
        </is>
      </c>
      <c r="Q1552" t="inlineStr">
        <is>
          <t>Delivered</t>
        </is>
      </c>
      <c r="R1552" t="n">
        <v>5</v>
      </c>
    </row>
    <row r="1553">
      <c r="A1553" t="inlineStr">
        <is>
          <t>ORD2552</t>
        </is>
      </c>
      <c r="B1553" t="inlineStr">
        <is>
          <t>2025-08-20</t>
        </is>
      </c>
      <c r="C1553" t="inlineStr">
        <is>
          <t>19:09:18</t>
        </is>
      </c>
      <c r="D1553" t="n">
        <v>1019</v>
      </c>
      <c r="E1553" t="n">
        <v>110</v>
      </c>
      <c r="F1553" t="n">
        <v>204</v>
      </c>
      <c r="G1553" t="inlineStr">
        <is>
          <t>Pune</t>
        </is>
      </c>
      <c r="H1553" t="inlineStr">
        <is>
          <t>North Indian</t>
        </is>
      </c>
      <c r="I1553" t="n">
        <v>365</v>
      </c>
      <c r="J1553" t="n">
        <v>8.130000000000001</v>
      </c>
      <c r="K1553" t="n">
        <v>26</v>
      </c>
      <c r="L1553" t="n">
        <v>0.18</v>
      </c>
      <c r="M1553" t="n">
        <v>72.2</v>
      </c>
      <c r="N1553" t="n">
        <v>3.2</v>
      </c>
      <c r="O1553" t="n">
        <v>35.7</v>
      </c>
      <c r="P1553" t="inlineStr">
        <is>
          <t>Credit Card</t>
        </is>
      </c>
      <c r="Q1553" t="inlineStr">
        <is>
          <t>Delivered</t>
        </is>
      </c>
      <c r="R1553" t="n">
        <v>5</v>
      </c>
    </row>
    <row r="1554">
      <c r="A1554" t="inlineStr">
        <is>
          <t>ORD2553</t>
        </is>
      </c>
      <c r="B1554" t="inlineStr">
        <is>
          <t>2025-09-24</t>
        </is>
      </c>
      <c r="C1554" t="inlineStr">
        <is>
          <t>21:04:14</t>
        </is>
      </c>
      <c r="D1554" t="n">
        <v>1145</v>
      </c>
      <c r="E1554" t="n">
        <v>110</v>
      </c>
      <c r="F1554" t="n">
        <v>208</v>
      </c>
      <c r="G1554" t="inlineStr">
        <is>
          <t>Pune</t>
        </is>
      </c>
      <c r="H1554" t="inlineStr">
        <is>
          <t>North Indian</t>
        </is>
      </c>
      <c r="I1554" t="n">
        <v>314</v>
      </c>
      <c r="J1554" t="n">
        <v>14.38</v>
      </c>
      <c r="K1554" t="n">
        <v>37.5</v>
      </c>
      <c r="L1554" t="n">
        <v>0.18</v>
      </c>
      <c r="M1554" t="n">
        <v>65.90000000000001</v>
      </c>
      <c r="N1554" t="n">
        <v>5.5</v>
      </c>
      <c r="O1554" t="n">
        <v>42.1</v>
      </c>
      <c r="P1554" t="inlineStr">
        <is>
          <t>Credit Card</t>
        </is>
      </c>
      <c r="Q1554" t="inlineStr">
        <is>
          <t>Delivered</t>
        </is>
      </c>
      <c r="R1554" t="n">
        <v>4</v>
      </c>
    </row>
    <row r="1555">
      <c r="A1555" t="inlineStr">
        <is>
          <t>ORD2554</t>
        </is>
      </c>
      <c r="B1555" t="inlineStr">
        <is>
          <t>2025-03-27</t>
        </is>
      </c>
      <c r="C1555" t="inlineStr">
        <is>
          <t>14:15:01</t>
        </is>
      </c>
      <c r="D1555" t="n">
        <v>1085</v>
      </c>
      <c r="E1555" t="n">
        <v>102</v>
      </c>
      <c r="F1555" t="n">
        <v>216</v>
      </c>
      <c r="G1555" t="inlineStr">
        <is>
          <t>Hyderabad</t>
        </is>
      </c>
      <c r="H1555" t="inlineStr">
        <is>
          <t>Biryani</t>
        </is>
      </c>
      <c r="I1555" t="n">
        <v>420</v>
      </c>
      <c r="J1555" t="n">
        <v>2.59</v>
      </c>
      <c r="K1555" t="n">
        <v>25</v>
      </c>
      <c r="L1555" t="n">
        <v>0.22</v>
      </c>
      <c r="M1555" t="n">
        <v>98.65000000000001</v>
      </c>
      <c r="N1555" t="n">
        <v>1.7</v>
      </c>
      <c r="O1555" t="n">
        <v>27.7</v>
      </c>
      <c r="P1555" t="inlineStr">
        <is>
          <t>Debit Card</t>
        </is>
      </c>
      <c r="Q1555" t="inlineStr">
        <is>
          <t>Delivered</t>
        </is>
      </c>
      <c r="R1555" t="n">
        <v>4</v>
      </c>
    </row>
    <row r="1556">
      <c r="A1556" t="inlineStr">
        <is>
          <t>ORD2555</t>
        </is>
      </c>
      <c r="B1556" t="inlineStr">
        <is>
          <t>2025-08-25</t>
        </is>
      </c>
      <c r="C1556" t="inlineStr">
        <is>
          <t>15:35:48</t>
        </is>
      </c>
      <c r="D1556" t="n">
        <v>1272</v>
      </c>
      <c r="E1556" t="n">
        <v>118</v>
      </c>
      <c r="F1556" t="n">
        <v>221</v>
      </c>
      <c r="G1556" t="inlineStr">
        <is>
          <t>Delhi NCR</t>
        </is>
      </c>
      <c r="H1556" t="inlineStr">
        <is>
          <t>North Indian</t>
        </is>
      </c>
      <c r="I1556" t="n">
        <v>597</v>
      </c>
      <c r="J1556" t="n">
        <v>60.07</v>
      </c>
      <c r="K1556" t="n">
        <v>43.5</v>
      </c>
      <c r="L1556" t="n">
        <v>0.2</v>
      </c>
      <c r="M1556" t="n">
        <v>130.28</v>
      </c>
      <c r="N1556" t="n">
        <v>6.7</v>
      </c>
      <c r="O1556" t="n">
        <v>36</v>
      </c>
      <c r="P1556" t="inlineStr">
        <is>
          <t>Credit Card</t>
        </is>
      </c>
      <c r="Q1556" t="inlineStr">
        <is>
          <t>Delivered</t>
        </is>
      </c>
      <c r="R1556" t="n">
        <v>4</v>
      </c>
    </row>
    <row r="1557">
      <c r="A1557" t="inlineStr">
        <is>
          <t>ORD2556</t>
        </is>
      </c>
      <c r="B1557" t="inlineStr">
        <is>
          <t>2025-06-16</t>
        </is>
      </c>
      <c r="C1557" t="inlineStr">
        <is>
          <t>20:54:10</t>
        </is>
      </c>
      <c r="D1557" t="n">
        <v>1267</v>
      </c>
      <c r="E1557" t="n">
        <v>101</v>
      </c>
      <c r="F1557" t="n">
        <v>227</v>
      </c>
      <c r="G1557" t="inlineStr">
        <is>
          <t>Bangalore</t>
        </is>
      </c>
      <c r="H1557" t="inlineStr">
        <is>
          <t>North Indian</t>
        </is>
      </c>
      <c r="I1557" t="n">
        <v>498</v>
      </c>
      <c r="J1557" t="n">
        <v>42.79</v>
      </c>
      <c r="K1557" t="n">
        <v>32</v>
      </c>
      <c r="L1557" t="n">
        <v>0.2</v>
      </c>
      <c r="M1557" t="n">
        <v>107.6</v>
      </c>
      <c r="N1557" t="n">
        <v>4.4</v>
      </c>
      <c r="O1557" t="n">
        <v>31.9</v>
      </c>
      <c r="P1557" t="inlineStr">
        <is>
          <t>Digital Wallet</t>
        </is>
      </c>
      <c r="Q1557" t="inlineStr">
        <is>
          <t>Delivered</t>
        </is>
      </c>
      <c r="R1557" t="n">
        <v>4</v>
      </c>
    </row>
    <row r="1558">
      <c r="A1558" t="inlineStr">
        <is>
          <t>ORD2557</t>
        </is>
      </c>
      <c r="B1558" t="inlineStr">
        <is>
          <t>2025-03-11</t>
        </is>
      </c>
      <c r="C1558" t="inlineStr">
        <is>
          <t>12:10:03</t>
        </is>
      </c>
      <c r="D1558" t="n">
        <v>1186</v>
      </c>
      <c r="E1558" t="n">
        <v>109</v>
      </c>
      <c r="F1558" t="n">
        <v>216</v>
      </c>
      <c r="G1558" t="inlineStr">
        <is>
          <t>Hyderabad</t>
        </is>
      </c>
      <c r="H1558" t="inlineStr">
        <is>
          <t>Biryani</t>
        </is>
      </c>
      <c r="I1558" t="n">
        <v>700</v>
      </c>
      <c r="J1558" t="n">
        <v>42.64</v>
      </c>
      <c r="K1558" t="n">
        <v>25</v>
      </c>
      <c r="L1558" t="n">
        <v>0.2</v>
      </c>
      <c r="M1558" t="n">
        <v>146.25</v>
      </c>
      <c r="N1558" t="n">
        <v>2.6</v>
      </c>
      <c r="O1558" t="n">
        <v>39.6</v>
      </c>
      <c r="P1558" t="inlineStr">
        <is>
          <t>Digital Wallet</t>
        </is>
      </c>
      <c r="Q1558" t="inlineStr">
        <is>
          <t>Delivered</t>
        </is>
      </c>
      <c r="R1558" t="n">
        <v>4</v>
      </c>
    </row>
    <row r="1559">
      <c r="A1559" t="inlineStr">
        <is>
          <t>ORD2558</t>
        </is>
      </c>
      <c r="B1559" t="inlineStr">
        <is>
          <t>2025-05-06</t>
        </is>
      </c>
      <c r="C1559" t="inlineStr">
        <is>
          <t>14:29:11</t>
        </is>
      </c>
      <c r="D1559" t="n">
        <v>1087</v>
      </c>
      <c r="E1559" t="n">
        <v>110</v>
      </c>
      <c r="F1559" t="n">
        <v>204</v>
      </c>
      <c r="G1559" t="inlineStr">
        <is>
          <t>Pune</t>
        </is>
      </c>
      <c r="H1559" t="inlineStr">
        <is>
          <t>North Indian</t>
        </is>
      </c>
      <c r="I1559" t="n">
        <v>947</v>
      </c>
      <c r="J1559" t="n">
        <v>54.63</v>
      </c>
      <c r="K1559" t="n">
        <v>25</v>
      </c>
      <c r="L1559" t="n">
        <v>0.18</v>
      </c>
      <c r="M1559" t="n">
        <v>176.71</v>
      </c>
      <c r="N1559" t="n">
        <v>2.3</v>
      </c>
      <c r="O1559" t="n">
        <v>23.4</v>
      </c>
      <c r="P1559" t="inlineStr">
        <is>
          <t>Digital Wallet</t>
        </is>
      </c>
      <c r="Q1559" t="inlineStr">
        <is>
          <t>Delivered</t>
        </is>
      </c>
      <c r="R1559" t="n">
        <v>4</v>
      </c>
    </row>
    <row r="1560">
      <c r="A1560" t="inlineStr">
        <is>
          <t>ORD2559</t>
        </is>
      </c>
      <c r="B1560" t="inlineStr">
        <is>
          <t>2025-07-13</t>
        </is>
      </c>
      <c r="C1560" t="inlineStr">
        <is>
          <t>16:08:00</t>
        </is>
      </c>
      <c r="D1560" t="n">
        <v>1254</v>
      </c>
      <c r="E1560" t="n">
        <v>102</v>
      </c>
      <c r="F1560" t="n">
        <v>225</v>
      </c>
      <c r="G1560" t="inlineStr">
        <is>
          <t>Hyderabad</t>
        </is>
      </c>
      <c r="H1560" t="inlineStr">
        <is>
          <t>Biryani</t>
        </is>
      </c>
      <c r="I1560" t="n">
        <v>514</v>
      </c>
      <c r="J1560" t="n">
        <v>0</v>
      </c>
      <c r="K1560" t="n">
        <v>32.5</v>
      </c>
      <c r="L1560" t="n">
        <v>0.22</v>
      </c>
      <c r="M1560" t="n">
        <v>121.2</v>
      </c>
      <c r="N1560" t="n">
        <v>4.5</v>
      </c>
      <c r="O1560" t="n">
        <v>40.6</v>
      </c>
      <c r="P1560" t="inlineStr">
        <is>
          <t>Cash on Delivery</t>
        </is>
      </c>
      <c r="Q1560" t="inlineStr">
        <is>
          <t>Delivered</t>
        </is>
      </c>
      <c r="R1560" t="n">
        <v>3</v>
      </c>
    </row>
    <row r="1561">
      <c r="A1561" t="inlineStr">
        <is>
          <t>ORD2560</t>
        </is>
      </c>
      <c r="B1561" t="inlineStr">
        <is>
          <t>2025-11-07</t>
        </is>
      </c>
      <c r="C1561" t="inlineStr">
        <is>
          <t>20:36:45</t>
        </is>
      </c>
      <c r="D1561" t="n">
        <v>1111</v>
      </c>
      <c r="E1561" t="n">
        <v>103</v>
      </c>
      <c r="F1561" t="n">
        <v>229</v>
      </c>
      <c r="G1561" t="inlineStr">
        <is>
          <t>Mumbai</t>
        </is>
      </c>
      <c r="H1561" t="inlineStr">
        <is>
          <t>Italian</t>
        </is>
      </c>
      <c r="I1561" t="n">
        <v>634</v>
      </c>
      <c r="J1561" t="n">
        <v>26.55</v>
      </c>
      <c r="K1561" t="n">
        <v>34</v>
      </c>
      <c r="L1561" t="n">
        <v>0.18</v>
      </c>
      <c r="M1561" t="n">
        <v>122.62</v>
      </c>
      <c r="N1561" t="n">
        <v>4.8</v>
      </c>
      <c r="O1561" t="n">
        <v>35.5</v>
      </c>
      <c r="P1561" t="inlineStr">
        <is>
          <t>Digital Wallet</t>
        </is>
      </c>
      <c r="Q1561" t="inlineStr">
        <is>
          <t>Delivered</t>
        </is>
      </c>
      <c r="R1561" t="n">
        <v>2</v>
      </c>
    </row>
    <row r="1562">
      <c r="A1562" t="inlineStr">
        <is>
          <t>ORD2561</t>
        </is>
      </c>
      <c r="B1562" t="inlineStr">
        <is>
          <t>2025-04-16</t>
        </is>
      </c>
      <c r="C1562" t="inlineStr">
        <is>
          <t>07:04:38</t>
        </is>
      </c>
      <c r="D1562" t="n">
        <v>1293</v>
      </c>
      <c r="E1562" t="n">
        <v>119</v>
      </c>
      <c r="F1562" t="n">
        <v>216</v>
      </c>
      <c r="G1562" t="inlineStr">
        <is>
          <t>Hyderabad</t>
        </is>
      </c>
      <c r="H1562" t="inlineStr">
        <is>
          <t>Biryani</t>
        </is>
      </c>
      <c r="I1562" t="n">
        <v>596</v>
      </c>
      <c r="J1562" t="n">
        <v>64.93000000000001</v>
      </c>
      <c r="K1562" t="n">
        <v>30.5</v>
      </c>
      <c r="L1562" t="n">
        <v>0.2</v>
      </c>
      <c r="M1562" t="n">
        <v>126.82</v>
      </c>
      <c r="N1562" t="n">
        <v>4.1</v>
      </c>
      <c r="O1562" t="n">
        <v>30.3</v>
      </c>
      <c r="P1562" t="inlineStr">
        <is>
          <t>Cash on Delivery</t>
        </is>
      </c>
      <c r="Q1562" t="inlineStr">
        <is>
          <t>Delivered</t>
        </is>
      </c>
      <c r="R1562" t="n">
        <v>4</v>
      </c>
    </row>
    <row r="1563">
      <c r="A1563" t="inlineStr">
        <is>
          <t>ORD2562</t>
        </is>
      </c>
      <c r="B1563" t="inlineStr">
        <is>
          <t>2025-07-11</t>
        </is>
      </c>
      <c r="C1563" t="inlineStr">
        <is>
          <t>19:01:20</t>
        </is>
      </c>
      <c r="D1563" t="n">
        <v>1164</v>
      </c>
      <c r="E1563" t="n">
        <v>106</v>
      </c>
      <c r="F1563" t="n">
        <v>208</v>
      </c>
      <c r="G1563" t="inlineStr">
        <is>
          <t>Pune</t>
        </is>
      </c>
      <c r="H1563" t="inlineStr">
        <is>
          <t>South Indian</t>
        </is>
      </c>
      <c r="I1563" t="n">
        <v>718</v>
      </c>
      <c r="J1563" t="n">
        <v>0</v>
      </c>
      <c r="K1563" t="n">
        <v>25.5</v>
      </c>
      <c r="L1563" t="n">
        <v>0.15</v>
      </c>
      <c r="M1563" t="n">
        <v>114.08</v>
      </c>
      <c r="N1563" t="n">
        <v>3.1</v>
      </c>
      <c r="O1563" t="n">
        <v>24.5</v>
      </c>
      <c r="P1563" t="inlineStr">
        <is>
          <t>Cash on Delivery</t>
        </is>
      </c>
      <c r="Q1563" t="inlineStr">
        <is>
          <t>Delivered</t>
        </is>
      </c>
      <c r="R1563" t="n">
        <v>5</v>
      </c>
    </row>
    <row r="1564">
      <c r="A1564" t="inlineStr">
        <is>
          <t>ORD2563</t>
        </is>
      </c>
      <c r="B1564" t="inlineStr">
        <is>
          <t>2025-11-29</t>
        </is>
      </c>
      <c r="C1564" t="inlineStr">
        <is>
          <t>12:50:19</t>
        </is>
      </c>
      <c r="D1564" t="n">
        <v>1020</v>
      </c>
      <c r="E1564" t="n">
        <v>104</v>
      </c>
      <c r="F1564" t="n">
        <v>221</v>
      </c>
      <c r="G1564" t="inlineStr">
        <is>
          <t>Delhi NCR</t>
        </is>
      </c>
      <c r="H1564" t="inlineStr">
        <is>
          <t>Fast Food</t>
        </is>
      </c>
      <c r="I1564" t="n">
        <v>625</v>
      </c>
      <c r="J1564" t="n">
        <v>0</v>
      </c>
      <c r="K1564" t="n">
        <v>40</v>
      </c>
      <c r="L1564" t="n">
        <v>0.18</v>
      </c>
      <c r="M1564" t="n">
        <v>122.5</v>
      </c>
      <c r="N1564" t="n">
        <v>6</v>
      </c>
      <c r="O1564" t="n">
        <v>35.8</v>
      </c>
      <c r="P1564" t="inlineStr">
        <is>
          <t>Credit Card</t>
        </is>
      </c>
      <c r="Q1564" t="inlineStr">
        <is>
          <t>Delivered</t>
        </is>
      </c>
      <c r="R1564" t="n">
        <v>3</v>
      </c>
    </row>
    <row r="1565">
      <c r="A1565" t="inlineStr">
        <is>
          <t>ORD2564</t>
        </is>
      </c>
      <c r="B1565" t="inlineStr">
        <is>
          <t>2025-07-24</t>
        </is>
      </c>
      <c r="C1565" t="inlineStr">
        <is>
          <t>21:29:45</t>
        </is>
      </c>
      <c r="D1565" t="n">
        <v>1290</v>
      </c>
      <c r="E1565" t="n">
        <v>117</v>
      </c>
      <c r="F1565" t="n">
        <v>206</v>
      </c>
      <c r="G1565" t="inlineStr">
        <is>
          <t>Mumbai</t>
        </is>
      </c>
      <c r="H1565" t="inlineStr">
        <is>
          <t>Chinese</t>
        </is>
      </c>
      <c r="I1565" t="n">
        <v>696</v>
      </c>
      <c r="J1565" t="n">
        <v>0</v>
      </c>
      <c r="K1565" t="n">
        <v>26.5</v>
      </c>
      <c r="L1565" t="n">
        <v>0.2</v>
      </c>
      <c r="M1565" t="n">
        <v>145.83</v>
      </c>
      <c r="N1565" t="n">
        <v>3.3</v>
      </c>
      <c r="O1565" t="n">
        <v>28.4</v>
      </c>
      <c r="P1565" t="inlineStr">
        <is>
          <t>Credit Card</t>
        </is>
      </c>
      <c r="Q1565" t="inlineStr">
        <is>
          <t>Delivered</t>
        </is>
      </c>
      <c r="R1565" t="n">
        <v>2</v>
      </c>
    </row>
    <row r="1566">
      <c r="A1566" t="inlineStr">
        <is>
          <t>ORD2565</t>
        </is>
      </c>
      <c r="B1566" t="inlineStr">
        <is>
          <t>2025-03-16</t>
        </is>
      </c>
      <c r="C1566" t="inlineStr">
        <is>
          <t>23:57:40</t>
        </is>
      </c>
      <c r="D1566" t="n">
        <v>1299</v>
      </c>
      <c r="E1566" t="n">
        <v>119</v>
      </c>
      <c r="F1566" t="n">
        <v>215</v>
      </c>
      <c r="G1566" t="inlineStr">
        <is>
          <t>Hyderabad</t>
        </is>
      </c>
      <c r="H1566" t="inlineStr">
        <is>
          <t>Biryani</t>
        </is>
      </c>
      <c r="I1566" t="n">
        <v>323</v>
      </c>
      <c r="J1566" t="n">
        <v>22.83</v>
      </c>
      <c r="K1566" t="n">
        <v>66.5</v>
      </c>
      <c r="L1566" t="n">
        <v>0.2</v>
      </c>
      <c r="M1566" t="n">
        <v>81.23</v>
      </c>
      <c r="N1566" t="n">
        <v>11.3</v>
      </c>
      <c r="O1566" t="n">
        <v>51.9</v>
      </c>
      <c r="P1566" t="inlineStr">
        <is>
          <t>Cash on Delivery</t>
        </is>
      </c>
      <c r="Q1566" t="inlineStr">
        <is>
          <t>Delivered</t>
        </is>
      </c>
      <c r="R1566" t="n">
        <v>1</v>
      </c>
    </row>
    <row r="1567">
      <c r="A1567" t="inlineStr">
        <is>
          <t>ORD2566</t>
        </is>
      </c>
      <c r="B1567" t="inlineStr">
        <is>
          <t>2025-11-03</t>
        </is>
      </c>
      <c r="C1567" t="inlineStr">
        <is>
          <t>11:18:22</t>
        </is>
      </c>
      <c r="D1567" t="n">
        <v>1266</v>
      </c>
      <c r="E1567" t="n">
        <v>107</v>
      </c>
      <c r="F1567" t="n">
        <v>206</v>
      </c>
      <c r="G1567" t="inlineStr">
        <is>
          <t>Mumbai</t>
        </is>
      </c>
      <c r="H1567" t="inlineStr">
        <is>
          <t>Desserts</t>
        </is>
      </c>
      <c r="I1567" t="n">
        <v>744</v>
      </c>
      <c r="J1567" t="n">
        <v>65.93000000000001</v>
      </c>
      <c r="K1567" t="n">
        <v>25</v>
      </c>
      <c r="L1567" t="n">
        <v>0.25</v>
      </c>
      <c r="M1567" t="n">
        <v>192.25</v>
      </c>
      <c r="N1567" t="n">
        <v>2.8</v>
      </c>
      <c r="O1567" t="n">
        <v>22.4</v>
      </c>
      <c r="P1567" t="inlineStr">
        <is>
          <t>Cash on Delivery</t>
        </is>
      </c>
      <c r="Q1567" t="inlineStr">
        <is>
          <t>Delivered</t>
        </is>
      </c>
      <c r="R1567" t="n">
        <v>2</v>
      </c>
    </row>
    <row r="1568">
      <c r="A1568" t="inlineStr">
        <is>
          <t>ORD2567</t>
        </is>
      </c>
      <c r="B1568" t="inlineStr">
        <is>
          <t>2025-06-19</t>
        </is>
      </c>
      <c r="C1568" t="inlineStr">
        <is>
          <t>09:12:19</t>
        </is>
      </c>
      <c r="D1568" t="n">
        <v>1108</v>
      </c>
      <c r="E1568" t="n">
        <v>116</v>
      </c>
      <c r="F1568" t="n">
        <v>226</v>
      </c>
      <c r="G1568" t="inlineStr">
        <is>
          <t>Pune</t>
        </is>
      </c>
      <c r="H1568" t="inlineStr">
        <is>
          <t>Desserts</t>
        </is>
      </c>
      <c r="I1568" t="n">
        <v>738</v>
      </c>
      <c r="J1568" t="n">
        <v>45.47</v>
      </c>
      <c r="K1568" t="n">
        <v>25</v>
      </c>
      <c r="L1568" t="n">
        <v>0.25</v>
      </c>
      <c r="M1568" t="n">
        <v>190.75</v>
      </c>
      <c r="N1568" t="n">
        <v>2.6</v>
      </c>
      <c r="O1568" t="n">
        <v>34.5</v>
      </c>
      <c r="P1568" t="inlineStr">
        <is>
          <t>Credit Card</t>
        </is>
      </c>
      <c r="Q1568" t="inlineStr">
        <is>
          <t>Delivered</t>
        </is>
      </c>
      <c r="R1568" t="n">
        <v>4</v>
      </c>
    </row>
    <row r="1569">
      <c r="A1569" t="inlineStr">
        <is>
          <t>ORD2568</t>
        </is>
      </c>
      <c r="B1569" t="inlineStr">
        <is>
          <t>2025-09-18</t>
        </is>
      </c>
      <c r="C1569" t="inlineStr">
        <is>
          <t>13:13:40</t>
        </is>
      </c>
      <c r="D1569" t="n">
        <v>1248</v>
      </c>
      <c r="E1569" t="n">
        <v>118</v>
      </c>
      <c r="F1569" t="n">
        <v>228</v>
      </c>
      <c r="G1569" t="inlineStr">
        <is>
          <t>Delhi NCR</t>
        </is>
      </c>
      <c r="H1569" t="inlineStr">
        <is>
          <t>North Indian</t>
        </is>
      </c>
      <c r="I1569" t="n">
        <v>948</v>
      </c>
      <c r="J1569" t="n">
        <v>97.09</v>
      </c>
      <c r="K1569" t="n">
        <v>0</v>
      </c>
      <c r="L1569" t="n">
        <v>0.2</v>
      </c>
      <c r="M1569" t="n">
        <v>189.6</v>
      </c>
      <c r="N1569" t="n">
        <v>8.800000000000001</v>
      </c>
      <c r="O1569" t="n">
        <v>58.1</v>
      </c>
      <c r="P1569" t="inlineStr">
        <is>
          <t>Digital Wallet</t>
        </is>
      </c>
      <c r="Q1569" t="inlineStr">
        <is>
          <t>Delivered</t>
        </is>
      </c>
      <c r="R1569" t="n">
        <v>2</v>
      </c>
    </row>
    <row r="1570">
      <c r="A1570" t="inlineStr">
        <is>
          <t>ORD2569</t>
        </is>
      </c>
      <c r="B1570" t="inlineStr">
        <is>
          <t>2025-05-26</t>
        </is>
      </c>
      <c r="C1570" t="inlineStr">
        <is>
          <t>17:23:03</t>
        </is>
      </c>
      <c r="D1570" t="n">
        <v>1155</v>
      </c>
      <c r="E1570" t="n">
        <v>106</v>
      </c>
      <c r="F1570" t="n">
        <v>208</v>
      </c>
      <c r="G1570" t="inlineStr">
        <is>
          <t>Pune</t>
        </is>
      </c>
      <c r="H1570" t="inlineStr">
        <is>
          <t>South Indian</t>
        </is>
      </c>
      <c r="I1570" t="n">
        <v>998</v>
      </c>
      <c r="J1570" t="n">
        <v>112.11</v>
      </c>
      <c r="K1570" t="n">
        <v>0</v>
      </c>
      <c r="L1570" t="n">
        <v>0.15</v>
      </c>
      <c r="M1570" t="n">
        <v>149.7</v>
      </c>
      <c r="N1570" t="n">
        <v>3</v>
      </c>
      <c r="O1570" t="n">
        <v>25</v>
      </c>
      <c r="P1570" t="inlineStr">
        <is>
          <t>Cash on Delivery</t>
        </is>
      </c>
      <c r="Q1570" t="inlineStr">
        <is>
          <t>Delivered</t>
        </is>
      </c>
      <c r="R1570" t="n">
        <v>5</v>
      </c>
    </row>
    <row r="1571">
      <c r="A1571" t="inlineStr">
        <is>
          <t>ORD2570</t>
        </is>
      </c>
      <c r="B1571" t="inlineStr">
        <is>
          <t>2025-03-20</t>
        </is>
      </c>
      <c r="C1571" t="inlineStr">
        <is>
          <t>09:59:52</t>
        </is>
      </c>
      <c r="D1571" t="n">
        <v>1034</v>
      </c>
      <c r="E1571" t="n">
        <v>103</v>
      </c>
      <c r="F1571" t="n">
        <v>206</v>
      </c>
      <c r="G1571" t="inlineStr">
        <is>
          <t>Mumbai</t>
        </is>
      </c>
      <c r="H1571" t="inlineStr">
        <is>
          <t>Italian</t>
        </is>
      </c>
      <c r="I1571" t="n">
        <v>790</v>
      </c>
      <c r="J1571" t="n">
        <v>131.19</v>
      </c>
      <c r="K1571" t="n">
        <v>0</v>
      </c>
      <c r="L1571" t="n">
        <v>0.18</v>
      </c>
      <c r="M1571" t="n">
        <v>142.2</v>
      </c>
      <c r="N1571" t="n">
        <v>5.8</v>
      </c>
      <c r="O1571" t="n">
        <v>38.2</v>
      </c>
      <c r="P1571" t="inlineStr">
        <is>
          <t>Debit Card</t>
        </is>
      </c>
      <c r="Q1571" t="inlineStr">
        <is>
          <t>Delivered</t>
        </is>
      </c>
      <c r="R1571" t="n">
        <v>5</v>
      </c>
    </row>
    <row r="1572">
      <c r="A1572" t="inlineStr">
        <is>
          <t>ORD2571</t>
        </is>
      </c>
      <c r="B1572" t="inlineStr">
        <is>
          <t>2025-04-11</t>
        </is>
      </c>
      <c r="C1572" t="inlineStr">
        <is>
          <t>17:05:39</t>
        </is>
      </c>
      <c r="D1572" t="n">
        <v>1121</v>
      </c>
      <c r="E1572" t="n">
        <v>115</v>
      </c>
      <c r="F1572" t="n">
        <v>223</v>
      </c>
      <c r="G1572" t="inlineStr">
        <is>
          <t>Bangalore</t>
        </is>
      </c>
      <c r="H1572" t="inlineStr">
        <is>
          <t>Italian</t>
        </is>
      </c>
      <c r="I1572" t="n">
        <v>613</v>
      </c>
      <c r="J1572" t="n">
        <v>42.48</v>
      </c>
      <c r="K1572" t="n">
        <v>33.5</v>
      </c>
      <c r="L1572" t="n">
        <v>0.2</v>
      </c>
      <c r="M1572" t="n">
        <v>130.98</v>
      </c>
      <c r="N1572" t="n">
        <v>4.7</v>
      </c>
      <c r="O1572" t="n">
        <v>31.8</v>
      </c>
      <c r="P1572" t="inlineStr">
        <is>
          <t>UPI</t>
        </is>
      </c>
      <c r="Q1572" t="inlineStr">
        <is>
          <t>Delivered</t>
        </is>
      </c>
      <c r="R1572" t="n">
        <v>4</v>
      </c>
    </row>
    <row r="1573">
      <c r="A1573" t="inlineStr">
        <is>
          <t>ORD2572</t>
        </is>
      </c>
      <c r="B1573" t="inlineStr">
        <is>
          <t>2025-04-10</t>
        </is>
      </c>
      <c r="C1573" t="inlineStr">
        <is>
          <t>12:26:36</t>
        </is>
      </c>
      <c r="D1573" t="n">
        <v>1012</v>
      </c>
      <c r="E1573" t="n">
        <v>106</v>
      </c>
      <c r="F1573" t="n">
        <v>209</v>
      </c>
      <c r="G1573" t="inlineStr">
        <is>
          <t>Pune</t>
        </is>
      </c>
      <c r="H1573" t="inlineStr">
        <is>
          <t>South Indian</t>
        </is>
      </c>
      <c r="I1573" t="n">
        <v>624</v>
      </c>
      <c r="J1573" t="n">
        <v>112.29</v>
      </c>
      <c r="K1573" t="n">
        <v>0</v>
      </c>
      <c r="L1573" t="n">
        <v>0.15</v>
      </c>
      <c r="M1573" t="n">
        <v>93.59999999999999</v>
      </c>
      <c r="N1573" t="n">
        <v>1.8</v>
      </c>
      <c r="O1573" t="n">
        <v>34.2</v>
      </c>
      <c r="P1573" t="inlineStr">
        <is>
          <t>Cash on Delivery</t>
        </is>
      </c>
      <c r="Q1573" t="inlineStr">
        <is>
          <t>Delivered</t>
        </is>
      </c>
      <c r="R1573" t="n">
        <v>3</v>
      </c>
    </row>
    <row r="1574">
      <c r="A1574" t="inlineStr">
        <is>
          <t>ORD2573</t>
        </is>
      </c>
      <c r="B1574" t="inlineStr">
        <is>
          <t>2025-02-03</t>
        </is>
      </c>
      <c r="C1574" t="inlineStr">
        <is>
          <t>20:10:54</t>
        </is>
      </c>
      <c r="D1574" t="n">
        <v>1092</v>
      </c>
      <c r="E1574" t="n">
        <v>112</v>
      </c>
      <c r="F1574" t="n">
        <v>212</v>
      </c>
      <c r="G1574" t="inlineStr">
        <is>
          <t>Delhi NCR</t>
        </is>
      </c>
      <c r="H1574" t="inlineStr">
        <is>
          <t>North Indian</t>
        </is>
      </c>
      <c r="I1574" t="n">
        <v>258</v>
      </c>
      <c r="J1574" t="n">
        <v>17.7</v>
      </c>
      <c r="K1574" t="n">
        <v>29.5</v>
      </c>
      <c r="L1574" t="n">
        <v>0.22</v>
      </c>
      <c r="M1574" t="n">
        <v>64.13</v>
      </c>
      <c r="N1574" t="n">
        <v>3.9</v>
      </c>
      <c r="O1574" t="n">
        <v>31.7</v>
      </c>
      <c r="P1574" t="inlineStr">
        <is>
          <t>UPI</t>
        </is>
      </c>
      <c r="Q1574" t="inlineStr">
        <is>
          <t>Delivered</t>
        </is>
      </c>
      <c r="R1574" t="n">
        <v>5</v>
      </c>
    </row>
    <row r="1575">
      <c r="A1575" t="inlineStr">
        <is>
          <t>ORD2574</t>
        </is>
      </c>
      <c r="B1575" t="inlineStr">
        <is>
          <t>2025-03-26</t>
        </is>
      </c>
      <c r="C1575" t="inlineStr">
        <is>
          <t>12:59:43</t>
        </is>
      </c>
      <c r="D1575" t="n">
        <v>1227</v>
      </c>
      <c r="E1575" t="n">
        <v>101</v>
      </c>
      <c r="F1575" t="n">
        <v>205</v>
      </c>
      <c r="G1575" t="inlineStr">
        <is>
          <t>Bangalore</t>
        </is>
      </c>
      <c r="H1575" t="inlineStr">
        <is>
          <t>North Indian</t>
        </is>
      </c>
      <c r="I1575" t="n">
        <v>854</v>
      </c>
      <c r="J1575" t="n">
        <v>92.23</v>
      </c>
      <c r="K1575" t="n">
        <v>0</v>
      </c>
      <c r="L1575" t="n">
        <v>0.2</v>
      </c>
      <c r="M1575" t="n">
        <v>170.8</v>
      </c>
      <c r="N1575" t="n">
        <v>2.3</v>
      </c>
      <c r="O1575" t="n">
        <v>32.1</v>
      </c>
      <c r="P1575" t="inlineStr">
        <is>
          <t>Debit Card</t>
        </is>
      </c>
      <c r="Q1575" t="inlineStr">
        <is>
          <t>Delivered</t>
        </is>
      </c>
      <c r="R1575" t="n">
        <v>1</v>
      </c>
    </row>
    <row r="1576">
      <c r="A1576" t="inlineStr">
        <is>
          <t>ORD2575</t>
        </is>
      </c>
      <c r="B1576" t="inlineStr">
        <is>
          <t>2025-10-23</t>
        </is>
      </c>
      <c r="C1576" t="inlineStr">
        <is>
          <t>14:35:35</t>
        </is>
      </c>
      <c r="D1576" t="n">
        <v>1223</v>
      </c>
      <c r="E1576" t="n">
        <v>109</v>
      </c>
      <c r="F1576" t="n">
        <v>216</v>
      </c>
      <c r="G1576" t="inlineStr">
        <is>
          <t>Hyderabad</t>
        </is>
      </c>
      <c r="H1576" t="inlineStr">
        <is>
          <t>Biryani</t>
        </is>
      </c>
      <c r="I1576" t="n">
        <v>558</v>
      </c>
      <c r="J1576" t="n">
        <v>14.58</v>
      </c>
      <c r="K1576" t="n">
        <v>25</v>
      </c>
      <c r="L1576" t="n">
        <v>0.2</v>
      </c>
      <c r="M1576" t="n">
        <v>117.85</v>
      </c>
      <c r="N1576" t="n">
        <v>2.7</v>
      </c>
      <c r="O1576" t="n">
        <v>28.3</v>
      </c>
      <c r="P1576" t="inlineStr">
        <is>
          <t>Digital Wallet</t>
        </is>
      </c>
      <c r="Q1576" t="inlineStr">
        <is>
          <t>Delivered</t>
        </is>
      </c>
      <c r="R1576" t="n">
        <v>3</v>
      </c>
    </row>
    <row r="1577">
      <c r="A1577" t="inlineStr">
        <is>
          <t>ORD2576</t>
        </is>
      </c>
      <c r="B1577" t="inlineStr">
        <is>
          <t>2025-01-12</t>
        </is>
      </c>
      <c r="C1577" t="inlineStr">
        <is>
          <t>17:27:30</t>
        </is>
      </c>
      <c r="D1577" t="n">
        <v>1116</v>
      </c>
      <c r="E1577" t="n">
        <v>103</v>
      </c>
      <c r="F1577" t="n">
        <v>229</v>
      </c>
      <c r="G1577" t="inlineStr">
        <is>
          <t>Mumbai</t>
        </is>
      </c>
      <c r="H1577" t="inlineStr">
        <is>
          <t>Italian</t>
        </is>
      </c>
      <c r="I1577" t="n">
        <v>682</v>
      </c>
      <c r="J1577" t="n">
        <v>132.3</v>
      </c>
      <c r="K1577" t="n">
        <v>0</v>
      </c>
      <c r="L1577" t="n">
        <v>0.18</v>
      </c>
      <c r="M1577" t="n">
        <v>122.76</v>
      </c>
      <c r="N1577" t="n">
        <v>2.2</v>
      </c>
      <c r="O1577" t="n">
        <v>23</v>
      </c>
      <c r="P1577" t="inlineStr">
        <is>
          <t>Cash on Delivery</t>
        </is>
      </c>
      <c r="Q1577" t="inlineStr">
        <is>
          <t>Delivered</t>
        </is>
      </c>
      <c r="R1577" t="n">
        <v>4</v>
      </c>
    </row>
    <row r="1578">
      <c r="A1578" t="inlineStr">
        <is>
          <t>ORD2577</t>
        </is>
      </c>
      <c r="B1578" t="inlineStr">
        <is>
          <t>2025-05-12</t>
        </is>
      </c>
      <c r="C1578" t="inlineStr">
        <is>
          <t>16:06:52</t>
        </is>
      </c>
      <c r="D1578" t="n">
        <v>1210</v>
      </c>
      <c r="E1578" t="n">
        <v>104</v>
      </c>
      <c r="F1578" t="n">
        <v>211</v>
      </c>
      <c r="G1578" t="inlineStr">
        <is>
          <t>Delhi NCR</t>
        </is>
      </c>
      <c r="H1578" t="inlineStr">
        <is>
          <t>Fast Food</t>
        </is>
      </c>
      <c r="I1578" t="n">
        <v>371</v>
      </c>
      <c r="J1578" t="n">
        <v>25.06</v>
      </c>
      <c r="K1578" t="n">
        <v>30.5</v>
      </c>
      <c r="L1578" t="n">
        <v>0.18</v>
      </c>
      <c r="M1578" t="n">
        <v>74.40000000000001</v>
      </c>
      <c r="N1578" t="n">
        <v>4.1</v>
      </c>
      <c r="O1578" t="n">
        <v>33.3</v>
      </c>
      <c r="P1578" t="inlineStr">
        <is>
          <t>Credit Card</t>
        </is>
      </c>
      <c r="Q1578" t="inlineStr">
        <is>
          <t>Delivered</t>
        </is>
      </c>
      <c r="R1578" t="n">
        <v>4</v>
      </c>
    </row>
    <row r="1579">
      <c r="A1579" t="inlineStr">
        <is>
          <t>ORD2578</t>
        </is>
      </c>
      <c r="B1579" t="inlineStr">
        <is>
          <t>2025-12-24</t>
        </is>
      </c>
      <c r="C1579" t="inlineStr">
        <is>
          <t>12:34:32</t>
        </is>
      </c>
      <c r="D1579" t="n">
        <v>1117</v>
      </c>
      <c r="E1579" t="n">
        <v>113</v>
      </c>
      <c r="F1579" t="n">
        <v>222</v>
      </c>
      <c r="G1579" t="inlineStr">
        <is>
          <t>Mumbai</t>
        </is>
      </c>
      <c r="H1579" t="inlineStr">
        <is>
          <t>Fast Food</t>
        </is>
      </c>
      <c r="I1579" t="n">
        <v>591</v>
      </c>
      <c r="J1579" t="n">
        <v>46.62</v>
      </c>
      <c r="K1579" t="n">
        <v>32</v>
      </c>
      <c r="L1579" t="n">
        <v>0.18</v>
      </c>
      <c r="M1579" t="n">
        <v>114.38</v>
      </c>
      <c r="N1579" t="n">
        <v>4.4</v>
      </c>
      <c r="O1579" t="n">
        <v>39.4</v>
      </c>
      <c r="P1579" t="inlineStr">
        <is>
          <t>Digital Wallet</t>
        </is>
      </c>
      <c r="Q1579" t="inlineStr">
        <is>
          <t>Delivered</t>
        </is>
      </c>
      <c r="R1579" t="n">
        <v>4</v>
      </c>
    </row>
    <row r="1580">
      <c r="A1580" t="inlineStr">
        <is>
          <t>ORD2579</t>
        </is>
      </c>
      <c r="B1580" t="inlineStr">
        <is>
          <t>2025-05-05</t>
        </is>
      </c>
      <c r="C1580" t="inlineStr">
        <is>
          <t>13:10:39</t>
        </is>
      </c>
      <c r="D1580" t="n">
        <v>1193</v>
      </c>
      <c r="E1580" t="n">
        <v>112</v>
      </c>
      <c r="F1580" t="n">
        <v>228</v>
      </c>
      <c r="G1580" t="inlineStr">
        <is>
          <t>Delhi NCR</t>
        </is>
      </c>
      <c r="H1580" t="inlineStr">
        <is>
          <t>North Indian</t>
        </is>
      </c>
      <c r="I1580" t="n">
        <v>1054</v>
      </c>
      <c r="J1580" t="n">
        <v>203.25</v>
      </c>
      <c r="K1580" t="n">
        <v>0</v>
      </c>
      <c r="L1580" t="n">
        <v>0.22</v>
      </c>
      <c r="M1580" t="n">
        <v>231.88</v>
      </c>
      <c r="N1580" t="n">
        <v>8.4</v>
      </c>
      <c r="O1580" t="n">
        <v>49.3</v>
      </c>
      <c r="P1580" t="inlineStr">
        <is>
          <t>Debit Card</t>
        </is>
      </c>
      <c r="Q1580" t="inlineStr">
        <is>
          <t>Delivered</t>
        </is>
      </c>
      <c r="R1580" t="n">
        <v>3</v>
      </c>
    </row>
    <row r="1581">
      <c r="A1581" t="inlineStr">
        <is>
          <t>ORD2580</t>
        </is>
      </c>
      <c r="B1581" t="inlineStr">
        <is>
          <t>2025-07-27</t>
        </is>
      </c>
      <c r="C1581" t="inlineStr">
        <is>
          <t>10:52:27</t>
        </is>
      </c>
      <c r="D1581" t="n">
        <v>1198</v>
      </c>
      <c r="E1581" t="n">
        <v>115</v>
      </c>
      <c r="F1581" t="n">
        <v>210</v>
      </c>
      <c r="G1581" t="inlineStr">
        <is>
          <t>Bangalore</t>
        </is>
      </c>
      <c r="H1581" t="inlineStr">
        <is>
          <t>Italian</t>
        </is>
      </c>
      <c r="I1581" t="n">
        <v>583</v>
      </c>
      <c r="J1581" t="n">
        <v>85.89</v>
      </c>
      <c r="K1581" t="n">
        <v>0</v>
      </c>
      <c r="L1581" t="n">
        <v>0.2</v>
      </c>
      <c r="M1581" t="n">
        <v>116.6</v>
      </c>
      <c r="N1581" t="n">
        <v>5.2</v>
      </c>
      <c r="O1581" t="n">
        <v>37.8</v>
      </c>
      <c r="P1581" t="inlineStr">
        <is>
          <t>Debit Card</t>
        </is>
      </c>
      <c r="Q1581" t="inlineStr">
        <is>
          <t>Delivered</t>
        </is>
      </c>
      <c r="R1581" t="n">
        <v>5</v>
      </c>
    </row>
    <row r="1582">
      <c r="A1582" t="inlineStr">
        <is>
          <t>ORD2581</t>
        </is>
      </c>
      <c r="B1582" t="inlineStr">
        <is>
          <t>2025-05-01</t>
        </is>
      </c>
      <c r="C1582" t="inlineStr">
        <is>
          <t>18:31:56</t>
        </is>
      </c>
      <c r="D1582" t="n">
        <v>1140</v>
      </c>
      <c r="E1582" t="n">
        <v>116</v>
      </c>
      <c r="F1582" t="n">
        <v>226</v>
      </c>
      <c r="G1582" t="inlineStr">
        <is>
          <t>Pune</t>
        </is>
      </c>
      <c r="H1582" t="inlineStr">
        <is>
          <t>Desserts</t>
        </is>
      </c>
      <c r="I1582" t="n">
        <v>1060</v>
      </c>
      <c r="J1582" t="n">
        <v>207.58</v>
      </c>
      <c r="K1582" t="n">
        <v>0</v>
      </c>
      <c r="L1582" t="n">
        <v>0.25</v>
      </c>
      <c r="M1582" t="n">
        <v>265</v>
      </c>
      <c r="N1582" t="n">
        <v>4.3</v>
      </c>
      <c r="O1582" t="n">
        <v>31</v>
      </c>
      <c r="P1582" t="inlineStr">
        <is>
          <t>Cash on Delivery</t>
        </is>
      </c>
      <c r="Q1582" t="inlineStr">
        <is>
          <t>Delivered</t>
        </is>
      </c>
      <c r="R1582" t="n">
        <v>3</v>
      </c>
    </row>
    <row r="1583">
      <c r="A1583" t="inlineStr">
        <is>
          <t>ORD2582</t>
        </is>
      </c>
      <c r="B1583" t="inlineStr">
        <is>
          <t>2025-05-05</t>
        </is>
      </c>
      <c r="C1583" t="inlineStr">
        <is>
          <t>19:39:51</t>
        </is>
      </c>
      <c r="D1583" t="n">
        <v>1050</v>
      </c>
      <c r="E1583" t="n">
        <v>120</v>
      </c>
      <c r="F1583" t="n">
        <v>209</v>
      </c>
      <c r="G1583" t="inlineStr">
        <is>
          <t>Pune</t>
        </is>
      </c>
      <c r="H1583" t="inlineStr">
        <is>
          <t>Fast Food</t>
        </is>
      </c>
      <c r="I1583" t="n">
        <v>388</v>
      </c>
      <c r="J1583" t="n">
        <v>0</v>
      </c>
      <c r="K1583" t="n">
        <v>33</v>
      </c>
      <c r="L1583" t="n">
        <v>0.18</v>
      </c>
      <c r="M1583" t="n">
        <v>78.09</v>
      </c>
      <c r="N1583" t="n">
        <v>4.6</v>
      </c>
      <c r="O1583" t="n">
        <v>36</v>
      </c>
      <c r="P1583" t="inlineStr">
        <is>
          <t>Digital Wallet</t>
        </is>
      </c>
      <c r="Q1583" t="inlineStr">
        <is>
          <t>Delivered</t>
        </is>
      </c>
      <c r="R1583" t="n">
        <v>4</v>
      </c>
    </row>
    <row r="1584">
      <c r="A1584" t="inlineStr">
        <is>
          <t>ORD2583</t>
        </is>
      </c>
      <c r="B1584" t="inlineStr">
        <is>
          <t>2025-02-12</t>
        </is>
      </c>
      <c r="C1584" t="inlineStr">
        <is>
          <t>10:05:50</t>
        </is>
      </c>
      <c r="D1584" t="n">
        <v>1016</v>
      </c>
      <c r="E1584" t="n">
        <v>115</v>
      </c>
      <c r="F1584" t="n">
        <v>227</v>
      </c>
      <c r="G1584" t="inlineStr">
        <is>
          <t>Bangalore</t>
        </is>
      </c>
      <c r="H1584" t="inlineStr">
        <is>
          <t>Italian</t>
        </is>
      </c>
      <c r="I1584" t="n">
        <v>228</v>
      </c>
      <c r="J1584" t="n">
        <v>0</v>
      </c>
      <c r="K1584" t="n">
        <v>25.5</v>
      </c>
      <c r="L1584" t="n">
        <v>0.2</v>
      </c>
      <c r="M1584" t="n">
        <v>51.98</v>
      </c>
      <c r="N1584" t="n">
        <v>3.1</v>
      </c>
      <c r="O1584" t="n">
        <v>28.6</v>
      </c>
      <c r="P1584" t="inlineStr">
        <is>
          <t>UPI</t>
        </is>
      </c>
      <c r="Q1584" t="inlineStr">
        <is>
          <t>Delivered</t>
        </is>
      </c>
      <c r="R1584" t="n">
        <v>3</v>
      </c>
    </row>
    <row r="1585">
      <c r="A1585" t="inlineStr">
        <is>
          <t>ORD2584</t>
        </is>
      </c>
      <c r="B1585" t="inlineStr">
        <is>
          <t>2025-08-30</t>
        </is>
      </c>
      <c r="C1585" t="inlineStr">
        <is>
          <t>14:11:02</t>
        </is>
      </c>
      <c r="D1585" t="n">
        <v>1164</v>
      </c>
      <c r="E1585" t="n">
        <v>116</v>
      </c>
      <c r="F1585" t="n">
        <v>214</v>
      </c>
      <c r="G1585" t="inlineStr">
        <is>
          <t>Pune</t>
        </is>
      </c>
      <c r="H1585" t="inlineStr">
        <is>
          <t>Desserts</t>
        </is>
      </c>
      <c r="I1585" t="n">
        <v>356</v>
      </c>
      <c r="J1585" t="n">
        <v>0</v>
      </c>
      <c r="K1585" t="n">
        <v>33</v>
      </c>
      <c r="L1585" t="n">
        <v>0.25</v>
      </c>
      <c r="M1585" t="n">
        <v>97.25</v>
      </c>
      <c r="N1585" t="n">
        <v>4.6</v>
      </c>
      <c r="O1585" t="n">
        <v>37.8</v>
      </c>
      <c r="P1585" t="inlineStr">
        <is>
          <t>Debit Card</t>
        </is>
      </c>
      <c r="Q1585" t="inlineStr">
        <is>
          <t>Delivered</t>
        </is>
      </c>
      <c r="R1585" t="n">
        <v>5</v>
      </c>
    </row>
    <row r="1586">
      <c r="A1586" t="inlineStr">
        <is>
          <t>ORD2585</t>
        </is>
      </c>
      <c r="B1586" t="inlineStr">
        <is>
          <t>2025-06-08</t>
        </is>
      </c>
      <c r="C1586" t="inlineStr">
        <is>
          <t>22:21:06</t>
        </is>
      </c>
      <c r="D1586" t="n">
        <v>1292</v>
      </c>
      <c r="E1586" t="n">
        <v>106</v>
      </c>
      <c r="F1586" t="n">
        <v>217</v>
      </c>
      <c r="G1586" t="inlineStr">
        <is>
          <t>Pune</t>
        </is>
      </c>
      <c r="H1586" t="inlineStr">
        <is>
          <t>South Indian</t>
        </is>
      </c>
      <c r="I1586" t="n">
        <v>259</v>
      </c>
      <c r="J1586" t="n">
        <v>1.71</v>
      </c>
      <c r="K1586" t="n">
        <v>31.5</v>
      </c>
      <c r="L1586" t="n">
        <v>0.15</v>
      </c>
      <c r="M1586" t="n">
        <v>46.72</v>
      </c>
      <c r="N1586" t="n">
        <v>4.3</v>
      </c>
      <c r="O1586" t="n">
        <v>26.7</v>
      </c>
      <c r="P1586" t="inlineStr">
        <is>
          <t>UPI</t>
        </is>
      </c>
      <c r="Q1586" t="inlineStr">
        <is>
          <t>Delivered</t>
        </is>
      </c>
      <c r="R1586" t="n">
        <v>4</v>
      </c>
    </row>
    <row r="1587">
      <c r="A1587" t="inlineStr">
        <is>
          <t>ORD2586</t>
        </is>
      </c>
      <c r="B1587" t="inlineStr">
        <is>
          <t>2025-07-20</t>
        </is>
      </c>
      <c r="C1587" t="inlineStr">
        <is>
          <t>18:52:31</t>
        </is>
      </c>
      <c r="D1587" t="n">
        <v>1049</v>
      </c>
      <c r="E1587" t="n">
        <v>117</v>
      </c>
      <c r="F1587" t="n">
        <v>202</v>
      </c>
      <c r="G1587" t="inlineStr">
        <is>
          <t>Mumbai</t>
        </is>
      </c>
      <c r="H1587" t="inlineStr">
        <is>
          <t>Chinese</t>
        </is>
      </c>
      <c r="I1587" t="n">
        <v>330</v>
      </c>
      <c r="J1587" t="n">
        <v>0</v>
      </c>
      <c r="K1587" t="n">
        <v>29</v>
      </c>
      <c r="L1587" t="n">
        <v>0.2</v>
      </c>
      <c r="M1587" t="n">
        <v>73.25</v>
      </c>
      <c r="N1587" t="n">
        <v>3.8</v>
      </c>
      <c r="O1587" t="n">
        <v>28.2</v>
      </c>
      <c r="P1587" t="inlineStr">
        <is>
          <t>Digital Wallet</t>
        </is>
      </c>
      <c r="Q1587" t="inlineStr">
        <is>
          <t>Delivered</t>
        </is>
      </c>
      <c r="R1587" t="n">
        <v>3</v>
      </c>
    </row>
    <row r="1588">
      <c r="A1588" t="inlineStr">
        <is>
          <t>ORD2587</t>
        </is>
      </c>
      <c r="B1588" t="inlineStr">
        <is>
          <t>2025-03-12</t>
        </is>
      </c>
      <c r="C1588" t="inlineStr">
        <is>
          <t>13:04:29</t>
        </is>
      </c>
      <c r="D1588" t="n">
        <v>1168</v>
      </c>
      <c r="E1588" t="n">
        <v>120</v>
      </c>
      <c r="F1588" t="n">
        <v>226</v>
      </c>
      <c r="G1588" t="inlineStr">
        <is>
          <t>Pune</t>
        </is>
      </c>
      <c r="H1588" t="inlineStr">
        <is>
          <t>Fast Food</t>
        </is>
      </c>
      <c r="I1588" t="n">
        <v>840</v>
      </c>
      <c r="J1588" t="n">
        <v>10.58</v>
      </c>
      <c r="K1588" t="n">
        <v>25</v>
      </c>
      <c r="L1588" t="n">
        <v>0.18</v>
      </c>
      <c r="M1588" t="n">
        <v>157.45</v>
      </c>
      <c r="N1588" t="n">
        <v>2.8</v>
      </c>
      <c r="O1588" t="n">
        <v>33.7</v>
      </c>
      <c r="P1588" t="inlineStr">
        <is>
          <t>Digital Wallet</t>
        </is>
      </c>
      <c r="Q1588" t="inlineStr">
        <is>
          <t>Delivered</t>
        </is>
      </c>
      <c r="R1588" t="n">
        <v>5</v>
      </c>
    </row>
    <row r="1589">
      <c r="A1589" t="inlineStr">
        <is>
          <t>ORD2588</t>
        </is>
      </c>
      <c r="B1589" t="inlineStr">
        <is>
          <t>2025-11-07</t>
        </is>
      </c>
      <c r="C1589" t="inlineStr">
        <is>
          <t>21:14:44</t>
        </is>
      </c>
      <c r="D1589" t="n">
        <v>1044</v>
      </c>
      <c r="E1589" t="n">
        <v>109</v>
      </c>
      <c r="F1589" t="n">
        <v>225</v>
      </c>
      <c r="G1589" t="inlineStr">
        <is>
          <t>Hyderabad</t>
        </is>
      </c>
      <c r="H1589" t="inlineStr">
        <is>
          <t>Biryani</t>
        </is>
      </c>
      <c r="I1589" t="n">
        <v>618</v>
      </c>
      <c r="J1589" t="n">
        <v>86.11</v>
      </c>
      <c r="K1589" t="n">
        <v>0</v>
      </c>
      <c r="L1589" t="n">
        <v>0.2</v>
      </c>
      <c r="M1589" t="n">
        <v>123.6</v>
      </c>
      <c r="N1589" t="n">
        <v>2.9</v>
      </c>
      <c r="O1589" t="n">
        <v>28.7</v>
      </c>
      <c r="P1589" t="inlineStr">
        <is>
          <t>Credit Card</t>
        </is>
      </c>
      <c r="Q1589" t="inlineStr">
        <is>
          <t>Delivered</t>
        </is>
      </c>
      <c r="R1589" t="n">
        <v>4</v>
      </c>
    </row>
    <row r="1590">
      <c r="A1590" t="inlineStr">
        <is>
          <t>ORD2589</t>
        </is>
      </c>
      <c r="B1590" t="inlineStr">
        <is>
          <t>2025-09-18</t>
        </is>
      </c>
      <c r="C1590" t="inlineStr">
        <is>
          <t>16:19:18</t>
        </is>
      </c>
      <c r="D1590" t="n">
        <v>1203</v>
      </c>
      <c r="E1590" t="n">
        <v>118</v>
      </c>
      <c r="F1590" t="n">
        <v>219</v>
      </c>
      <c r="G1590" t="inlineStr">
        <is>
          <t>Delhi NCR</t>
        </is>
      </c>
      <c r="H1590" t="inlineStr">
        <is>
          <t>North Indian</t>
        </is>
      </c>
      <c r="I1590" t="n">
        <v>889</v>
      </c>
      <c r="J1590" t="n">
        <v>28.53</v>
      </c>
      <c r="K1590" t="n">
        <v>42.5</v>
      </c>
      <c r="L1590" t="n">
        <v>0.2</v>
      </c>
      <c r="M1590" t="n">
        <v>188.42</v>
      </c>
      <c r="N1590" t="n">
        <v>6.5</v>
      </c>
      <c r="O1590" t="n">
        <v>41.1</v>
      </c>
      <c r="P1590" t="inlineStr">
        <is>
          <t>Credit Card</t>
        </is>
      </c>
      <c r="Q1590" t="inlineStr">
        <is>
          <t>Delivered</t>
        </is>
      </c>
      <c r="R1590" t="n">
        <v>2</v>
      </c>
    </row>
    <row r="1591">
      <c r="A1591" t="inlineStr">
        <is>
          <t>ORD2590</t>
        </is>
      </c>
      <c r="B1591" t="inlineStr">
        <is>
          <t>2025-05-04</t>
        </is>
      </c>
      <c r="C1591" t="inlineStr">
        <is>
          <t>20:29:09</t>
        </is>
      </c>
      <c r="D1591" t="n">
        <v>1003</v>
      </c>
      <c r="E1591" t="n">
        <v>116</v>
      </c>
      <c r="F1591" t="n">
        <v>204</v>
      </c>
      <c r="G1591" t="inlineStr">
        <is>
          <t>Pune</t>
        </is>
      </c>
      <c r="H1591" t="inlineStr">
        <is>
          <t>Desserts</t>
        </is>
      </c>
      <c r="I1591" t="n">
        <v>940</v>
      </c>
      <c r="J1591" t="n">
        <v>57.21</v>
      </c>
      <c r="K1591" t="n">
        <v>58</v>
      </c>
      <c r="L1591" t="n">
        <v>0.25</v>
      </c>
      <c r="M1591" t="n">
        <v>249.5</v>
      </c>
      <c r="N1591" t="n">
        <v>9.6</v>
      </c>
      <c r="O1591" t="n">
        <v>49.6</v>
      </c>
      <c r="P1591" t="inlineStr">
        <is>
          <t>Digital Wallet</t>
        </is>
      </c>
      <c r="Q1591" t="inlineStr">
        <is>
          <t>Delivered</t>
        </is>
      </c>
      <c r="R1591" t="n">
        <v>5</v>
      </c>
    </row>
    <row r="1592">
      <c r="A1592" t="inlineStr">
        <is>
          <t>ORD2591</t>
        </is>
      </c>
      <c r="B1592" t="inlineStr">
        <is>
          <t>2025-02-25</t>
        </is>
      </c>
      <c r="C1592" t="inlineStr">
        <is>
          <t>00:28:08</t>
        </is>
      </c>
      <c r="D1592" t="n">
        <v>1089</v>
      </c>
      <c r="E1592" t="n">
        <v>111</v>
      </c>
      <c r="F1592" t="n">
        <v>210</v>
      </c>
      <c r="G1592" t="inlineStr">
        <is>
          <t>Bangalore</t>
        </is>
      </c>
      <c r="H1592" t="inlineStr">
        <is>
          <t>South Indian</t>
        </is>
      </c>
      <c r="I1592" t="n">
        <v>657</v>
      </c>
      <c r="J1592" t="n">
        <v>70.53</v>
      </c>
      <c r="K1592" t="n">
        <v>0</v>
      </c>
      <c r="L1592" t="n">
        <v>0.15</v>
      </c>
      <c r="M1592" t="n">
        <v>98.55</v>
      </c>
      <c r="N1592" t="n">
        <v>4.7</v>
      </c>
      <c r="O1592" t="n">
        <v>38.6</v>
      </c>
      <c r="P1592" t="inlineStr">
        <is>
          <t>Debit Card</t>
        </is>
      </c>
      <c r="Q1592" t="inlineStr">
        <is>
          <t>Delivered</t>
        </is>
      </c>
      <c r="R1592" t="n">
        <v>5</v>
      </c>
    </row>
    <row r="1593">
      <c r="A1593" t="inlineStr">
        <is>
          <t>ORD2592</t>
        </is>
      </c>
      <c r="B1593" t="inlineStr">
        <is>
          <t>2025-07-29</t>
        </is>
      </c>
      <c r="C1593" t="inlineStr">
        <is>
          <t>22:07:59</t>
        </is>
      </c>
      <c r="D1593" t="n">
        <v>1003</v>
      </c>
      <c r="E1593" t="n">
        <v>106</v>
      </c>
      <c r="F1593" t="n">
        <v>207</v>
      </c>
      <c r="G1593" t="inlineStr">
        <is>
          <t>Pune</t>
        </is>
      </c>
      <c r="H1593" t="inlineStr">
        <is>
          <t>South Indian</t>
        </is>
      </c>
      <c r="I1593" t="n">
        <v>879</v>
      </c>
      <c r="J1593" t="n">
        <v>85.06999999999999</v>
      </c>
      <c r="K1593" t="n">
        <v>36</v>
      </c>
      <c r="L1593" t="n">
        <v>0.15</v>
      </c>
      <c r="M1593" t="n">
        <v>140.85</v>
      </c>
      <c r="N1593" t="n">
        <v>5.2</v>
      </c>
      <c r="O1593" t="n">
        <v>42.5</v>
      </c>
      <c r="P1593" t="inlineStr">
        <is>
          <t>Digital Wallet</t>
        </is>
      </c>
      <c r="Q1593" t="inlineStr">
        <is>
          <t>Delivered</t>
        </is>
      </c>
      <c r="R1593" t="n">
        <v>4</v>
      </c>
    </row>
    <row r="1594">
      <c r="A1594" t="inlineStr">
        <is>
          <t>ORD2593</t>
        </is>
      </c>
      <c r="B1594" t="inlineStr">
        <is>
          <t>2025-12-02</t>
        </is>
      </c>
      <c r="C1594" t="inlineStr">
        <is>
          <t>19:02:23</t>
        </is>
      </c>
      <c r="D1594" t="n">
        <v>1164</v>
      </c>
      <c r="E1594" t="n">
        <v>116</v>
      </c>
      <c r="F1594" t="n">
        <v>226</v>
      </c>
      <c r="G1594" t="inlineStr">
        <is>
          <t>Pune</t>
        </is>
      </c>
      <c r="H1594" t="inlineStr">
        <is>
          <t>Desserts</t>
        </is>
      </c>
      <c r="I1594" t="n">
        <v>380</v>
      </c>
      <c r="J1594" t="n">
        <v>0</v>
      </c>
      <c r="K1594" t="n">
        <v>34.5</v>
      </c>
      <c r="L1594" t="n">
        <v>0.25</v>
      </c>
      <c r="M1594" t="n">
        <v>103.62</v>
      </c>
      <c r="N1594" t="n">
        <v>4.9</v>
      </c>
      <c r="O1594" t="n">
        <v>34.3</v>
      </c>
      <c r="P1594" t="inlineStr">
        <is>
          <t>UPI</t>
        </is>
      </c>
      <c r="Q1594" t="inlineStr">
        <is>
          <t>Delivered</t>
        </is>
      </c>
      <c r="R1594" t="n">
        <v>5</v>
      </c>
    </row>
    <row r="1595">
      <c r="A1595" t="inlineStr">
        <is>
          <t>ORD2594</t>
        </is>
      </c>
      <c r="B1595" t="inlineStr">
        <is>
          <t>2025-07-19</t>
        </is>
      </c>
      <c r="C1595" t="inlineStr">
        <is>
          <t>08:11:52</t>
        </is>
      </c>
      <c r="D1595" t="n">
        <v>1186</v>
      </c>
      <c r="E1595" t="n">
        <v>119</v>
      </c>
      <c r="F1595" t="n">
        <v>216</v>
      </c>
      <c r="G1595" t="inlineStr">
        <is>
          <t>Hyderabad</t>
        </is>
      </c>
      <c r="H1595" t="inlineStr">
        <is>
          <t>Biryani</t>
        </is>
      </c>
      <c r="I1595" t="n">
        <v>729</v>
      </c>
      <c r="J1595" t="n">
        <v>60.1</v>
      </c>
      <c r="K1595" t="n">
        <v>44.5</v>
      </c>
      <c r="L1595" t="n">
        <v>0.2</v>
      </c>
      <c r="M1595" t="n">
        <v>156.93</v>
      </c>
      <c r="N1595" t="n">
        <v>6.9</v>
      </c>
      <c r="O1595" t="n">
        <v>46.1</v>
      </c>
      <c r="P1595" t="inlineStr">
        <is>
          <t>Debit Card</t>
        </is>
      </c>
      <c r="Q1595" t="inlineStr">
        <is>
          <t>Delivered</t>
        </is>
      </c>
      <c r="R1595" t="n">
        <v>3</v>
      </c>
    </row>
    <row r="1596">
      <c r="A1596" t="inlineStr">
        <is>
          <t>ORD2595</t>
        </is>
      </c>
      <c r="B1596" t="inlineStr">
        <is>
          <t>2025-12-29</t>
        </is>
      </c>
      <c r="C1596" t="inlineStr">
        <is>
          <t>11:27:42</t>
        </is>
      </c>
      <c r="D1596" t="n">
        <v>1048</v>
      </c>
      <c r="E1596" t="n">
        <v>102</v>
      </c>
      <c r="F1596" t="n">
        <v>216</v>
      </c>
      <c r="G1596" t="inlineStr">
        <is>
          <t>Hyderabad</t>
        </is>
      </c>
      <c r="H1596" t="inlineStr">
        <is>
          <t>Biryani</t>
        </is>
      </c>
      <c r="I1596" t="n">
        <v>542</v>
      </c>
      <c r="J1596" t="n">
        <v>32.59</v>
      </c>
      <c r="K1596" t="n">
        <v>25</v>
      </c>
      <c r="L1596" t="n">
        <v>0.22</v>
      </c>
      <c r="M1596" t="n">
        <v>125.49</v>
      </c>
      <c r="N1596" t="n">
        <v>2.9</v>
      </c>
      <c r="O1596" t="n">
        <v>35.5</v>
      </c>
      <c r="P1596" t="inlineStr">
        <is>
          <t>Credit Card</t>
        </is>
      </c>
      <c r="Q1596" t="inlineStr">
        <is>
          <t>Delivered</t>
        </is>
      </c>
      <c r="R1596" t="n">
        <v>4</v>
      </c>
    </row>
    <row r="1597">
      <c r="A1597" t="inlineStr">
        <is>
          <t>ORD2596</t>
        </is>
      </c>
      <c r="B1597" t="inlineStr">
        <is>
          <t>2025-05-09</t>
        </is>
      </c>
      <c r="C1597" t="inlineStr">
        <is>
          <t>12:26:05</t>
        </is>
      </c>
      <c r="D1597" t="n">
        <v>1269</v>
      </c>
      <c r="E1597" t="n">
        <v>107</v>
      </c>
      <c r="F1597" t="n">
        <v>206</v>
      </c>
      <c r="G1597" t="inlineStr">
        <is>
          <t>Mumbai</t>
        </is>
      </c>
      <c r="H1597" t="inlineStr">
        <is>
          <t>Desserts</t>
        </is>
      </c>
      <c r="I1597" t="n">
        <v>718</v>
      </c>
      <c r="J1597" t="n">
        <v>19.22</v>
      </c>
      <c r="K1597" t="n">
        <v>25</v>
      </c>
      <c r="L1597" t="n">
        <v>0.25</v>
      </c>
      <c r="M1597" t="n">
        <v>185.75</v>
      </c>
      <c r="N1597" t="n">
        <v>2.9</v>
      </c>
      <c r="O1597" t="n">
        <v>35.7</v>
      </c>
      <c r="P1597" t="inlineStr">
        <is>
          <t>Credit Card</t>
        </is>
      </c>
      <c r="Q1597" t="inlineStr">
        <is>
          <t>Delivered</t>
        </is>
      </c>
      <c r="R1597" t="n">
        <v>3</v>
      </c>
    </row>
    <row r="1598">
      <c r="A1598" t="inlineStr">
        <is>
          <t>ORD2597</t>
        </is>
      </c>
      <c r="B1598" t="inlineStr">
        <is>
          <t>2025-05-23</t>
        </is>
      </c>
      <c r="C1598" t="inlineStr">
        <is>
          <t>17:58:12</t>
        </is>
      </c>
      <c r="D1598" t="n">
        <v>1195</v>
      </c>
      <c r="E1598" t="n">
        <v>113</v>
      </c>
      <c r="F1598" t="n">
        <v>202</v>
      </c>
      <c r="G1598" t="inlineStr">
        <is>
          <t>Mumbai</t>
        </is>
      </c>
      <c r="H1598" t="inlineStr">
        <is>
          <t>Fast Food</t>
        </is>
      </c>
      <c r="I1598" t="n">
        <v>404</v>
      </c>
      <c r="J1598" t="n">
        <v>0</v>
      </c>
      <c r="K1598" t="n">
        <v>32.5</v>
      </c>
      <c r="L1598" t="n">
        <v>0.18</v>
      </c>
      <c r="M1598" t="n">
        <v>80.84</v>
      </c>
      <c r="N1598" t="n">
        <v>4.5</v>
      </c>
      <c r="O1598" t="n">
        <v>41.3</v>
      </c>
      <c r="P1598" t="inlineStr">
        <is>
          <t>Debit Card</t>
        </is>
      </c>
      <c r="Q1598" t="inlineStr">
        <is>
          <t>Delivered</t>
        </is>
      </c>
      <c r="R1598" t="n">
        <v>2</v>
      </c>
    </row>
    <row r="1599">
      <c r="A1599" t="inlineStr">
        <is>
          <t>ORD2598</t>
        </is>
      </c>
      <c r="B1599" t="inlineStr">
        <is>
          <t>2025-01-02</t>
        </is>
      </c>
      <c r="C1599" t="inlineStr">
        <is>
          <t>21:06:30</t>
        </is>
      </c>
      <c r="D1599" t="n">
        <v>1267</v>
      </c>
      <c r="E1599" t="n">
        <v>105</v>
      </c>
      <c r="F1599" t="n">
        <v>203</v>
      </c>
      <c r="G1599" t="inlineStr">
        <is>
          <t>Bangalore</t>
        </is>
      </c>
      <c r="H1599" t="inlineStr">
        <is>
          <t>Chinese</t>
        </is>
      </c>
      <c r="I1599" t="n">
        <v>733</v>
      </c>
      <c r="J1599" t="n">
        <v>47</v>
      </c>
      <c r="K1599" t="n">
        <v>25</v>
      </c>
      <c r="L1599" t="n">
        <v>0.2</v>
      </c>
      <c r="M1599" t="n">
        <v>152.85</v>
      </c>
      <c r="N1599" t="n">
        <v>1.9</v>
      </c>
      <c r="O1599" t="n">
        <v>21.5</v>
      </c>
      <c r="P1599" t="inlineStr">
        <is>
          <t>Digital Wallet</t>
        </is>
      </c>
      <c r="Q1599" t="inlineStr">
        <is>
          <t>Delivered</t>
        </is>
      </c>
      <c r="R1599" t="n">
        <v>3</v>
      </c>
    </row>
    <row r="1600">
      <c r="A1600" t="inlineStr">
        <is>
          <t>ORD2599</t>
        </is>
      </c>
      <c r="B1600" t="inlineStr">
        <is>
          <t>2025-08-11</t>
        </is>
      </c>
      <c r="C1600" t="inlineStr">
        <is>
          <t>21:49:46</t>
        </is>
      </c>
      <c r="D1600" t="n">
        <v>1040</v>
      </c>
      <c r="E1600" t="n">
        <v>120</v>
      </c>
      <c r="F1600" t="n">
        <v>209</v>
      </c>
      <c r="G1600" t="inlineStr">
        <is>
          <t>Pune</t>
        </is>
      </c>
      <c r="H1600" t="inlineStr">
        <is>
          <t>Fast Food</t>
        </is>
      </c>
      <c r="I1600" t="n">
        <v>260</v>
      </c>
      <c r="J1600" t="n">
        <v>0</v>
      </c>
      <c r="K1600" t="n">
        <v>34.5</v>
      </c>
      <c r="L1600" t="n">
        <v>0.18</v>
      </c>
      <c r="M1600" t="n">
        <v>55.42</v>
      </c>
      <c r="N1600" t="n">
        <v>4.9</v>
      </c>
      <c r="O1600" t="n">
        <v>37.9</v>
      </c>
      <c r="P1600" t="inlineStr">
        <is>
          <t>Digital Wallet</t>
        </is>
      </c>
      <c r="Q1600" t="inlineStr">
        <is>
          <t>Delivered</t>
        </is>
      </c>
      <c r="R1600" t="n">
        <v>2</v>
      </c>
    </row>
    <row r="1601">
      <c r="A1601" t="inlineStr">
        <is>
          <t>ORD2600</t>
        </is>
      </c>
      <c r="B1601" t="inlineStr">
        <is>
          <t>2025-05-26</t>
        </is>
      </c>
      <c r="C1601" t="inlineStr">
        <is>
          <t>20:21:01</t>
        </is>
      </c>
      <c r="D1601" t="n">
        <v>1263</v>
      </c>
      <c r="E1601" t="n">
        <v>104</v>
      </c>
      <c r="F1601" t="n">
        <v>219</v>
      </c>
      <c r="G1601" t="inlineStr">
        <is>
          <t>Delhi NCR</t>
        </is>
      </c>
      <c r="H1601" t="inlineStr">
        <is>
          <t>Fast Food</t>
        </is>
      </c>
      <c r="I1601" t="n">
        <v>637</v>
      </c>
      <c r="J1601" t="n">
        <v>49.18</v>
      </c>
      <c r="K1601" t="n">
        <v>25</v>
      </c>
      <c r="L1601" t="n">
        <v>0.18</v>
      </c>
      <c r="M1601" t="n">
        <v>120.91</v>
      </c>
      <c r="N1601" t="n">
        <v>2.1</v>
      </c>
      <c r="O1601" t="n">
        <v>21.1</v>
      </c>
      <c r="P1601" t="inlineStr">
        <is>
          <t>Cash on Delivery</t>
        </is>
      </c>
      <c r="Q1601" t="inlineStr">
        <is>
          <t>Delivered</t>
        </is>
      </c>
      <c r="R1601" t="n">
        <v>5</v>
      </c>
    </row>
    <row r="1602">
      <c r="A1602" t="inlineStr">
        <is>
          <t>ORD2601</t>
        </is>
      </c>
      <c r="B1602" t="inlineStr">
        <is>
          <t>2025-10-30</t>
        </is>
      </c>
      <c r="C1602" t="inlineStr">
        <is>
          <t>11:14:28</t>
        </is>
      </c>
      <c r="D1602" t="n">
        <v>1089</v>
      </c>
      <c r="E1602" t="n">
        <v>105</v>
      </c>
      <c r="F1602" t="n">
        <v>203</v>
      </c>
      <c r="G1602" t="inlineStr">
        <is>
          <t>Bangalore</t>
        </is>
      </c>
      <c r="H1602" t="inlineStr">
        <is>
          <t>Chinese</t>
        </is>
      </c>
      <c r="I1602" t="n">
        <v>667</v>
      </c>
      <c r="J1602" t="n">
        <v>126.16</v>
      </c>
      <c r="K1602" t="n">
        <v>0</v>
      </c>
      <c r="L1602" t="n">
        <v>0.2</v>
      </c>
      <c r="M1602" t="n">
        <v>133.4</v>
      </c>
      <c r="N1602" t="n">
        <v>2.8</v>
      </c>
      <c r="O1602" t="n">
        <v>30.8</v>
      </c>
      <c r="P1602" t="inlineStr">
        <is>
          <t>Credit Card</t>
        </is>
      </c>
      <c r="Q1602" t="inlineStr">
        <is>
          <t>Delivered</t>
        </is>
      </c>
      <c r="R1602" t="n">
        <v>5</v>
      </c>
    </row>
    <row r="1603">
      <c r="A1603" t="inlineStr">
        <is>
          <t>ORD2602</t>
        </is>
      </c>
      <c r="B1603" t="inlineStr">
        <is>
          <t>2025-01-03</t>
        </is>
      </c>
      <c r="C1603" t="inlineStr">
        <is>
          <t>16:33:14</t>
        </is>
      </c>
      <c r="D1603" t="n">
        <v>1213</v>
      </c>
      <c r="E1603" t="n">
        <v>104</v>
      </c>
      <c r="F1603" t="n">
        <v>221</v>
      </c>
      <c r="G1603" t="inlineStr">
        <is>
          <t>Delhi NCR</t>
        </is>
      </c>
      <c r="H1603" t="inlineStr">
        <is>
          <t>Fast Food</t>
        </is>
      </c>
      <c r="I1603" t="n">
        <v>261</v>
      </c>
      <c r="J1603" t="n">
        <v>17.1</v>
      </c>
      <c r="K1603" t="n">
        <v>25</v>
      </c>
      <c r="L1603" t="n">
        <v>0.18</v>
      </c>
      <c r="M1603" t="n">
        <v>53.23</v>
      </c>
      <c r="N1603" t="n">
        <v>2.5</v>
      </c>
      <c r="O1603" t="n">
        <v>28.4</v>
      </c>
      <c r="P1603" t="inlineStr">
        <is>
          <t>Credit Card</t>
        </is>
      </c>
      <c r="Q1603" t="inlineStr">
        <is>
          <t>Delivered</t>
        </is>
      </c>
      <c r="R1603" t="n">
        <v>4</v>
      </c>
    </row>
    <row r="1604">
      <c r="A1604" t="inlineStr">
        <is>
          <t>ORD2603</t>
        </is>
      </c>
      <c r="B1604" t="inlineStr">
        <is>
          <t>2025-01-25</t>
        </is>
      </c>
      <c r="C1604" t="inlineStr">
        <is>
          <t>12:04:51</t>
        </is>
      </c>
      <c r="D1604" t="n">
        <v>1087</v>
      </c>
      <c r="E1604" t="n">
        <v>116</v>
      </c>
      <c r="F1604" t="n">
        <v>208</v>
      </c>
      <c r="G1604" t="inlineStr">
        <is>
          <t>Pune</t>
        </is>
      </c>
      <c r="H1604" t="inlineStr">
        <is>
          <t>Desserts</t>
        </is>
      </c>
      <c r="I1604" t="n">
        <v>500</v>
      </c>
      <c r="J1604" t="n">
        <v>43.73</v>
      </c>
      <c r="K1604" t="n">
        <v>28.5</v>
      </c>
      <c r="L1604" t="n">
        <v>0.25</v>
      </c>
      <c r="M1604" t="n">
        <v>132.12</v>
      </c>
      <c r="N1604" t="n">
        <v>3.7</v>
      </c>
      <c r="O1604" t="n">
        <v>35.2</v>
      </c>
      <c r="P1604" t="inlineStr">
        <is>
          <t>Cash on Delivery</t>
        </is>
      </c>
      <c r="Q1604" t="inlineStr">
        <is>
          <t>Delivered</t>
        </is>
      </c>
      <c r="R1604" t="n">
        <v>3</v>
      </c>
    </row>
    <row r="1605">
      <c r="A1605" t="inlineStr">
        <is>
          <t>ORD2604</t>
        </is>
      </c>
      <c r="B1605" t="inlineStr">
        <is>
          <t>2025-11-04</t>
        </is>
      </c>
      <c r="C1605" t="inlineStr">
        <is>
          <t>12:42:03</t>
        </is>
      </c>
      <c r="D1605" t="n">
        <v>1035</v>
      </c>
      <c r="E1605" t="n">
        <v>105</v>
      </c>
      <c r="F1605" t="n">
        <v>213</v>
      </c>
      <c r="G1605" t="inlineStr">
        <is>
          <t>Bangalore</t>
        </is>
      </c>
      <c r="H1605" t="inlineStr">
        <is>
          <t>Chinese</t>
        </is>
      </c>
      <c r="I1605" t="n">
        <v>976</v>
      </c>
      <c r="J1605" t="n">
        <v>118.43</v>
      </c>
      <c r="K1605" t="n">
        <v>0</v>
      </c>
      <c r="L1605" t="n">
        <v>0.2</v>
      </c>
      <c r="M1605" t="n">
        <v>195.2</v>
      </c>
      <c r="N1605" t="n">
        <v>3.3</v>
      </c>
      <c r="O1605" t="n">
        <v>31.7</v>
      </c>
      <c r="P1605" t="inlineStr">
        <is>
          <t>Debit Card</t>
        </is>
      </c>
      <c r="Q1605" t="inlineStr">
        <is>
          <t>Delivered</t>
        </is>
      </c>
      <c r="R1605" t="n">
        <v>4</v>
      </c>
    </row>
    <row r="1606">
      <c r="A1606" t="inlineStr">
        <is>
          <t>ORD2605</t>
        </is>
      </c>
      <c r="B1606" t="inlineStr">
        <is>
          <t>2025-07-19</t>
        </is>
      </c>
      <c r="C1606" t="inlineStr">
        <is>
          <t>13:35:46</t>
        </is>
      </c>
      <c r="D1606" t="n">
        <v>1042</v>
      </c>
      <c r="E1606" t="n">
        <v>107</v>
      </c>
      <c r="F1606" t="n">
        <v>206</v>
      </c>
      <c r="G1606" t="inlineStr">
        <is>
          <t>Mumbai</t>
        </is>
      </c>
      <c r="H1606" t="inlineStr">
        <is>
          <t>Desserts</t>
        </is>
      </c>
      <c r="I1606" t="n">
        <v>556</v>
      </c>
      <c r="J1606" t="n">
        <v>0</v>
      </c>
      <c r="K1606" t="n">
        <v>25</v>
      </c>
      <c r="L1606" t="n">
        <v>0.25</v>
      </c>
      <c r="M1606" t="n">
        <v>145.25</v>
      </c>
      <c r="N1606" t="n">
        <v>2.9</v>
      </c>
      <c r="O1606" t="n">
        <v>39.5</v>
      </c>
      <c r="P1606" t="inlineStr">
        <is>
          <t>UPI</t>
        </is>
      </c>
      <c r="Q1606" t="inlineStr">
        <is>
          <t>Delivered</t>
        </is>
      </c>
      <c r="R1606" t="n">
        <v>5</v>
      </c>
    </row>
    <row r="1607">
      <c r="A1607" t="inlineStr">
        <is>
          <t>ORD2606</t>
        </is>
      </c>
      <c r="B1607" t="inlineStr">
        <is>
          <t>2025-11-28</t>
        </is>
      </c>
      <c r="C1607" t="inlineStr">
        <is>
          <t>19:15:30</t>
        </is>
      </c>
      <c r="D1607" t="n">
        <v>1083</v>
      </c>
      <c r="E1607" t="n">
        <v>104</v>
      </c>
      <c r="F1607" t="n">
        <v>230</v>
      </c>
      <c r="G1607" t="inlineStr">
        <is>
          <t>Delhi NCR</t>
        </is>
      </c>
      <c r="H1607" t="inlineStr">
        <is>
          <t>Fast Food</t>
        </is>
      </c>
      <c r="I1607" t="n">
        <v>241</v>
      </c>
      <c r="J1607" t="n">
        <v>0</v>
      </c>
      <c r="K1607" t="n">
        <v>33.5</v>
      </c>
      <c r="L1607" t="n">
        <v>0.18</v>
      </c>
      <c r="M1607" t="n">
        <v>51.76</v>
      </c>
      <c r="N1607" t="n">
        <v>4.7</v>
      </c>
      <c r="O1607" t="n">
        <v>41.4</v>
      </c>
      <c r="P1607" t="inlineStr">
        <is>
          <t>Debit Card</t>
        </is>
      </c>
      <c r="Q1607" t="inlineStr">
        <is>
          <t>Delivered</t>
        </is>
      </c>
      <c r="R1607" t="n">
        <v>5</v>
      </c>
    </row>
    <row r="1608">
      <c r="A1608" t="inlineStr">
        <is>
          <t>ORD2607</t>
        </is>
      </c>
      <c r="B1608" t="inlineStr">
        <is>
          <t>2025-12-10</t>
        </is>
      </c>
      <c r="C1608" t="inlineStr">
        <is>
          <t>13:16:26</t>
        </is>
      </c>
      <c r="D1608" t="n">
        <v>1045</v>
      </c>
      <c r="E1608" t="n">
        <v>105</v>
      </c>
      <c r="F1608" t="n">
        <v>218</v>
      </c>
      <c r="G1608" t="inlineStr">
        <is>
          <t>Bangalore</t>
        </is>
      </c>
      <c r="H1608" t="inlineStr">
        <is>
          <t>Chinese</t>
        </is>
      </c>
      <c r="I1608" t="n">
        <v>385</v>
      </c>
      <c r="J1608" t="n">
        <v>6.29</v>
      </c>
      <c r="K1608" t="n">
        <v>43</v>
      </c>
      <c r="L1608" t="n">
        <v>0.2</v>
      </c>
      <c r="M1608" t="n">
        <v>87.75</v>
      </c>
      <c r="N1608" t="n">
        <v>6.6</v>
      </c>
      <c r="O1608" t="n">
        <v>43.6</v>
      </c>
      <c r="P1608" t="inlineStr">
        <is>
          <t>UPI</t>
        </is>
      </c>
      <c r="Q1608" t="inlineStr">
        <is>
          <t>Delivered</t>
        </is>
      </c>
      <c r="R1608" t="n">
        <v>5</v>
      </c>
    </row>
    <row r="1609">
      <c r="A1609" t="inlineStr">
        <is>
          <t>ORD2608</t>
        </is>
      </c>
      <c r="B1609" t="inlineStr">
        <is>
          <t>2025-02-09</t>
        </is>
      </c>
      <c r="C1609" t="inlineStr">
        <is>
          <t>20:09:55</t>
        </is>
      </c>
      <c r="D1609" t="n">
        <v>1151</v>
      </c>
      <c r="E1609" t="n">
        <v>117</v>
      </c>
      <c r="F1609" t="n">
        <v>206</v>
      </c>
      <c r="G1609" t="inlineStr">
        <is>
          <t>Mumbai</t>
        </is>
      </c>
      <c r="H1609" t="inlineStr">
        <is>
          <t>Chinese</t>
        </is>
      </c>
      <c r="I1609" t="n">
        <v>662</v>
      </c>
      <c r="J1609" t="n">
        <v>128.24</v>
      </c>
      <c r="K1609" t="n">
        <v>0</v>
      </c>
      <c r="L1609" t="n">
        <v>0.2</v>
      </c>
      <c r="M1609" t="n">
        <v>132.4</v>
      </c>
      <c r="N1609" t="n">
        <v>3.7</v>
      </c>
      <c r="O1609" t="n">
        <v>40</v>
      </c>
      <c r="P1609" t="inlineStr">
        <is>
          <t>UPI</t>
        </is>
      </c>
      <c r="Q1609" t="inlineStr">
        <is>
          <t>Delivered</t>
        </is>
      </c>
      <c r="R1609" t="n">
        <v>4</v>
      </c>
    </row>
    <row r="1610">
      <c r="A1610" t="inlineStr">
        <is>
          <t>ORD2609</t>
        </is>
      </c>
      <c r="B1610" t="inlineStr">
        <is>
          <t>2025-08-20</t>
        </is>
      </c>
      <c r="C1610" t="inlineStr">
        <is>
          <t>17:21:07</t>
        </is>
      </c>
      <c r="D1610" t="n">
        <v>1224</v>
      </c>
      <c r="E1610" t="n">
        <v>112</v>
      </c>
      <c r="F1610" t="n">
        <v>230</v>
      </c>
      <c r="G1610" t="inlineStr">
        <is>
          <t>Delhi NCR</t>
        </is>
      </c>
      <c r="H1610" t="inlineStr">
        <is>
          <t>North Indian</t>
        </is>
      </c>
      <c r="I1610" t="n">
        <v>732</v>
      </c>
      <c r="J1610" t="n">
        <v>45.65</v>
      </c>
      <c r="K1610" t="n">
        <v>25</v>
      </c>
      <c r="L1610" t="n">
        <v>0.22</v>
      </c>
      <c r="M1610" t="n">
        <v>167.29</v>
      </c>
      <c r="N1610" t="n">
        <v>3</v>
      </c>
      <c r="O1610" t="n">
        <v>31.4</v>
      </c>
      <c r="P1610" t="inlineStr">
        <is>
          <t>UPI</t>
        </is>
      </c>
      <c r="Q1610" t="inlineStr">
        <is>
          <t>Delivered</t>
        </is>
      </c>
      <c r="R1610" t="n">
        <v>1</v>
      </c>
    </row>
    <row r="1611">
      <c r="A1611" t="inlineStr">
        <is>
          <t>ORD2610</t>
        </is>
      </c>
      <c r="B1611" t="inlineStr">
        <is>
          <t>2025-07-02</t>
        </is>
      </c>
      <c r="C1611" t="inlineStr">
        <is>
          <t>12:50:05</t>
        </is>
      </c>
      <c r="D1611" t="n">
        <v>1181</v>
      </c>
      <c r="E1611" t="n">
        <v>111</v>
      </c>
      <c r="F1611" t="n">
        <v>220</v>
      </c>
      <c r="G1611" t="inlineStr">
        <is>
          <t>Bangalore</t>
        </is>
      </c>
      <c r="H1611" t="inlineStr">
        <is>
          <t>South Indian</t>
        </is>
      </c>
      <c r="I1611" t="n">
        <v>581</v>
      </c>
      <c r="J1611" t="n">
        <v>0</v>
      </c>
      <c r="K1611" t="n">
        <v>38.5</v>
      </c>
      <c r="L1611" t="n">
        <v>0.15</v>
      </c>
      <c r="M1611" t="n">
        <v>96.78</v>
      </c>
      <c r="N1611" t="n">
        <v>5.7</v>
      </c>
      <c r="O1611" t="n">
        <v>44.1</v>
      </c>
      <c r="P1611" t="inlineStr">
        <is>
          <t>Digital Wallet</t>
        </is>
      </c>
      <c r="Q1611" t="inlineStr">
        <is>
          <t>Delivered</t>
        </is>
      </c>
      <c r="R1611" t="n">
        <v>1</v>
      </c>
    </row>
    <row r="1612">
      <c r="A1612" t="inlineStr">
        <is>
          <t>ORD2611</t>
        </is>
      </c>
      <c r="B1612" t="inlineStr">
        <is>
          <t>2025-02-02</t>
        </is>
      </c>
      <c r="C1612" t="inlineStr">
        <is>
          <t>22:10:09</t>
        </is>
      </c>
      <c r="D1612" t="n">
        <v>1175</v>
      </c>
      <c r="E1612" t="n">
        <v>111</v>
      </c>
      <c r="F1612" t="n">
        <v>201</v>
      </c>
      <c r="G1612" t="inlineStr">
        <is>
          <t>Bangalore</t>
        </is>
      </c>
      <c r="H1612" t="inlineStr">
        <is>
          <t>South Indian</t>
        </is>
      </c>
      <c r="I1612" t="n">
        <v>570</v>
      </c>
      <c r="J1612" t="n">
        <v>34.9</v>
      </c>
      <c r="K1612" t="n">
        <v>40</v>
      </c>
      <c r="L1612" t="n">
        <v>0.15</v>
      </c>
      <c r="M1612" t="n">
        <v>95.5</v>
      </c>
      <c r="N1612" t="n">
        <v>6</v>
      </c>
      <c r="O1612" t="n">
        <v>37.8</v>
      </c>
      <c r="P1612" t="inlineStr">
        <is>
          <t>Digital Wallet</t>
        </is>
      </c>
      <c r="Q1612" t="inlineStr">
        <is>
          <t>Delivered</t>
        </is>
      </c>
      <c r="R1612" t="n">
        <v>4</v>
      </c>
    </row>
    <row r="1613">
      <c r="A1613" t="inlineStr">
        <is>
          <t>ORD2612</t>
        </is>
      </c>
      <c r="B1613" t="inlineStr">
        <is>
          <t>2025-11-20</t>
        </is>
      </c>
      <c r="C1613" t="inlineStr">
        <is>
          <t>13:22:01</t>
        </is>
      </c>
      <c r="D1613" t="n">
        <v>1284</v>
      </c>
      <c r="E1613" t="n">
        <v>114</v>
      </c>
      <c r="F1613" t="n">
        <v>215</v>
      </c>
      <c r="G1613" t="inlineStr">
        <is>
          <t>Hyderabad</t>
        </is>
      </c>
      <c r="H1613" t="inlineStr">
        <is>
          <t>Biryani</t>
        </is>
      </c>
      <c r="I1613" t="n">
        <v>568</v>
      </c>
      <c r="J1613" t="n">
        <v>36.02</v>
      </c>
      <c r="K1613" t="n">
        <v>29</v>
      </c>
      <c r="L1613" t="n">
        <v>0.22</v>
      </c>
      <c r="M1613" t="n">
        <v>132.21</v>
      </c>
      <c r="N1613" t="n">
        <v>3.8</v>
      </c>
      <c r="O1613" t="n">
        <v>38.3</v>
      </c>
      <c r="P1613" t="inlineStr">
        <is>
          <t>Digital Wallet</t>
        </is>
      </c>
      <c r="Q1613" t="inlineStr">
        <is>
          <t>Delivered</t>
        </is>
      </c>
      <c r="R1613" t="n">
        <v>4</v>
      </c>
    </row>
    <row r="1614">
      <c r="A1614" t="inlineStr">
        <is>
          <t>ORD2613</t>
        </is>
      </c>
      <c r="B1614" t="inlineStr">
        <is>
          <t>2025-04-08</t>
        </is>
      </c>
      <c r="C1614" t="inlineStr">
        <is>
          <t>21:39:40</t>
        </is>
      </c>
      <c r="D1614" t="n">
        <v>1061</v>
      </c>
      <c r="E1614" t="n">
        <v>106</v>
      </c>
      <c r="F1614" t="n">
        <v>214</v>
      </c>
      <c r="G1614" t="inlineStr">
        <is>
          <t>Pune</t>
        </is>
      </c>
      <c r="H1614" t="inlineStr">
        <is>
          <t>South Indian</t>
        </is>
      </c>
      <c r="I1614" t="n">
        <v>715</v>
      </c>
      <c r="J1614" t="n">
        <v>42.77</v>
      </c>
      <c r="K1614" t="n">
        <v>30</v>
      </c>
      <c r="L1614" t="n">
        <v>0.15</v>
      </c>
      <c r="M1614" t="n">
        <v>114.75</v>
      </c>
      <c r="N1614" t="n">
        <v>4</v>
      </c>
      <c r="O1614" t="n">
        <v>27.8</v>
      </c>
      <c r="P1614" t="inlineStr">
        <is>
          <t>Credit Card</t>
        </is>
      </c>
      <c r="Q1614" t="inlineStr">
        <is>
          <t>Delivered</t>
        </is>
      </c>
      <c r="R1614" t="n">
        <v>4</v>
      </c>
    </row>
    <row r="1615">
      <c r="A1615" t="inlineStr">
        <is>
          <t>ORD2614</t>
        </is>
      </c>
      <c r="B1615" t="inlineStr">
        <is>
          <t>2025-06-14</t>
        </is>
      </c>
      <c r="C1615" t="inlineStr">
        <is>
          <t>15:41:23</t>
        </is>
      </c>
      <c r="D1615" t="n">
        <v>1285</v>
      </c>
      <c r="E1615" t="n">
        <v>111</v>
      </c>
      <c r="F1615" t="n">
        <v>220</v>
      </c>
      <c r="G1615" t="inlineStr">
        <is>
          <t>Bangalore</t>
        </is>
      </c>
      <c r="H1615" t="inlineStr">
        <is>
          <t>South Indian</t>
        </is>
      </c>
      <c r="I1615" t="n">
        <v>423</v>
      </c>
      <c r="J1615" t="n">
        <v>1.23</v>
      </c>
      <c r="K1615" t="n">
        <v>56.5</v>
      </c>
      <c r="L1615" t="n">
        <v>0.15</v>
      </c>
      <c r="M1615" t="n">
        <v>77.56999999999999</v>
      </c>
      <c r="N1615" t="n">
        <v>9.300000000000001</v>
      </c>
      <c r="O1615" t="n">
        <v>41.5</v>
      </c>
      <c r="P1615" t="inlineStr">
        <is>
          <t>Digital Wallet</t>
        </is>
      </c>
      <c r="Q1615" t="inlineStr">
        <is>
          <t>Delivered</t>
        </is>
      </c>
      <c r="R1615" t="n">
        <v>1</v>
      </c>
    </row>
    <row r="1616">
      <c r="A1616" t="inlineStr">
        <is>
          <t>ORD2615</t>
        </is>
      </c>
      <c r="B1616" t="inlineStr">
        <is>
          <t>2025-11-29</t>
        </is>
      </c>
      <c r="C1616" t="inlineStr">
        <is>
          <t>18:21:26</t>
        </is>
      </c>
      <c r="D1616" t="n">
        <v>1042</v>
      </c>
      <c r="E1616" t="n">
        <v>117</v>
      </c>
      <c r="F1616" t="n">
        <v>202</v>
      </c>
      <c r="G1616" t="inlineStr">
        <is>
          <t>Mumbai</t>
        </is>
      </c>
      <c r="H1616" t="inlineStr">
        <is>
          <t>Chinese</t>
        </is>
      </c>
      <c r="I1616" t="n">
        <v>227</v>
      </c>
      <c r="J1616" t="n">
        <v>15.65</v>
      </c>
      <c r="K1616" t="n">
        <v>28</v>
      </c>
      <c r="L1616" t="n">
        <v>0.2</v>
      </c>
      <c r="M1616" t="n">
        <v>52.4</v>
      </c>
      <c r="N1616" t="n">
        <v>3.6</v>
      </c>
      <c r="O1616" t="n">
        <v>23.8</v>
      </c>
      <c r="P1616" t="inlineStr">
        <is>
          <t>UPI</t>
        </is>
      </c>
      <c r="Q1616" t="inlineStr">
        <is>
          <t>Delivered</t>
        </is>
      </c>
      <c r="R1616" t="n">
        <v>3</v>
      </c>
    </row>
    <row r="1617">
      <c r="A1617" t="inlineStr">
        <is>
          <t>ORD2616</t>
        </is>
      </c>
      <c r="B1617" t="inlineStr">
        <is>
          <t>2025-09-11</t>
        </is>
      </c>
      <c r="C1617" t="inlineStr">
        <is>
          <t>13:35:35</t>
        </is>
      </c>
      <c r="D1617" t="n">
        <v>1175</v>
      </c>
      <c r="E1617" t="n">
        <v>105</v>
      </c>
      <c r="F1617" t="n">
        <v>213</v>
      </c>
      <c r="G1617" t="inlineStr">
        <is>
          <t>Bangalore</t>
        </is>
      </c>
      <c r="H1617" t="inlineStr">
        <is>
          <t>Chinese</t>
        </is>
      </c>
      <c r="I1617" t="n">
        <v>568</v>
      </c>
      <c r="J1617" t="n">
        <v>33.16</v>
      </c>
      <c r="K1617" t="n">
        <v>36</v>
      </c>
      <c r="L1617" t="n">
        <v>0.2</v>
      </c>
      <c r="M1617" t="n">
        <v>122.6</v>
      </c>
      <c r="N1617" t="n">
        <v>5.2</v>
      </c>
      <c r="O1617" t="n">
        <v>57.6</v>
      </c>
      <c r="P1617" t="inlineStr">
        <is>
          <t>Debit Card</t>
        </is>
      </c>
      <c r="Q1617" t="inlineStr">
        <is>
          <t>Delivered</t>
        </is>
      </c>
      <c r="R1617" t="n">
        <v>2</v>
      </c>
    </row>
    <row r="1618">
      <c r="A1618" t="inlineStr">
        <is>
          <t>ORD2617</t>
        </is>
      </c>
      <c r="B1618" t="inlineStr">
        <is>
          <t>2025-10-02</t>
        </is>
      </c>
      <c r="C1618" t="inlineStr">
        <is>
          <t>08:52:27</t>
        </is>
      </c>
      <c r="D1618" t="n">
        <v>1299</v>
      </c>
      <c r="E1618" t="n">
        <v>109</v>
      </c>
      <c r="F1618" t="n">
        <v>215</v>
      </c>
      <c r="G1618" t="inlineStr">
        <is>
          <t>Hyderabad</t>
        </is>
      </c>
      <c r="H1618" t="inlineStr">
        <is>
          <t>Biryani</t>
        </is>
      </c>
      <c r="I1618" t="n">
        <v>520</v>
      </c>
      <c r="J1618" t="n">
        <v>27.42</v>
      </c>
      <c r="K1618" t="n">
        <v>51.5</v>
      </c>
      <c r="L1618" t="n">
        <v>0.2</v>
      </c>
      <c r="M1618" t="n">
        <v>116.88</v>
      </c>
      <c r="N1618" t="n">
        <v>8.300000000000001</v>
      </c>
      <c r="O1618" t="n">
        <v>43</v>
      </c>
      <c r="P1618" t="inlineStr">
        <is>
          <t>Debit Card</t>
        </is>
      </c>
      <c r="Q1618" t="inlineStr">
        <is>
          <t>Delivered</t>
        </is>
      </c>
      <c r="R1618" t="n">
        <v>4</v>
      </c>
    </row>
    <row r="1619">
      <c r="A1619" t="inlineStr">
        <is>
          <t>ORD2618</t>
        </is>
      </c>
      <c r="B1619" t="inlineStr">
        <is>
          <t>2025-03-20</t>
        </is>
      </c>
      <c r="C1619" t="inlineStr">
        <is>
          <t>16:17:21</t>
        </is>
      </c>
      <c r="D1619" t="n">
        <v>1221</v>
      </c>
      <c r="E1619" t="n">
        <v>109</v>
      </c>
      <c r="F1619" t="n">
        <v>225</v>
      </c>
      <c r="G1619" t="inlineStr">
        <is>
          <t>Hyderabad</t>
        </is>
      </c>
      <c r="H1619" t="inlineStr">
        <is>
          <t>Biryani</t>
        </is>
      </c>
      <c r="I1619" t="n">
        <v>641</v>
      </c>
      <c r="J1619" t="n">
        <v>76.08</v>
      </c>
      <c r="K1619" t="n">
        <v>25</v>
      </c>
      <c r="L1619" t="n">
        <v>0.2</v>
      </c>
      <c r="M1619" t="n">
        <v>134.45</v>
      </c>
      <c r="N1619" t="n">
        <v>2.8</v>
      </c>
      <c r="O1619" t="n">
        <v>33.5</v>
      </c>
      <c r="P1619" t="inlineStr">
        <is>
          <t>Debit Card</t>
        </is>
      </c>
      <c r="Q1619" t="inlineStr">
        <is>
          <t>Delivered</t>
        </is>
      </c>
      <c r="R1619" t="n">
        <v>5</v>
      </c>
    </row>
    <row r="1620">
      <c r="A1620" t="inlineStr">
        <is>
          <t>ORD2619</t>
        </is>
      </c>
      <c r="B1620" t="inlineStr">
        <is>
          <t>2025-06-07</t>
        </is>
      </c>
      <c r="C1620" t="inlineStr">
        <is>
          <t>13:47:19</t>
        </is>
      </c>
      <c r="D1620" t="n">
        <v>1068</v>
      </c>
      <c r="E1620" t="n">
        <v>106</v>
      </c>
      <c r="F1620" t="n">
        <v>214</v>
      </c>
      <c r="G1620" t="inlineStr">
        <is>
          <t>Pune</t>
        </is>
      </c>
      <c r="H1620" t="inlineStr">
        <is>
          <t>South Indian</t>
        </is>
      </c>
      <c r="I1620" t="n">
        <v>636</v>
      </c>
      <c r="J1620" t="n">
        <v>32.81</v>
      </c>
      <c r="K1620" t="n">
        <v>25</v>
      </c>
      <c r="L1620" t="n">
        <v>0.15</v>
      </c>
      <c r="M1620" t="n">
        <v>101.65</v>
      </c>
      <c r="N1620" t="n">
        <v>2.5</v>
      </c>
      <c r="O1620" t="n">
        <v>38.6</v>
      </c>
      <c r="P1620" t="inlineStr">
        <is>
          <t>Debit Card</t>
        </is>
      </c>
      <c r="Q1620" t="inlineStr">
        <is>
          <t>Delivered</t>
        </is>
      </c>
      <c r="R1620" t="n">
        <v>4</v>
      </c>
    </row>
    <row r="1621">
      <c r="A1621" t="inlineStr">
        <is>
          <t>ORD2620</t>
        </is>
      </c>
      <c r="B1621" t="inlineStr">
        <is>
          <t>2025-03-12</t>
        </is>
      </c>
      <c r="C1621" t="inlineStr">
        <is>
          <t>19:59:33</t>
        </is>
      </c>
      <c r="D1621" t="n">
        <v>1139</v>
      </c>
      <c r="E1621" t="n">
        <v>112</v>
      </c>
      <c r="F1621" t="n">
        <v>228</v>
      </c>
      <c r="G1621" t="inlineStr">
        <is>
          <t>Delhi NCR</t>
        </is>
      </c>
      <c r="H1621" t="inlineStr">
        <is>
          <t>North Indian</t>
        </is>
      </c>
      <c r="I1621" t="n">
        <v>837</v>
      </c>
      <c r="J1621" t="n">
        <v>6.7</v>
      </c>
      <c r="K1621" t="n">
        <v>32</v>
      </c>
      <c r="L1621" t="n">
        <v>0.22</v>
      </c>
      <c r="M1621" t="n">
        <v>192.14</v>
      </c>
      <c r="N1621" t="n">
        <v>4.4</v>
      </c>
      <c r="O1621" t="n">
        <v>30.7</v>
      </c>
      <c r="P1621" t="inlineStr">
        <is>
          <t>Debit Card</t>
        </is>
      </c>
      <c r="Q1621" t="inlineStr">
        <is>
          <t>Delivered</t>
        </is>
      </c>
      <c r="R1621" t="n">
        <v>4</v>
      </c>
    </row>
    <row r="1622">
      <c r="A1622" t="inlineStr">
        <is>
          <t>ORD2621</t>
        </is>
      </c>
      <c r="B1622" t="inlineStr">
        <is>
          <t>2025-04-04</t>
        </is>
      </c>
      <c r="C1622" t="inlineStr">
        <is>
          <t>11:36:13</t>
        </is>
      </c>
      <c r="D1622" t="n">
        <v>1159</v>
      </c>
      <c r="E1622" t="n">
        <v>108</v>
      </c>
      <c r="F1622" t="n">
        <v>211</v>
      </c>
      <c r="G1622" t="inlineStr">
        <is>
          <t>Delhi NCR</t>
        </is>
      </c>
      <c r="H1622" t="inlineStr">
        <is>
          <t>Fast Food</t>
        </is>
      </c>
      <c r="I1622" t="n">
        <v>816</v>
      </c>
      <c r="J1622" t="n">
        <v>15.11</v>
      </c>
      <c r="K1622" t="n">
        <v>25</v>
      </c>
      <c r="L1622" t="n">
        <v>0.18</v>
      </c>
      <c r="M1622" t="n">
        <v>153.13</v>
      </c>
      <c r="N1622" t="n">
        <v>2.5</v>
      </c>
      <c r="O1622" t="n">
        <v>23.6</v>
      </c>
      <c r="P1622" t="inlineStr">
        <is>
          <t>Digital Wallet</t>
        </is>
      </c>
      <c r="Q1622" t="inlineStr">
        <is>
          <t>Delivered</t>
        </is>
      </c>
      <c r="R1622" t="n">
        <v>5</v>
      </c>
    </row>
    <row r="1623">
      <c r="A1623" t="inlineStr">
        <is>
          <t>ORD2622</t>
        </is>
      </c>
      <c r="B1623" t="inlineStr">
        <is>
          <t>2025-02-21</t>
        </is>
      </c>
      <c r="C1623" t="inlineStr">
        <is>
          <t>19:57:25</t>
        </is>
      </c>
      <c r="D1623" t="n">
        <v>1183</v>
      </c>
      <c r="E1623" t="n">
        <v>103</v>
      </c>
      <c r="F1623" t="n">
        <v>229</v>
      </c>
      <c r="G1623" t="inlineStr">
        <is>
          <t>Mumbai</t>
        </is>
      </c>
      <c r="H1623" t="inlineStr">
        <is>
          <t>Italian</t>
        </is>
      </c>
      <c r="I1623" t="n">
        <v>440</v>
      </c>
      <c r="J1623" t="n">
        <v>84.43000000000001</v>
      </c>
      <c r="K1623" t="n">
        <v>43</v>
      </c>
      <c r="L1623" t="n">
        <v>0.18</v>
      </c>
      <c r="M1623" t="n">
        <v>89.95</v>
      </c>
      <c r="N1623" t="n">
        <v>6.6</v>
      </c>
      <c r="O1623" t="n">
        <v>44.7</v>
      </c>
      <c r="P1623" t="inlineStr">
        <is>
          <t>Debit Card</t>
        </is>
      </c>
      <c r="Q1623" t="inlineStr">
        <is>
          <t>Delivered</t>
        </is>
      </c>
      <c r="R1623" t="n">
        <v>4</v>
      </c>
    </row>
    <row r="1624">
      <c r="A1624" t="inlineStr">
        <is>
          <t>ORD2623</t>
        </is>
      </c>
      <c r="B1624" t="inlineStr">
        <is>
          <t>2025-02-05</t>
        </is>
      </c>
      <c r="C1624" t="inlineStr">
        <is>
          <t>08:06:37</t>
        </is>
      </c>
      <c r="D1624" t="n">
        <v>1204</v>
      </c>
      <c r="E1624" t="n">
        <v>114</v>
      </c>
      <c r="F1624" t="n">
        <v>225</v>
      </c>
      <c r="G1624" t="inlineStr">
        <is>
          <t>Hyderabad</t>
        </is>
      </c>
      <c r="H1624" t="inlineStr">
        <is>
          <t>Biryani</t>
        </is>
      </c>
      <c r="I1624" t="n">
        <v>351</v>
      </c>
      <c r="J1624" t="n">
        <v>66.39</v>
      </c>
      <c r="K1624" t="n">
        <v>25</v>
      </c>
      <c r="L1624" t="n">
        <v>0.22</v>
      </c>
      <c r="M1624" t="n">
        <v>83.47</v>
      </c>
      <c r="N1624" t="n">
        <v>1.8</v>
      </c>
      <c r="O1624" t="n">
        <v>18</v>
      </c>
      <c r="P1624" t="inlineStr">
        <is>
          <t>Debit Card</t>
        </is>
      </c>
      <c r="Q1624" t="inlineStr">
        <is>
          <t>Delivered</t>
        </is>
      </c>
      <c r="R1624" t="n">
        <v>4</v>
      </c>
    </row>
    <row r="1625">
      <c r="A1625" t="inlineStr">
        <is>
          <t>ORD2624</t>
        </is>
      </c>
      <c r="B1625" t="inlineStr">
        <is>
          <t>2025-03-23</t>
        </is>
      </c>
      <c r="C1625" t="inlineStr">
        <is>
          <t>10:37:35</t>
        </is>
      </c>
      <c r="D1625" t="n">
        <v>1221</v>
      </c>
      <c r="E1625" t="n">
        <v>109</v>
      </c>
      <c r="F1625" t="n">
        <v>216</v>
      </c>
      <c r="G1625" t="inlineStr">
        <is>
          <t>Hyderabad</t>
        </is>
      </c>
      <c r="H1625" t="inlineStr">
        <is>
          <t>Biryani</t>
        </is>
      </c>
      <c r="I1625" t="n">
        <v>473</v>
      </c>
      <c r="J1625" t="n">
        <v>26.37</v>
      </c>
      <c r="K1625" t="n">
        <v>47</v>
      </c>
      <c r="L1625" t="n">
        <v>0.2</v>
      </c>
      <c r="M1625" t="n">
        <v>106.35</v>
      </c>
      <c r="N1625" t="n">
        <v>7.4</v>
      </c>
      <c r="O1625" t="n">
        <v>40.7</v>
      </c>
      <c r="P1625" t="inlineStr">
        <is>
          <t>Digital Wallet</t>
        </is>
      </c>
      <c r="Q1625" t="inlineStr">
        <is>
          <t>Delivered</t>
        </is>
      </c>
      <c r="R1625" t="n">
        <v>3</v>
      </c>
    </row>
    <row r="1626">
      <c r="A1626" t="inlineStr">
        <is>
          <t>ORD2625</t>
        </is>
      </c>
      <c r="B1626" t="inlineStr">
        <is>
          <t>2025-04-22</t>
        </is>
      </c>
      <c r="C1626" t="inlineStr">
        <is>
          <t>12:46:45</t>
        </is>
      </c>
      <c r="D1626" t="n">
        <v>1295</v>
      </c>
      <c r="E1626" t="n">
        <v>112</v>
      </c>
      <c r="F1626" t="n">
        <v>219</v>
      </c>
      <c r="G1626" t="inlineStr">
        <is>
          <t>Delhi NCR</t>
        </is>
      </c>
      <c r="H1626" t="inlineStr">
        <is>
          <t>North Indian</t>
        </is>
      </c>
      <c r="I1626" t="n">
        <v>349</v>
      </c>
      <c r="J1626" t="n">
        <v>0</v>
      </c>
      <c r="K1626" t="n">
        <v>25</v>
      </c>
      <c r="L1626" t="n">
        <v>0.22</v>
      </c>
      <c r="M1626" t="n">
        <v>83.03</v>
      </c>
      <c r="N1626" t="n">
        <v>1.7</v>
      </c>
      <c r="O1626" t="n">
        <v>33.3</v>
      </c>
      <c r="P1626" t="inlineStr">
        <is>
          <t>Digital Wallet</t>
        </is>
      </c>
      <c r="Q1626" t="inlineStr">
        <is>
          <t>Delivered</t>
        </is>
      </c>
      <c r="R1626" t="n">
        <v>2</v>
      </c>
    </row>
    <row r="1627">
      <c r="A1627" t="inlineStr">
        <is>
          <t>ORD2626</t>
        </is>
      </c>
      <c r="B1627" t="inlineStr">
        <is>
          <t>2025-01-03</t>
        </is>
      </c>
      <c r="C1627" t="inlineStr">
        <is>
          <t>20:43:33</t>
        </is>
      </c>
      <c r="D1627" t="n">
        <v>1277</v>
      </c>
      <c r="E1627" t="n">
        <v>113</v>
      </c>
      <c r="F1627" t="n">
        <v>222</v>
      </c>
      <c r="G1627" t="inlineStr">
        <is>
          <t>Mumbai</t>
        </is>
      </c>
      <c r="H1627" t="inlineStr">
        <is>
          <t>Fast Food</t>
        </is>
      </c>
      <c r="I1627" t="n">
        <v>499</v>
      </c>
      <c r="J1627" t="n">
        <v>45.09</v>
      </c>
      <c r="K1627" t="n">
        <v>43</v>
      </c>
      <c r="L1627" t="n">
        <v>0.18</v>
      </c>
      <c r="M1627" t="n">
        <v>100.57</v>
      </c>
      <c r="N1627" t="n">
        <v>6.6</v>
      </c>
      <c r="O1627" t="n">
        <v>46.8</v>
      </c>
      <c r="P1627" t="inlineStr">
        <is>
          <t>Credit Card</t>
        </is>
      </c>
      <c r="Q1627" t="inlineStr">
        <is>
          <t>Delivered</t>
        </is>
      </c>
      <c r="R1627" t="n">
        <v>4</v>
      </c>
    </row>
    <row r="1628">
      <c r="A1628" t="inlineStr">
        <is>
          <t>ORD2627</t>
        </is>
      </c>
      <c r="B1628" t="inlineStr">
        <is>
          <t>2025-08-09</t>
        </is>
      </c>
      <c r="C1628" t="inlineStr">
        <is>
          <t>18:13:39</t>
        </is>
      </c>
      <c r="D1628" t="n">
        <v>1243</v>
      </c>
      <c r="E1628" t="n">
        <v>112</v>
      </c>
      <c r="F1628" t="n">
        <v>212</v>
      </c>
      <c r="G1628" t="inlineStr">
        <is>
          <t>Delhi NCR</t>
        </is>
      </c>
      <c r="H1628" t="inlineStr">
        <is>
          <t>North Indian</t>
        </is>
      </c>
      <c r="I1628" t="n">
        <v>1101</v>
      </c>
      <c r="J1628" t="n">
        <v>131.29</v>
      </c>
      <c r="K1628" t="n">
        <v>0</v>
      </c>
      <c r="L1628" t="n">
        <v>0.22</v>
      </c>
      <c r="M1628" t="n">
        <v>242.22</v>
      </c>
      <c r="N1628" t="n">
        <v>5.7</v>
      </c>
      <c r="O1628" t="n">
        <v>37.1</v>
      </c>
      <c r="P1628" t="inlineStr">
        <is>
          <t>Debit Card</t>
        </is>
      </c>
      <c r="Q1628" t="inlineStr">
        <is>
          <t>Delivered</t>
        </is>
      </c>
      <c r="R1628" t="n">
        <v>4</v>
      </c>
    </row>
    <row r="1629">
      <c r="A1629" t="inlineStr">
        <is>
          <t>ORD2628</t>
        </is>
      </c>
      <c r="B1629" t="inlineStr">
        <is>
          <t>2025-10-30</t>
        </is>
      </c>
      <c r="C1629" t="inlineStr">
        <is>
          <t>21:26:58</t>
        </is>
      </c>
      <c r="D1629" t="n">
        <v>1129</v>
      </c>
      <c r="E1629" t="n">
        <v>120</v>
      </c>
      <c r="F1629" t="n">
        <v>204</v>
      </c>
      <c r="G1629" t="inlineStr">
        <is>
          <t>Pune</t>
        </is>
      </c>
      <c r="H1629" t="inlineStr">
        <is>
          <t>Fast Food</t>
        </is>
      </c>
      <c r="I1629" t="n">
        <v>812</v>
      </c>
      <c r="J1629" t="n">
        <v>0</v>
      </c>
      <c r="K1629" t="n">
        <v>27</v>
      </c>
      <c r="L1629" t="n">
        <v>0.18</v>
      </c>
      <c r="M1629" t="n">
        <v>152.91</v>
      </c>
      <c r="N1629" t="n">
        <v>3.4</v>
      </c>
      <c r="O1629" t="n">
        <v>30.4</v>
      </c>
      <c r="P1629" t="inlineStr">
        <is>
          <t>UPI</t>
        </is>
      </c>
      <c r="Q1629" t="inlineStr">
        <is>
          <t>Delivered</t>
        </is>
      </c>
      <c r="R1629" t="n">
        <v>2</v>
      </c>
    </row>
    <row r="1630">
      <c r="A1630" t="inlineStr">
        <is>
          <t>ORD2629</t>
        </is>
      </c>
      <c r="B1630" t="inlineStr">
        <is>
          <t>2025-01-01</t>
        </is>
      </c>
      <c r="C1630" t="inlineStr">
        <is>
          <t>12:07:25</t>
        </is>
      </c>
      <c r="D1630" t="n">
        <v>1217</v>
      </c>
      <c r="E1630" t="n">
        <v>119</v>
      </c>
      <c r="F1630" t="n">
        <v>225</v>
      </c>
      <c r="G1630" t="inlineStr">
        <is>
          <t>Hyderabad</t>
        </is>
      </c>
      <c r="H1630" t="inlineStr">
        <is>
          <t>Biryani</t>
        </is>
      </c>
      <c r="I1630" t="n">
        <v>824</v>
      </c>
      <c r="J1630" t="n">
        <v>0</v>
      </c>
      <c r="K1630" t="n">
        <v>37.5</v>
      </c>
      <c r="L1630" t="n">
        <v>0.2</v>
      </c>
      <c r="M1630" t="n">
        <v>174.18</v>
      </c>
      <c r="N1630" t="n">
        <v>5.5</v>
      </c>
      <c r="O1630" t="n">
        <v>39.7</v>
      </c>
      <c r="P1630" t="inlineStr">
        <is>
          <t>Credit Card</t>
        </is>
      </c>
      <c r="Q1630" t="inlineStr">
        <is>
          <t>Delivered</t>
        </is>
      </c>
      <c r="R1630" t="n">
        <v>5</v>
      </c>
    </row>
    <row r="1631">
      <c r="A1631" t="inlineStr">
        <is>
          <t>ORD2630</t>
        </is>
      </c>
      <c r="B1631" t="inlineStr">
        <is>
          <t>2025-03-09</t>
        </is>
      </c>
      <c r="C1631" t="inlineStr">
        <is>
          <t>19:45:02</t>
        </is>
      </c>
      <c r="D1631" t="n">
        <v>1171</v>
      </c>
      <c r="E1631" t="n">
        <v>109</v>
      </c>
      <c r="F1631" t="n">
        <v>225</v>
      </c>
      <c r="G1631" t="inlineStr">
        <is>
          <t>Hyderabad</t>
        </is>
      </c>
      <c r="H1631" t="inlineStr">
        <is>
          <t>Biryani</t>
        </is>
      </c>
      <c r="I1631" t="n">
        <v>456</v>
      </c>
      <c r="J1631" t="n">
        <v>54.66</v>
      </c>
      <c r="K1631" t="n">
        <v>38.5</v>
      </c>
      <c r="L1631" t="n">
        <v>0.2</v>
      </c>
      <c r="M1631" t="n">
        <v>100.82</v>
      </c>
      <c r="N1631" t="n">
        <v>5.7</v>
      </c>
      <c r="O1631" t="n">
        <v>41.6</v>
      </c>
      <c r="P1631" t="inlineStr">
        <is>
          <t>UPI</t>
        </is>
      </c>
      <c r="Q1631" t="inlineStr">
        <is>
          <t>Delivered</t>
        </is>
      </c>
      <c r="R1631" t="n">
        <v>3</v>
      </c>
    </row>
    <row r="1632">
      <c r="A1632" t="inlineStr">
        <is>
          <t>ORD2631</t>
        </is>
      </c>
      <c r="B1632" t="inlineStr">
        <is>
          <t>2025-05-22</t>
        </is>
      </c>
      <c r="C1632" t="inlineStr">
        <is>
          <t>19:07:36</t>
        </is>
      </c>
      <c r="D1632" t="n">
        <v>1266</v>
      </c>
      <c r="E1632" t="n">
        <v>103</v>
      </c>
      <c r="F1632" t="n">
        <v>229</v>
      </c>
      <c r="G1632" t="inlineStr">
        <is>
          <t>Mumbai</t>
        </is>
      </c>
      <c r="H1632" t="inlineStr">
        <is>
          <t>Italian</t>
        </is>
      </c>
      <c r="I1632" t="n">
        <v>222</v>
      </c>
      <c r="J1632" t="n">
        <v>21.23</v>
      </c>
      <c r="K1632" t="n">
        <v>25</v>
      </c>
      <c r="L1632" t="n">
        <v>0.18</v>
      </c>
      <c r="M1632" t="n">
        <v>46.21</v>
      </c>
      <c r="N1632" t="n">
        <v>1.8</v>
      </c>
      <c r="O1632" t="n">
        <v>31.9</v>
      </c>
      <c r="P1632" t="inlineStr">
        <is>
          <t>UPI</t>
        </is>
      </c>
      <c r="Q1632" t="inlineStr">
        <is>
          <t>Returned</t>
        </is>
      </c>
      <c r="R1632" t="n">
        <v>4</v>
      </c>
    </row>
    <row r="1633">
      <c r="A1633" t="inlineStr">
        <is>
          <t>ORD2632</t>
        </is>
      </c>
      <c r="B1633" t="inlineStr">
        <is>
          <t>2025-04-16</t>
        </is>
      </c>
      <c r="C1633" t="inlineStr">
        <is>
          <t>10:28:09</t>
        </is>
      </c>
      <c r="D1633" t="n">
        <v>1031</v>
      </c>
      <c r="E1633" t="n">
        <v>103</v>
      </c>
      <c r="F1633" t="n">
        <v>222</v>
      </c>
      <c r="G1633" t="inlineStr">
        <is>
          <t>Mumbai</t>
        </is>
      </c>
      <c r="H1633" t="inlineStr">
        <is>
          <t>Italian</t>
        </is>
      </c>
      <c r="I1633" t="n">
        <v>370</v>
      </c>
      <c r="J1633" t="n">
        <v>37.26</v>
      </c>
      <c r="K1633" t="n">
        <v>38.5</v>
      </c>
      <c r="L1633" t="n">
        <v>0.18</v>
      </c>
      <c r="M1633" t="n">
        <v>76.22</v>
      </c>
      <c r="N1633" t="n">
        <v>5.7</v>
      </c>
      <c r="O1633" t="n">
        <v>39.9</v>
      </c>
      <c r="P1633" t="inlineStr">
        <is>
          <t>Debit Card</t>
        </is>
      </c>
      <c r="Q1633" t="inlineStr">
        <is>
          <t>Delivered</t>
        </is>
      </c>
      <c r="R1633" t="n">
        <v>4</v>
      </c>
    </row>
    <row r="1634">
      <c r="A1634" t="inlineStr">
        <is>
          <t>ORD2633</t>
        </is>
      </c>
      <c r="B1634" t="inlineStr">
        <is>
          <t>2025-12-04</t>
        </is>
      </c>
      <c r="C1634" t="inlineStr">
        <is>
          <t>10:33:43</t>
        </is>
      </c>
      <c r="D1634" t="n">
        <v>1069</v>
      </c>
      <c r="E1634" t="n">
        <v>101</v>
      </c>
      <c r="F1634" t="n">
        <v>210</v>
      </c>
      <c r="G1634" t="inlineStr">
        <is>
          <t>Bangalore</t>
        </is>
      </c>
      <c r="H1634" t="inlineStr">
        <is>
          <t>North Indian</t>
        </is>
      </c>
      <c r="I1634" t="n">
        <v>501</v>
      </c>
      <c r="J1634" t="n">
        <v>0</v>
      </c>
      <c r="K1634" t="n">
        <v>25</v>
      </c>
      <c r="L1634" t="n">
        <v>0.2</v>
      </c>
      <c r="M1634" t="n">
        <v>106.45</v>
      </c>
      <c r="N1634" t="n">
        <v>2.8</v>
      </c>
      <c r="O1634" t="n">
        <v/>
      </c>
      <c r="P1634" t="inlineStr">
        <is>
          <t>Credit Card</t>
        </is>
      </c>
      <c r="Q1634" t="inlineStr">
        <is>
          <t>Cancelled</t>
        </is>
      </c>
      <c r="R1634" t="n">
        <v/>
      </c>
    </row>
    <row r="1635">
      <c r="A1635" t="inlineStr">
        <is>
          <t>ORD2634</t>
        </is>
      </c>
      <c r="B1635" t="inlineStr">
        <is>
          <t>2025-06-30</t>
        </is>
      </c>
      <c r="C1635" t="inlineStr">
        <is>
          <t>21:12:55</t>
        </is>
      </c>
      <c r="D1635" t="n">
        <v>1005</v>
      </c>
      <c r="E1635" t="n">
        <v>102</v>
      </c>
      <c r="F1635" t="n">
        <v>225</v>
      </c>
      <c r="G1635" t="inlineStr">
        <is>
          <t>Hyderabad</t>
        </is>
      </c>
      <c r="H1635" t="inlineStr">
        <is>
          <t>Biryani</t>
        </is>
      </c>
      <c r="I1635" t="n">
        <v>901</v>
      </c>
      <c r="J1635" t="n">
        <v>47.74</v>
      </c>
      <c r="K1635" t="n">
        <v>25</v>
      </c>
      <c r="L1635" t="n">
        <v>0.22</v>
      </c>
      <c r="M1635" t="n">
        <v>204.47</v>
      </c>
      <c r="N1635" t="n">
        <v>3</v>
      </c>
      <c r="O1635" t="n">
        <v>33.4</v>
      </c>
      <c r="P1635" t="inlineStr">
        <is>
          <t>Debit Card</t>
        </is>
      </c>
      <c r="Q1635" t="inlineStr">
        <is>
          <t>Delivered</t>
        </is>
      </c>
      <c r="R1635" t="n">
        <v>3</v>
      </c>
    </row>
    <row r="1636">
      <c r="A1636" t="inlineStr">
        <is>
          <t>ORD2635</t>
        </is>
      </c>
      <c r="B1636" t="inlineStr">
        <is>
          <t>2025-01-02</t>
        </is>
      </c>
      <c r="C1636" t="inlineStr">
        <is>
          <t>20:27:29</t>
        </is>
      </c>
      <c r="D1636" t="n">
        <v>1274</v>
      </c>
      <c r="E1636" t="n">
        <v>113</v>
      </c>
      <c r="F1636" t="n">
        <v>206</v>
      </c>
      <c r="G1636" t="inlineStr">
        <is>
          <t>Mumbai</t>
        </is>
      </c>
      <c r="H1636" t="inlineStr">
        <is>
          <t>Fast Food</t>
        </is>
      </c>
      <c r="I1636" t="n">
        <v>497</v>
      </c>
      <c r="J1636" t="n">
        <v>88.54000000000001</v>
      </c>
      <c r="K1636" t="n">
        <v>32</v>
      </c>
      <c r="L1636" t="n">
        <v>0.18</v>
      </c>
      <c r="M1636" t="n">
        <v>97.45999999999999</v>
      </c>
      <c r="N1636" t="n">
        <v>4.4</v>
      </c>
      <c r="O1636" t="n">
        <v>42.4</v>
      </c>
      <c r="P1636" t="inlineStr">
        <is>
          <t>Cash on Delivery</t>
        </is>
      </c>
      <c r="Q1636" t="inlineStr">
        <is>
          <t>Delivered</t>
        </is>
      </c>
      <c r="R1636" t="n">
        <v>3</v>
      </c>
    </row>
    <row r="1637">
      <c r="A1637" t="inlineStr">
        <is>
          <t>ORD2636</t>
        </is>
      </c>
      <c r="B1637" t="inlineStr">
        <is>
          <t>2025-02-26</t>
        </is>
      </c>
      <c r="C1637" t="inlineStr">
        <is>
          <t>13:56:18</t>
        </is>
      </c>
      <c r="D1637" t="n">
        <v>1127</v>
      </c>
      <c r="E1637" t="n">
        <v>112</v>
      </c>
      <c r="F1637" t="n">
        <v>212</v>
      </c>
      <c r="G1637" t="inlineStr">
        <is>
          <t>Delhi NCR</t>
        </is>
      </c>
      <c r="H1637" t="inlineStr">
        <is>
          <t>North Indian</t>
        </is>
      </c>
      <c r="I1637" t="n">
        <v>364</v>
      </c>
      <c r="J1637" t="n">
        <v>25.42</v>
      </c>
      <c r="K1637" t="n">
        <v>25</v>
      </c>
      <c r="L1637" t="n">
        <v>0.22</v>
      </c>
      <c r="M1637" t="n">
        <v>86.33</v>
      </c>
      <c r="N1637" t="n">
        <v>1.3</v>
      </c>
      <c r="O1637" t="n">
        <v>22.5</v>
      </c>
      <c r="P1637" t="inlineStr">
        <is>
          <t>UPI</t>
        </is>
      </c>
      <c r="Q1637" t="inlineStr">
        <is>
          <t>Delivered</t>
        </is>
      </c>
      <c r="R1637" t="n">
        <v>5</v>
      </c>
    </row>
    <row r="1638">
      <c r="A1638" t="inlineStr">
        <is>
          <t>ORD2637</t>
        </is>
      </c>
      <c r="B1638" t="inlineStr">
        <is>
          <t>2025-06-28</t>
        </is>
      </c>
      <c r="C1638" t="inlineStr">
        <is>
          <t>14:19:41</t>
        </is>
      </c>
      <c r="D1638" t="n">
        <v>1054</v>
      </c>
      <c r="E1638" t="n">
        <v>111</v>
      </c>
      <c r="F1638" t="n">
        <v>223</v>
      </c>
      <c r="G1638" t="inlineStr">
        <is>
          <t>Bangalore</t>
        </is>
      </c>
      <c r="H1638" t="inlineStr">
        <is>
          <t>South Indian</t>
        </is>
      </c>
      <c r="I1638" t="n">
        <v>664</v>
      </c>
      <c r="J1638" t="n">
        <v>79.73999999999999</v>
      </c>
      <c r="K1638" t="n">
        <v>0</v>
      </c>
      <c r="L1638" t="n">
        <v>0.15</v>
      </c>
      <c r="M1638" t="n">
        <v>99.59999999999999</v>
      </c>
      <c r="N1638" t="n">
        <v>4.4</v>
      </c>
      <c r="O1638" t="n">
        <v>38.7</v>
      </c>
      <c r="P1638" t="inlineStr">
        <is>
          <t>Cash on Delivery</t>
        </is>
      </c>
      <c r="Q1638" t="inlineStr">
        <is>
          <t>Delivered</t>
        </is>
      </c>
      <c r="R1638" t="n">
        <v>4</v>
      </c>
    </row>
    <row r="1639">
      <c r="A1639" t="inlineStr">
        <is>
          <t>ORD2638</t>
        </is>
      </c>
      <c r="B1639" t="inlineStr">
        <is>
          <t>2025-09-03</t>
        </is>
      </c>
      <c r="C1639" t="inlineStr">
        <is>
          <t>16:14:28</t>
        </is>
      </c>
      <c r="D1639" t="n">
        <v>1197</v>
      </c>
      <c r="E1639" t="n">
        <v>117</v>
      </c>
      <c r="F1639" t="n">
        <v>202</v>
      </c>
      <c r="G1639" t="inlineStr">
        <is>
          <t>Mumbai</t>
        </is>
      </c>
      <c r="H1639" t="inlineStr">
        <is>
          <t>Chinese</t>
        </is>
      </c>
      <c r="I1639" t="n">
        <v>356</v>
      </c>
      <c r="J1639" t="n">
        <v>18.23</v>
      </c>
      <c r="K1639" t="n">
        <v>26.5</v>
      </c>
      <c r="L1639" t="n">
        <v>0.2</v>
      </c>
      <c r="M1639" t="n">
        <v>77.81999999999999</v>
      </c>
      <c r="N1639" t="n">
        <v>3.3</v>
      </c>
      <c r="O1639" t="n">
        <v>30.5</v>
      </c>
      <c r="P1639" t="inlineStr">
        <is>
          <t>Cash on Delivery</t>
        </is>
      </c>
      <c r="Q1639" t="inlineStr">
        <is>
          <t>Returned</t>
        </is>
      </c>
      <c r="R1639" t="n">
        <v>5</v>
      </c>
    </row>
    <row r="1640">
      <c r="A1640" t="inlineStr">
        <is>
          <t>ORD2639</t>
        </is>
      </c>
      <c r="B1640" t="inlineStr">
        <is>
          <t>2025-02-26</t>
        </is>
      </c>
      <c r="C1640" t="inlineStr">
        <is>
          <t>14:17:46</t>
        </is>
      </c>
      <c r="D1640" t="n">
        <v>1229</v>
      </c>
      <c r="E1640" t="n">
        <v>103</v>
      </c>
      <c r="F1640" t="n">
        <v>229</v>
      </c>
      <c r="G1640" t="inlineStr">
        <is>
          <t>Mumbai</t>
        </is>
      </c>
      <c r="H1640" t="inlineStr">
        <is>
          <t>Italian</t>
        </is>
      </c>
      <c r="I1640" t="n">
        <v>832</v>
      </c>
      <c r="J1640" t="n">
        <v>104.4</v>
      </c>
      <c r="K1640" t="n">
        <v>0</v>
      </c>
      <c r="L1640" t="n">
        <v>0.18</v>
      </c>
      <c r="M1640" t="n">
        <v>149.76</v>
      </c>
      <c r="N1640" t="n">
        <v>4.7</v>
      </c>
      <c r="O1640" t="n">
        <v>34.8</v>
      </c>
      <c r="P1640" t="inlineStr">
        <is>
          <t>Digital Wallet</t>
        </is>
      </c>
      <c r="Q1640" t="inlineStr">
        <is>
          <t>Delivered</t>
        </is>
      </c>
      <c r="R1640" t="n">
        <v>3</v>
      </c>
    </row>
    <row r="1641">
      <c r="A1641" t="inlineStr">
        <is>
          <t>ORD2640</t>
        </is>
      </c>
      <c r="B1641" t="inlineStr">
        <is>
          <t>2025-02-02</t>
        </is>
      </c>
      <c r="C1641" t="inlineStr">
        <is>
          <t>18:36:56</t>
        </is>
      </c>
      <c r="D1641" t="n">
        <v>1022</v>
      </c>
      <c r="E1641" t="n">
        <v>112</v>
      </c>
      <c r="F1641" t="n">
        <v>230</v>
      </c>
      <c r="G1641" t="inlineStr">
        <is>
          <t>Delhi NCR</t>
        </is>
      </c>
      <c r="H1641" t="inlineStr">
        <is>
          <t>North Indian</t>
        </is>
      </c>
      <c r="I1641" t="n">
        <v>329</v>
      </c>
      <c r="J1641" t="n">
        <v>0</v>
      </c>
      <c r="K1641" t="n">
        <v>31</v>
      </c>
      <c r="L1641" t="n">
        <v>0.22</v>
      </c>
      <c r="M1641" t="n">
        <v>80.13</v>
      </c>
      <c r="N1641" t="n">
        <v>4.2</v>
      </c>
      <c r="O1641" t="n">
        <v>31.3</v>
      </c>
      <c r="P1641" t="inlineStr">
        <is>
          <t>Credit Card</t>
        </is>
      </c>
      <c r="Q1641" t="inlineStr">
        <is>
          <t>Delivered</t>
        </is>
      </c>
      <c r="R1641" t="n">
        <v>5</v>
      </c>
    </row>
    <row r="1642">
      <c r="A1642" t="inlineStr">
        <is>
          <t>ORD2641</t>
        </is>
      </c>
      <c r="B1642" t="inlineStr">
        <is>
          <t>2025-03-18</t>
        </is>
      </c>
      <c r="C1642" t="inlineStr">
        <is>
          <t>13:01:20</t>
        </is>
      </c>
      <c r="D1642" t="n">
        <v>1200</v>
      </c>
      <c r="E1642" t="n">
        <v>113</v>
      </c>
      <c r="F1642" t="n">
        <v>206</v>
      </c>
      <c r="G1642" t="inlineStr">
        <is>
          <t>Mumbai</t>
        </is>
      </c>
      <c r="H1642" t="inlineStr">
        <is>
          <t>Fast Food</t>
        </is>
      </c>
      <c r="I1642" t="n">
        <v>926</v>
      </c>
      <c r="J1642" t="n">
        <v>96.19</v>
      </c>
      <c r="K1642" t="n">
        <v>28</v>
      </c>
      <c r="L1642" t="n">
        <v>0.18</v>
      </c>
      <c r="M1642" t="n">
        <v>173.68</v>
      </c>
      <c r="N1642" t="n">
        <v>3.6</v>
      </c>
      <c r="O1642" t="n">
        <v>33</v>
      </c>
      <c r="P1642" t="inlineStr">
        <is>
          <t>Debit Card</t>
        </is>
      </c>
      <c r="Q1642" t="inlineStr">
        <is>
          <t>Delivered</t>
        </is>
      </c>
      <c r="R1642" t="n">
        <v>5</v>
      </c>
    </row>
    <row r="1643">
      <c r="A1643" t="inlineStr">
        <is>
          <t>ORD2642</t>
        </is>
      </c>
      <c r="B1643" t="inlineStr">
        <is>
          <t>2025-04-10</t>
        </is>
      </c>
      <c r="C1643" t="inlineStr">
        <is>
          <t>23:11:06</t>
        </is>
      </c>
      <c r="D1643" t="n">
        <v>1159</v>
      </c>
      <c r="E1643" t="n">
        <v>112</v>
      </c>
      <c r="F1643" t="n">
        <v>212</v>
      </c>
      <c r="G1643" t="inlineStr">
        <is>
          <t>Delhi NCR</t>
        </is>
      </c>
      <c r="H1643" t="inlineStr">
        <is>
          <t>North Indian</t>
        </is>
      </c>
      <c r="I1643" t="n">
        <v>533</v>
      </c>
      <c r="J1643" t="n">
        <v>18.12</v>
      </c>
      <c r="K1643" t="n">
        <v>25.5</v>
      </c>
      <c r="L1643" t="n">
        <v>0.22</v>
      </c>
      <c r="M1643" t="n">
        <v>123.64</v>
      </c>
      <c r="N1643" t="n">
        <v>3.1</v>
      </c>
      <c r="O1643" t="n">
        <v>30.7</v>
      </c>
      <c r="P1643" t="inlineStr">
        <is>
          <t>Debit Card</t>
        </is>
      </c>
      <c r="Q1643" t="inlineStr">
        <is>
          <t>Delivered</t>
        </is>
      </c>
      <c r="R1643" t="n">
        <v>3</v>
      </c>
    </row>
    <row r="1644">
      <c r="A1644" t="inlineStr">
        <is>
          <t>ORD2643</t>
        </is>
      </c>
      <c r="B1644" t="inlineStr">
        <is>
          <t>2025-02-19</t>
        </is>
      </c>
      <c r="C1644" t="inlineStr">
        <is>
          <t>22:24:30</t>
        </is>
      </c>
      <c r="D1644" t="n">
        <v>1235</v>
      </c>
      <c r="E1644" t="n">
        <v>119</v>
      </c>
      <c r="F1644" t="n">
        <v>216</v>
      </c>
      <c r="G1644" t="inlineStr">
        <is>
          <t>Hyderabad</t>
        </is>
      </c>
      <c r="H1644" t="inlineStr">
        <is>
          <t>Biryani</t>
        </is>
      </c>
      <c r="I1644" t="n">
        <v>859</v>
      </c>
      <c r="J1644" t="n">
        <v>0</v>
      </c>
      <c r="K1644" t="n">
        <v>41</v>
      </c>
      <c r="L1644" t="n">
        <v>0.2</v>
      </c>
      <c r="M1644" t="n">
        <v>182.05</v>
      </c>
      <c r="N1644" t="n">
        <v>6.2</v>
      </c>
      <c r="O1644" t="n">
        <v>36.3</v>
      </c>
      <c r="P1644" t="inlineStr">
        <is>
          <t>UPI</t>
        </is>
      </c>
      <c r="Q1644" t="inlineStr">
        <is>
          <t>Delivered</t>
        </is>
      </c>
      <c r="R1644" t="n">
        <v>5</v>
      </c>
    </row>
    <row r="1645">
      <c r="A1645" t="inlineStr">
        <is>
          <t>ORD2644</t>
        </is>
      </c>
      <c r="B1645" t="inlineStr">
        <is>
          <t>2025-05-04</t>
        </is>
      </c>
      <c r="C1645" t="inlineStr">
        <is>
          <t>12:34:21</t>
        </is>
      </c>
      <c r="D1645" t="n">
        <v>1188</v>
      </c>
      <c r="E1645" t="n">
        <v>114</v>
      </c>
      <c r="F1645" t="n">
        <v>215</v>
      </c>
      <c r="G1645" t="inlineStr">
        <is>
          <t>Hyderabad</t>
        </is>
      </c>
      <c r="H1645" t="inlineStr">
        <is>
          <t>Biryani</t>
        </is>
      </c>
      <c r="I1645" t="n">
        <v>724</v>
      </c>
      <c r="J1645" t="n">
        <v>0</v>
      </c>
      <c r="K1645" t="n">
        <v>25</v>
      </c>
      <c r="L1645" t="n">
        <v>0.22</v>
      </c>
      <c r="M1645" t="n">
        <v>165.53</v>
      </c>
      <c r="N1645" t="n">
        <v>2.2</v>
      </c>
      <c r="O1645" t="n">
        <v>33.1</v>
      </c>
      <c r="P1645" t="inlineStr">
        <is>
          <t>UPI</t>
        </is>
      </c>
      <c r="Q1645" t="inlineStr">
        <is>
          <t>Delivered</t>
        </is>
      </c>
      <c r="R1645" t="n">
        <v>5</v>
      </c>
    </row>
    <row r="1646">
      <c r="A1646" t="inlineStr">
        <is>
          <t>ORD2645</t>
        </is>
      </c>
      <c r="B1646" t="inlineStr">
        <is>
          <t>2025-04-29</t>
        </is>
      </c>
      <c r="C1646" t="inlineStr">
        <is>
          <t>12:26:55</t>
        </is>
      </c>
      <c r="D1646" t="n">
        <v>1166</v>
      </c>
      <c r="E1646" t="n">
        <v>111</v>
      </c>
      <c r="F1646" t="n">
        <v>223</v>
      </c>
      <c r="G1646" t="inlineStr">
        <is>
          <t>Bangalore</t>
        </is>
      </c>
      <c r="H1646" t="inlineStr">
        <is>
          <t>South Indian</t>
        </is>
      </c>
      <c r="I1646" t="n">
        <v>264</v>
      </c>
      <c r="J1646" t="n">
        <v>16.99</v>
      </c>
      <c r="K1646" t="n">
        <v>25.5</v>
      </c>
      <c r="L1646" t="n">
        <v>0.15</v>
      </c>
      <c r="M1646" t="n">
        <v>45.98</v>
      </c>
      <c r="N1646" t="n">
        <v>3.1</v>
      </c>
      <c r="O1646" t="n">
        <v>27.9</v>
      </c>
      <c r="P1646" t="inlineStr">
        <is>
          <t>UPI</t>
        </is>
      </c>
      <c r="Q1646" t="inlineStr">
        <is>
          <t>Delivered</t>
        </is>
      </c>
      <c r="R1646" t="n">
        <v>4</v>
      </c>
    </row>
    <row r="1647">
      <c r="A1647" t="inlineStr">
        <is>
          <t>ORD2646</t>
        </is>
      </c>
      <c r="B1647" t="inlineStr">
        <is>
          <t>2025-03-11</t>
        </is>
      </c>
      <c r="C1647" t="inlineStr">
        <is>
          <t>11:14:47</t>
        </is>
      </c>
      <c r="D1647" t="n">
        <v>1025</v>
      </c>
      <c r="E1647" t="n">
        <v>106</v>
      </c>
      <c r="F1647" t="n">
        <v>214</v>
      </c>
      <c r="G1647" t="inlineStr">
        <is>
          <t>Pune</t>
        </is>
      </c>
      <c r="H1647" t="inlineStr">
        <is>
          <t>South Indian</t>
        </is>
      </c>
      <c r="I1647" t="n">
        <v>439</v>
      </c>
      <c r="J1647" t="n">
        <v>0</v>
      </c>
      <c r="K1647" t="n">
        <v>34.5</v>
      </c>
      <c r="L1647" t="n">
        <v>0.15</v>
      </c>
      <c r="M1647" t="n">
        <v>74.47</v>
      </c>
      <c r="N1647" t="n">
        <v>4.9</v>
      </c>
      <c r="O1647" t="n">
        <v>26.8</v>
      </c>
      <c r="P1647" t="inlineStr">
        <is>
          <t>Debit Card</t>
        </is>
      </c>
      <c r="Q1647" t="inlineStr">
        <is>
          <t>Delivered</t>
        </is>
      </c>
      <c r="R1647" t="n">
        <v>3</v>
      </c>
    </row>
    <row r="1648">
      <c r="A1648" t="inlineStr">
        <is>
          <t>ORD2647</t>
        </is>
      </c>
      <c r="B1648" t="inlineStr">
        <is>
          <t>2025-03-03</t>
        </is>
      </c>
      <c r="C1648" t="inlineStr">
        <is>
          <t>16:17:41</t>
        </is>
      </c>
      <c r="D1648" t="n">
        <v>1261</v>
      </c>
      <c r="E1648" t="n">
        <v>102</v>
      </c>
      <c r="F1648" t="n">
        <v>215</v>
      </c>
      <c r="G1648" t="inlineStr">
        <is>
          <t>Hyderabad</t>
        </is>
      </c>
      <c r="H1648" t="inlineStr">
        <is>
          <t>Biryani</t>
        </is>
      </c>
      <c r="I1648" t="n">
        <v>822</v>
      </c>
      <c r="J1648" t="n">
        <v>92.3</v>
      </c>
      <c r="K1648" t="n">
        <v>25</v>
      </c>
      <c r="L1648" t="n">
        <v>0.22</v>
      </c>
      <c r="M1648" t="n">
        <v>187.09</v>
      </c>
      <c r="N1648" t="n">
        <v>2</v>
      </c>
      <c r="O1648" t="n">
        <v>38.6</v>
      </c>
      <c r="P1648" t="inlineStr">
        <is>
          <t>UPI</t>
        </is>
      </c>
      <c r="Q1648" t="inlineStr">
        <is>
          <t>Delivered</t>
        </is>
      </c>
      <c r="R1648" t="n">
        <v>4</v>
      </c>
    </row>
    <row r="1649">
      <c r="A1649" t="inlineStr">
        <is>
          <t>ORD2648</t>
        </is>
      </c>
      <c r="B1649" t="inlineStr">
        <is>
          <t>2025-02-17</t>
        </is>
      </c>
      <c r="C1649" t="inlineStr">
        <is>
          <t>16:51:16</t>
        </is>
      </c>
      <c r="D1649" t="n">
        <v>1228</v>
      </c>
      <c r="E1649" t="n">
        <v>119</v>
      </c>
      <c r="F1649" t="n">
        <v>216</v>
      </c>
      <c r="G1649" t="inlineStr">
        <is>
          <t>Hyderabad</t>
        </is>
      </c>
      <c r="H1649" t="inlineStr">
        <is>
          <t>Biryani</t>
        </is>
      </c>
      <c r="I1649" t="n">
        <v>832</v>
      </c>
      <c r="J1649" t="n">
        <v>41.87</v>
      </c>
      <c r="K1649" t="n">
        <v>32</v>
      </c>
      <c r="L1649" t="n">
        <v>0.2</v>
      </c>
      <c r="M1649" t="n">
        <v>174.4</v>
      </c>
      <c r="N1649" t="n">
        <v>4.4</v>
      </c>
      <c r="O1649" t="n">
        <v>33.4</v>
      </c>
      <c r="P1649" t="inlineStr">
        <is>
          <t>UPI</t>
        </is>
      </c>
      <c r="Q1649" t="inlineStr">
        <is>
          <t>Delivered</t>
        </is>
      </c>
      <c r="R1649" t="n">
        <v>5</v>
      </c>
    </row>
    <row r="1650">
      <c r="A1650" t="inlineStr">
        <is>
          <t>ORD2649</t>
        </is>
      </c>
      <c r="B1650" t="inlineStr">
        <is>
          <t>2025-12-03</t>
        </is>
      </c>
      <c r="C1650" t="inlineStr">
        <is>
          <t>18:48:44</t>
        </is>
      </c>
      <c r="D1650" t="n">
        <v>1199</v>
      </c>
      <c r="E1650" t="n">
        <v>102</v>
      </c>
      <c r="F1650" t="n">
        <v>215</v>
      </c>
      <c r="G1650" t="inlineStr">
        <is>
          <t>Hyderabad</t>
        </is>
      </c>
      <c r="H1650" t="inlineStr">
        <is>
          <t>Biryani</t>
        </is>
      </c>
      <c r="I1650" t="n">
        <v>563</v>
      </c>
      <c r="J1650" t="n">
        <v>103.71</v>
      </c>
      <c r="K1650" t="n">
        <v>0</v>
      </c>
      <c r="L1650" t="n">
        <v>0.22</v>
      </c>
      <c r="M1650" t="n">
        <v>123.86</v>
      </c>
      <c r="N1650" t="n">
        <v>2.7</v>
      </c>
      <c r="O1650" t="n">
        <v>29.1</v>
      </c>
      <c r="P1650" t="inlineStr">
        <is>
          <t>Credit Card</t>
        </is>
      </c>
      <c r="Q1650" t="inlineStr">
        <is>
          <t>Delivered</t>
        </is>
      </c>
      <c r="R1650" t="n">
        <v>3</v>
      </c>
    </row>
    <row r="1651">
      <c r="A1651" t="inlineStr">
        <is>
          <t>ORD2650</t>
        </is>
      </c>
      <c r="B1651" t="inlineStr">
        <is>
          <t>2025-02-15</t>
        </is>
      </c>
      <c r="C1651" t="inlineStr">
        <is>
          <t>16:32:37</t>
        </is>
      </c>
      <c r="D1651" t="n">
        <v>1112</v>
      </c>
      <c r="E1651" t="n">
        <v>103</v>
      </c>
      <c r="F1651" t="n">
        <v>229</v>
      </c>
      <c r="G1651" t="inlineStr">
        <is>
          <t>Mumbai</t>
        </is>
      </c>
      <c r="H1651" t="inlineStr">
        <is>
          <t>Italian</t>
        </is>
      </c>
      <c r="I1651" t="n">
        <v>454</v>
      </c>
      <c r="J1651" t="n">
        <v>10.08</v>
      </c>
      <c r="K1651" t="n">
        <v>31</v>
      </c>
      <c r="L1651" t="n">
        <v>0.18</v>
      </c>
      <c r="M1651" t="n">
        <v>89.47</v>
      </c>
      <c r="N1651" t="n">
        <v>4.2</v>
      </c>
      <c r="O1651" t="n">
        <v>28.8</v>
      </c>
      <c r="P1651" t="inlineStr">
        <is>
          <t>Debit Card</t>
        </is>
      </c>
      <c r="Q1651" t="inlineStr">
        <is>
          <t>Delivered</t>
        </is>
      </c>
      <c r="R1651" t="n">
        <v>5</v>
      </c>
    </row>
    <row r="1652">
      <c r="A1652" t="inlineStr">
        <is>
          <t>ORD2651</t>
        </is>
      </c>
      <c r="B1652" t="inlineStr">
        <is>
          <t>2025-01-14</t>
        </is>
      </c>
      <c r="C1652" t="inlineStr">
        <is>
          <t>20:47:06</t>
        </is>
      </c>
      <c r="D1652" t="n">
        <v>1211</v>
      </c>
      <c r="E1652" t="n">
        <v>118</v>
      </c>
      <c r="F1652" t="n">
        <v>219</v>
      </c>
      <c r="G1652" t="inlineStr">
        <is>
          <t>Delhi NCR</t>
        </is>
      </c>
      <c r="H1652" t="inlineStr">
        <is>
          <t>North Indian</t>
        </is>
      </c>
      <c r="I1652" t="n">
        <v>862</v>
      </c>
      <c r="J1652" t="n">
        <v>46.02</v>
      </c>
      <c r="K1652" t="n">
        <v>32</v>
      </c>
      <c r="L1652" t="n">
        <v>0.2</v>
      </c>
      <c r="M1652" t="n">
        <v>180.4</v>
      </c>
      <c r="N1652" t="n">
        <v>4.4</v>
      </c>
      <c r="O1652" t="n">
        <v>32.8</v>
      </c>
      <c r="P1652" t="inlineStr">
        <is>
          <t>Credit Card</t>
        </is>
      </c>
      <c r="Q1652" t="inlineStr">
        <is>
          <t>Delivered</t>
        </is>
      </c>
      <c r="R1652" t="n">
        <v>5</v>
      </c>
    </row>
    <row r="1653">
      <c r="A1653" t="inlineStr">
        <is>
          <t>ORD2652</t>
        </is>
      </c>
      <c r="B1653" t="inlineStr">
        <is>
          <t>2025-04-02</t>
        </is>
      </c>
      <c r="C1653" t="inlineStr">
        <is>
          <t>14:12:52</t>
        </is>
      </c>
      <c r="D1653" t="n">
        <v>1106</v>
      </c>
      <c r="E1653" t="n">
        <v>111</v>
      </c>
      <c r="F1653" t="n">
        <v>220</v>
      </c>
      <c r="G1653" t="inlineStr">
        <is>
          <t>Bangalore</t>
        </is>
      </c>
      <c r="H1653" t="inlineStr">
        <is>
          <t>South Indian</t>
        </is>
      </c>
      <c r="I1653" t="n">
        <v>434</v>
      </c>
      <c r="J1653" t="n">
        <v>0</v>
      </c>
      <c r="K1653" t="n">
        <v>27</v>
      </c>
      <c r="L1653" t="n">
        <v>0.15</v>
      </c>
      <c r="M1653" t="n">
        <v>71.84999999999999</v>
      </c>
      <c r="N1653" t="n">
        <v>3.4</v>
      </c>
      <c r="O1653" t="n">
        <v>28</v>
      </c>
      <c r="P1653" t="inlineStr">
        <is>
          <t>UPI</t>
        </is>
      </c>
      <c r="Q1653" t="inlineStr">
        <is>
          <t>Delivered</t>
        </is>
      </c>
      <c r="R1653" t="n">
        <v>4</v>
      </c>
    </row>
    <row r="1654">
      <c r="A1654" t="inlineStr">
        <is>
          <t>ORD2653</t>
        </is>
      </c>
      <c r="B1654" t="inlineStr">
        <is>
          <t>2025-01-17</t>
        </is>
      </c>
      <c r="C1654" t="inlineStr">
        <is>
          <t>19:07:46</t>
        </is>
      </c>
      <c r="D1654" t="n">
        <v>1162</v>
      </c>
      <c r="E1654" t="n">
        <v>102</v>
      </c>
      <c r="F1654" t="n">
        <v>215</v>
      </c>
      <c r="G1654" t="inlineStr">
        <is>
          <t>Hyderabad</t>
        </is>
      </c>
      <c r="H1654" t="inlineStr">
        <is>
          <t>Biryani</t>
        </is>
      </c>
      <c r="I1654" t="n">
        <v>429</v>
      </c>
      <c r="J1654" t="n">
        <v>32.46</v>
      </c>
      <c r="K1654" t="n">
        <v>30.5</v>
      </c>
      <c r="L1654" t="n">
        <v>0.22</v>
      </c>
      <c r="M1654" t="n">
        <v>102</v>
      </c>
      <c r="N1654" t="n">
        <v>4.1</v>
      </c>
      <c r="O1654" t="n">
        <v>39.8</v>
      </c>
      <c r="P1654" t="inlineStr">
        <is>
          <t>Debit Card</t>
        </is>
      </c>
      <c r="Q1654" t="inlineStr">
        <is>
          <t>Delivered</t>
        </is>
      </c>
      <c r="R1654" t="n">
        <v>4</v>
      </c>
    </row>
    <row r="1655">
      <c r="A1655" t="inlineStr">
        <is>
          <t>ORD2654</t>
        </is>
      </c>
      <c r="B1655" t="inlineStr">
        <is>
          <t>2025-03-23</t>
        </is>
      </c>
      <c r="C1655" t="inlineStr">
        <is>
          <t>16:30:24</t>
        </is>
      </c>
      <c r="D1655" t="n">
        <v>1072</v>
      </c>
      <c r="E1655" t="n">
        <v>116</v>
      </c>
      <c r="F1655" t="n">
        <v>226</v>
      </c>
      <c r="G1655" t="inlineStr">
        <is>
          <t>Pune</t>
        </is>
      </c>
      <c r="H1655" t="inlineStr">
        <is>
          <t>Desserts</t>
        </is>
      </c>
      <c r="I1655" t="n">
        <v>227</v>
      </c>
      <c r="J1655" t="n">
        <v>0</v>
      </c>
      <c r="K1655" t="n">
        <v>31.5</v>
      </c>
      <c r="L1655" t="n">
        <v>0.25</v>
      </c>
      <c r="M1655" t="n">
        <v>64.62</v>
      </c>
      <c r="N1655" t="n">
        <v>4.3</v>
      </c>
      <c r="O1655" t="n">
        <v>25.1</v>
      </c>
      <c r="P1655" t="inlineStr">
        <is>
          <t>Credit Card</t>
        </is>
      </c>
      <c r="Q1655" t="inlineStr">
        <is>
          <t>Delivered</t>
        </is>
      </c>
      <c r="R1655" t="n">
        <v>4</v>
      </c>
    </row>
    <row r="1656">
      <c r="A1656" t="inlineStr">
        <is>
          <t>ORD2655</t>
        </is>
      </c>
      <c r="B1656" t="inlineStr">
        <is>
          <t>2025-03-22</t>
        </is>
      </c>
      <c r="C1656" t="inlineStr">
        <is>
          <t>22:13:04</t>
        </is>
      </c>
      <c r="D1656" t="n">
        <v>1266</v>
      </c>
      <c r="E1656" t="n">
        <v>103</v>
      </c>
      <c r="F1656" t="n">
        <v>222</v>
      </c>
      <c r="G1656" t="inlineStr">
        <is>
          <t>Mumbai</t>
        </is>
      </c>
      <c r="H1656" t="inlineStr">
        <is>
          <t>Italian</t>
        </is>
      </c>
      <c r="I1656" t="n">
        <v>377</v>
      </c>
      <c r="J1656" t="n">
        <v>29.8</v>
      </c>
      <c r="K1656" t="n">
        <v>47</v>
      </c>
      <c r="L1656" t="n">
        <v>0.18</v>
      </c>
      <c r="M1656" t="n">
        <v>79.61</v>
      </c>
      <c r="N1656" t="n">
        <v>7.4</v>
      </c>
      <c r="O1656" t="n">
        <v>43.4</v>
      </c>
      <c r="P1656" t="inlineStr">
        <is>
          <t>Credit Card</t>
        </is>
      </c>
      <c r="Q1656" t="inlineStr">
        <is>
          <t>Delivered</t>
        </is>
      </c>
      <c r="R1656" t="n">
        <v>5</v>
      </c>
    </row>
    <row r="1657">
      <c r="A1657" t="inlineStr">
        <is>
          <t>ORD2656</t>
        </is>
      </c>
      <c r="B1657" t="inlineStr">
        <is>
          <t>2025-03-22</t>
        </is>
      </c>
      <c r="C1657" t="inlineStr">
        <is>
          <t>21:53:38</t>
        </is>
      </c>
      <c r="D1657" t="n">
        <v>1139</v>
      </c>
      <c r="E1657" t="n">
        <v>118</v>
      </c>
      <c r="F1657" t="n">
        <v>228</v>
      </c>
      <c r="G1657" t="inlineStr">
        <is>
          <t>Delhi NCR</t>
        </is>
      </c>
      <c r="H1657" t="inlineStr">
        <is>
          <t>North Indian</t>
        </is>
      </c>
      <c r="I1657" t="n">
        <v>765</v>
      </c>
      <c r="J1657" t="n">
        <v>13.19</v>
      </c>
      <c r="K1657" t="n">
        <v>29.5</v>
      </c>
      <c r="L1657" t="n">
        <v>0.2</v>
      </c>
      <c r="M1657" t="n">
        <v>160.38</v>
      </c>
      <c r="N1657" t="n">
        <v>3.9</v>
      </c>
      <c r="O1657" t="n">
        <v>33.7</v>
      </c>
      <c r="P1657" t="inlineStr">
        <is>
          <t>Credit Card</t>
        </is>
      </c>
      <c r="Q1657" t="inlineStr">
        <is>
          <t>Delivered</t>
        </is>
      </c>
      <c r="R1657" t="n">
        <v>5</v>
      </c>
    </row>
    <row r="1658">
      <c r="A1658" t="inlineStr">
        <is>
          <t>ORD2657</t>
        </is>
      </c>
      <c r="B1658" t="inlineStr">
        <is>
          <t>2025-05-14</t>
        </is>
      </c>
      <c r="C1658" t="inlineStr">
        <is>
          <t>07:38:13</t>
        </is>
      </c>
      <c r="D1658" t="n">
        <v>1179</v>
      </c>
      <c r="E1658" t="n">
        <v>113</v>
      </c>
      <c r="F1658" t="n">
        <v>222</v>
      </c>
      <c r="G1658" t="inlineStr">
        <is>
          <t>Mumbai</t>
        </is>
      </c>
      <c r="H1658" t="inlineStr">
        <is>
          <t>Fast Food</t>
        </is>
      </c>
      <c r="I1658" t="n">
        <v>390</v>
      </c>
      <c r="J1658" t="n">
        <v>54.83</v>
      </c>
      <c r="K1658" t="n">
        <v>25</v>
      </c>
      <c r="L1658" t="n">
        <v>0.18</v>
      </c>
      <c r="M1658" t="n">
        <v>76.45</v>
      </c>
      <c r="N1658" t="n">
        <v>1.8</v>
      </c>
      <c r="O1658" t="n">
        <v>23.1</v>
      </c>
      <c r="P1658" t="inlineStr">
        <is>
          <t>Digital Wallet</t>
        </is>
      </c>
      <c r="Q1658" t="inlineStr">
        <is>
          <t>Delivered</t>
        </is>
      </c>
      <c r="R1658" t="n">
        <v>5</v>
      </c>
    </row>
    <row r="1659">
      <c r="A1659" t="inlineStr">
        <is>
          <t>ORD2658</t>
        </is>
      </c>
      <c r="B1659" t="inlineStr">
        <is>
          <t>2025-12-22</t>
        </is>
      </c>
      <c r="C1659" t="inlineStr">
        <is>
          <t>20:08:57</t>
        </is>
      </c>
      <c r="D1659" t="n">
        <v>1185</v>
      </c>
      <c r="E1659" t="n">
        <v>116</v>
      </c>
      <c r="F1659" t="n">
        <v>207</v>
      </c>
      <c r="G1659" t="inlineStr">
        <is>
          <t>Pune</t>
        </is>
      </c>
      <c r="H1659" t="inlineStr">
        <is>
          <t>Desserts</t>
        </is>
      </c>
      <c r="I1659" t="n">
        <v>275</v>
      </c>
      <c r="J1659" t="n">
        <v>0</v>
      </c>
      <c r="K1659" t="n">
        <v>27.5</v>
      </c>
      <c r="L1659" t="n">
        <v>0.25</v>
      </c>
      <c r="M1659" t="n">
        <v>75.62</v>
      </c>
      <c r="N1659" t="n">
        <v>3.5</v>
      </c>
      <c r="O1659" t="n">
        <v>35.4</v>
      </c>
      <c r="P1659" t="inlineStr">
        <is>
          <t>UPI</t>
        </is>
      </c>
      <c r="Q1659" t="inlineStr">
        <is>
          <t>Delivered</t>
        </is>
      </c>
      <c r="R1659" t="n">
        <v>4</v>
      </c>
    </row>
    <row r="1660">
      <c r="A1660" t="inlineStr">
        <is>
          <t>ORD2659</t>
        </is>
      </c>
      <c r="B1660" t="inlineStr">
        <is>
          <t>2025-01-28</t>
        </is>
      </c>
      <c r="C1660" t="inlineStr">
        <is>
          <t>08:33:11</t>
        </is>
      </c>
      <c r="D1660" t="n">
        <v>1282</v>
      </c>
      <c r="E1660" t="n">
        <v>104</v>
      </c>
      <c r="F1660" t="n">
        <v>212</v>
      </c>
      <c r="G1660" t="inlineStr">
        <is>
          <t>Delhi NCR</t>
        </is>
      </c>
      <c r="H1660" t="inlineStr">
        <is>
          <t>Fast Food</t>
        </is>
      </c>
      <c r="I1660" t="n">
        <v>771</v>
      </c>
      <c r="J1660" t="n">
        <v>49.28</v>
      </c>
      <c r="K1660" t="n">
        <v>25.5</v>
      </c>
      <c r="L1660" t="n">
        <v>0.18</v>
      </c>
      <c r="M1660" t="n">
        <v>145.16</v>
      </c>
      <c r="N1660" t="n">
        <v>3.1</v>
      </c>
      <c r="O1660" t="n">
        <v>24.7</v>
      </c>
      <c r="P1660" t="inlineStr">
        <is>
          <t>UPI</t>
        </is>
      </c>
      <c r="Q1660" t="inlineStr">
        <is>
          <t>Delivered</t>
        </is>
      </c>
      <c r="R1660" t="n">
        <v>5</v>
      </c>
    </row>
    <row r="1661">
      <c r="A1661" t="inlineStr">
        <is>
          <t>ORD2660</t>
        </is>
      </c>
      <c r="B1661" t="inlineStr">
        <is>
          <t>2025-06-23</t>
        </is>
      </c>
      <c r="C1661" t="inlineStr">
        <is>
          <t>21:33:34</t>
        </is>
      </c>
      <c r="D1661" t="n">
        <v>1197</v>
      </c>
      <c r="E1661" t="n">
        <v>103</v>
      </c>
      <c r="F1661" t="n">
        <v>222</v>
      </c>
      <c r="G1661" t="inlineStr">
        <is>
          <t>Mumbai</t>
        </is>
      </c>
      <c r="H1661" t="inlineStr">
        <is>
          <t>Italian</t>
        </is>
      </c>
      <c r="I1661" t="n">
        <v>315</v>
      </c>
      <c r="J1661" t="n">
        <v>21.48</v>
      </c>
      <c r="K1661" t="n">
        <v>25</v>
      </c>
      <c r="L1661" t="n">
        <v>0.18</v>
      </c>
      <c r="M1661" t="n">
        <v>62.95</v>
      </c>
      <c r="N1661" t="n">
        <v>2</v>
      </c>
      <c r="O1661" t="n">
        <v>26</v>
      </c>
      <c r="P1661" t="inlineStr">
        <is>
          <t>Credit Card</t>
        </is>
      </c>
      <c r="Q1661" t="inlineStr">
        <is>
          <t>Delivered</t>
        </is>
      </c>
      <c r="R1661" t="n">
        <v>5</v>
      </c>
    </row>
    <row r="1662">
      <c r="A1662" t="inlineStr">
        <is>
          <t>ORD2661</t>
        </is>
      </c>
      <c r="B1662" t="inlineStr">
        <is>
          <t>2025-08-07</t>
        </is>
      </c>
      <c r="C1662" t="inlineStr">
        <is>
          <t>01:31:54</t>
        </is>
      </c>
      <c r="D1662" t="n">
        <v>1044</v>
      </c>
      <c r="E1662" t="n">
        <v>114</v>
      </c>
      <c r="F1662" t="n">
        <v>215</v>
      </c>
      <c r="G1662" t="inlineStr">
        <is>
          <t>Hyderabad</t>
        </is>
      </c>
      <c r="H1662" t="inlineStr">
        <is>
          <t>Biryani</t>
        </is>
      </c>
      <c r="I1662" t="n">
        <v>565</v>
      </c>
      <c r="J1662" t="n">
        <v>101.86</v>
      </c>
      <c r="K1662" t="n">
        <v>0</v>
      </c>
      <c r="L1662" t="n">
        <v>0.22</v>
      </c>
      <c r="M1662" t="n">
        <v>124.3</v>
      </c>
      <c r="N1662" t="n">
        <v>6.3</v>
      </c>
      <c r="O1662" t="n">
        <v>32.2</v>
      </c>
      <c r="P1662" t="inlineStr">
        <is>
          <t>UPI</t>
        </is>
      </c>
      <c r="Q1662" t="inlineStr">
        <is>
          <t>Delivered</t>
        </is>
      </c>
      <c r="R1662" t="n">
        <v>5</v>
      </c>
    </row>
    <row r="1663">
      <c r="A1663" t="inlineStr">
        <is>
          <t>ORD2662</t>
        </is>
      </c>
      <c r="B1663" t="inlineStr">
        <is>
          <t>2025-08-05</t>
        </is>
      </c>
      <c r="C1663" t="inlineStr">
        <is>
          <t>12:46:40</t>
        </is>
      </c>
      <c r="D1663" t="n">
        <v>1296</v>
      </c>
      <c r="E1663" t="n">
        <v>104</v>
      </c>
      <c r="F1663" t="n">
        <v>228</v>
      </c>
      <c r="G1663" t="inlineStr">
        <is>
          <t>Delhi NCR</t>
        </is>
      </c>
      <c r="H1663" t="inlineStr">
        <is>
          <t>Fast Food</t>
        </is>
      </c>
      <c r="I1663" t="n">
        <v>779</v>
      </c>
      <c r="J1663" t="n">
        <v>0</v>
      </c>
      <c r="K1663" t="n">
        <v>25</v>
      </c>
      <c r="L1663" t="n">
        <v>0.18</v>
      </c>
      <c r="M1663" t="n">
        <v>146.47</v>
      </c>
      <c r="N1663" t="n">
        <v>1.8</v>
      </c>
      <c r="O1663" t="n">
        <v>27.3</v>
      </c>
      <c r="P1663" t="inlineStr">
        <is>
          <t>Cash on Delivery</t>
        </is>
      </c>
      <c r="Q1663" t="inlineStr">
        <is>
          <t>Delivered</t>
        </is>
      </c>
      <c r="R1663" t="n">
        <v>5</v>
      </c>
    </row>
    <row r="1664">
      <c r="A1664" t="inlineStr">
        <is>
          <t>ORD2663</t>
        </is>
      </c>
      <c r="B1664" t="inlineStr">
        <is>
          <t>2025-06-22</t>
        </is>
      </c>
      <c r="C1664" t="inlineStr">
        <is>
          <t>12:01:02</t>
        </is>
      </c>
      <c r="D1664" t="n">
        <v>1065</v>
      </c>
      <c r="E1664" t="n">
        <v>112</v>
      </c>
      <c r="F1664" t="n">
        <v>212</v>
      </c>
      <c r="G1664" t="inlineStr">
        <is>
          <t>Delhi NCR</t>
        </is>
      </c>
      <c r="H1664" t="inlineStr">
        <is>
          <t>North Indian</t>
        </is>
      </c>
      <c r="I1664" t="n">
        <v>231</v>
      </c>
      <c r="J1664" t="n">
        <v>14.33</v>
      </c>
      <c r="K1664" t="n">
        <v>28.5</v>
      </c>
      <c r="L1664" t="n">
        <v>0.22</v>
      </c>
      <c r="M1664" t="n">
        <v>57.94</v>
      </c>
      <c r="N1664" t="n">
        <v>3.7</v>
      </c>
      <c r="O1664" t="n">
        <v>44.5</v>
      </c>
      <c r="P1664" t="inlineStr">
        <is>
          <t>UPI</t>
        </is>
      </c>
      <c r="Q1664" t="inlineStr">
        <is>
          <t>Delivered</t>
        </is>
      </c>
      <c r="R1664" t="n">
        <v>1</v>
      </c>
    </row>
    <row r="1665">
      <c r="A1665" t="inlineStr">
        <is>
          <t>ORD2664</t>
        </is>
      </c>
      <c r="B1665" t="inlineStr">
        <is>
          <t>2025-03-26</t>
        </is>
      </c>
      <c r="C1665" t="inlineStr">
        <is>
          <t>12:48:47</t>
        </is>
      </c>
      <c r="D1665" t="n">
        <v>1254</v>
      </c>
      <c r="E1665" t="n">
        <v>102</v>
      </c>
      <c r="F1665" t="n">
        <v>225</v>
      </c>
      <c r="G1665" t="inlineStr">
        <is>
          <t>Hyderabad</t>
        </is>
      </c>
      <c r="H1665" t="inlineStr">
        <is>
          <t>Biryani</t>
        </is>
      </c>
      <c r="I1665" t="n">
        <v>872</v>
      </c>
      <c r="J1665" t="n">
        <v>5.76</v>
      </c>
      <c r="K1665" t="n">
        <v>25</v>
      </c>
      <c r="L1665" t="n">
        <v>0.22</v>
      </c>
      <c r="M1665" t="n">
        <v>198.09</v>
      </c>
      <c r="N1665" t="n">
        <v>2.6</v>
      </c>
      <c r="O1665" t="n">
        <v>26</v>
      </c>
      <c r="P1665" t="inlineStr">
        <is>
          <t>UPI</t>
        </is>
      </c>
      <c r="Q1665" t="inlineStr">
        <is>
          <t>Delivered</t>
        </is>
      </c>
      <c r="R1665" t="n">
        <v>3</v>
      </c>
    </row>
    <row r="1666">
      <c r="A1666" t="inlineStr">
        <is>
          <t>ORD2665</t>
        </is>
      </c>
      <c r="B1666" t="inlineStr">
        <is>
          <t>2025-11-19</t>
        </is>
      </c>
      <c r="C1666" t="inlineStr">
        <is>
          <t>19:47:38</t>
        </is>
      </c>
      <c r="D1666" t="n">
        <v>1198</v>
      </c>
      <c r="E1666" t="n">
        <v>101</v>
      </c>
      <c r="F1666" t="n">
        <v>218</v>
      </c>
      <c r="G1666" t="inlineStr">
        <is>
          <t>Bangalore</t>
        </is>
      </c>
      <c r="H1666" t="inlineStr">
        <is>
          <t>North Indian</t>
        </is>
      </c>
      <c r="I1666" t="n">
        <v>530</v>
      </c>
      <c r="J1666" t="n">
        <v>60.94</v>
      </c>
      <c r="K1666" t="n">
        <v>0</v>
      </c>
      <c r="L1666" t="n">
        <v>0.2</v>
      </c>
      <c r="M1666" t="n">
        <v>106</v>
      </c>
      <c r="N1666" t="n">
        <v>3.3</v>
      </c>
      <c r="O1666" t="n">
        <v>28.5</v>
      </c>
      <c r="P1666" t="inlineStr">
        <is>
          <t>Cash on Delivery</t>
        </is>
      </c>
      <c r="Q1666" t="inlineStr">
        <is>
          <t>Delivered</t>
        </is>
      </c>
      <c r="R1666" t="n">
        <v>4</v>
      </c>
    </row>
    <row r="1667">
      <c r="A1667" t="inlineStr">
        <is>
          <t>ORD2666</t>
        </is>
      </c>
      <c r="B1667" t="inlineStr">
        <is>
          <t>2025-05-14</t>
        </is>
      </c>
      <c r="C1667" t="inlineStr">
        <is>
          <t>22:10:05</t>
        </is>
      </c>
      <c r="D1667" t="n">
        <v>1020</v>
      </c>
      <c r="E1667" t="n">
        <v>118</v>
      </c>
      <c r="F1667" t="n">
        <v>211</v>
      </c>
      <c r="G1667" t="inlineStr">
        <is>
          <t>Delhi NCR</t>
        </is>
      </c>
      <c r="H1667" t="inlineStr">
        <is>
          <t>North Indian</t>
        </is>
      </c>
      <c r="I1667" t="n">
        <v>778</v>
      </c>
      <c r="J1667" t="n">
        <v>37.37</v>
      </c>
      <c r="K1667" t="n">
        <v>25</v>
      </c>
      <c r="L1667" t="n">
        <v>0.2</v>
      </c>
      <c r="M1667" t="n">
        <v>161.85</v>
      </c>
      <c r="N1667" t="n">
        <v>2.8</v>
      </c>
      <c r="O1667" t="n">
        <v>27.1</v>
      </c>
      <c r="P1667" t="inlineStr">
        <is>
          <t>Cash on Delivery</t>
        </is>
      </c>
      <c r="Q1667" t="inlineStr">
        <is>
          <t>Delivered</t>
        </is>
      </c>
      <c r="R1667" t="n">
        <v>3</v>
      </c>
    </row>
    <row r="1668">
      <c r="A1668" t="inlineStr">
        <is>
          <t>ORD2667</t>
        </is>
      </c>
      <c r="B1668" t="inlineStr">
        <is>
          <t>2025-03-19</t>
        </is>
      </c>
      <c r="C1668" t="inlineStr">
        <is>
          <t>14:11:52</t>
        </is>
      </c>
      <c r="D1668" t="n">
        <v>1262</v>
      </c>
      <c r="E1668" t="n">
        <v>118</v>
      </c>
      <c r="F1668" t="n">
        <v>221</v>
      </c>
      <c r="G1668" t="inlineStr">
        <is>
          <t>Delhi NCR</t>
        </is>
      </c>
      <c r="H1668" t="inlineStr">
        <is>
          <t>North Indian</t>
        </is>
      </c>
      <c r="I1668" t="n">
        <v>743</v>
      </c>
      <c r="J1668" t="n">
        <v>120.49</v>
      </c>
      <c r="K1668" t="n">
        <v>0</v>
      </c>
      <c r="L1668" t="n">
        <v>0.2</v>
      </c>
      <c r="M1668" t="n">
        <v>148.6</v>
      </c>
      <c r="N1668" t="n">
        <v>3.7</v>
      </c>
      <c r="O1668" t="n">
        <v>33.8</v>
      </c>
      <c r="P1668" t="inlineStr">
        <is>
          <t>Cash on Delivery</t>
        </is>
      </c>
      <c r="Q1668" t="inlineStr">
        <is>
          <t>Delivered</t>
        </is>
      </c>
      <c r="R1668" t="n">
        <v>2</v>
      </c>
    </row>
    <row r="1669">
      <c r="A1669" t="inlineStr">
        <is>
          <t>ORD2668</t>
        </is>
      </c>
      <c r="B1669" t="inlineStr">
        <is>
          <t>2025-08-28</t>
        </is>
      </c>
      <c r="C1669" t="inlineStr">
        <is>
          <t>12:01:02</t>
        </is>
      </c>
      <c r="D1669" t="n">
        <v>1005</v>
      </c>
      <c r="E1669" t="n">
        <v>109</v>
      </c>
      <c r="F1669" t="n">
        <v>225</v>
      </c>
      <c r="G1669" t="inlineStr">
        <is>
          <t>Hyderabad</t>
        </is>
      </c>
      <c r="H1669" t="inlineStr">
        <is>
          <t>Biryani</t>
        </is>
      </c>
      <c r="I1669" t="n">
        <v>833</v>
      </c>
      <c r="J1669" t="n">
        <v>0</v>
      </c>
      <c r="K1669" t="n">
        <v>40</v>
      </c>
      <c r="L1669" t="n">
        <v>0.2</v>
      </c>
      <c r="M1669" t="n">
        <v>176.6</v>
      </c>
      <c r="N1669" t="n">
        <v>6</v>
      </c>
      <c r="O1669" t="n">
        <v>45.5</v>
      </c>
      <c r="P1669" t="inlineStr">
        <is>
          <t>Credit Card</t>
        </is>
      </c>
      <c r="Q1669" t="inlineStr">
        <is>
          <t>Delivered</t>
        </is>
      </c>
      <c r="R1669" t="n">
        <v>2</v>
      </c>
    </row>
    <row r="1670">
      <c r="A1670" t="inlineStr">
        <is>
          <t>ORD2669</t>
        </is>
      </c>
      <c r="B1670" t="inlineStr">
        <is>
          <t>2025-02-15</t>
        </is>
      </c>
      <c r="C1670" t="inlineStr">
        <is>
          <t>21:23:46</t>
        </is>
      </c>
      <c r="D1670" t="n">
        <v>1288</v>
      </c>
      <c r="E1670" t="n">
        <v>110</v>
      </c>
      <c r="F1670" t="n">
        <v>214</v>
      </c>
      <c r="G1670" t="inlineStr">
        <is>
          <t>Pune</t>
        </is>
      </c>
      <c r="H1670" t="inlineStr">
        <is>
          <t>North Indian</t>
        </is>
      </c>
      <c r="I1670" t="n">
        <v>748</v>
      </c>
      <c r="J1670" t="n">
        <v>0</v>
      </c>
      <c r="K1670" t="n">
        <v>30.5</v>
      </c>
      <c r="L1670" t="n">
        <v>0.18</v>
      </c>
      <c r="M1670" t="n">
        <v>142.26</v>
      </c>
      <c r="N1670" t="n">
        <v>4.1</v>
      </c>
      <c r="O1670" t="n">
        <v>35.1</v>
      </c>
      <c r="P1670" t="inlineStr">
        <is>
          <t>Cash on Delivery</t>
        </is>
      </c>
      <c r="Q1670" t="inlineStr">
        <is>
          <t>Delivered</t>
        </is>
      </c>
      <c r="R1670" t="n">
        <v>4</v>
      </c>
    </row>
    <row r="1671">
      <c r="A1671" t="inlineStr">
        <is>
          <t>ORD2670</t>
        </is>
      </c>
      <c r="B1671" t="inlineStr">
        <is>
          <t>2025-03-18</t>
        </is>
      </c>
      <c r="C1671" t="inlineStr">
        <is>
          <t>17:51:17</t>
        </is>
      </c>
      <c r="D1671" t="n">
        <v>1201</v>
      </c>
      <c r="E1671" t="n">
        <v>101</v>
      </c>
      <c r="F1671" t="n">
        <v>203</v>
      </c>
      <c r="G1671" t="inlineStr">
        <is>
          <t>Bangalore</t>
        </is>
      </c>
      <c r="H1671" t="inlineStr">
        <is>
          <t>North Indian</t>
        </is>
      </c>
      <c r="I1671" t="n">
        <v>743</v>
      </c>
      <c r="J1671" t="n">
        <v>49</v>
      </c>
      <c r="K1671" t="n">
        <v>29</v>
      </c>
      <c r="L1671" t="n">
        <v>0.2</v>
      </c>
      <c r="M1671" t="n">
        <v>155.85</v>
      </c>
      <c r="N1671" t="n">
        <v>3.8</v>
      </c>
      <c r="O1671" t="n">
        <v>29.1</v>
      </c>
      <c r="P1671" t="inlineStr">
        <is>
          <t>UPI</t>
        </is>
      </c>
      <c r="Q1671" t="inlineStr">
        <is>
          <t>Delivered</t>
        </is>
      </c>
      <c r="R1671" t="n">
        <v>3</v>
      </c>
    </row>
    <row r="1672">
      <c r="A1672" t="inlineStr">
        <is>
          <t>ORD2671</t>
        </is>
      </c>
      <c r="B1672" t="inlineStr">
        <is>
          <t>2025-10-23</t>
        </is>
      </c>
      <c r="C1672" t="inlineStr">
        <is>
          <t>12:24:46</t>
        </is>
      </c>
      <c r="D1672" t="n">
        <v>1180</v>
      </c>
      <c r="E1672" t="n">
        <v>104</v>
      </c>
      <c r="F1672" t="n">
        <v>228</v>
      </c>
      <c r="G1672" t="inlineStr">
        <is>
          <t>Delhi NCR</t>
        </is>
      </c>
      <c r="H1672" t="inlineStr">
        <is>
          <t>Fast Food</t>
        </is>
      </c>
      <c r="I1672" t="n">
        <v>262</v>
      </c>
      <c r="J1672" t="n">
        <v>0.83</v>
      </c>
      <c r="K1672" t="n">
        <v>28.5</v>
      </c>
      <c r="L1672" t="n">
        <v>0.18</v>
      </c>
      <c r="M1672" t="n">
        <v>54.28</v>
      </c>
      <c r="N1672" t="n">
        <v>3.7</v>
      </c>
      <c r="O1672" t="n">
        <v>35.6</v>
      </c>
      <c r="P1672" t="inlineStr">
        <is>
          <t>Cash on Delivery</t>
        </is>
      </c>
      <c r="Q1672" t="inlineStr">
        <is>
          <t>Delivered</t>
        </is>
      </c>
      <c r="R1672" t="n">
        <v>2</v>
      </c>
    </row>
    <row r="1673">
      <c r="A1673" t="inlineStr">
        <is>
          <t>ORD2672</t>
        </is>
      </c>
      <c r="B1673" t="inlineStr">
        <is>
          <t>2025-07-30</t>
        </is>
      </c>
      <c r="C1673" t="inlineStr">
        <is>
          <t>10:38:54</t>
        </is>
      </c>
      <c r="D1673" t="n">
        <v>1162</v>
      </c>
      <c r="E1673" t="n">
        <v>109</v>
      </c>
      <c r="F1673" t="n">
        <v>225</v>
      </c>
      <c r="G1673" t="inlineStr">
        <is>
          <t>Hyderabad</t>
        </is>
      </c>
      <c r="H1673" t="inlineStr">
        <is>
          <t>Biryani</t>
        </is>
      </c>
      <c r="I1673" t="n">
        <v>848</v>
      </c>
      <c r="J1673" t="n">
        <v>75.54000000000001</v>
      </c>
      <c r="K1673" t="n">
        <v>33.5</v>
      </c>
      <c r="L1673" t="n">
        <v>0.2</v>
      </c>
      <c r="M1673" t="n">
        <v>177.98</v>
      </c>
      <c r="N1673" t="n">
        <v>4.7</v>
      </c>
      <c r="O1673" t="n">
        <v>33.8</v>
      </c>
      <c r="P1673" t="inlineStr">
        <is>
          <t>UPI</t>
        </is>
      </c>
      <c r="Q1673" t="inlineStr">
        <is>
          <t>Delivered</t>
        </is>
      </c>
      <c r="R1673" t="n">
        <v>3</v>
      </c>
    </row>
    <row r="1674">
      <c r="A1674" t="inlineStr">
        <is>
          <t>ORD2673</t>
        </is>
      </c>
      <c r="B1674" t="inlineStr">
        <is>
          <t>2025-02-01</t>
        </is>
      </c>
      <c r="C1674" t="inlineStr">
        <is>
          <t>08:17:51</t>
        </is>
      </c>
      <c r="D1674" t="n">
        <v>1281</v>
      </c>
      <c r="E1674" t="n">
        <v>115</v>
      </c>
      <c r="F1674" t="n">
        <v>205</v>
      </c>
      <c r="G1674" t="inlineStr">
        <is>
          <t>Bangalore</t>
        </is>
      </c>
      <c r="H1674" t="inlineStr">
        <is>
          <t>Italian</t>
        </is>
      </c>
      <c r="I1674" t="n">
        <v>605</v>
      </c>
      <c r="J1674" t="n">
        <v>67.91</v>
      </c>
      <c r="K1674" t="n">
        <v>0</v>
      </c>
      <c r="L1674" t="n">
        <v>0.2</v>
      </c>
      <c r="M1674" t="n">
        <v>121</v>
      </c>
      <c r="N1674" t="n">
        <v>4</v>
      </c>
      <c r="O1674" t="n">
        <v>37.3</v>
      </c>
      <c r="P1674" t="inlineStr">
        <is>
          <t>Digital Wallet</t>
        </is>
      </c>
      <c r="Q1674" t="inlineStr">
        <is>
          <t>Delivered</t>
        </is>
      </c>
      <c r="R1674" t="n">
        <v>4</v>
      </c>
    </row>
    <row r="1675">
      <c r="A1675" t="inlineStr">
        <is>
          <t>ORD2674</t>
        </is>
      </c>
      <c r="B1675" t="inlineStr">
        <is>
          <t>2025-05-14</t>
        </is>
      </c>
      <c r="C1675" t="inlineStr">
        <is>
          <t>15:40:46</t>
        </is>
      </c>
      <c r="D1675" t="n">
        <v>1180</v>
      </c>
      <c r="E1675" t="n">
        <v>118</v>
      </c>
      <c r="F1675" t="n">
        <v>212</v>
      </c>
      <c r="G1675" t="inlineStr">
        <is>
          <t>Delhi NCR</t>
        </is>
      </c>
      <c r="H1675" t="inlineStr">
        <is>
          <t>North Indian</t>
        </is>
      </c>
      <c r="I1675" t="n">
        <v>484</v>
      </c>
      <c r="J1675" t="n">
        <v>24.93</v>
      </c>
      <c r="K1675" t="n">
        <v>25</v>
      </c>
      <c r="L1675" t="n">
        <v>0.2</v>
      </c>
      <c r="M1675" t="n">
        <v>103.05</v>
      </c>
      <c r="N1675" t="n">
        <v>2.7</v>
      </c>
      <c r="O1675" t="n">
        <v>37.3</v>
      </c>
      <c r="P1675" t="inlineStr">
        <is>
          <t>Cash on Delivery</t>
        </is>
      </c>
      <c r="Q1675" t="inlineStr">
        <is>
          <t>Delivered</t>
        </is>
      </c>
      <c r="R1675" t="n">
        <v>4</v>
      </c>
    </row>
    <row r="1676">
      <c r="A1676" t="inlineStr">
        <is>
          <t>ORD2675</t>
        </is>
      </c>
      <c r="B1676" t="inlineStr">
        <is>
          <t>2025-07-13</t>
        </is>
      </c>
      <c r="C1676" t="inlineStr">
        <is>
          <t>17:45:48</t>
        </is>
      </c>
      <c r="D1676" t="n">
        <v>1086</v>
      </c>
      <c r="E1676" t="n">
        <v>108</v>
      </c>
      <c r="F1676" t="n">
        <v>219</v>
      </c>
      <c r="G1676" t="inlineStr">
        <is>
          <t>Delhi NCR</t>
        </is>
      </c>
      <c r="H1676" t="inlineStr">
        <is>
          <t>Fast Food</t>
        </is>
      </c>
      <c r="I1676" t="n">
        <v>412</v>
      </c>
      <c r="J1676" t="n">
        <v>2.11</v>
      </c>
      <c r="K1676" t="n">
        <v>35.5</v>
      </c>
      <c r="L1676" t="n">
        <v>0.18</v>
      </c>
      <c r="M1676" t="n">
        <v>83.04000000000001</v>
      </c>
      <c r="N1676" t="n">
        <v>5.1</v>
      </c>
      <c r="O1676" t="n">
        <v>30.5</v>
      </c>
      <c r="P1676" t="inlineStr">
        <is>
          <t>Credit Card</t>
        </is>
      </c>
      <c r="Q1676" t="inlineStr">
        <is>
          <t>Delivered</t>
        </is>
      </c>
      <c r="R1676" t="n">
        <v>4</v>
      </c>
    </row>
    <row r="1677">
      <c r="A1677" t="inlineStr">
        <is>
          <t>ORD2676</t>
        </is>
      </c>
      <c r="B1677" t="inlineStr">
        <is>
          <t>2025-11-13</t>
        </is>
      </c>
      <c r="C1677" t="inlineStr">
        <is>
          <t>14:43:18</t>
        </is>
      </c>
      <c r="D1677" t="n">
        <v>1271</v>
      </c>
      <c r="E1677" t="n">
        <v>104</v>
      </c>
      <c r="F1677" t="n">
        <v>211</v>
      </c>
      <c r="G1677" t="inlineStr">
        <is>
          <t>Delhi NCR</t>
        </is>
      </c>
      <c r="H1677" t="inlineStr">
        <is>
          <t>Fast Food</t>
        </is>
      </c>
      <c r="I1677" t="n">
        <v>394</v>
      </c>
      <c r="J1677" t="n">
        <v>34.09</v>
      </c>
      <c r="K1677" t="n">
        <v>28.5</v>
      </c>
      <c r="L1677" t="n">
        <v>0.18</v>
      </c>
      <c r="M1677" t="n">
        <v>78.04000000000001</v>
      </c>
      <c r="N1677" t="n">
        <v>3.7</v>
      </c>
      <c r="O1677" t="n">
        <v>42.1</v>
      </c>
      <c r="P1677" t="inlineStr">
        <is>
          <t>Debit Card</t>
        </is>
      </c>
      <c r="Q1677" t="inlineStr">
        <is>
          <t>Delivered</t>
        </is>
      </c>
      <c r="R1677" t="n">
        <v>2</v>
      </c>
    </row>
    <row r="1678">
      <c r="A1678" t="inlineStr">
        <is>
          <t>ORD2677</t>
        </is>
      </c>
      <c r="B1678" t="inlineStr">
        <is>
          <t>2025-01-11</t>
        </is>
      </c>
      <c r="C1678" t="inlineStr">
        <is>
          <t>07:15:56</t>
        </is>
      </c>
      <c r="D1678" t="n">
        <v>1056</v>
      </c>
      <c r="E1678" t="n">
        <v>102</v>
      </c>
      <c r="F1678" t="n">
        <v>215</v>
      </c>
      <c r="G1678" t="inlineStr">
        <is>
          <t>Hyderabad</t>
        </is>
      </c>
      <c r="H1678" t="inlineStr">
        <is>
          <t>Biryani</t>
        </is>
      </c>
      <c r="I1678" t="n">
        <v>942</v>
      </c>
      <c r="J1678" t="n">
        <v>161.74</v>
      </c>
      <c r="K1678" t="n">
        <v>0</v>
      </c>
      <c r="L1678" t="n">
        <v>0.22</v>
      </c>
      <c r="M1678" t="n">
        <v>207.24</v>
      </c>
      <c r="N1678" t="n">
        <v>3.1</v>
      </c>
      <c r="O1678" t="n">
        <v>26.7</v>
      </c>
      <c r="P1678" t="inlineStr">
        <is>
          <t>Digital Wallet</t>
        </is>
      </c>
      <c r="Q1678" t="inlineStr">
        <is>
          <t>Delivered</t>
        </is>
      </c>
      <c r="R1678" t="n">
        <v>3</v>
      </c>
    </row>
    <row r="1679">
      <c r="A1679" t="inlineStr">
        <is>
          <t>ORD2678</t>
        </is>
      </c>
      <c r="B1679" t="inlineStr">
        <is>
          <t>2025-06-08</t>
        </is>
      </c>
      <c r="C1679" t="inlineStr">
        <is>
          <t>21:49:16</t>
        </is>
      </c>
      <c r="D1679" t="n">
        <v>1233</v>
      </c>
      <c r="E1679" t="n">
        <v>120</v>
      </c>
      <c r="F1679" t="n">
        <v>217</v>
      </c>
      <c r="G1679" t="inlineStr">
        <is>
          <t>Pune</t>
        </is>
      </c>
      <c r="H1679" t="inlineStr">
        <is>
          <t>Fast Food</t>
        </is>
      </c>
      <c r="I1679" t="n">
        <v>304</v>
      </c>
      <c r="J1679" t="n">
        <v>0</v>
      </c>
      <c r="K1679" t="n">
        <v>35.5</v>
      </c>
      <c r="L1679" t="n">
        <v>0.18</v>
      </c>
      <c r="M1679" t="n">
        <v>63.6</v>
      </c>
      <c r="N1679" t="n">
        <v>5.1</v>
      </c>
      <c r="O1679" t="n">
        <v>36.2</v>
      </c>
      <c r="P1679" t="inlineStr">
        <is>
          <t>Cash on Delivery</t>
        </is>
      </c>
      <c r="Q1679" t="inlineStr">
        <is>
          <t>Delivered</t>
        </is>
      </c>
      <c r="R1679" t="n">
        <v>1</v>
      </c>
    </row>
    <row r="1680">
      <c r="A1680" t="inlineStr">
        <is>
          <t>ORD2679</t>
        </is>
      </c>
      <c r="B1680" t="inlineStr">
        <is>
          <t>2025-07-01</t>
        </is>
      </c>
      <c r="C1680" t="inlineStr">
        <is>
          <t>19:48:23</t>
        </is>
      </c>
      <c r="D1680" t="n">
        <v>1273</v>
      </c>
      <c r="E1680" t="n">
        <v>109</v>
      </c>
      <c r="F1680" t="n">
        <v>225</v>
      </c>
      <c r="G1680" t="inlineStr">
        <is>
          <t>Hyderabad</t>
        </is>
      </c>
      <c r="H1680" t="inlineStr">
        <is>
          <t>Biryani</t>
        </is>
      </c>
      <c r="I1680" t="n">
        <v>838</v>
      </c>
      <c r="J1680" t="n">
        <v>157</v>
      </c>
      <c r="K1680" t="n">
        <v>0</v>
      </c>
      <c r="L1680" t="n">
        <v>0.2</v>
      </c>
      <c r="M1680" t="n">
        <v>167.6</v>
      </c>
      <c r="N1680" t="n">
        <v>3</v>
      </c>
      <c r="O1680" t="n">
        <v>29.1</v>
      </c>
      <c r="P1680" t="inlineStr">
        <is>
          <t>Credit Card</t>
        </is>
      </c>
      <c r="Q1680" t="inlineStr">
        <is>
          <t>Delivered</t>
        </is>
      </c>
      <c r="R1680" t="n">
        <v>5</v>
      </c>
    </row>
    <row r="1681">
      <c r="A1681" t="inlineStr">
        <is>
          <t>ORD2680</t>
        </is>
      </c>
      <c r="B1681" t="inlineStr">
        <is>
          <t>2025-05-31</t>
        </is>
      </c>
      <c r="C1681" t="inlineStr">
        <is>
          <t>07:12:55</t>
        </is>
      </c>
      <c r="D1681" t="n">
        <v>1030</v>
      </c>
      <c r="E1681" t="n">
        <v>102</v>
      </c>
      <c r="F1681" t="n">
        <v>225</v>
      </c>
      <c r="G1681" t="inlineStr">
        <is>
          <t>Hyderabad</t>
        </is>
      </c>
      <c r="H1681" t="inlineStr">
        <is>
          <t>Biryani</t>
        </is>
      </c>
      <c r="I1681" t="n">
        <v>243</v>
      </c>
      <c r="J1681" t="n">
        <v>9.130000000000001</v>
      </c>
      <c r="K1681" t="n">
        <v>26.5</v>
      </c>
      <c r="L1681" t="n">
        <v>0.22</v>
      </c>
      <c r="M1681" t="n">
        <v>60.08</v>
      </c>
      <c r="N1681" t="n">
        <v>3.3</v>
      </c>
      <c r="O1681" t="n">
        <v>28.4</v>
      </c>
      <c r="P1681" t="inlineStr">
        <is>
          <t>Debit Card</t>
        </is>
      </c>
      <c r="Q1681" t="inlineStr">
        <is>
          <t>Delivered</t>
        </is>
      </c>
      <c r="R1681" t="n">
        <v>4</v>
      </c>
    </row>
    <row r="1682">
      <c r="A1682" t="inlineStr">
        <is>
          <t>ORD2681</t>
        </is>
      </c>
      <c r="B1682" t="inlineStr">
        <is>
          <t>2025-02-25</t>
        </is>
      </c>
      <c r="C1682" t="inlineStr">
        <is>
          <t>12:23:15</t>
        </is>
      </c>
      <c r="D1682" t="n">
        <v>1264</v>
      </c>
      <c r="E1682" t="n">
        <v>101</v>
      </c>
      <c r="F1682" t="n">
        <v>210</v>
      </c>
      <c r="G1682" t="inlineStr">
        <is>
          <t>Bangalore</t>
        </is>
      </c>
      <c r="H1682" t="inlineStr">
        <is>
          <t>North Indian</t>
        </is>
      </c>
      <c r="I1682" t="n">
        <v>789</v>
      </c>
      <c r="J1682" t="n">
        <v>32.74</v>
      </c>
      <c r="K1682" t="n">
        <v>34.5</v>
      </c>
      <c r="L1682" t="n">
        <v>0.2</v>
      </c>
      <c r="M1682" t="n">
        <v>166.42</v>
      </c>
      <c r="N1682" t="n">
        <v>4.9</v>
      </c>
      <c r="O1682" t="n">
        <v>38.9</v>
      </c>
      <c r="P1682" t="inlineStr">
        <is>
          <t>Debit Card</t>
        </is>
      </c>
      <c r="Q1682" t="inlineStr">
        <is>
          <t>Delivered</t>
        </is>
      </c>
      <c r="R1682" t="n">
        <v>3</v>
      </c>
    </row>
    <row r="1683">
      <c r="A1683" t="inlineStr">
        <is>
          <t>ORD2682</t>
        </is>
      </c>
      <c r="B1683" t="inlineStr">
        <is>
          <t>2025-11-09</t>
        </is>
      </c>
      <c r="C1683" t="inlineStr">
        <is>
          <t>20:53:44</t>
        </is>
      </c>
      <c r="D1683" t="n">
        <v>1149</v>
      </c>
      <c r="E1683" t="n">
        <v>120</v>
      </c>
      <c r="F1683" t="n">
        <v>207</v>
      </c>
      <c r="G1683" t="inlineStr">
        <is>
          <t>Pune</t>
        </is>
      </c>
      <c r="H1683" t="inlineStr">
        <is>
          <t>Fast Food</t>
        </is>
      </c>
      <c r="I1683" t="n">
        <v>283</v>
      </c>
      <c r="J1683" t="n">
        <v>7.7</v>
      </c>
      <c r="K1683" t="n">
        <v>47</v>
      </c>
      <c r="L1683" t="n">
        <v>0.18</v>
      </c>
      <c r="M1683" t="n">
        <v>62.69</v>
      </c>
      <c r="N1683" t="n">
        <v>7.4</v>
      </c>
      <c r="O1683" t="n">
        <v>43.7</v>
      </c>
      <c r="P1683" t="inlineStr">
        <is>
          <t>UPI</t>
        </is>
      </c>
      <c r="Q1683" t="inlineStr">
        <is>
          <t>Delivered</t>
        </is>
      </c>
      <c r="R1683" t="n">
        <v>3</v>
      </c>
    </row>
    <row r="1684">
      <c r="A1684" t="inlineStr">
        <is>
          <t>ORD2683</t>
        </is>
      </c>
      <c r="B1684" t="inlineStr">
        <is>
          <t>2025-04-21</t>
        </is>
      </c>
      <c r="C1684" t="inlineStr">
        <is>
          <t>12:13:48</t>
        </is>
      </c>
      <c r="D1684" t="n">
        <v>1180</v>
      </c>
      <c r="E1684" t="n">
        <v>118</v>
      </c>
      <c r="F1684" t="n">
        <v>230</v>
      </c>
      <c r="G1684" t="inlineStr">
        <is>
          <t>Delhi NCR</t>
        </is>
      </c>
      <c r="H1684" t="inlineStr">
        <is>
          <t>North Indian</t>
        </is>
      </c>
      <c r="I1684" t="n">
        <v>583</v>
      </c>
      <c r="J1684" t="n">
        <v>0</v>
      </c>
      <c r="K1684" t="n">
        <v>25</v>
      </c>
      <c r="L1684" t="n">
        <v>0.2</v>
      </c>
      <c r="M1684" t="n">
        <v>122.85</v>
      </c>
      <c r="N1684" t="n">
        <v>1.5</v>
      </c>
      <c r="O1684" t="n">
        <v>24.6</v>
      </c>
      <c r="P1684" t="inlineStr">
        <is>
          <t>Digital Wallet</t>
        </is>
      </c>
      <c r="Q1684" t="inlineStr">
        <is>
          <t>Delivered</t>
        </is>
      </c>
      <c r="R1684" t="n">
        <v>2</v>
      </c>
    </row>
    <row r="1685">
      <c r="A1685" t="inlineStr">
        <is>
          <t>ORD2684</t>
        </is>
      </c>
      <c r="B1685" t="inlineStr">
        <is>
          <t>2025-04-24</t>
        </is>
      </c>
      <c r="C1685" t="inlineStr">
        <is>
          <t>12:51:09</t>
        </is>
      </c>
      <c r="D1685" t="n">
        <v>1094</v>
      </c>
      <c r="E1685" t="n">
        <v>112</v>
      </c>
      <c r="F1685" t="n">
        <v>228</v>
      </c>
      <c r="G1685" t="inlineStr">
        <is>
          <t>Delhi NCR</t>
        </is>
      </c>
      <c r="H1685" t="inlineStr">
        <is>
          <t>North Indian</t>
        </is>
      </c>
      <c r="I1685" t="n">
        <v>324</v>
      </c>
      <c r="J1685" t="n">
        <v>0</v>
      </c>
      <c r="K1685" t="n">
        <v>63.5</v>
      </c>
      <c r="L1685" t="n">
        <v>0.22</v>
      </c>
      <c r="M1685" t="n">
        <v>87.16</v>
      </c>
      <c r="N1685" t="n">
        <v>10.7</v>
      </c>
      <c r="O1685" t="n">
        <v>59.9</v>
      </c>
      <c r="P1685" t="inlineStr">
        <is>
          <t>Cash on Delivery</t>
        </is>
      </c>
      <c r="Q1685" t="inlineStr">
        <is>
          <t>Delivered</t>
        </is>
      </c>
      <c r="R1685" t="n">
        <v>2</v>
      </c>
    </row>
    <row r="1686">
      <c r="A1686" t="inlineStr">
        <is>
          <t>ORD2685</t>
        </is>
      </c>
      <c r="B1686" t="inlineStr">
        <is>
          <t>2025-11-07</t>
        </is>
      </c>
      <c r="C1686" t="inlineStr">
        <is>
          <t>20:12:15</t>
        </is>
      </c>
      <c r="D1686" t="n">
        <v>1028</v>
      </c>
      <c r="E1686" t="n">
        <v>109</v>
      </c>
      <c r="F1686" t="n">
        <v>215</v>
      </c>
      <c r="G1686" t="inlineStr">
        <is>
          <t>Hyderabad</t>
        </is>
      </c>
      <c r="H1686" t="inlineStr">
        <is>
          <t>Biryani</t>
        </is>
      </c>
      <c r="I1686" t="n">
        <v>827</v>
      </c>
      <c r="J1686" t="n">
        <v>0</v>
      </c>
      <c r="K1686" t="n">
        <v>34</v>
      </c>
      <c r="L1686" t="n">
        <v>0.2</v>
      </c>
      <c r="M1686" t="n">
        <v>173.9</v>
      </c>
      <c r="N1686" t="n">
        <v>4.8</v>
      </c>
      <c r="O1686" t="n">
        <v>37.1</v>
      </c>
      <c r="P1686" t="inlineStr">
        <is>
          <t>Cash on Delivery</t>
        </is>
      </c>
      <c r="Q1686" t="inlineStr">
        <is>
          <t>Delivered</t>
        </is>
      </c>
      <c r="R1686" t="n">
        <v>4</v>
      </c>
    </row>
    <row r="1687">
      <c r="A1687" t="inlineStr">
        <is>
          <t>ORD2686</t>
        </is>
      </c>
      <c r="B1687" t="inlineStr">
        <is>
          <t>2025-07-27</t>
        </is>
      </c>
      <c r="C1687" t="inlineStr">
        <is>
          <t>11:41:20</t>
        </is>
      </c>
      <c r="D1687" t="n">
        <v>1013</v>
      </c>
      <c r="E1687" t="n">
        <v>111</v>
      </c>
      <c r="F1687" t="n">
        <v>201</v>
      </c>
      <c r="G1687" t="inlineStr">
        <is>
          <t>Bangalore</t>
        </is>
      </c>
      <c r="H1687" t="inlineStr">
        <is>
          <t>South Indian</t>
        </is>
      </c>
      <c r="I1687" t="n">
        <v>451</v>
      </c>
      <c r="J1687" t="n">
        <v>23.79</v>
      </c>
      <c r="K1687" t="n">
        <v>36</v>
      </c>
      <c r="L1687" t="n">
        <v>0.15</v>
      </c>
      <c r="M1687" t="n">
        <v>76.65000000000001</v>
      </c>
      <c r="N1687" t="n">
        <v>5.2</v>
      </c>
      <c r="O1687" t="n">
        <v>30.8</v>
      </c>
      <c r="P1687" t="inlineStr">
        <is>
          <t>UPI</t>
        </is>
      </c>
      <c r="Q1687" t="inlineStr">
        <is>
          <t>Delivered</t>
        </is>
      </c>
      <c r="R1687" t="n">
        <v>5</v>
      </c>
    </row>
    <row r="1688">
      <c r="A1688" t="inlineStr">
        <is>
          <t>ORD2687</t>
        </is>
      </c>
      <c r="B1688" t="inlineStr">
        <is>
          <t>2025-06-17</t>
        </is>
      </c>
      <c r="C1688" t="inlineStr">
        <is>
          <t>16:24:06</t>
        </is>
      </c>
      <c r="D1688" t="n">
        <v>1040</v>
      </c>
      <c r="E1688" t="n">
        <v>110</v>
      </c>
      <c r="F1688" t="n">
        <v>207</v>
      </c>
      <c r="G1688" t="inlineStr">
        <is>
          <t>Pune</t>
        </is>
      </c>
      <c r="H1688" t="inlineStr">
        <is>
          <t>North Indian</t>
        </is>
      </c>
      <c r="I1688" t="n">
        <v>692</v>
      </c>
      <c r="J1688" t="n">
        <v>47.52</v>
      </c>
      <c r="K1688" t="n">
        <v>26.5</v>
      </c>
      <c r="L1688" t="n">
        <v>0.18</v>
      </c>
      <c r="M1688" t="n">
        <v>131.18</v>
      </c>
      <c r="N1688" t="n">
        <v>3.3</v>
      </c>
      <c r="O1688" t="n">
        <v>31.2</v>
      </c>
      <c r="P1688" t="inlineStr">
        <is>
          <t>Digital Wallet</t>
        </is>
      </c>
      <c r="Q1688" t="inlineStr">
        <is>
          <t>Delivered</t>
        </is>
      </c>
      <c r="R1688" t="n">
        <v>2</v>
      </c>
    </row>
    <row r="1689">
      <c r="A1689" t="inlineStr">
        <is>
          <t>ORD2688</t>
        </is>
      </c>
      <c r="B1689" t="inlineStr">
        <is>
          <t>2025-04-05</t>
        </is>
      </c>
      <c r="C1689" t="inlineStr">
        <is>
          <t>11:13:52</t>
        </is>
      </c>
      <c r="D1689" t="n">
        <v>1040</v>
      </c>
      <c r="E1689" t="n">
        <v>120</v>
      </c>
      <c r="F1689" t="n">
        <v>224</v>
      </c>
      <c r="G1689" t="inlineStr">
        <is>
          <t>Pune</t>
        </is>
      </c>
      <c r="H1689" t="inlineStr">
        <is>
          <t>Fast Food</t>
        </is>
      </c>
      <c r="I1689" t="n">
        <v>247</v>
      </c>
      <c r="J1689" t="n">
        <v>0.58</v>
      </c>
      <c r="K1689" t="n">
        <v>34.5</v>
      </c>
      <c r="L1689" t="n">
        <v>0.18</v>
      </c>
      <c r="M1689" t="n">
        <v>53.08</v>
      </c>
      <c r="N1689" t="n">
        <v>4.9</v>
      </c>
      <c r="O1689" t="n">
        <v>32</v>
      </c>
      <c r="P1689" t="inlineStr">
        <is>
          <t>Cash on Delivery</t>
        </is>
      </c>
      <c r="Q1689" t="inlineStr">
        <is>
          <t>Delivered</t>
        </is>
      </c>
      <c r="R1689" t="n">
        <v>5</v>
      </c>
    </row>
    <row r="1690">
      <c r="A1690" t="inlineStr">
        <is>
          <t>ORD2689</t>
        </is>
      </c>
      <c r="B1690" t="inlineStr">
        <is>
          <t>2025-11-02</t>
        </is>
      </c>
      <c r="C1690" t="inlineStr">
        <is>
          <t>10:33:59</t>
        </is>
      </c>
      <c r="D1690" t="n">
        <v>1082</v>
      </c>
      <c r="E1690" t="n">
        <v>116</v>
      </c>
      <c r="F1690" t="n">
        <v>226</v>
      </c>
      <c r="G1690" t="inlineStr">
        <is>
          <t>Pune</t>
        </is>
      </c>
      <c r="H1690" t="inlineStr">
        <is>
          <t>Desserts</t>
        </is>
      </c>
      <c r="I1690" t="n">
        <v>233</v>
      </c>
      <c r="J1690" t="n">
        <v>15.64</v>
      </c>
      <c r="K1690" t="n">
        <v>30.5</v>
      </c>
      <c r="L1690" t="n">
        <v>0.25</v>
      </c>
      <c r="M1690" t="n">
        <v>65.88</v>
      </c>
      <c r="N1690" t="n">
        <v>4.1</v>
      </c>
      <c r="O1690" t="n">
        <v>33.6</v>
      </c>
      <c r="P1690" t="inlineStr">
        <is>
          <t>Cash on Delivery</t>
        </is>
      </c>
      <c r="Q1690" t="inlineStr">
        <is>
          <t>Delivered</t>
        </is>
      </c>
      <c r="R1690" t="n">
        <v>3</v>
      </c>
    </row>
    <row r="1691">
      <c r="A1691" t="inlineStr">
        <is>
          <t>ORD2690</t>
        </is>
      </c>
      <c r="B1691" t="inlineStr">
        <is>
          <t>2025-11-02</t>
        </is>
      </c>
      <c r="C1691" t="inlineStr">
        <is>
          <t>13:07:46</t>
        </is>
      </c>
      <c r="D1691" t="n">
        <v>1180</v>
      </c>
      <c r="E1691" t="n">
        <v>118</v>
      </c>
      <c r="F1691" t="n">
        <v>221</v>
      </c>
      <c r="G1691" t="inlineStr">
        <is>
          <t>Delhi NCR</t>
        </is>
      </c>
      <c r="H1691" t="inlineStr">
        <is>
          <t>North Indian</t>
        </is>
      </c>
      <c r="I1691" t="n">
        <v>645</v>
      </c>
      <c r="J1691" t="n">
        <v>45.53</v>
      </c>
      <c r="K1691" t="n">
        <v>28.5</v>
      </c>
      <c r="L1691" t="n">
        <v>0.2</v>
      </c>
      <c r="M1691" t="n">
        <v>136.12</v>
      </c>
      <c r="N1691" t="n">
        <v>3.7</v>
      </c>
      <c r="O1691" t="n">
        <v>34.7</v>
      </c>
      <c r="P1691" t="inlineStr">
        <is>
          <t>Cash on Delivery</t>
        </is>
      </c>
      <c r="Q1691" t="inlineStr">
        <is>
          <t>Delivered</t>
        </is>
      </c>
      <c r="R1691" t="n">
        <v>5</v>
      </c>
    </row>
    <row r="1692">
      <c r="A1692" t="inlineStr">
        <is>
          <t>ORD2691</t>
        </is>
      </c>
      <c r="B1692" t="inlineStr">
        <is>
          <t>2025-01-30</t>
        </is>
      </c>
      <c r="C1692" t="inlineStr">
        <is>
          <t>21:04:19</t>
        </is>
      </c>
      <c r="D1692" t="n">
        <v>1190</v>
      </c>
      <c r="E1692" t="n">
        <v>119</v>
      </c>
      <c r="F1692" t="n">
        <v>215</v>
      </c>
      <c r="G1692" t="inlineStr">
        <is>
          <t>Hyderabad</t>
        </is>
      </c>
      <c r="H1692" t="inlineStr">
        <is>
          <t>Biryani</t>
        </is>
      </c>
      <c r="I1692" t="n">
        <v>838</v>
      </c>
      <c r="J1692" t="n">
        <v>0</v>
      </c>
      <c r="K1692" t="n">
        <v>50</v>
      </c>
      <c r="L1692" t="n">
        <v>0.2</v>
      </c>
      <c r="M1692" t="n">
        <v>180.1</v>
      </c>
      <c r="N1692" t="n">
        <v>8</v>
      </c>
      <c r="O1692" t="n">
        <v>45.5</v>
      </c>
      <c r="P1692" t="inlineStr">
        <is>
          <t>Digital Wallet</t>
        </is>
      </c>
      <c r="Q1692" t="inlineStr">
        <is>
          <t>Delivered</t>
        </is>
      </c>
      <c r="R1692" t="n">
        <v>2</v>
      </c>
    </row>
    <row r="1693">
      <c r="A1693" t="inlineStr">
        <is>
          <t>ORD2692</t>
        </is>
      </c>
      <c r="B1693" t="inlineStr">
        <is>
          <t>2025-04-26</t>
        </is>
      </c>
      <c r="C1693" t="inlineStr">
        <is>
          <t>14:14:25</t>
        </is>
      </c>
      <c r="D1693" t="n">
        <v>1007</v>
      </c>
      <c r="E1693" t="n">
        <v>101</v>
      </c>
      <c r="F1693" t="n">
        <v>203</v>
      </c>
      <c r="G1693" t="inlineStr">
        <is>
          <t>Bangalore</t>
        </is>
      </c>
      <c r="H1693" t="inlineStr">
        <is>
          <t>North Indian</t>
        </is>
      </c>
      <c r="I1693" t="n">
        <v>762</v>
      </c>
      <c r="J1693" t="n">
        <v>0</v>
      </c>
      <c r="K1693" t="n">
        <v>45</v>
      </c>
      <c r="L1693" t="n">
        <v>0.2</v>
      </c>
      <c r="M1693" t="n">
        <v>163.65</v>
      </c>
      <c r="N1693" t="n">
        <v>7</v>
      </c>
      <c r="O1693" t="n">
        <v>53.1</v>
      </c>
      <c r="P1693" t="inlineStr">
        <is>
          <t>Digital Wallet</t>
        </is>
      </c>
      <c r="Q1693" t="inlineStr">
        <is>
          <t>Delivered</t>
        </is>
      </c>
      <c r="R1693" t="n">
        <v>1</v>
      </c>
    </row>
    <row r="1694">
      <c r="A1694" t="inlineStr">
        <is>
          <t>ORD2693</t>
        </is>
      </c>
      <c r="B1694" t="inlineStr">
        <is>
          <t>2025-04-10</t>
        </is>
      </c>
      <c r="C1694" t="inlineStr">
        <is>
          <t>18:10:52</t>
        </is>
      </c>
      <c r="D1694" t="n">
        <v>1074</v>
      </c>
      <c r="E1694" t="n">
        <v>120</v>
      </c>
      <c r="F1694" t="n">
        <v>226</v>
      </c>
      <c r="G1694" t="inlineStr">
        <is>
          <t>Pune</t>
        </is>
      </c>
      <c r="H1694" t="inlineStr">
        <is>
          <t>Fast Food</t>
        </is>
      </c>
      <c r="I1694" t="n">
        <v>381</v>
      </c>
      <c r="J1694" t="n">
        <v>44.16</v>
      </c>
      <c r="K1694" t="n">
        <v>25</v>
      </c>
      <c r="L1694" t="n">
        <v>0.18</v>
      </c>
      <c r="M1694" t="n">
        <v>74.83</v>
      </c>
      <c r="N1694" t="n">
        <v>1.8</v>
      </c>
      <c r="O1694" t="n">
        <v>23.3</v>
      </c>
      <c r="P1694" t="inlineStr">
        <is>
          <t>Digital Wallet</t>
        </is>
      </c>
      <c r="Q1694" t="inlineStr">
        <is>
          <t>Delivered</t>
        </is>
      </c>
      <c r="R1694" t="n">
        <v>4</v>
      </c>
    </row>
    <row r="1695">
      <c r="A1695" t="inlineStr">
        <is>
          <t>ORD2694</t>
        </is>
      </c>
      <c r="B1695" t="inlineStr">
        <is>
          <t>2025-05-03</t>
        </is>
      </c>
      <c r="C1695" t="inlineStr">
        <is>
          <t>12:28:17</t>
        </is>
      </c>
      <c r="D1695" t="n">
        <v>1089</v>
      </c>
      <c r="E1695" t="n">
        <v>105</v>
      </c>
      <c r="F1695" t="n">
        <v>218</v>
      </c>
      <c r="G1695" t="inlineStr">
        <is>
          <t>Bangalore</t>
        </is>
      </c>
      <c r="H1695" t="inlineStr">
        <is>
          <t>Chinese</t>
        </is>
      </c>
      <c r="I1695" t="n">
        <v>749</v>
      </c>
      <c r="J1695" t="n">
        <v>106.23</v>
      </c>
      <c r="K1695" t="n">
        <v>0</v>
      </c>
      <c r="L1695" t="n">
        <v>0.2</v>
      </c>
      <c r="M1695" t="n">
        <v>149.8</v>
      </c>
      <c r="N1695" t="n">
        <v>3.4</v>
      </c>
      <c r="O1695" t="n">
        <v>28.5</v>
      </c>
      <c r="P1695" t="inlineStr">
        <is>
          <t>UPI</t>
        </is>
      </c>
      <c r="Q1695" t="inlineStr">
        <is>
          <t>Delivered</t>
        </is>
      </c>
      <c r="R1695" t="n">
        <v>4</v>
      </c>
    </row>
    <row r="1696">
      <c r="A1696" t="inlineStr">
        <is>
          <t>ORD2695</t>
        </is>
      </c>
      <c r="B1696" t="inlineStr">
        <is>
          <t>2025-01-22</t>
        </is>
      </c>
      <c r="C1696" t="inlineStr">
        <is>
          <t>18:53:23</t>
        </is>
      </c>
      <c r="D1696" t="n">
        <v>1088</v>
      </c>
      <c r="E1696" t="n">
        <v>116</v>
      </c>
      <c r="F1696" t="n">
        <v>208</v>
      </c>
      <c r="G1696" t="inlineStr">
        <is>
          <t>Pune</t>
        </is>
      </c>
      <c r="H1696" t="inlineStr">
        <is>
          <t>Desserts</t>
        </is>
      </c>
      <c r="I1696" t="n">
        <v>865</v>
      </c>
      <c r="J1696" t="n">
        <v>44.54</v>
      </c>
      <c r="K1696" t="n">
        <v>31.5</v>
      </c>
      <c r="L1696" t="n">
        <v>0.25</v>
      </c>
      <c r="M1696" t="n">
        <v>224.12</v>
      </c>
      <c r="N1696" t="n">
        <v>4.3</v>
      </c>
      <c r="O1696" t="n">
        <v>36.5</v>
      </c>
      <c r="P1696" t="inlineStr">
        <is>
          <t>Credit Card</t>
        </is>
      </c>
      <c r="Q1696" t="inlineStr">
        <is>
          <t>Delivered</t>
        </is>
      </c>
      <c r="R1696" t="n">
        <v>5</v>
      </c>
    </row>
    <row r="1697">
      <c r="A1697" t="inlineStr">
        <is>
          <t>ORD2696</t>
        </is>
      </c>
      <c r="B1697" t="inlineStr">
        <is>
          <t>2025-08-11</t>
        </is>
      </c>
      <c r="C1697" t="inlineStr">
        <is>
          <t>23:50:47</t>
        </is>
      </c>
      <c r="D1697" t="n">
        <v>1061</v>
      </c>
      <c r="E1697" t="n">
        <v>106</v>
      </c>
      <c r="F1697" t="n">
        <v>214</v>
      </c>
      <c r="G1697" t="inlineStr">
        <is>
          <t>Pune</t>
        </is>
      </c>
      <c r="H1697" t="inlineStr">
        <is>
          <t>South Indian</t>
        </is>
      </c>
      <c r="I1697" t="n">
        <v>267</v>
      </c>
      <c r="J1697" t="n">
        <v>2.05</v>
      </c>
      <c r="K1697" t="n">
        <v>25</v>
      </c>
      <c r="L1697" t="n">
        <v>0.15</v>
      </c>
      <c r="M1697" t="n">
        <v>46.3</v>
      </c>
      <c r="N1697" t="n">
        <v>3</v>
      </c>
      <c r="O1697" t="n">
        <v>38.7</v>
      </c>
      <c r="P1697" t="inlineStr">
        <is>
          <t>Cash on Delivery</t>
        </is>
      </c>
      <c r="Q1697" t="inlineStr">
        <is>
          <t>Delivered</t>
        </is>
      </c>
      <c r="R1697" t="n">
        <v>5</v>
      </c>
    </row>
    <row r="1698">
      <c r="A1698" t="inlineStr">
        <is>
          <t>ORD2697</t>
        </is>
      </c>
      <c r="B1698" t="inlineStr">
        <is>
          <t>2025-04-09</t>
        </is>
      </c>
      <c r="C1698" t="inlineStr">
        <is>
          <t>01:55:03</t>
        </is>
      </c>
      <c r="D1698" t="n">
        <v>1177</v>
      </c>
      <c r="E1698" t="n">
        <v>104</v>
      </c>
      <c r="F1698" t="n">
        <v>219</v>
      </c>
      <c r="G1698" t="inlineStr">
        <is>
          <t>Delhi NCR</t>
        </is>
      </c>
      <c r="H1698" t="inlineStr">
        <is>
          <t>Fast Food</t>
        </is>
      </c>
      <c r="I1698" t="n">
        <v>752</v>
      </c>
      <c r="J1698" t="n">
        <v>84.18000000000001</v>
      </c>
      <c r="K1698" t="n">
        <v>38</v>
      </c>
      <c r="L1698" t="n">
        <v>0.18</v>
      </c>
      <c r="M1698" t="n">
        <v>144.86</v>
      </c>
      <c r="N1698" t="n">
        <v>5.6</v>
      </c>
      <c r="O1698" t="n">
        <v>31.5</v>
      </c>
      <c r="P1698" t="inlineStr">
        <is>
          <t>Cash on Delivery</t>
        </is>
      </c>
      <c r="Q1698" t="inlineStr">
        <is>
          <t>Delivered</t>
        </is>
      </c>
      <c r="R1698" t="n">
        <v>4</v>
      </c>
    </row>
    <row r="1699">
      <c r="A1699" t="inlineStr">
        <is>
          <t>ORD2698</t>
        </is>
      </c>
      <c r="B1699" t="inlineStr">
        <is>
          <t>2025-03-20</t>
        </is>
      </c>
      <c r="C1699" t="inlineStr">
        <is>
          <t>19:43:29</t>
        </is>
      </c>
      <c r="D1699" t="n">
        <v>1060</v>
      </c>
      <c r="E1699" t="n">
        <v>104</v>
      </c>
      <c r="F1699" t="n">
        <v>228</v>
      </c>
      <c r="G1699" t="inlineStr">
        <is>
          <t>Delhi NCR</t>
        </is>
      </c>
      <c r="H1699" t="inlineStr">
        <is>
          <t>Fast Food</t>
        </is>
      </c>
      <c r="I1699" t="n">
        <v>294</v>
      </c>
      <c r="J1699" t="n">
        <v>0</v>
      </c>
      <c r="K1699" t="n">
        <v>25</v>
      </c>
      <c r="L1699" t="n">
        <v>0.18</v>
      </c>
      <c r="M1699" t="n">
        <v>59.17</v>
      </c>
      <c r="N1699" t="n">
        <v>2.7</v>
      </c>
      <c r="O1699" t="n">
        <v>30.4</v>
      </c>
      <c r="P1699" t="inlineStr">
        <is>
          <t>UPI</t>
        </is>
      </c>
      <c r="Q1699" t="inlineStr">
        <is>
          <t>Delivered</t>
        </is>
      </c>
      <c r="R1699" t="n">
        <v>4</v>
      </c>
    </row>
    <row r="1700">
      <c r="A1700" t="inlineStr">
        <is>
          <t>ORD2699</t>
        </is>
      </c>
      <c r="B1700" t="inlineStr">
        <is>
          <t>2025-05-11</t>
        </is>
      </c>
      <c r="C1700" t="inlineStr">
        <is>
          <t>13:57:21</t>
        </is>
      </c>
      <c r="D1700" t="n">
        <v>1012</v>
      </c>
      <c r="E1700" t="n">
        <v>106</v>
      </c>
      <c r="F1700" t="n">
        <v>209</v>
      </c>
      <c r="G1700" t="inlineStr">
        <is>
          <t>Pune</t>
        </is>
      </c>
      <c r="H1700" t="inlineStr">
        <is>
          <t>South Indian</t>
        </is>
      </c>
      <c r="I1700" t="n">
        <v>697</v>
      </c>
      <c r="J1700" t="n">
        <v>126.67</v>
      </c>
      <c r="K1700" t="n">
        <v>0</v>
      </c>
      <c r="L1700" t="n">
        <v>0.15</v>
      </c>
      <c r="M1700" t="n">
        <v>104.55</v>
      </c>
      <c r="N1700" t="n">
        <v>2.7</v>
      </c>
      <c r="O1700" t="n">
        <v>28.3</v>
      </c>
      <c r="P1700" t="inlineStr">
        <is>
          <t>Credit Card</t>
        </is>
      </c>
      <c r="Q1700" t="inlineStr">
        <is>
          <t>Delivered</t>
        </is>
      </c>
      <c r="R1700" t="n">
        <v>2</v>
      </c>
    </row>
    <row r="1701">
      <c r="A1701" t="inlineStr">
        <is>
          <t>ORD2700</t>
        </is>
      </c>
      <c r="B1701" t="inlineStr">
        <is>
          <t>2025-11-17</t>
        </is>
      </c>
      <c r="C1701" t="inlineStr">
        <is>
          <t>23:54:31</t>
        </is>
      </c>
      <c r="D1701" t="n">
        <v>1168</v>
      </c>
      <c r="E1701" t="n">
        <v>120</v>
      </c>
      <c r="F1701" t="n">
        <v>208</v>
      </c>
      <c r="G1701" t="inlineStr">
        <is>
          <t>Pune</t>
        </is>
      </c>
      <c r="H1701" t="inlineStr">
        <is>
          <t>Fast Food</t>
        </is>
      </c>
      <c r="I1701" t="n">
        <v>654</v>
      </c>
      <c r="J1701" t="n">
        <v>33.7</v>
      </c>
      <c r="K1701" t="n">
        <v>44</v>
      </c>
      <c r="L1701" t="n">
        <v>0.18</v>
      </c>
      <c r="M1701" t="n">
        <v>128.72</v>
      </c>
      <c r="N1701" t="n">
        <v>6.8</v>
      </c>
      <c r="O1701" t="n">
        <v>36.2</v>
      </c>
      <c r="P1701" t="inlineStr">
        <is>
          <t>Credit Card</t>
        </is>
      </c>
      <c r="Q1701" t="inlineStr">
        <is>
          <t>Delivered</t>
        </is>
      </c>
      <c r="R1701" t="n">
        <v>4</v>
      </c>
    </row>
    <row r="1702">
      <c r="A1702" t="inlineStr">
        <is>
          <t>ORD2701</t>
        </is>
      </c>
      <c r="B1702" t="inlineStr">
        <is>
          <t>2025-03-01</t>
        </is>
      </c>
      <c r="C1702" t="inlineStr">
        <is>
          <t>11:15:19</t>
        </is>
      </c>
      <c r="D1702" t="n">
        <v>1236</v>
      </c>
      <c r="E1702" t="n">
        <v>108</v>
      </c>
      <c r="F1702" t="n">
        <v>211</v>
      </c>
      <c r="G1702" t="inlineStr">
        <is>
          <t>Delhi NCR</t>
        </is>
      </c>
      <c r="H1702" t="inlineStr">
        <is>
          <t>Fast Food</t>
        </is>
      </c>
      <c r="I1702" t="n">
        <v>787</v>
      </c>
      <c r="J1702" t="n">
        <v>39.62</v>
      </c>
      <c r="K1702" t="n">
        <v>47.5</v>
      </c>
      <c r="L1702" t="n">
        <v>0.18</v>
      </c>
      <c r="M1702" t="n">
        <v>153.54</v>
      </c>
      <c r="N1702" t="n">
        <v>7.5</v>
      </c>
      <c r="O1702" t="n">
        <v>40.3</v>
      </c>
      <c r="P1702" t="inlineStr">
        <is>
          <t>Cash on Delivery</t>
        </is>
      </c>
      <c r="Q1702" t="inlineStr">
        <is>
          <t>Delivered</t>
        </is>
      </c>
      <c r="R1702" t="n">
        <v>1</v>
      </c>
    </row>
    <row r="1703">
      <c r="A1703" t="inlineStr">
        <is>
          <t>ORD2702</t>
        </is>
      </c>
      <c r="B1703" t="inlineStr">
        <is>
          <t>2025-06-02</t>
        </is>
      </c>
      <c r="C1703" t="inlineStr">
        <is>
          <t>17:15:30</t>
        </is>
      </c>
      <c r="D1703" t="n">
        <v>1212</v>
      </c>
      <c r="E1703" t="n">
        <v>114</v>
      </c>
      <c r="F1703" t="n">
        <v>215</v>
      </c>
      <c r="G1703" t="inlineStr">
        <is>
          <t>Hyderabad</t>
        </is>
      </c>
      <c r="H1703" t="inlineStr">
        <is>
          <t>Biryani</t>
        </is>
      </c>
      <c r="I1703" t="n">
        <v>903</v>
      </c>
      <c r="J1703" t="n">
        <v>102.84</v>
      </c>
      <c r="K1703" t="n">
        <v>26</v>
      </c>
      <c r="L1703" t="n">
        <v>0.22</v>
      </c>
      <c r="M1703" t="n">
        <v>205.16</v>
      </c>
      <c r="N1703" t="n">
        <v>3.2</v>
      </c>
      <c r="O1703" t="n">
        <v>31.6</v>
      </c>
      <c r="P1703" t="inlineStr">
        <is>
          <t>Digital Wallet</t>
        </is>
      </c>
      <c r="Q1703" t="inlineStr">
        <is>
          <t>Delivered</t>
        </is>
      </c>
      <c r="R1703" t="n">
        <v>3</v>
      </c>
    </row>
    <row r="1704">
      <c r="A1704" t="inlineStr">
        <is>
          <t>ORD2703</t>
        </is>
      </c>
      <c r="B1704" t="inlineStr">
        <is>
          <t>2025-01-24</t>
        </is>
      </c>
      <c r="C1704" t="inlineStr">
        <is>
          <t>22:13:14</t>
        </is>
      </c>
      <c r="D1704" t="n">
        <v>1055</v>
      </c>
      <c r="E1704" t="n">
        <v>111</v>
      </c>
      <c r="F1704" t="n">
        <v>227</v>
      </c>
      <c r="G1704" t="inlineStr">
        <is>
          <t>Bangalore</t>
        </is>
      </c>
      <c r="H1704" t="inlineStr">
        <is>
          <t>South Indian</t>
        </is>
      </c>
      <c r="I1704" t="n">
        <v>880</v>
      </c>
      <c r="J1704" t="n">
        <v>0</v>
      </c>
      <c r="K1704" t="n">
        <v>32.5</v>
      </c>
      <c r="L1704" t="n">
        <v>0.15</v>
      </c>
      <c r="M1704" t="n">
        <v>140.12</v>
      </c>
      <c r="N1704" t="n">
        <v>4.5</v>
      </c>
      <c r="O1704" t="n">
        <v>33.2</v>
      </c>
      <c r="P1704" t="inlineStr">
        <is>
          <t>UPI</t>
        </is>
      </c>
      <c r="Q1704" t="inlineStr">
        <is>
          <t>Delivered</t>
        </is>
      </c>
      <c r="R1704" t="n">
        <v>3</v>
      </c>
    </row>
    <row r="1705">
      <c r="A1705" t="inlineStr">
        <is>
          <t>ORD2704</t>
        </is>
      </c>
      <c r="B1705" t="inlineStr">
        <is>
          <t>2025-08-20</t>
        </is>
      </c>
      <c r="C1705" t="inlineStr">
        <is>
          <t>16:44:44</t>
        </is>
      </c>
      <c r="D1705" t="n">
        <v>1030</v>
      </c>
      <c r="E1705" t="n">
        <v>102</v>
      </c>
      <c r="F1705" t="n">
        <v>225</v>
      </c>
      <c r="G1705" t="inlineStr">
        <is>
          <t>Hyderabad</t>
        </is>
      </c>
      <c r="H1705" t="inlineStr">
        <is>
          <t>Biryani</t>
        </is>
      </c>
      <c r="I1705" t="n">
        <v>238</v>
      </c>
      <c r="J1705" t="n">
        <v>0.9</v>
      </c>
      <c r="K1705" t="n">
        <v>25</v>
      </c>
      <c r="L1705" t="n">
        <v>0.22</v>
      </c>
      <c r="M1705" t="n">
        <v>58.61</v>
      </c>
      <c r="N1705" t="n">
        <v>2.9</v>
      </c>
      <c r="O1705" t="n">
        <v>26.3</v>
      </c>
      <c r="P1705" t="inlineStr">
        <is>
          <t>Digital Wallet</t>
        </is>
      </c>
      <c r="Q1705" t="inlineStr">
        <is>
          <t>Delivered</t>
        </is>
      </c>
      <c r="R1705" t="n">
        <v>4</v>
      </c>
    </row>
    <row r="1706">
      <c r="A1706" t="inlineStr">
        <is>
          <t>ORD2705</t>
        </is>
      </c>
      <c r="B1706" t="inlineStr">
        <is>
          <t>2025-10-21</t>
        </is>
      </c>
      <c r="C1706" t="inlineStr">
        <is>
          <t>13:11:59</t>
        </is>
      </c>
      <c r="D1706" t="n">
        <v>1110</v>
      </c>
      <c r="E1706" t="n">
        <v>117</v>
      </c>
      <c r="F1706" t="n">
        <v>202</v>
      </c>
      <c r="G1706" t="inlineStr">
        <is>
          <t>Mumbai</t>
        </is>
      </c>
      <c r="H1706" t="inlineStr">
        <is>
          <t>Chinese</t>
        </is>
      </c>
      <c r="I1706" t="n">
        <v>236</v>
      </c>
      <c r="J1706" t="n">
        <v>8.550000000000001</v>
      </c>
      <c r="K1706" t="n">
        <v>40.5</v>
      </c>
      <c r="L1706" t="n">
        <v>0.2</v>
      </c>
      <c r="M1706" t="n">
        <v>57.32</v>
      </c>
      <c r="N1706" t="n">
        <v>6.1</v>
      </c>
      <c r="O1706" t="n">
        <v>44.8</v>
      </c>
      <c r="P1706" t="inlineStr">
        <is>
          <t>Credit Card</t>
        </is>
      </c>
      <c r="Q1706" t="inlineStr">
        <is>
          <t>Delivered</t>
        </is>
      </c>
      <c r="R1706" t="n">
        <v>5</v>
      </c>
    </row>
    <row r="1707">
      <c r="A1707" t="inlineStr">
        <is>
          <t>ORD2706</t>
        </is>
      </c>
      <c r="B1707" t="inlineStr">
        <is>
          <t>2025-12-03</t>
        </is>
      </c>
      <c r="C1707" t="inlineStr">
        <is>
          <t>20:18:53</t>
        </is>
      </c>
      <c r="D1707" t="n">
        <v>1252</v>
      </c>
      <c r="E1707" t="n">
        <v>103</v>
      </c>
      <c r="F1707" t="n">
        <v>229</v>
      </c>
      <c r="G1707" t="inlineStr">
        <is>
          <t>Mumbai</t>
        </is>
      </c>
      <c r="H1707" t="inlineStr">
        <is>
          <t>Italian</t>
        </is>
      </c>
      <c r="I1707" t="n">
        <v>785</v>
      </c>
      <c r="J1707" t="n">
        <v>47.7</v>
      </c>
      <c r="K1707" t="n">
        <v>28</v>
      </c>
      <c r="L1707" t="n">
        <v>0.18</v>
      </c>
      <c r="M1707" t="n">
        <v>148.3</v>
      </c>
      <c r="N1707" t="n">
        <v>3.6</v>
      </c>
      <c r="O1707" t="n">
        <v>33.8</v>
      </c>
      <c r="P1707" t="inlineStr">
        <is>
          <t>Cash on Delivery</t>
        </is>
      </c>
      <c r="Q1707" t="inlineStr">
        <is>
          <t>Delivered</t>
        </is>
      </c>
      <c r="R1707" t="n">
        <v>4</v>
      </c>
    </row>
    <row r="1708">
      <c r="A1708" t="inlineStr">
        <is>
          <t>ORD2707</t>
        </is>
      </c>
      <c r="B1708" t="inlineStr">
        <is>
          <t>2025-03-16</t>
        </is>
      </c>
      <c r="C1708" t="inlineStr">
        <is>
          <t>15:34:50</t>
        </is>
      </c>
      <c r="D1708" t="n">
        <v>1103</v>
      </c>
      <c r="E1708" t="n">
        <v>104</v>
      </c>
      <c r="F1708" t="n">
        <v>219</v>
      </c>
      <c r="G1708" t="inlineStr">
        <is>
          <t>Delhi NCR</t>
        </is>
      </c>
      <c r="H1708" t="inlineStr">
        <is>
          <t>Fast Food</t>
        </is>
      </c>
      <c r="I1708" t="n">
        <v>594</v>
      </c>
      <c r="J1708" t="n">
        <v>30.26</v>
      </c>
      <c r="K1708" t="n">
        <v>25</v>
      </c>
      <c r="L1708" t="n">
        <v>0.18</v>
      </c>
      <c r="M1708" t="n">
        <v>113.17</v>
      </c>
      <c r="N1708" t="n">
        <v>2.4</v>
      </c>
      <c r="O1708" t="n">
        <v>24.8</v>
      </c>
      <c r="P1708" t="inlineStr">
        <is>
          <t>Credit Card</t>
        </is>
      </c>
      <c r="Q1708" t="inlineStr">
        <is>
          <t>Delivered</t>
        </is>
      </c>
      <c r="R1708" t="n">
        <v>5</v>
      </c>
    </row>
    <row r="1709">
      <c r="A1709" t="inlineStr">
        <is>
          <t>ORD2708</t>
        </is>
      </c>
      <c r="B1709" t="inlineStr">
        <is>
          <t>2025-01-11</t>
        </is>
      </c>
      <c r="C1709" t="inlineStr">
        <is>
          <t>18:49:32</t>
        </is>
      </c>
      <c r="D1709" t="n">
        <v>1148</v>
      </c>
      <c r="E1709" t="n">
        <v>111</v>
      </c>
      <c r="F1709" t="n">
        <v>213</v>
      </c>
      <c r="G1709" t="inlineStr">
        <is>
          <t>Bangalore</t>
        </is>
      </c>
      <c r="H1709" t="inlineStr">
        <is>
          <t>South Indian</t>
        </is>
      </c>
      <c r="I1709" t="n">
        <v>537</v>
      </c>
      <c r="J1709" t="n">
        <v>34.04</v>
      </c>
      <c r="K1709" t="n">
        <v>29</v>
      </c>
      <c r="L1709" t="n">
        <v>0.15</v>
      </c>
      <c r="M1709" t="n">
        <v>87.8</v>
      </c>
      <c r="N1709" t="n">
        <v>3.8</v>
      </c>
      <c r="O1709" t="n">
        <v>33.8</v>
      </c>
      <c r="P1709" t="inlineStr">
        <is>
          <t>Credit Card</t>
        </is>
      </c>
      <c r="Q1709" t="inlineStr">
        <is>
          <t>Delivered</t>
        </is>
      </c>
      <c r="R1709" t="n">
        <v>5</v>
      </c>
    </row>
    <row r="1710">
      <c r="A1710" t="inlineStr">
        <is>
          <t>ORD2709</t>
        </is>
      </c>
      <c r="B1710" t="inlineStr">
        <is>
          <t>2025-04-05</t>
        </is>
      </c>
      <c r="C1710" t="inlineStr">
        <is>
          <t>10:53:49</t>
        </is>
      </c>
      <c r="D1710" t="n">
        <v>1104</v>
      </c>
      <c r="E1710" t="n">
        <v>113</v>
      </c>
      <c r="F1710" t="n">
        <v>202</v>
      </c>
      <c r="G1710" t="inlineStr">
        <is>
          <t>Mumbai</t>
        </is>
      </c>
      <c r="H1710" t="inlineStr">
        <is>
          <t>Fast Food</t>
        </is>
      </c>
      <c r="I1710" t="n">
        <v>448</v>
      </c>
      <c r="J1710" t="n">
        <v>0</v>
      </c>
      <c r="K1710" t="n">
        <v>25</v>
      </c>
      <c r="L1710" t="n">
        <v>0.18</v>
      </c>
      <c r="M1710" t="n">
        <v>86.89</v>
      </c>
      <c r="N1710" t="n">
        <v>2.2</v>
      </c>
      <c r="O1710" t="n">
        <v>22.1</v>
      </c>
      <c r="P1710" t="inlineStr">
        <is>
          <t>Cash on Delivery</t>
        </is>
      </c>
      <c r="Q1710" t="inlineStr">
        <is>
          <t>Delivered</t>
        </is>
      </c>
      <c r="R1710" t="n">
        <v>4</v>
      </c>
    </row>
    <row r="1711">
      <c r="A1711" t="inlineStr">
        <is>
          <t>ORD2710</t>
        </is>
      </c>
      <c r="B1711" t="inlineStr">
        <is>
          <t>2025-11-15</t>
        </is>
      </c>
      <c r="C1711" t="inlineStr">
        <is>
          <t>13:44:01</t>
        </is>
      </c>
      <c r="D1711" t="n">
        <v>1019</v>
      </c>
      <c r="E1711" t="n">
        <v>116</v>
      </c>
      <c r="F1711" t="n">
        <v>226</v>
      </c>
      <c r="G1711" t="inlineStr">
        <is>
          <t>Pune</t>
        </is>
      </c>
      <c r="H1711" t="inlineStr">
        <is>
          <t>Desserts</t>
        </is>
      </c>
      <c r="I1711" t="n">
        <v>791</v>
      </c>
      <c r="J1711" t="n">
        <v>0</v>
      </c>
      <c r="K1711" t="n">
        <v>40.5</v>
      </c>
      <c r="L1711" t="n">
        <v>0.25</v>
      </c>
      <c r="M1711" t="n">
        <v>207.88</v>
      </c>
      <c r="N1711" t="n">
        <v>6.1</v>
      </c>
      <c r="O1711" t="n">
        <v>39.1</v>
      </c>
      <c r="P1711" t="inlineStr">
        <is>
          <t>UPI</t>
        </is>
      </c>
      <c r="Q1711" t="inlineStr">
        <is>
          <t>Delivered</t>
        </is>
      </c>
      <c r="R1711" t="n">
        <v>4</v>
      </c>
    </row>
    <row r="1712">
      <c r="A1712" t="inlineStr">
        <is>
          <t>ORD2711</t>
        </is>
      </c>
      <c r="B1712" t="inlineStr">
        <is>
          <t>2025-11-25</t>
        </is>
      </c>
      <c r="C1712" t="inlineStr">
        <is>
          <t>13:28:11</t>
        </is>
      </c>
      <c r="D1712" t="n">
        <v>1032</v>
      </c>
      <c r="E1712" t="n">
        <v>104</v>
      </c>
      <c r="F1712" t="n">
        <v>228</v>
      </c>
      <c r="G1712" t="inlineStr">
        <is>
          <t>Delhi NCR</t>
        </is>
      </c>
      <c r="H1712" t="inlineStr">
        <is>
          <t>Fast Food</t>
        </is>
      </c>
      <c r="I1712" t="n">
        <v>441</v>
      </c>
      <c r="J1712" t="n">
        <v>0</v>
      </c>
      <c r="K1712" t="n">
        <v>29.5</v>
      </c>
      <c r="L1712" t="n">
        <v>0.18</v>
      </c>
      <c r="M1712" t="n">
        <v>86.76000000000001</v>
      </c>
      <c r="N1712" t="n">
        <v>3.9</v>
      </c>
      <c r="O1712" t="n">
        <v>36.5</v>
      </c>
      <c r="P1712" t="inlineStr">
        <is>
          <t>Credit Card</t>
        </is>
      </c>
      <c r="Q1712" t="inlineStr">
        <is>
          <t>Delivered</t>
        </is>
      </c>
      <c r="R1712" t="n">
        <v>5</v>
      </c>
    </row>
    <row r="1713">
      <c r="A1713" t="inlineStr">
        <is>
          <t>ORD2712</t>
        </is>
      </c>
      <c r="B1713" t="inlineStr">
        <is>
          <t>2025-11-29</t>
        </is>
      </c>
      <c r="C1713" t="inlineStr">
        <is>
          <t>11:15:57</t>
        </is>
      </c>
      <c r="D1713" t="n">
        <v>1236</v>
      </c>
      <c r="E1713" t="n">
        <v>104</v>
      </c>
      <c r="F1713" t="n">
        <v>221</v>
      </c>
      <c r="G1713" t="inlineStr">
        <is>
          <t>Delhi NCR</t>
        </is>
      </c>
      <c r="H1713" t="inlineStr">
        <is>
          <t>Fast Food</t>
        </is>
      </c>
      <c r="I1713" t="n">
        <v>752</v>
      </c>
      <c r="J1713" t="n">
        <v>44.89</v>
      </c>
      <c r="K1713" t="n">
        <v>28.5</v>
      </c>
      <c r="L1713" t="n">
        <v>0.18</v>
      </c>
      <c r="M1713" t="n">
        <v>142.48</v>
      </c>
      <c r="N1713" t="n">
        <v>3.7</v>
      </c>
      <c r="O1713" t="n">
        <v>31.8</v>
      </c>
      <c r="P1713" t="inlineStr">
        <is>
          <t>UPI</t>
        </is>
      </c>
      <c r="Q1713" t="inlineStr">
        <is>
          <t>Delivered</t>
        </is>
      </c>
      <c r="R1713" t="n">
        <v>4</v>
      </c>
    </row>
    <row r="1714">
      <c r="A1714" t="inlineStr">
        <is>
          <t>ORD2713</t>
        </is>
      </c>
      <c r="B1714" t="inlineStr">
        <is>
          <t>2025-07-28</t>
        </is>
      </c>
      <c r="C1714" t="inlineStr">
        <is>
          <t>10:56:42</t>
        </is>
      </c>
      <c r="D1714" t="n">
        <v>1032</v>
      </c>
      <c r="E1714" t="n">
        <v>112</v>
      </c>
      <c r="F1714" t="n">
        <v>212</v>
      </c>
      <c r="G1714" t="inlineStr">
        <is>
          <t>Delhi NCR</t>
        </is>
      </c>
      <c r="H1714" t="inlineStr">
        <is>
          <t>North Indian</t>
        </is>
      </c>
      <c r="I1714" t="n">
        <v>340</v>
      </c>
      <c r="J1714" t="n">
        <v>24.54</v>
      </c>
      <c r="K1714" t="n">
        <v>25</v>
      </c>
      <c r="L1714" t="n">
        <v>0.22</v>
      </c>
      <c r="M1714" t="n">
        <v>81.05</v>
      </c>
      <c r="N1714" t="n">
        <v>2.2</v>
      </c>
      <c r="O1714" t="n">
        <v>26.2</v>
      </c>
      <c r="P1714" t="inlineStr">
        <is>
          <t>Cash on Delivery</t>
        </is>
      </c>
      <c r="Q1714" t="inlineStr">
        <is>
          <t>Delivered</t>
        </is>
      </c>
      <c r="R1714" t="n">
        <v>4</v>
      </c>
    </row>
    <row r="1715">
      <c r="A1715" t="inlineStr">
        <is>
          <t>ORD2714</t>
        </is>
      </c>
      <c r="B1715" t="inlineStr">
        <is>
          <t>2025-07-27</t>
        </is>
      </c>
      <c r="C1715" t="inlineStr">
        <is>
          <t>20:37:48</t>
        </is>
      </c>
      <c r="D1715" t="n">
        <v>1032</v>
      </c>
      <c r="E1715" t="n">
        <v>112</v>
      </c>
      <c r="F1715" t="n">
        <v>212</v>
      </c>
      <c r="G1715" t="inlineStr">
        <is>
          <t>Delhi NCR</t>
        </is>
      </c>
      <c r="H1715" t="inlineStr">
        <is>
          <t>North Indian</t>
        </is>
      </c>
      <c r="I1715" t="n">
        <v>587</v>
      </c>
      <c r="J1715" t="n">
        <v>6.88</v>
      </c>
      <c r="K1715" t="n">
        <v>30</v>
      </c>
      <c r="L1715" t="n">
        <v>0.22</v>
      </c>
      <c r="M1715" t="n">
        <v>136.64</v>
      </c>
      <c r="N1715" t="n">
        <v>4</v>
      </c>
      <c r="O1715" t="n">
        <v>34.2</v>
      </c>
      <c r="P1715" t="inlineStr">
        <is>
          <t>UPI</t>
        </is>
      </c>
      <c r="Q1715" t="inlineStr">
        <is>
          <t>Delivered</t>
        </is>
      </c>
      <c r="R1715" t="n">
        <v>4</v>
      </c>
    </row>
    <row r="1716">
      <c r="A1716" t="inlineStr">
        <is>
          <t>ORD2715</t>
        </is>
      </c>
      <c r="B1716" t="inlineStr">
        <is>
          <t>2025-07-28</t>
        </is>
      </c>
      <c r="C1716" t="inlineStr">
        <is>
          <t>21:40:04</t>
        </is>
      </c>
      <c r="D1716" t="n">
        <v>1224</v>
      </c>
      <c r="E1716" t="n">
        <v>108</v>
      </c>
      <c r="F1716" t="n">
        <v>228</v>
      </c>
      <c r="G1716" t="inlineStr">
        <is>
          <t>Delhi NCR</t>
        </is>
      </c>
      <c r="H1716" t="inlineStr">
        <is>
          <t>Fast Food</t>
        </is>
      </c>
      <c r="I1716" t="n">
        <v>441</v>
      </c>
      <c r="J1716" t="n">
        <v>0</v>
      </c>
      <c r="K1716" t="n">
        <v>35</v>
      </c>
      <c r="L1716" t="n">
        <v>0.18</v>
      </c>
      <c r="M1716" t="n">
        <v>88.13</v>
      </c>
      <c r="N1716" t="n">
        <v>5</v>
      </c>
      <c r="O1716" t="n">
        <v>39.4</v>
      </c>
      <c r="P1716" t="inlineStr">
        <is>
          <t>Cash on Delivery</t>
        </is>
      </c>
      <c r="Q1716" t="inlineStr">
        <is>
          <t>Delivered</t>
        </is>
      </c>
      <c r="R1716" t="n">
        <v>5</v>
      </c>
    </row>
    <row r="1717">
      <c r="A1717" t="inlineStr">
        <is>
          <t>ORD2716</t>
        </is>
      </c>
      <c r="B1717" t="inlineStr">
        <is>
          <t>2025-04-08</t>
        </is>
      </c>
      <c r="C1717" t="inlineStr">
        <is>
          <t>12:51:33</t>
        </is>
      </c>
      <c r="D1717" t="n">
        <v>1167</v>
      </c>
      <c r="E1717" t="n">
        <v>112</v>
      </c>
      <c r="F1717" t="n">
        <v>230</v>
      </c>
      <c r="G1717" t="inlineStr">
        <is>
          <t>Delhi NCR</t>
        </is>
      </c>
      <c r="H1717" t="inlineStr">
        <is>
          <t>North Indian</t>
        </is>
      </c>
      <c r="I1717" t="n">
        <v>541</v>
      </c>
      <c r="J1717" t="n">
        <v>42.43</v>
      </c>
      <c r="K1717" t="n">
        <v>25</v>
      </c>
      <c r="L1717" t="n">
        <v>0.22</v>
      </c>
      <c r="M1717" t="n">
        <v>125.27</v>
      </c>
      <c r="N1717" t="n">
        <v>2.6</v>
      </c>
      <c r="O1717" t="n">
        <v>29.4</v>
      </c>
      <c r="P1717" t="inlineStr">
        <is>
          <t>Debit Card</t>
        </is>
      </c>
      <c r="Q1717" t="inlineStr">
        <is>
          <t>Delivered</t>
        </is>
      </c>
      <c r="R1717" t="n">
        <v>5</v>
      </c>
    </row>
    <row r="1718">
      <c r="A1718" t="inlineStr">
        <is>
          <t>ORD2717</t>
        </is>
      </c>
      <c r="B1718" t="inlineStr">
        <is>
          <t>2025-07-24</t>
        </is>
      </c>
      <c r="C1718" t="inlineStr">
        <is>
          <t>17:34:09</t>
        </is>
      </c>
      <c r="D1718" t="n">
        <v>1002</v>
      </c>
      <c r="E1718" t="n">
        <v>118</v>
      </c>
      <c r="F1718" t="n">
        <v>212</v>
      </c>
      <c r="G1718" t="inlineStr">
        <is>
          <t>Delhi NCR</t>
        </is>
      </c>
      <c r="H1718" t="inlineStr">
        <is>
          <t>North Indian</t>
        </is>
      </c>
      <c r="I1718" t="n">
        <v>716</v>
      </c>
      <c r="J1718" t="n">
        <v>128.61</v>
      </c>
      <c r="K1718" t="n">
        <v>0</v>
      </c>
      <c r="L1718" t="n">
        <v>0.2</v>
      </c>
      <c r="M1718" t="n">
        <v>143.2</v>
      </c>
      <c r="N1718" t="n">
        <v>7.4</v>
      </c>
      <c r="O1718" t="n">
        <v>37.1</v>
      </c>
      <c r="P1718" t="inlineStr">
        <is>
          <t>Digital Wallet</t>
        </is>
      </c>
      <c r="Q1718" t="inlineStr">
        <is>
          <t>Delivered</t>
        </is>
      </c>
      <c r="R1718" t="n">
        <v>5</v>
      </c>
    </row>
    <row r="1719">
      <c r="A1719" t="inlineStr">
        <is>
          <t>ORD2718</t>
        </is>
      </c>
      <c r="B1719" t="inlineStr">
        <is>
          <t>2025-03-26</t>
        </is>
      </c>
      <c r="C1719" t="inlineStr">
        <is>
          <t>19:30:48</t>
        </is>
      </c>
      <c r="D1719" t="n">
        <v>1056</v>
      </c>
      <c r="E1719" t="n">
        <v>109</v>
      </c>
      <c r="F1719" t="n">
        <v>215</v>
      </c>
      <c r="G1719" t="inlineStr">
        <is>
          <t>Hyderabad</t>
        </is>
      </c>
      <c r="H1719" t="inlineStr">
        <is>
          <t>Biryani</t>
        </is>
      </c>
      <c r="I1719" t="n">
        <v>549</v>
      </c>
      <c r="J1719" t="n">
        <v>55.26</v>
      </c>
      <c r="K1719" t="n">
        <v>0</v>
      </c>
      <c r="L1719" t="n">
        <v>0.2</v>
      </c>
      <c r="M1719" t="n">
        <v>109.8</v>
      </c>
      <c r="N1719" t="n">
        <v>3.4</v>
      </c>
      <c r="O1719" t="n">
        <v>34.8</v>
      </c>
      <c r="P1719" t="inlineStr">
        <is>
          <t>Cash on Delivery</t>
        </is>
      </c>
      <c r="Q1719" t="inlineStr">
        <is>
          <t>Delivered</t>
        </is>
      </c>
      <c r="R1719" t="n">
        <v>5</v>
      </c>
    </row>
    <row r="1720">
      <c r="A1720" t="inlineStr">
        <is>
          <t>ORD2719</t>
        </is>
      </c>
      <c r="B1720" t="inlineStr">
        <is>
          <t>2025-01-29</t>
        </is>
      </c>
      <c r="C1720" t="inlineStr">
        <is>
          <t>11:07:53</t>
        </is>
      </c>
      <c r="D1720" t="n">
        <v>1224</v>
      </c>
      <c r="E1720" t="n">
        <v>108</v>
      </c>
      <c r="F1720" t="n">
        <v>228</v>
      </c>
      <c r="G1720" t="inlineStr">
        <is>
          <t>Delhi NCR</t>
        </is>
      </c>
      <c r="H1720" t="inlineStr">
        <is>
          <t>Fast Food</t>
        </is>
      </c>
      <c r="I1720" t="n">
        <v>616</v>
      </c>
      <c r="J1720" t="n">
        <v>3.7</v>
      </c>
      <c r="K1720" t="n">
        <v>25</v>
      </c>
      <c r="L1720" t="n">
        <v>0.18</v>
      </c>
      <c r="M1720" t="n">
        <v>117.13</v>
      </c>
      <c r="N1720" t="n">
        <v>1.8</v>
      </c>
      <c r="O1720" t="n">
        <v>31.9</v>
      </c>
      <c r="P1720" t="inlineStr">
        <is>
          <t>Digital Wallet</t>
        </is>
      </c>
      <c r="Q1720" t="inlineStr">
        <is>
          <t>Delivered</t>
        </is>
      </c>
      <c r="R1720" t="n">
        <v>5</v>
      </c>
    </row>
    <row r="1721">
      <c r="A1721" t="inlineStr">
        <is>
          <t>ORD2720</t>
        </is>
      </c>
      <c r="B1721" t="inlineStr">
        <is>
          <t>2025-02-03</t>
        </is>
      </c>
      <c r="C1721" t="inlineStr">
        <is>
          <t>13:24:33</t>
        </is>
      </c>
      <c r="D1721" t="n">
        <v>1152</v>
      </c>
      <c r="E1721" t="n">
        <v>102</v>
      </c>
      <c r="F1721" t="n">
        <v>225</v>
      </c>
      <c r="G1721" t="inlineStr">
        <is>
          <t>Hyderabad</t>
        </is>
      </c>
      <c r="H1721" t="inlineStr">
        <is>
          <t>Biryani</t>
        </is>
      </c>
      <c r="I1721" t="n">
        <v>277</v>
      </c>
      <c r="J1721" t="n">
        <v>6.19</v>
      </c>
      <c r="K1721" t="n">
        <v>26</v>
      </c>
      <c r="L1721" t="n">
        <v>0.22</v>
      </c>
      <c r="M1721" t="n">
        <v>67.44</v>
      </c>
      <c r="N1721" t="n">
        <v>3.2</v>
      </c>
      <c r="O1721" t="n">
        <v>28.4</v>
      </c>
      <c r="P1721" t="inlineStr">
        <is>
          <t>Digital Wallet</t>
        </is>
      </c>
      <c r="Q1721" t="inlineStr">
        <is>
          <t>Delivered</t>
        </is>
      </c>
      <c r="R1721" t="n">
        <v>5</v>
      </c>
    </row>
    <row r="1722">
      <c r="A1722" t="inlineStr">
        <is>
          <t>ORD2721</t>
        </is>
      </c>
      <c r="B1722" t="inlineStr">
        <is>
          <t>2025-01-28</t>
        </is>
      </c>
      <c r="C1722" t="inlineStr">
        <is>
          <t>17:29:26</t>
        </is>
      </c>
      <c r="D1722" t="n">
        <v>1056</v>
      </c>
      <c r="E1722" t="n">
        <v>119</v>
      </c>
      <c r="F1722" t="n">
        <v>216</v>
      </c>
      <c r="G1722" t="inlineStr">
        <is>
          <t>Hyderabad</t>
        </is>
      </c>
      <c r="H1722" t="inlineStr">
        <is>
          <t>Biryani</t>
        </is>
      </c>
      <c r="I1722" t="n">
        <v>721</v>
      </c>
      <c r="J1722" t="n">
        <v>117.49</v>
      </c>
      <c r="K1722" t="n">
        <v>0</v>
      </c>
      <c r="L1722" t="n">
        <v>0.2</v>
      </c>
      <c r="M1722" t="n">
        <v>144.2</v>
      </c>
      <c r="N1722" t="n">
        <v>4.5</v>
      </c>
      <c r="O1722" t="n">
        <v>27.2</v>
      </c>
      <c r="P1722" t="inlineStr">
        <is>
          <t>Digital Wallet</t>
        </is>
      </c>
      <c r="Q1722" t="inlineStr">
        <is>
          <t>Delivered</t>
        </is>
      </c>
      <c r="R1722" t="n">
        <v>5</v>
      </c>
    </row>
    <row r="1723">
      <c r="A1723" t="inlineStr">
        <is>
          <t>ORD2722</t>
        </is>
      </c>
      <c r="B1723" t="inlineStr">
        <is>
          <t>2025-01-26</t>
        </is>
      </c>
      <c r="C1723" t="inlineStr">
        <is>
          <t>12:46:23</t>
        </is>
      </c>
      <c r="D1723" t="n">
        <v>1089</v>
      </c>
      <c r="E1723" t="n">
        <v>111</v>
      </c>
      <c r="F1723" t="n">
        <v>205</v>
      </c>
      <c r="G1723" t="inlineStr">
        <is>
          <t>Bangalore</t>
        </is>
      </c>
      <c r="H1723" t="inlineStr">
        <is>
          <t>South Indian</t>
        </is>
      </c>
      <c r="I1723" t="n">
        <v>708</v>
      </c>
      <c r="J1723" t="n">
        <v>90.61</v>
      </c>
      <c r="K1723" t="n">
        <v>0</v>
      </c>
      <c r="L1723" t="n">
        <v>0.15</v>
      </c>
      <c r="M1723" t="n">
        <v>106.2</v>
      </c>
      <c r="N1723" t="n">
        <v>4.6</v>
      </c>
      <c r="O1723" t="n">
        <v>33.8</v>
      </c>
      <c r="P1723" t="inlineStr">
        <is>
          <t>Cash on Delivery</t>
        </is>
      </c>
      <c r="Q1723" t="inlineStr">
        <is>
          <t>Delivered</t>
        </is>
      </c>
      <c r="R1723" t="n">
        <v>4</v>
      </c>
    </row>
    <row r="1724">
      <c r="A1724" t="inlineStr">
        <is>
          <t>ORD2723</t>
        </is>
      </c>
      <c r="B1724" t="inlineStr">
        <is>
          <t>2025-07-20</t>
        </is>
      </c>
      <c r="C1724" t="inlineStr">
        <is>
          <t>10:10:03</t>
        </is>
      </c>
      <c r="D1724" t="n">
        <v>1282</v>
      </c>
      <c r="E1724" t="n">
        <v>118</v>
      </c>
      <c r="F1724" t="n">
        <v>230</v>
      </c>
      <c r="G1724" t="inlineStr">
        <is>
          <t>Delhi NCR</t>
        </is>
      </c>
      <c r="H1724" t="inlineStr">
        <is>
          <t>North Indian</t>
        </is>
      </c>
      <c r="I1724" t="n">
        <v>679</v>
      </c>
      <c r="J1724" t="n">
        <v>39.44</v>
      </c>
      <c r="K1724" t="n">
        <v>25</v>
      </c>
      <c r="L1724" t="n">
        <v>0.2</v>
      </c>
      <c r="M1724" t="n">
        <v>142.05</v>
      </c>
      <c r="N1724" t="n">
        <v>2.9</v>
      </c>
      <c r="O1724" t="n">
        <v>32.6</v>
      </c>
      <c r="P1724" t="inlineStr">
        <is>
          <t>Cash on Delivery</t>
        </is>
      </c>
      <c r="Q1724" t="inlineStr">
        <is>
          <t>Delivered</t>
        </is>
      </c>
      <c r="R1724" t="n">
        <v>4</v>
      </c>
    </row>
    <row r="1725">
      <c r="A1725" t="inlineStr">
        <is>
          <t>ORD2724</t>
        </is>
      </c>
      <c r="B1725" t="inlineStr">
        <is>
          <t>2025-01-10</t>
        </is>
      </c>
      <c r="C1725" t="inlineStr">
        <is>
          <t>16:35:51</t>
        </is>
      </c>
      <c r="D1725" t="n">
        <v>1201</v>
      </c>
      <c r="E1725" t="n">
        <v>101</v>
      </c>
      <c r="F1725" t="n">
        <v>218</v>
      </c>
      <c r="G1725" t="inlineStr">
        <is>
          <t>Bangalore</t>
        </is>
      </c>
      <c r="H1725" t="inlineStr">
        <is>
          <t>North Indian</t>
        </is>
      </c>
      <c r="I1725" t="n">
        <v>314</v>
      </c>
      <c r="J1725" t="n">
        <v>32.09</v>
      </c>
      <c r="K1725" t="n">
        <v>30.5</v>
      </c>
      <c r="L1725" t="n">
        <v>0.2</v>
      </c>
      <c r="M1725" t="n">
        <v>70.43000000000001</v>
      </c>
      <c r="N1725" t="n">
        <v>4.1</v>
      </c>
      <c r="O1725" t="n">
        <v>32.3</v>
      </c>
      <c r="P1725" t="inlineStr">
        <is>
          <t>Cash on Delivery</t>
        </is>
      </c>
      <c r="Q1725" t="inlineStr">
        <is>
          <t>Delivered</t>
        </is>
      </c>
      <c r="R1725" t="n">
        <v>4</v>
      </c>
    </row>
    <row r="1726">
      <c r="A1726" t="inlineStr">
        <is>
          <t>ORD2725</t>
        </is>
      </c>
      <c r="B1726" t="inlineStr">
        <is>
          <t>2025-10-17</t>
        </is>
      </c>
      <c r="C1726" t="inlineStr">
        <is>
          <t>20:44:59</t>
        </is>
      </c>
      <c r="D1726" t="n">
        <v>1139</v>
      </c>
      <c r="E1726" t="n">
        <v>112</v>
      </c>
      <c r="F1726" t="n">
        <v>221</v>
      </c>
      <c r="G1726" t="inlineStr">
        <is>
          <t>Delhi NCR</t>
        </is>
      </c>
      <c r="H1726" t="inlineStr">
        <is>
          <t>North Indian</t>
        </is>
      </c>
      <c r="I1726" t="n">
        <v>836</v>
      </c>
      <c r="J1726" t="n">
        <v>0</v>
      </c>
      <c r="K1726" t="n">
        <v>25</v>
      </c>
      <c r="L1726" t="n">
        <v>0.22</v>
      </c>
      <c r="M1726" t="n">
        <v>190.17</v>
      </c>
      <c r="N1726" t="n">
        <v>2.6</v>
      </c>
      <c r="O1726" t="n">
        <v>30.3</v>
      </c>
      <c r="P1726" t="inlineStr">
        <is>
          <t>UPI</t>
        </is>
      </c>
      <c r="Q1726" t="inlineStr">
        <is>
          <t>Delivered</t>
        </is>
      </c>
      <c r="R1726" t="n">
        <v>2</v>
      </c>
    </row>
    <row r="1727">
      <c r="A1727" t="inlineStr">
        <is>
          <t>ORD2726</t>
        </is>
      </c>
      <c r="B1727" t="inlineStr">
        <is>
          <t>2025-04-10</t>
        </is>
      </c>
      <c r="C1727" t="inlineStr">
        <is>
          <t>12:12:12</t>
        </is>
      </c>
      <c r="D1727" t="n">
        <v>1191</v>
      </c>
      <c r="E1727" t="n">
        <v>104</v>
      </c>
      <c r="F1727" t="n">
        <v>219</v>
      </c>
      <c r="G1727" t="inlineStr">
        <is>
          <t>Delhi NCR</t>
        </is>
      </c>
      <c r="H1727" t="inlineStr">
        <is>
          <t>Fast Food</t>
        </is>
      </c>
      <c r="I1727" t="n">
        <v>684</v>
      </c>
      <c r="J1727" t="n">
        <v>0</v>
      </c>
      <c r="K1727" t="n">
        <v>25</v>
      </c>
      <c r="L1727" t="n">
        <v>0.18</v>
      </c>
      <c r="M1727" t="n">
        <v>129.37</v>
      </c>
      <c r="N1727" t="n">
        <v>2.7</v>
      </c>
      <c r="O1727" t="n">
        <v>35.4</v>
      </c>
      <c r="P1727" t="inlineStr">
        <is>
          <t>Debit Card</t>
        </is>
      </c>
      <c r="Q1727" t="inlineStr">
        <is>
          <t>Delivered</t>
        </is>
      </c>
      <c r="R1727" t="n">
        <v>4</v>
      </c>
    </row>
    <row r="1728">
      <c r="A1728" t="inlineStr">
        <is>
          <t>ORD2727</t>
        </is>
      </c>
      <c r="B1728" t="inlineStr">
        <is>
          <t>2025-06-26</t>
        </is>
      </c>
      <c r="C1728" t="inlineStr">
        <is>
          <t>21:58:25</t>
        </is>
      </c>
      <c r="D1728" t="n">
        <v>1257</v>
      </c>
      <c r="E1728" t="n">
        <v>110</v>
      </c>
      <c r="F1728" t="n">
        <v>204</v>
      </c>
      <c r="G1728" t="inlineStr">
        <is>
          <t>Pune</t>
        </is>
      </c>
      <c r="H1728" t="inlineStr">
        <is>
          <t>North Indian</t>
        </is>
      </c>
      <c r="I1728" t="n">
        <v>550</v>
      </c>
      <c r="J1728" t="n">
        <v>84.95999999999999</v>
      </c>
      <c r="K1728" t="n">
        <v>0</v>
      </c>
      <c r="L1728" t="n">
        <v>0.18</v>
      </c>
      <c r="M1728" t="n">
        <v>99</v>
      </c>
      <c r="N1728" t="n">
        <v>3.6</v>
      </c>
      <c r="O1728" t="n">
        <v>31.5</v>
      </c>
      <c r="P1728" t="inlineStr">
        <is>
          <t>UPI</t>
        </is>
      </c>
      <c r="Q1728" t="inlineStr">
        <is>
          <t>Delivered</t>
        </is>
      </c>
      <c r="R1728" t="n">
        <v>4</v>
      </c>
    </row>
    <row r="1729">
      <c r="A1729" t="inlineStr">
        <is>
          <t>ORD2728</t>
        </is>
      </c>
      <c r="B1729" t="inlineStr">
        <is>
          <t>2025-12-14</t>
        </is>
      </c>
      <c r="C1729" t="inlineStr">
        <is>
          <t>13:06:05</t>
        </is>
      </c>
      <c r="D1729" t="n">
        <v>1296</v>
      </c>
      <c r="E1729" t="n">
        <v>112</v>
      </c>
      <c r="F1729" t="n">
        <v>211</v>
      </c>
      <c r="G1729" t="inlineStr">
        <is>
          <t>Delhi NCR</t>
        </is>
      </c>
      <c r="H1729" t="inlineStr">
        <is>
          <t>North Indian</t>
        </is>
      </c>
      <c r="I1729" t="n">
        <v>837</v>
      </c>
      <c r="J1729" t="n">
        <v>0</v>
      </c>
      <c r="K1729" t="n">
        <v>36</v>
      </c>
      <c r="L1729" t="n">
        <v>0.22</v>
      </c>
      <c r="M1729" t="n">
        <v>193.14</v>
      </c>
      <c r="N1729" t="n">
        <v>5.2</v>
      </c>
      <c r="O1729" t="n">
        <v>41.1</v>
      </c>
      <c r="P1729" t="inlineStr">
        <is>
          <t>Credit Card</t>
        </is>
      </c>
      <c r="Q1729" t="inlineStr">
        <is>
          <t>Delivered</t>
        </is>
      </c>
      <c r="R1729" t="n">
        <v>3</v>
      </c>
    </row>
    <row r="1730">
      <c r="A1730" t="inlineStr">
        <is>
          <t>ORD2729</t>
        </is>
      </c>
      <c r="B1730" t="inlineStr">
        <is>
          <t>2025-03-09</t>
        </is>
      </c>
      <c r="C1730" t="inlineStr">
        <is>
          <t>14:29:31</t>
        </is>
      </c>
      <c r="D1730" t="n">
        <v>1086</v>
      </c>
      <c r="E1730" t="n">
        <v>112</v>
      </c>
      <c r="F1730" t="n">
        <v>211</v>
      </c>
      <c r="G1730" t="inlineStr">
        <is>
          <t>Delhi NCR</t>
        </is>
      </c>
      <c r="H1730" t="inlineStr">
        <is>
          <t>North Indian</t>
        </is>
      </c>
      <c r="I1730" t="n">
        <v>779</v>
      </c>
      <c r="J1730" t="n">
        <v>21.5</v>
      </c>
      <c r="K1730" t="n">
        <v>25</v>
      </c>
      <c r="L1730" t="n">
        <v>0.22</v>
      </c>
      <c r="M1730" t="n">
        <v>177.63</v>
      </c>
      <c r="N1730" t="n">
        <v>2.3</v>
      </c>
      <c r="O1730" t="n">
        <v/>
      </c>
      <c r="P1730" t="inlineStr">
        <is>
          <t>Credit Card</t>
        </is>
      </c>
      <c r="Q1730" t="inlineStr">
        <is>
          <t>Cancelled</t>
        </is>
      </c>
      <c r="R1730" t="n">
        <v/>
      </c>
    </row>
    <row r="1731">
      <c r="A1731" t="inlineStr">
        <is>
          <t>ORD2730</t>
        </is>
      </c>
      <c r="B1731" t="inlineStr">
        <is>
          <t>2025-06-07</t>
        </is>
      </c>
      <c r="C1731" t="inlineStr">
        <is>
          <t>13:16:37</t>
        </is>
      </c>
      <c r="D1731" t="n">
        <v>1152</v>
      </c>
      <c r="E1731" t="n">
        <v>114</v>
      </c>
      <c r="F1731" t="n">
        <v>215</v>
      </c>
      <c r="G1731" t="inlineStr">
        <is>
          <t>Hyderabad</t>
        </is>
      </c>
      <c r="H1731" t="inlineStr">
        <is>
          <t>Biryani</t>
        </is>
      </c>
      <c r="I1731" t="n">
        <v>270</v>
      </c>
      <c r="J1731" t="n">
        <v>3.64</v>
      </c>
      <c r="K1731" t="n">
        <v>38</v>
      </c>
      <c r="L1731" t="n">
        <v>0.22</v>
      </c>
      <c r="M1731" t="n">
        <v>68.90000000000001</v>
      </c>
      <c r="N1731" t="n">
        <v>5.6</v>
      </c>
      <c r="O1731" t="n">
        <v>48.1</v>
      </c>
      <c r="P1731" t="inlineStr">
        <is>
          <t>UPI</t>
        </is>
      </c>
      <c r="Q1731" t="inlineStr">
        <is>
          <t>Delivered</t>
        </is>
      </c>
      <c r="R1731" t="n">
        <v>2</v>
      </c>
    </row>
    <row r="1732">
      <c r="A1732" t="inlineStr">
        <is>
          <t>ORD2731</t>
        </is>
      </c>
      <c r="B1732" t="inlineStr">
        <is>
          <t>2025-05-31</t>
        </is>
      </c>
      <c r="C1732" t="inlineStr">
        <is>
          <t>16:32:02</t>
        </is>
      </c>
      <c r="D1732" t="n">
        <v>1121</v>
      </c>
      <c r="E1732" t="n">
        <v>101</v>
      </c>
      <c r="F1732" t="n">
        <v>203</v>
      </c>
      <c r="G1732" t="inlineStr">
        <is>
          <t>Bangalore</t>
        </is>
      </c>
      <c r="H1732" t="inlineStr">
        <is>
          <t>North Indian</t>
        </is>
      </c>
      <c r="I1732" t="n">
        <v>316</v>
      </c>
      <c r="J1732" t="n">
        <v>25.34</v>
      </c>
      <c r="K1732" t="n">
        <v>25</v>
      </c>
      <c r="L1732" t="n">
        <v>0.2</v>
      </c>
      <c r="M1732" t="n">
        <v>69.45</v>
      </c>
      <c r="N1732" t="n">
        <v>2.5</v>
      </c>
      <c r="O1732" t="n">
        <v>22.6</v>
      </c>
      <c r="P1732" t="inlineStr">
        <is>
          <t>UPI</t>
        </is>
      </c>
      <c r="Q1732" t="inlineStr">
        <is>
          <t>Delivered</t>
        </is>
      </c>
      <c r="R1732" t="n">
        <v>5</v>
      </c>
    </row>
    <row r="1733">
      <c r="A1733" t="inlineStr">
        <is>
          <t>ORD2732</t>
        </is>
      </c>
      <c r="B1733" t="inlineStr">
        <is>
          <t>2025-04-15</t>
        </is>
      </c>
      <c r="C1733" t="inlineStr">
        <is>
          <t>18:43:16</t>
        </is>
      </c>
      <c r="D1733" t="n">
        <v>1108</v>
      </c>
      <c r="E1733" t="n">
        <v>120</v>
      </c>
      <c r="F1733" t="n">
        <v>209</v>
      </c>
      <c r="G1733" t="inlineStr">
        <is>
          <t>Pune</t>
        </is>
      </c>
      <c r="H1733" t="inlineStr">
        <is>
          <t>Fast Food</t>
        </is>
      </c>
      <c r="I1733" t="n">
        <v>324</v>
      </c>
      <c r="J1733" t="n">
        <v>25.23</v>
      </c>
      <c r="K1733" t="n">
        <v>26.5</v>
      </c>
      <c r="L1733" t="n">
        <v>0.18</v>
      </c>
      <c r="M1733" t="n">
        <v>64.94</v>
      </c>
      <c r="N1733" t="n">
        <v>3.3</v>
      </c>
      <c r="O1733" t="n">
        <v>27.1</v>
      </c>
      <c r="P1733" t="inlineStr">
        <is>
          <t>Credit Card</t>
        </is>
      </c>
      <c r="Q1733" t="inlineStr">
        <is>
          <t>Delivered</t>
        </is>
      </c>
      <c r="R1733" t="n">
        <v>2</v>
      </c>
    </row>
    <row r="1734">
      <c r="A1734" t="inlineStr">
        <is>
          <t>ORD2733</t>
        </is>
      </c>
      <c r="B1734" t="inlineStr">
        <is>
          <t>2025-04-06</t>
        </is>
      </c>
      <c r="C1734" t="inlineStr">
        <is>
          <t>06:04:00</t>
        </is>
      </c>
      <c r="D1734" t="n">
        <v>1057</v>
      </c>
      <c r="E1734" t="n">
        <v>107</v>
      </c>
      <c r="F1734" t="n">
        <v>229</v>
      </c>
      <c r="G1734" t="inlineStr">
        <is>
          <t>Mumbai</t>
        </is>
      </c>
      <c r="H1734" t="inlineStr">
        <is>
          <t>Desserts</t>
        </is>
      </c>
      <c r="I1734" t="n">
        <v>385</v>
      </c>
      <c r="J1734" t="n">
        <v>27.05</v>
      </c>
      <c r="K1734" t="n">
        <v>25</v>
      </c>
      <c r="L1734" t="n">
        <v>0.25</v>
      </c>
      <c r="M1734" t="n">
        <v>102.5</v>
      </c>
      <c r="N1734" t="n">
        <v>2.4</v>
      </c>
      <c r="O1734" t="n">
        <v>28.1</v>
      </c>
      <c r="P1734" t="inlineStr">
        <is>
          <t>Digital Wallet</t>
        </is>
      </c>
      <c r="Q1734" t="inlineStr">
        <is>
          <t>Delivered</t>
        </is>
      </c>
      <c r="R1734" t="n">
        <v>5</v>
      </c>
    </row>
    <row r="1735">
      <c r="A1735" t="inlineStr">
        <is>
          <t>ORD2734</t>
        </is>
      </c>
      <c r="B1735" t="inlineStr">
        <is>
          <t>2025-05-14</t>
        </is>
      </c>
      <c r="C1735" t="inlineStr">
        <is>
          <t>16:33:59</t>
        </is>
      </c>
      <c r="D1735" t="n">
        <v>1041</v>
      </c>
      <c r="E1735" t="n">
        <v>102</v>
      </c>
      <c r="F1735" t="n">
        <v>225</v>
      </c>
      <c r="G1735" t="inlineStr">
        <is>
          <t>Hyderabad</t>
        </is>
      </c>
      <c r="H1735" t="inlineStr">
        <is>
          <t>Biryani</t>
        </is>
      </c>
      <c r="I1735" t="n">
        <v>649</v>
      </c>
      <c r="J1735" t="n">
        <v>0</v>
      </c>
      <c r="K1735" t="n">
        <v>48.5</v>
      </c>
      <c r="L1735" t="n">
        <v>0.22</v>
      </c>
      <c r="M1735" t="n">
        <v>154.9</v>
      </c>
      <c r="N1735" t="n">
        <v>7.7</v>
      </c>
      <c r="O1735" t="n">
        <v>39.8</v>
      </c>
      <c r="P1735" t="inlineStr">
        <is>
          <t>Cash on Delivery</t>
        </is>
      </c>
      <c r="Q1735" t="inlineStr">
        <is>
          <t>Delivered</t>
        </is>
      </c>
      <c r="R1735" t="n">
        <v>5</v>
      </c>
    </row>
    <row r="1736">
      <c r="A1736" t="inlineStr">
        <is>
          <t>ORD2735</t>
        </is>
      </c>
      <c r="B1736" t="inlineStr">
        <is>
          <t>2025-04-29</t>
        </is>
      </c>
      <c r="C1736" t="inlineStr">
        <is>
          <t>15:55:52</t>
        </is>
      </c>
      <c r="D1736" t="n">
        <v>1283</v>
      </c>
      <c r="E1736" t="n">
        <v>110</v>
      </c>
      <c r="F1736" t="n">
        <v>209</v>
      </c>
      <c r="G1736" t="inlineStr">
        <is>
          <t>Pune</t>
        </is>
      </c>
      <c r="H1736" t="inlineStr">
        <is>
          <t>North Indian</t>
        </is>
      </c>
      <c r="I1736" t="n">
        <v>772</v>
      </c>
      <c r="J1736" t="n">
        <v>0</v>
      </c>
      <c r="K1736" t="n">
        <v>25</v>
      </c>
      <c r="L1736" t="n">
        <v>0.18</v>
      </c>
      <c r="M1736" t="n">
        <v>145.21</v>
      </c>
      <c r="N1736" t="n">
        <v>2.4</v>
      </c>
      <c r="O1736" t="n">
        <v>20.4</v>
      </c>
      <c r="P1736" t="inlineStr">
        <is>
          <t>Digital Wallet</t>
        </is>
      </c>
      <c r="Q1736" t="inlineStr">
        <is>
          <t>Delivered</t>
        </is>
      </c>
      <c r="R1736" t="n">
        <v>4</v>
      </c>
    </row>
    <row r="1737">
      <c r="A1737" t="inlineStr">
        <is>
          <t>ORD2736</t>
        </is>
      </c>
      <c r="B1737" t="inlineStr">
        <is>
          <t>2025-07-29</t>
        </is>
      </c>
      <c r="C1737" t="inlineStr">
        <is>
          <t>18:01:21</t>
        </is>
      </c>
      <c r="D1737" t="n">
        <v>1185</v>
      </c>
      <c r="E1737" t="n">
        <v>116</v>
      </c>
      <c r="F1737" t="n">
        <v>226</v>
      </c>
      <c r="G1737" t="inlineStr">
        <is>
          <t>Pune</t>
        </is>
      </c>
      <c r="H1737" t="inlineStr">
        <is>
          <t>Desserts</t>
        </is>
      </c>
      <c r="I1737" t="n">
        <v>454</v>
      </c>
      <c r="J1737" t="n">
        <v>16.33</v>
      </c>
      <c r="K1737" t="n">
        <v>28.5</v>
      </c>
      <c r="L1737" t="n">
        <v>0.25</v>
      </c>
      <c r="M1737" t="n">
        <v>120.62</v>
      </c>
      <c r="N1737" t="n">
        <v>3.7</v>
      </c>
      <c r="O1737" t="n">
        <v>32.3</v>
      </c>
      <c r="P1737" t="inlineStr">
        <is>
          <t>Cash on Delivery</t>
        </is>
      </c>
      <c r="Q1737" t="inlineStr">
        <is>
          <t>Delivered</t>
        </is>
      </c>
      <c r="R1737" t="n">
        <v>5</v>
      </c>
    </row>
    <row r="1738">
      <c r="A1738" t="inlineStr">
        <is>
          <t>ORD2737</t>
        </is>
      </c>
      <c r="B1738" t="inlineStr">
        <is>
          <t>2025-08-21</t>
        </is>
      </c>
      <c r="C1738" t="inlineStr">
        <is>
          <t>13:30:44</t>
        </is>
      </c>
      <c r="D1738" t="n">
        <v>1121</v>
      </c>
      <c r="E1738" t="n">
        <v>115</v>
      </c>
      <c r="F1738" t="n">
        <v>203</v>
      </c>
      <c r="G1738" t="inlineStr">
        <is>
          <t>Bangalore</t>
        </is>
      </c>
      <c r="H1738" t="inlineStr">
        <is>
          <t>Italian</t>
        </is>
      </c>
      <c r="I1738" t="n">
        <v>282</v>
      </c>
      <c r="J1738" t="n">
        <v>22.05</v>
      </c>
      <c r="K1738" t="n">
        <v>37</v>
      </c>
      <c r="L1738" t="n">
        <v>0.2</v>
      </c>
      <c r="M1738" t="n">
        <v>65.65000000000001</v>
      </c>
      <c r="N1738" t="n">
        <v>5.4</v>
      </c>
      <c r="O1738" t="n">
        <v>42</v>
      </c>
      <c r="P1738" t="inlineStr">
        <is>
          <t>Credit Card</t>
        </is>
      </c>
      <c r="Q1738" t="inlineStr">
        <is>
          <t>Delivered</t>
        </is>
      </c>
      <c r="R1738" t="n">
        <v>3</v>
      </c>
    </row>
    <row r="1739">
      <c r="A1739" t="inlineStr">
        <is>
          <t>ORD2738</t>
        </is>
      </c>
      <c r="B1739" t="inlineStr">
        <is>
          <t>2025-07-06</t>
        </is>
      </c>
      <c r="C1739" t="inlineStr">
        <is>
          <t>21:48:00</t>
        </is>
      </c>
      <c r="D1739" t="n">
        <v>1257</v>
      </c>
      <c r="E1739" t="n">
        <v>116</v>
      </c>
      <c r="F1739" t="n">
        <v>208</v>
      </c>
      <c r="G1739" t="inlineStr">
        <is>
          <t>Pune</t>
        </is>
      </c>
      <c r="H1739" t="inlineStr">
        <is>
          <t>Desserts</t>
        </is>
      </c>
      <c r="I1739" t="n">
        <v>843</v>
      </c>
      <c r="J1739" t="n">
        <v>96.41</v>
      </c>
      <c r="K1739" t="n">
        <v>0</v>
      </c>
      <c r="L1739" t="n">
        <v>0.25</v>
      </c>
      <c r="M1739" t="n">
        <v>210.75</v>
      </c>
      <c r="N1739" t="n">
        <v>2.3</v>
      </c>
      <c r="O1739" t="n">
        <v>34.4</v>
      </c>
      <c r="P1739" t="inlineStr">
        <is>
          <t>Credit Card</t>
        </is>
      </c>
      <c r="Q1739" t="inlineStr">
        <is>
          <t>Delivered</t>
        </is>
      </c>
      <c r="R1739" t="n">
        <v>4</v>
      </c>
    </row>
    <row r="1740">
      <c r="A1740" t="inlineStr">
        <is>
          <t>ORD2739</t>
        </is>
      </c>
      <c r="B1740" t="inlineStr">
        <is>
          <t>2025-11-19</t>
        </is>
      </c>
      <c r="C1740" t="inlineStr">
        <is>
          <t>21:22:20</t>
        </is>
      </c>
      <c r="D1740" t="n">
        <v>1053</v>
      </c>
      <c r="E1740" t="n">
        <v>114</v>
      </c>
      <c r="F1740" t="n">
        <v>215</v>
      </c>
      <c r="G1740" t="inlineStr">
        <is>
          <t>Hyderabad</t>
        </is>
      </c>
      <c r="H1740" t="inlineStr">
        <is>
          <t>Biryani</t>
        </is>
      </c>
      <c r="I1740" t="n">
        <v>1050</v>
      </c>
      <c r="J1740" t="n">
        <v>114.05</v>
      </c>
      <c r="K1740" t="n">
        <v>0</v>
      </c>
      <c r="L1740" t="n">
        <v>0.22</v>
      </c>
      <c r="M1740" t="n">
        <v>231</v>
      </c>
      <c r="N1740" t="n">
        <v>3</v>
      </c>
      <c r="O1740" t="n">
        <v>34.5</v>
      </c>
      <c r="P1740" t="inlineStr">
        <is>
          <t>Debit Card</t>
        </is>
      </c>
      <c r="Q1740" t="inlineStr">
        <is>
          <t>Delivered</t>
        </is>
      </c>
      <c r="R1740" t="n">
        <v>5</v>
      </c>
    </row>
    <row r="1741">
      <c r="A1741" t="inlineStr">
        <is>
          <t>ORD2740</t>
        </is>
      </c>
      <c r="B1741" t="inlineStr">
        <is>
          <t>2025-10-04</t>
        </is>
      </c>
      <c r="C1741" t="inlineStr">
        <is>
          <t>20:28:59</t>
        </is>
      </c>
      <c r="D1741" t="n">
        <v>1215</v>
      </c>
      <c r="E1741" t="n">
        <v>120</v>
      </c>
      <c r="F1741" t="n">
        <v>217</v>
      </c>
      <c r="G1741" t="inlineStr">
        <is>
          <t>Pune</t>
        </is>
      </c>
      <c r="H1741" t="inlineStr">
        <is>
          <t>Fast Food</t>
        </is>
      </c>
      <c r="I1741" t="n">
        <v>327</v>
      </c>
      <c r="J1741" t="n">
        <v>32.07</v>
      </c>
      <c r="K1741" t="n">
        <v>71</v>
      </c>
      <c r="L1741" t="n">
        <v>0.18</v>
      </c>
      <c r="M1741" t="n">
        <v>76.61</v>
      </c>
      <c r="N1741" t="n">
        <v>12.2</v>
      </c>
      <c r="O1741" t="n">
        <v>62.4</v>
      </c>
      <c r="P1741" t="inlineStr">
        <is>
          <t>Credit Card</t>
        </is>
      </c>
      <c r="Q1741" t="inlineStr">
        <is>
          <t>Delivered</t>
        </is>
      </c>
      <c r="R1741" t="n">
        <v>2</v>
      </c>
    </row>
    <row r="1742">
      <c r="A1742" t="inlineStr">
        <is>
          <t>ORD2741</t>
        </is>
      </c>
      <c r="B1742" t="inlineStr">
        <is>
          <t>2025-10-20</t>
        </is>
      </c>
      <c r="C1742" t="inlineStr">
        <is>
          <t>14:08:20</t>
        </is>
      </c>
      <c r="D1742" t="n">
        <v>1080</v>
      </c>
      <c r="E1742" t="n">
        <v>106</v>
      </c>
      <c r="F1742" t="n">
        <v>217</v>
      </c>
      <c r="G1742" t="inlineStr">
        <is>
          <t>Pune</t>
        </is>
      </c>
      <c r="H1742" t="inlineStr">
        <is>
          <t>South Indian</t>
        </is>
      </c>
      <c r="I1742" t="n">
        <v>801</v>
      </c>
      <c r="J1742" t="n">
        <v>0</v>
      </c>
      <c r="K1742" t="n">
        <v>28</v>
      </c>
      <c r="L1742" t="n">
        <v>0.15</v>
      </c>
      <c r="M1742" t="n">
        <v>127.15</v>
      </c>
      <c r="N1742" t="n">
        <v>3.6</v>
      </c>
      <c r="O1742" t="n">
        <v>30.8</v>
      </c>
      <c r="P1742" t="inlineStr">
        <is>
          <t>Digital Wallet</t>
        </is>
      </c>
      <c r="Q1742" t="inlineStr">
        <is>
          <t>Delivered</t>
        </is>
      </c>
      <c r="R1742" t="n">
        <v>4</v>
      </c>
    </row>
    <row r="1743">
      <c r="A1743" t="inlineStr">
        <is>
          <t>ORD2742</t>
        </is>
      </c>
      <c r="B1743" t="inlineStr">
        <is>
          <t>2025-05-01</t>
        </is>
      </c>
      <c r="C1743" t="inlineStr">
        <is>
          <t>21:27:39</t>
        </is>
      </c>
      <c r="D1743" t="n">
        <v>1129</v>
      </c>
      <c r="E1743" t="n">
        <v>110</v>
      </c>
      <c r="F1743" t="n">
        <v>204</v>
      </c>
      <c r="G1743" t="inlineStr">
        <is>
          <t>Pune</t>
        </is>
      </c>
      <c r="H1743" t="inlineStr">
        <is>
          <t>North Indian</t>
        </is>
      </c>
      <c r="I1743" t="n">
        <v>843</v>
      </c>
      <c r="J1743" t="n">
        <v>52.83</v>
      </c>
      <c r="K1743" t="n">
        <v>25</v>
      </c>
      <c r="L1743" t="n">
        <v>0.18</v>
      </c>
      <c r="M1743" t="n">
        <v>157.99</v>
      </c>
      <c r="N1743" t="n">
        <v>3</v>
      </c>
      <c r="O1743" t="n">
        <v>34.1</v>
      </c>
      <c r="P1743" t="inlineStr">
        <is>
          <t>Credit Card</t>
        </is>
      </c>
      <c r="Q1743" t="inlineStr">
        <is>
          <t>Delivered</t>
        </is>
      </c>
      <c r="R1743" t="n">
        <v>4</v>
      </c>
    </row>
    <row r="1744">
      <c r="A1744" t="inlineStr">
        <is>
          <t>ORD2743</t>
        </is>
      </c>
      <c r="B1744" t="inlineStr">
        <is>
          <t>2025-06-19</t>
        </is>
      </c>
      <c r="C1744" t="inlineStr">
        <is>
          <t>19:51:02</t>
        </is>
      </c>
      <c r="D1744" t="n">
        <v>1088</v>
      </c>
      <c r="E1744" t="n">
        <v>110</v>
      </c>
      <c r="F1744" t="n">
        <v>226</v>
      </c>
      <c r="G1744" t="inlineStr">
        <is>
          <t>Pune</t>
        </is>
      </c>
      <c r="H1744" t="inlineStr">
        <is>
          <t>North Indian</t>
        </is>
      </c>
      <c r="I1744" t="n">
        <v>839</v>
      </c>
      <c r="J1744" t="n">
        <v>82.58</v>
      </c>
      <c r="K1744" t="n">
        <v>56.5</v>
      </c>
      <c r="L1744" t="n">
        <v>0.18</v>
      </c>
      <c r="M1744" t="n">
        <v>165.14</v>
      </c>
      <c r="N1744" t="n">
        <v>9.300000000000001</v>
      </c>
      <c r="O1744" t="n">
        <v/>
      </c>
      <c r="P1744" t="inlineStr">
        <is>
          <t>Digital Wallet</t>
        </is>
      </c>
      <c r="Q1744" t="inlineStr">
        <is>
          <t>Cancelled</t>
        </is>
      </c>
      <c r="R1744" t="n">
        <v/>
      </c>
    </row>
    <row r="1745">
      <c r="A1745" t="inlineStr">
        <is>
          <t>ORD2744</t>
        </is>
      </c>
      <c r="B1745" t="inlineStr">
        <is>
          <t>2025-11-28</t>
        </is>
      </c>
      <c r="C1745" t="inlineStr">
        <is>
          <t>07:08:19</t>
        </is>
      </c>
      <c r="D1745" t="n">
        <v>1078</v>
      </c>
      <c r="E1745" t="n">
        <v>104</v>
      </c>
      <c r="F1745" t="n">
        <v>228</v>
      </c>
      <c r="G1745" t="inlineStr">
        <is>
          <t>Delhi NCR</t>
        </is>
      </c>
      <c r="H1745" t="inlineStr">
        <is>
          <t>Fast Food</t>
        </is>
      </c>
      <c r="I1745" t="n">
        <v>840</v>
      </c>
      <c r="J1745" t="n">
        <v>0</v>
      </c>
      <c r="K1745" t="n">
        <v>26.5</v>
      </c>
      <c r="L1745" t="n">
        <v>0.18</v>
      </c>
      <c r="M1745" t="n">
        <v>157.82</v>
      </c>
      <c r="N1745" t="n">
        <v>3.3</v>
      </c>
      <c r="O1745" t="n">
        <v>30.4</v>
      </c>
      <c r="P1745" t="inlineStr">
        <is>
          <t>Digital Wallet</t>
        </is>
      </c>
      <c r="Q1745" t="inlineStr">
        <is>
          <t>Returned</t>
        </is>
      </c>
      <c r="R1745" t="n">
        <v>5</v>
      </c>
    </row>
    <row r="1746">
      <c r="A1746" t="inlineStr">
        <is>
          <t>ORD2745</t>
        </is>
      </c>
      <c r="B1746" t="inlineStr">
        <is>
          <t>2025-06-27</t>
        </is>
      </c>
      <c r="C1746" t="inlineStr">
        <is>
          <t>13:28:40</t>
        </is>
      </c>
      <c r="D1746" t="n">
        <v>1116</v>
      </c>
      <c r="E1746" t="n">
        <v>107</v>
      </c>
      <c r="F1746" t="n">
        <v>206</v>
      </c>
      <c r="G1746" t="inlineStr">
        <is>
          <t>Mumbai</t>
        </is>
      </c>
      <c r="H1746" t="inlineStr">
        <is>
          <t>Desserts</t>
        </is>
      </c>
      <c r="I1746" t="n">
        <v>1007</v>
      </c>
      <c r="J1746" t="n">
        <v>146.81</v>
      </c>
      <c r="K1746" t="n">
        <v>0</v>
      </c>
      <c r="L1746" t="n">
        <v>0.25</v>
      </c>
      <c r="M1746" t="n">
        <v>251.75</v>
      </c>
      <c r="N1746" t="n">
        <v>4.9</v>
      </c>
      <c r="O1746" t="n">
        <v>39</v>
      </c>
      <c r="P1746" t="inlineStr">
        <is>
          <t>UPI</t>
        </is>
      </c>
      <c r="Q1746" t="inlineStr">
        <is>
          <t>Delivered</t>
        </is>
      </c>
      <c r="R1746" t="n">
        <v>4</v>
      </c>
    </row>
    <row r="1747">
      <c r="A1747" t="inlineStr">
        <is>
          <t>ORD2746</t>
        </is>
      </c>
      <c r="B1747" t="inlineStr">
        <is>
          <t>2025-04-02</t>
        </is>
      </c>
      <c r="C1747" t="inlineStr">
        <is>
          <t>20:15:57</t>
        </is>
      </c>
      <c r="D1747" t="n">
        <v>1214</v>
      </c>
      <c r="E1747" t="n">
        <v>117</v>
      </c>
      <c r="F1747" t="n">
        <v>229</v>
      </c>
      <c r="G1747" t="inlineStr">
        <is>
          <t>Mumbai</t>
        </is>
      </c>
      <c r="H1747" t="inlineStr">
        <is>
          <t>Chinese</t>
        </is>
      </c>
      <c r="I1747" t="n">
        <v>777</v>
      </c>
      <c r="J1747" t="n">
        <v>0</v>
      </c>
      <c r="K1747" t="n">
        <v>25</v>
      </c>
      <c r="L1747" t="n">
        <v>0.2</v>
      </c>
      <c r="M1747" t="n">
        <v>161.65</v>
      </c>
      <c r="N1747" t="n">
        <v>2.8</v>
      </c>
      <c r="O1747" t="n">
        <v>29.1</v>
      </c>
      <c r="P1747" t="inlineStr">
        <is>
          <t>Credit Card</t>
        </is>
      </c>
      <c r="Q1747" t="inlineStr">
        <is>
          <t>Delivered</t>
        </is>
      </c>
      <c r="R1747" t="n">
        <v>5</v>
      </c>
    </row>
    <row r="1748">
      <c r="A1748" t="inlineStr">
        <is>
          <t>ORD2747</t>
        </is>
      </c>
      <c r="B1748" t="inlineStr">
        <is>
          <t>2025-05-21</t>
        </is>
      </c>
      <c r="C1748" t="inlineStr">
        <is>
          <t>07:24:49</t>
        </is>
      </c>
      <c r="D1748" t="n">
        <v>1030</v>
      </c>
      <c r="E1748" t="n">
        <v>119</v>
      </c>
      <c r="F1748" t="n">
        <v>215</v>
      </c>
      <c r="G1748" t="inlineStr">
        <is>
          <t>Hyderabad</t>
        </is>
      </c>
      <c r="H1748" t="inlineStr">
        <is>
          <t>Biryani</t>
        </is>
      </c>
      <c r="I1748" t="n">
        <v>299</v>
      </c>
      <c r="J1748" t="n">
        <v>1.52</v>
      </c>
      <c r="K1748" t="n">
        <v>25</v>
      </c>
      <c r="L1748" t="n">
        <v>0.2</v>
      </c>
      <c r="M1748" t="n">
        <v>66.05</v>
      </c>
      <c r="N1748" t="n">
        <v>2.5</v>
      </c>
      <c r="O1748" t="n">
        <v>27.4</v>
      </c>
      <c r="P1748" t="inlineStr">
        <is>
          <t>Cash on Delivery</t>
        </is>
      </c>
      <c r="Q1748" t="inlineStr">
        <is>
          <t>Delivered</t>
        </is>
      </c>
      <c r="R1748" t="n">
        <v>4</v>
      </c>
    </row>
    <row r="1749">
      <c r="A1749" t="inlineStr">
        <is>
          <t>ORD2748</t>
        </is>
      </c>
      <c r="B1749" t="inlineStr">
        <is>
          <t>2025-10-05</t>
        </is>
      </c>
      <c r="C1749" t="inlineStr">
        <is>
          <t>18:09:54</t>
        </is>
      </c>
      <c r="D1749" t="n">
        <v>1125</v>
      </c>
      <c r="E1749" t="n">
        <v>116</v>
      </c>
      <c r="F1749" t="n">
        <v>217</v>
      </c>
      <c r="G1749" t="inlineStr">
        <is>
          <t>Pune</t>
        </is>
      </c>
      <c r="H1749" t="inlineStr">
        <is>
          <t>Desserts</t>
        </is>
      </c>
      <c r="I1749" t="n">
        <v>858</v>
      </c>
      <c r="J1749" t="n">
        <v>29.96</v>
      </c>
      <c r="K1749" t="n">
        <v>30</v>
      </c>
      <c r="L1749" t="n">
        <v>0.25</v>
      </c>
      <c r="M1749" t="n">
        <v>222</v>
      </c>
      <c r="N1749" t="n">
        <v>4</v>
      </c>
      <c r="O1749" t="n">
        <v>31.4</v>
      </c>
      <c r="P1749" t="inlineStr">
        <is>
          <t>Credit Card</t>
        </is>
      </c>
      <c r="Q1749" t="inlineStr">
        <is>
          <t>Delivered</t>
        </is>
      </c>
      <c r="R1749" t="n">
        <v>5</v>
      </c>
    </row>
    <row r="1750">
      <c r="A1750" t="inlineStr">
        <is>
          <t>ORD2749</t>
        </is>
      </c>
      <c r="B1750" t="inlineStr">
        <is>
          <t>2025-09-22</t>
        </is>
      </c>
      <c r="C1750" t="inlineStr">
        <is>
          <t>16:36:12</t>
        </is>
      </c>
      <c r="D1750" t="n">
        <v>1058</v>
      </c>
      <c r="E1750" t="n">
        <v>113</v>
      </c>
      <c r="F1750" t="n">
        <v>222</v>
      </c>
      <c r="G1750" t="inlineStr">
        <is>
          <t>Mumbai</t>
        </is>
      </c>
      <c r="H1750" t="inlineStr">
        <is>
          <t>Fast Food</t>
        </is>
      </c>
      <c r="I1750" t="n">
        <v>725</v>
      </c>
      <c r="J1750" t="n">
        <v>2.21</v>
      </c>
      <c r="K1750" t="n">
        <v>25</v>
      </c>
      <c r="L1750" t="n">
        <v>0.18</v>
      </c>
      <c r="M1750" t="n">
        <v>136.75</v>
      </c>
      <c r="N1750" t="n">
        <v>1.9</v>
      </c>
      <c r="O1750" t="n">
        <v>28</v>
      </c>
      <c r="P1750" t="inlineStr">
        <is>
          <t>Debit Card</t>
        </is>
      </c>
      <c r="Q1750" t="inlineStr">
        <is>
          <t>Delivered</t>
        </is>
      </c>
      <c r="R1750" t="n">
        <v>5</v>
      </c>
    </row>
    <row r="1751">
      <c r="A1751" t="inlineStr">
        <is>
          <t>ORD2750</t>
        </is>
      </c>
      <c r="B1751" t="inlineStr">
        <is>
          <t>2025-12-16</t>
        </is>
      </c>
      <c r="C1751" t="inlineStr">
        <is>
          <t>21:40:50</t>
        </is>
      </c>
      <c r="D1751" t="n">
        <v>1142</v>
      </c>
      <c r="E1751" t="n">
        <v>114</v>
      </c>
      <c r="F1751" t="n">
        <v>225</v>
      </c>
      <c r="G1751" t="inlineStr">
        <is>
          <t>Hyderabad</t>
        </is>
      </c>
      <c r="H1751" t="inlineStr">
        <is>
          <t>Biryani</t>
        </is>
      </c>
      <c r="I1751" t="n">
        <v>463</v>
      </c>
      <c r="J1751" t="n">
        <v>0</v>
      </c>
      <c r="K1751" t="n">
        <v>30.5</v>
      </c>
      <c r="L1751" t="n">
        <v>0.22</v>
      </c>
      <c r="M1751" t="n">
        <v>109.48</v>
      </c>
      <c r="N1751" t="n">
        <v>4.1</v>
      </c>
      <c r="O1751" t="n">
        <v>36.9</v>
      </c>
      <c r="P1751" t="inlineStr">
        <is>
          <t>UPI</t>
        </is>
      </c>
      <c r="Q1751" t="inlineStr">
        <is>
          <t>Delivered</t>
        </is>
      </c>
      <c r="R1751" t="n">
        <v>3</v>
      </c>
    </row>
    <row r="1752">
      <c r="A1752" t="inlineStr">
        <is>
          <t>ORD2751</t>
        </is>
      </c>
      <c r="B1752" t="inlineStr">
        <is>
          <t>2025-11-14</t>
        </is>
      </c>
      <c r="C1752" t="inlineStr">
        <is>
          <t>17:21:43</t>
        </is>
      </c>
      <c r="D1752" t="n">
        <v>1194</v>
      </c>
      <c r="E1752" t="n">
        <v>105</v>
      </c>
      <c r="F1752" t="n">
        <v>201</v>
      </c>
      <c r="G1752" t="inlineStr">
        <is>
          <t>Bangalore</t>
        </is>
      </c>
      <c r="H1752" t="inlineStr">
        <is>
          <t>Chinese</t>
        </is>
      </c>
      <c r="I1752" t="n">
        <v>687</v>
      </c>
      <c r="J1752" t="n">
        <v>61.72</v>
      </c>
      <c r="K1752" t="n">
        <v>29</v>
      </c>
      <c r="L1752" t="n">
        <v>0.2</v>
      </c>
      <c r="M1752" t="n">
        <v>144.65</v>
      </c>
      <c r="N1752" t="n">
        <v>3.8</v>
      </c>
      <c r="O1752" t="n">
        <v>34.6</v>
      </c>
      <c r="P1752" t="inlineStr">
        <is>
          <t>UPI</t>
        </is>
      </c>
      <c r="Q1752" t="inlineStr">
        <is>
          <t>Delivered</t>
        </is>
      </c>
      <c r="R1752" t="n">
        <v>5</v>
      </c>
    </row>
    <row r="1753">
      <c r="A1753" t="inlineStr">
        <is>
          <t>ORD2752</t>
        </is>
      </c>
      <c r="B1753" t="inlineStr">
        <is>
          <t>2025-10-05</t>
        </is>
      </c>
      <c r="C1753" t="inlineStr">
        <is>
          <t>19:11:49</t>
        </is>
      </c>
      <c r="D1753" t="n">
        <v>1102</v>
      </c>
      <c r="E1753" t="n">
        <v>107</v>
      </c>
      <c r="F1753" t="n">
        <v>222</v>
      </c>
      <c r="G1753" t="inlineStr">
        <is>
          <t>Mumbai</t>
        </is>
      </c>
      <c r="H1753" t="inlineStr">
        <is>
          <t>Desserts</t>
        </is>
      </c>
      <c r="I1753" t="n">
        <v>570</v>
      </c>
      <c r="J1753" t="n">
        <v>62.51</v>
      </c>
      <c r="K1753" t="n">
        <v>29</v>
      </c>
      <c r="L1753" t="n">
        <v>0.25</v>
      </c>
      <c r="M1753" t="n">
        <v>149.75</v>
      </c>
      <c r="N1753" t="n">
        <v>3.8</v>
      </c>
      <c r="O1753" t="n">
        <v>30.8</v>
      </c>
      <c r="P1753" t="inlineStr">
        <is>
          <t>Credit Card</t>
        </is>
      </c>
      <c r="Q1753" t="inlineStr">
        <is>
          <t>Delivered</t>
        </is>
      </c>
      <c r="R1753" t="n">
        <v>3</v>
      </c>
    </row>
    <row r="1754">
      <c r="A1754" t="inlineStr">
        <is>
          <t>ORD2753</t>
        </is>
      </c>
      <c r="B1754" t="inlineStr">
        <is>
          <t>2025-04-11</t>
        </is>
      </c>
      <c r="C1754" t="inlineStr">
        <is>
          <t>08:08:22</t>
        </is>
      </c>
      <c r="D1754" t="n">
        <v>1171</v>
      </c>
      <c r="E1754" t="n">
        <v>114</v>
      </c>
      <c r="F1754" t="n">
        <v>225</v>
      </c>
      <c r="G1754" t="inlineStr">
        <is>
          <t>Hyderabad</t>
        </is>
      </c>
      <c r="H1754" t="inlineStr">
        <is>
          <t>Biryani</t>
        </is>
      </c>
      <c r="I1754" t="n">
        <v>846</v>
      </c>
      <c r="J1754" t="n">
        <v>59.72</v>
      </c>
      <c r="K1754" t="n">
        <v>42.5</v>
      </c>
      <c r="L1754" t="n">
        <v>0.22</v>
      </c>
      <c r="M1754" t="n">
        <v>196.74</v>
      </c>
      <c r="N1754" t="n">
        <v>6.5</v>
      </c>
      <c r="O1754" t="n">
        <v>37.4</v>
      </c>
      <c r="P1754" t="inlineStr">
        <is>
          <t>Credit Card</t>
        </is>
      </c>
      <c r="Q1754" t="inlineStr">
        <is>
          <t>Delivered</t>
        </is>
      </c>
      <c r="R1754" t="n">
        <v>5</v>
      </c>
    </row>
    <row r="1755">
      <c r="A1755" t="inlineStr">
        <is>
          <t>ORD2754</t>
        </is>
      </c>
      <c r="B1755" t="inlineStr">
        <is>
          <t>2025-04-10</t>
        </is>
      </c>
      <c r="C1755" t="inlineStr">
        <is>
          <t>12:34:57</t>
        </is>
      </c>
      <c r="D1755" t="n">
        <v>1219</v>
      </c>
      <c r="E1755" t="n">
        <v>118</v>
      </c>
      <c r="F1755" t="n">
        <v>212</v>
      </c>
      <c r="G1755" t="inlineStr">
        <is>
          <t>Delhi NCR</t>
        </is>
      </c>
      <c r="H1755" t="inlineStr">
        <is>
          <t>North Indian</t>
        </is>
      </c>
      <c r="I1755" t="n">
        <v>806</v>
      </c>
      <c r="J1755" t="n">
        <v>93.03</v>
      </c>
      <c r="K1755" t="n">
        <v>34</v>
      </c>
      <c r="L1755" t="n">
        <v>0.2</v>
      </c>
      <c r="M1755" t="n">
        <v>169.7</v>
      </c>
      <c r="N1755" t="n">
        <v>4.8</v>
      </c>
      <c r="O1755" t="n">
        <v>37.8</v>
      </c>
      <c r="P1755" t="inlineStr">
        <is>
          <t>Credit Card</t>
        </is>
      </c>
      <c r="Q1755" t="inlineStr">
        <is>
          <t>Delivered</t>
        </is>
      </c>
      <c r="R1755" t="n">
        <v>5</v>
      </c>
    </row>
    <row r="1756">
      <c r="A1756" t="inlineStr">
        <is>
          <t>ORD2755</t>
        </is>
      </c>
      <c r="B1756" t="inlineStr">
        <is>
          <t>2025-04-06</t>
        </is>
      </c>
      <c r="C1756" t="inlineStr">
        <is>
          <t>20:34:48</t>
        </is>
      </c>
      <c r="D1756" t="n">
        <v>1250</v>
      </c>
      <c r="E1756" t="n">
        <v>120</v>
      </c>
      <c r="F1756" t="n">
        <v>209</v>
      </c>
      <c r="G1756" t="inlineStr">
        <is>
          <t>Pune</t>
        </is>
      </c>
      <c r="H1756" t="inlineStr">
        <is>
          <t>Fast Food</t>
        </is>
      </c>
      <c r="I1756" t="n">
        <v>849</v>
      </c>
      <c r="J1756" t="n">
        <v>168.9</v>
      </c>
      <c r="K1756" t="n">
        <v>0</v>
      </c>
      <c r="L1756" t="n">
        <v>0.18</v>
      </c>
      <c r="M1756" t="n">
        <v>152.82</v>
      </c>
      <c r="N1756" t="n">
        <v>2.7</v>
      </c>
      <c r="O1756" t="n">
        <v>30.3</v>
      </c>
      <c r="P1756" t="inlineStr">
        <is>
          <t>Debit Card</t>
        </is>
      </c>
      <c r="Q1756" t="inlineStr">
        <is>
          <t>Delivered</t>
        </is>
      </c>
      <c r="R1756" t="n">
        <v>4</v>
      </c>
    </row>
    <row r="1757">
      <c r="A1757" t="inlineStr">
        <is>
          <t>ORD2756</t>
        </is>
      </c>
      <c r="B1757" t="inlineStr">
        <is>
          <t>2025-07-26</t>
        </is>
      </c>
      <c r="C1757" t="inlineStr">
        <is>
          <t>19:37:14</t>
        </is>
      </c>
      <c r="D1757" t="n">
        <v>1004</v>
      </c>
      <c r="E1757" t="n">
        <v>120</v>
      </c>
      <c r="F1757" t="n">
        <v>209</v>
      </c>
      <c r="G1757" t="inlineStr">
        <is>
          <t>Pune</t>
        </is>
      </c>
      <c r="H1757" t="inlineStr">
        <is>
          <t>Fast Food</t>
        </is>
      </c>
      <c r="I1757" t="n">
        <v>931</v>
      </c>
      <c r="J1757" t="n">
        <v>0</v>
      </c>
      <c r="K1757" t="n">
        <v>27</v>
      </c>
      <c r="L1757" t="n">
        <v>0.18</v>
      </c>
      <c r="M1757" t="n">
        <v>174.33</v>
      </c>
      <c r="N1757" t="n">
        <v>3.4</v>
      </c>
      <c r="O1757" t="n">
        <v>31</v>
      </c>
      <c r="P1757" t="inlineStr">
        <is>
          <t>Debit Card</t>
        </is>
      </c>
      <c r="Q1757" t="inlineStr">
        <is>
          <t>Delivered</t>
        </is>
      </c>
      <c r="R1757" t="n">
        <v>4</v>
      </c>
    </row>
    <row r="1758">
      <c r="A1758" t="inlineStr">
        <is>
          <t>ORD2757</t>
        </is>
      </c>
      <c r="B1758" t="inlineStr">
        <is>
          <t>2025-09-16</t>
        </is>
      </c>
      <c r="C1758" t="inlineStr">
        <is>
          <t>10:06:35</t>
        </is>
      </c>
      <c r="D1758" t="n">
        <v>1155</v>
      </c>
      <c r="E1758" t="n">
        <v>106</v>
      </c>
      <c r="F1758" t="n">
        <v>226</v>
      </c>
      <c r="G1758" t="inlineStr">
        <is>
          <t>Pune</t>
        </is>
      </c>
      <c r="H1758" t="inlineStr">
        <is>
          <t>South Indian</t>
        </is>
      </c>
      <c r="I1758" t="n">
        <v>1147</v>
      </c>
      <c r="J1758" t="n">
        <v>157.05</v>
      </c>
      <c r="K1758" t="n">
        <v>0</v>
      </c>
      <c r="L1758" t="n">
        <v>0.15</v>
      </c>
      <c r="M1758" t="n">
        <v>172.05</v>
      </c>
      <c r="N1758" t="n">
        <v>3.8</v>
      </c>
      <c r="O1758" t="n">
        <v>26.1</v>
      </c>
      <c r="P1758" t="inlineStr">
        <is>
          <t>Cash on Delivery</t>
        </is>
      </c>
      <c r="Q1758" t="inlineStr">
        <is>
          <t>Delivered</t>
        </is>
      </c>
      <c r="R1758" t="n">
        <v>2</v>
      </c>
    </row>
    <row r="1759">
      <c r="A1759" t="inlineStr">
        <is>
          <t>ORD2758</t>
        </is>
      </c>
      <c r="B1759" t="inlineStr">
        <is>
          <t>2025-01-09</t>
        </is>
      </c>
      <c r="C1759" t="inlineStr">
        <is>
          <t>13:39:20</t>
        </is>
      </c>
      <c r="D1759" t="n">
        <v>1229</v>
      </c>
      <c r="E1759" t="n">
        <v>117</v>
      </c>
      <c r="F1759" t="n">
        <v>206</v>
      </c>
      <c r="G1759" t="inlineStr">
        <is>
          <t>Mumbai</t>
        </is>
      </c>
      <c r="H1759" t="inlineStr">
        <is>
          <t>Chinese</t>
        </is>
      </c>
      <c r="I1759" t="n">
        <v>1016</v>
      </c>
      <c r="J1759" t="n">
        <v>170.7</v>
      </c>
      <c r="K1759" t="n">
        <v>0</v>
      </c>
      <c r="L1759" t="n">
        <v>0.2</v>
      </c>
      <c r="M1759" t="n">
        <v>203.2</v>
      </c>
      <c r="N1759" t="n">
        <v>5</v>
      </c>
      <c r="O1759" t="n">
        <v>45.8</v>
      </c>
      <c r="P1759" t="inlineStr">
        <is>
          <t>Credit Card</t>
        </is>
      </c>
      <c r="Q1759" t="inlineStr">
        <is>
          <t>Delivered</t>
        </is>
      </c>
      <c r="R1759" t="n">
        <v>1</v>
      </c>
    </row>
    <row r="1760">
      <c r="A1760" t="inlineStr">
        <is>
          <t>ORD2759</t>
        </is>
      </c>
      <c r="B1760" t="inlineStr">
        <is>
          <t>2025-06-06</t>
        </is>
      </c>
      <c r="C1760" t="inlineStr">
        <is>
          <t>21:40:39</t>
        </is>
      </c>
      <c r="D1760" t="n">
        <v>1254</v>
      </c>
      <c r="E1760" t="n">
        <v>119</v>
      </c>
      <c r="F1760" t="n">
        <v>225</v>
      </c>
      <c r="G1760" t="inlineStr">
        <is>
          <t>Hyderabad</t>
        </is>
      </c>
      <c r="H1760" t="inlineStr">
        <is>
          <t>Biryani</t>
        </is>
      </c>
      <c r="I1760" t="n">
        <v>342</v>
      </c>
      <c r="J1760" t="n">
        <v>24.46</v>
      </c>
      <c r="K1760" t="n">
        <v>25</v>
      </c>
      <c r="L1760" t="n">
        <v>0.2</v>
      </c>
      <c r="M1760" t="n">
        <v>74.65000000000001</v>
      </c>
      <c r="N1760" t="n">
        <v>1.9</v>
      </c>
      <c r="O1760" t="n">
        <v>29.2</v>
      </c>
      <c r="P1760" t="inlineStr">
        <is>
          <t>UPI</t>
        </is>
      </c>
      <c r="Q1760" t="inlineStr">
        <is>
          <t>Delivered</t>
        </is>
      </c>
      <c r="R1760" t="n">
        <v>3</v>
      </c>
    </row>
    <row r="1761">
      <c r="A1761" t="inlineStr">
        <is>
          <t>ORD2760</t>
        </is>
      </c>
      <c r="B1761" t="inlineStr">
        <is>
          <t>2025-11-03</t>
        </is>
      </c>
      <c r="C1761" t="inlineStr">
        <is>
          <t>06:30:10</t>
        </is>
      </c>
      <c r="D1761" t="n">
        <v>1241</v>
      </c>
      <c r="E1761" t="n">
        <v>109</v>
      </c>
      <c r="F1761" t="n">
        <v>216</v>
      </c>
      <c r="G1761" t="inlineStr">
        <is>
          <t>Hyderabad</t>
        </is>
      </c>
      <c r="H1761" t="inlineStr">
        <is>
          <t>Biryani</t>
        </is>
      </c>
      <c r="I1761" t="n">
        <v>418</v>
      </c>
      <c r="J1761" t="n">
        <v>63.6</v>
      </c>
      <c r="K1761" t="n">
        <v>41</v>
      </c>
      <c r="L1761" t="n">
        <v>0.2</v>
      </c>
      <c r="M1761" t="n">
        <v>93.84999999999999</v>
      </c>
      <c r="N1761" t="n">
        <v>6.2</v>
      </c>
      <c r="O1761" t="n">
        <v>36.7</v>
      </c>
      <c r="P1761" t="inlineStr">
        <is>
          <t>Digital Wallet</t>
        </is>
      </c>
      <c r="Q1761" t="inlineStr">
        <is>
          <t>Delivered</t>
        </is>
      </c>
      <c r="R1761" t="n">
        <v>4</v>
      </c>
    </row>
    <row r="1762">
      <c r="A1762" t="inlineStr">
        <is>
          <t>ORD2761</t>
        </is>
      </c>
      <c r="B1762" t="inlineStr">
        <is>
          <t>2025-01-20</t>
        </is>
      </c>
      <c r="C1762" t="inlineStr">
        <is>
          <t>12:05:53</t>
        </is>
      </c>
      <c r="D1762" t="n">
        <v>1066</v>
      </c>
      <c r="E1762" t="n">
        <v>106</v>
      </c>
      <c r="F1762" t="n">
        <v>204</v>
      </c>
      <c r="G1762" t="inlineStr">
        <is>
          <t>Pune</t>
        </is>
      </c>
      <c r="H1762" t="inlineStr">
        <is>
          <t>South Indian</t>
        </is>
      </c>
      <c r="I1762" t="n">
        <v>592</v>
      </c>
      <c r="J1762" t="n">
        <v>0</v>
      </c>
      <c r="K1762" t="n">
        <v>30</v>
      </c>
      <c r="L1762" t="n">
        <v>0.15</v>
      </c>
      <c r="M1762" t="n">
        <v>96.3</v>
      </c>
      <c r="N1762" t="n">
        <v>4</v>
      </c>
      <c r="O1762" t="n">
        <v>36.8</v>
      </c>
      <c r="P1762" t="inlineStr">
        <is>
          <t>Debit Card</t>
        </is>
      </c>
      <c r="Q1762" t="inlineStr">
        <is>
          <t>Delivered</t>
        </is>
      </c>
      <c r="R1762" t="n">
        <v>3</v>
      </c>
    </row>
    <row r="1763">
      <c r="A1763" t="inlineStr">
        <is>
          <t>ORD2762</t>
        </is>
      </c>
      <c r="B1763" t="inlineStr">
        <is>
          <t>2025-06-17</t>
        </is>
      </c>
      <c r="C1763" t="inlineStr">
        <is>
          <t>11:52:20</t>
        </is>
      </c>
      <c r="D1763" t="n">
        <v>1255</v>
      </c>
      <c r="E1763" t="n">
        <v>116</v>
      </c>
      <c r="F1763" t="n">
        <v>214</v>
      </c>
      <c r="G1763" t="inlineStr">
        <is>
          <t>Pune</t>
        </is>
      </c>
      <c r="H1763" t="inlineStr">
        <is>
          <t>Desserts</t>
        </is>
      </c>
      <c r="I1763" t="n">
        <v>427</v>
      </c>
      <c r="J1763" t="n">
        <v>0</v>
      </c>
      <c r="K1763" t="n">
        <v>25</v>
      </c>
      <c r="L1763" t="n">
        <v>0.25</v>
      </c>
      <c r="M1763" t="n">
        <v>113</v>
      </c>
      <c r="N1763" t="n">
        <v>2</v>
      </c>
      <c r="O1763" t="n">
        <v>27.1</v>
      </c>
      <c r="P1763" t="inlineStr">
        <is>
          <t>Debit Card</t>
        </is>
      </c>
      <c r="Q1763" t="inlineStr">
        <is>
          <t>Delivered</t>
        </is>
      </c>
      <c r="R1763" t="n">
        <v>3</v>
      </c>
    </row>
    <row r="1764">
      <c r="A1764" t="inlineStr">
        <is>
          <t>ORD2763</t>
        </is>
      </c>
      <c r="B1764" t="inlineStr">
        <is>
          <t>2025-09-26</t>
        </is>
      </c>
      <c r="C1764" t="inlineStr">
        <is>
          <t>22:06:15</t>
        </is>
      </c>
      <c r="D1764" t="n">
        <v>1149</v>
      </c>
      <c r="E1764" t="n">
        <v>106</v>
      </c>
      <c r="F1764" t="n">
        <v>208</v>
      </c>
      <c r="G1764" t="inlineStr">
        <is>
          <t>Pune</t>
        </is>
      </c>
      <c r="H1764" t="inlineStr">
        <is>
          <t>South Indian</t>
        </is>
      </c>
      <c r="I1764" t="n">
        <v>656</v>
      </c>
      <c r="J1764" t="n">
        <v>0</v>
      </c>
      <c r="K1764" t="n">
        <v>26.5</v>
      </c>
      <c r="L1764" t="n">
        <v>0.15</v>
      </c>
      <c r="M1764" t="n">
        <v>105.02</v>
      </c>
      <c r="N1764" t="n">
        <v>3.3</v>
      </c>
      <c r="O1764" t="n">
        <v>28.3</v>
      </c>
      <c r="P1764" t="inlineStr">
        <is>
          <t>UPI</t>
        </is>
      </c>
      <c r="Q1764" t="inlineStr">
        <is>
          <t>Delivered</t>
        </is>
      </c>
      <c r="R1764" t="n">
        <v>5</v>
      </c>
    </row>
    <row r="1765">
      <c r="A1765" t="inlineStr">
        <is>
          <t>ORD2764</t>
        </is>
      </c>
      <c r="B1765" t="inlineStr">
        <is>
          <t>2025-05-26</t>
        </is>
      </c>
      <c r="C1765" t="inlineStr">
        <is>
          <t>18:49:50</t>
        </is>
      </c>
      <c r="D1765" t="n">
        <v>1222</v>
      </c>
      <c r="E1765" t="n">
        <v>109</v>
      </c>
      <c r="F1765" t="n">
        <v>225</v>
      </c>
      <c r="G1765" t="inlineStr">
        <is>
          <t>Hyderabad</t>
        </is>
      </c>
      <c r="H1765" t="inlineStr">
        <is>
          <t>Biryani</t>
        </is>
      </c>
      <c r="I1765" t="n">
        <v>309</v>
      </c>
      <c r="J1765" t="n">
        <v>0</v>
      </c>
      <c r="K1765" t="n">
        <v>25</v>
      </c>
      <c r="L1765" t="n">
        <v>0.2</v>
      </c>
      <c r="M1765" t="n">
        <v>68.05</v>
      </c>
      <c r="N1765" t="n">
        <v>2.3</v>
      </c>
      <c r="O1765" t="n">
        <v>26.6</v>
      </c>
      <c r="P1765" t="inlineStr">
        <is>
          <t>Cash on Delivery</t>
        </is>
      </c>
      <c r="Q1765" t="inlineStr">
        <is>
          <t>Delivered</t>
        </is>
      </c>
      <c r="R1765" t="n">
        <v>1</v>
      </c>
    </row>
    <row r="1766">
      <c r="A1766" t="inlineStr">
        <is>
          <t>ORD2765</t>
        </is>
      </c>
      <c r="B1766" t="inlineStr">
        <is>
          <t>2025-10-15</t>
        </is>
      </c>
      <c r="C1766" t="inlineStr">
        <is>
          <t>11:03:38</t>
        </is>
      </c>
      <c r="D1766" t="n">
        <v>1009</v>
      </c>
      <c r="E1766" t="n">
        <v>119</v>
      </c>
      <c r="F1766" t="n">
        <v>225</v>
      </c>
      <c r="G1766" t="inlineStr">
        <is>
          <t>Hyderabad</t>
        </is>
      </c>
      <c r="H1766" t="inlineStr">
        <is>
          <t>Biryani</t>
        </is>
      </c>
      <c r="I1766" t="n">
        <v>354</v>
      </c>
      <c r="J1766" t="n">
        <v>36.48</v>
      </c>
      <c r="K1766" t="n">
        <v>39</v>
      </c>
      <c r="L1766" t="n">
        <v>0.2</v>
      </c>
      <c r="M1766" t="n">
        <v>80.55</v>
      </c>
      <c r="N1766" t="n">
        <v>5.8</v>
      </c>
      <c r="O1766" t="n">
        <v>29.7</v>
      </c>
      <c r="P1766" t="inlineStr">
        <is>
          <t>Debit Card</t>
        </is>
      </c>
      <c r="Q1766" t="inlineStr">
        <is>
          <t>Delivered</t>
        </is>
      </c>
      <c r="R1766" t="n">
        <v>4</v>
      </c>
    </row>
    <row r="1767">
      <c r="A1767" t="inlineStr">
        <is>
          <t>ORD2766</t>
        </is>
      </c>
      <c r="B1767" t="inlineStr">
        <is>
          <t>2025-09-21</t>
        </is>
      </c>
      <c r="C1767" t="inlineStr">
        <is>
          <t>08:33:35</t>
        </is>
      </c>
      <c r="D1767" t="n">
        <v>1134</v>
      </c>
      <c r="E1767" t="n">
        <v>119</v>
      </c>
      <c r="F1767" t="n">
        <v>215</v>
      </c>
      <c r="G1767" t="inlineStr">
        <is>
          <t>Hyderabad</t>
        </is>
      </c>
      <c r="H1767" t="inlineStr">
        <is>
          <t>Biryani</t>
        </is>
      </c>
      <c r="I1767" t="n">
        <v>576</v>
      </c>
      <c r="J1767" t="n">
        <v>0</v>
      </c>
      <c r="K1767" t="n">
        <v>30.5</v>
      </c>
      <c r="L1767" t="n">
        <v>0.2</v>
      </c>
      <c r="M1767" t="n">
        <v>122.82</v>
      </c>
      <c r="N1767" t="n">
        <v>4.1</v>
      </c>
      <c r="O1767" t="n">
        <v>33.1</v>
      </c>
      <c r="P1767" t="inlineStr">
        <is>
          <t>Debit Card</t>
        </is>
      </c>
      <c r="Q1767" t="inlineStr">
        <is>
          <t>Delivered</t>
        </is>
      </c>
      <c r="R1767" t="n">
        <v>5</v>
      </c>
    </row>
    <row r="1768">
      <c r="A1768" t="inlineStr">
        <is>
          <t>ORD2767</t>
        </is>
      </c>
      <c r="B1768" t="inlineStr">
        <is>
          <t>2025-06-16</t>
        </is>
      </c>
      <c r="C1768" t="inlineStr">
        <is>
          <t>09:55:49</t>
        </is>
      </c>
      <c r="D1768" t="n">
        <v>1119</v>
      </c>
      <c r="E1768" t="n">
        <v>108</v>
      </c>
      <c r="F1768" t="n">
        <v>212</v>
      </c>
      <c r="G1768" t="inlineStr">
        <is>
          <t>Delhi NCR</t>
        </is>
      </c>
      <c r="H1768" t="inlineStr">
        <is>
          <t>Fast Food</t>
        </is>
      </c>
      <c r="I1768" t="n">
        <v>1046</v>
      </c>
      <c r="J1768" t="n">
        <v>148.06</v>
      </c>
      <c r="K1768" t="n">
        <v>0</v>
      </c>
      <c r="L1768" t="n">
        <v>0.18</v>
      </c>
      <c r="M1768" t="n">
        <v>188.28</v>
      </c>
      <c r="N1768" t="n">
        <v>3.6</v>
      </c>
      <c r="O1768" t="n">
        <v>29.8</v>
      </c>
      <c r="P1768" t="inlineStr">
        <is>
          <t>Digital Wallet</t>
        </is>
      </c>
      <c r="Q1768" t="inlineStr">
        <is>
          <t>Delivered</t>
        </is>
      </c>
      <c r="R1768" t="n">
        <v>2</v>
      </c>
    </row>
    <row r="1769">
      <c r="A1769" t="inlineStr">
        <is>
          <t>ORD2768</t>
        </is>
      </c>
      <c r="B1769" t="inlineStr">
        <is>
          <t>2025-03-27</t>
        </is>
      </c>
      <c r="C1769" t="inlineStr">
        <is>
          <t>11:08:31</t>
        </is>
      </c>
      <c r="D1769" t="n">
        <v>1028</v>
      </c>
      <c r="E1769" t="n">
        <v>119</v>
      </c>
      <c r="F1769" t="n">
        <v>216</v>
      </c>
      <c r="G1769" t="inlineStr">
        <is>
          <t>Hyderabad</t>
        </is>
      </c>
      <c r="H1769" t="inlineStr">
        <is>
          <t>Biryani</t>
        </is>
      </c>
      <c r="I1769" t="n">
        <v>943</v>
      </c>
      <c r="J1769" t="n">
        <v>0</v>
      </c>
      <c r="K1769" t="n">
        <v>27</v>
      </c>
      <c r="L1769" t="n">
        <v>0.2</v>
      </c>
      <c r="M1769" t="n">
        <v>195.35</v>
      </c>
      <c r="N1769" t="n">
        <v>3.4</v>
      </c>
      <c r="O1769" t="n">
        <v>39</v>
      </c>
      <c r="P1769" t="inlineStr">
        <is>
          <t>Debit Card</t>
        </is>
      </c>
      <c r="Q1769" t="inlineStr">
        <is>
          <t>Delivered</t>
        </is>
      </c>
      <c r="R1769" t="n">
        <v>5</v>
      </c>
    </row>
    <row r="1770">
      <c r="A1770" t="inlineStr">
        <is>
          <t>ORD2769</t>
        </is>
      </c>
      <c r="B1770" t="inlineStr">
        <is>
          <t>2025-06-12</t>
        </is>
      </c>
      <c r="C1770" t="inlineStr">
        <is>
          <t>15:50:45</t>
        </is>
      </c>
      <c r="D1770" t="n">
        <v>1117</v>
      </c>
      <c r="E1770" t="n">
        <v>103</v>
      </c>
      <c r="F1770" t="n">
        <v>206</v>
      </c>
      <c r="G1770" t="inlineStr">
        <is>
          <t>Mumbai</t>
        </is>
      </c>
      <c r="H1770" t="inlineStr">
        <is>
          <t>Italian</t>
        </is>
      </c>
      <c r="I1770" t="n">
        <v>848</v>
      </c>
      <c r="J1770" t="n">
        <v>59.5</v>
      </c>
      <c r="K1770" t="n">
        <v>25</v>
      </c>
      <c r="L1770" t="n">
        <v>0.18</v>
      </c>
      <c r="M1770" t="n">
        <v>158.89</v>
      </c>
      <c r="N1770" t="n">
        <v>2.7</v>
      </c>
      <c r="O1770" t="n">
        <v>26.1</v>
      </c>
      <c r="P1770" t="inlineStr">
        <is>
          <t>Debit Card</t>
        </is>
      </c>
      <c r="Q1770" t="inlineStr">
        <is>
          <t>Delivered</t>
        </is>
      </c>
      <c r="R1770" t="n">
        <v>5</v>
      </c>
    </row>
    <row r="1771">
      <c r="A1771" t="inlineStr">
        <is>
          <t>ORD2770</t>
        </is>
      </c>
      <c r="B1771" t="inlineStr">
        <is>
          <t>2025-06-20</t>
        </is>
      </c>
      <c r="C1771" t="inlineStr">
        <is>
          <t>15:01:08</t>
        </is>
      </c>
      <c r="D1771" t="n">
        <v>1244</v>
      </c>
      <c r="E1771" t="n">
        <v>118</v>
      </c>
      <c r="F1771" t="n">
        <v>228</v>
      </c>
      <c r="G1771" t="inlineStr">
        <is>
          <t>Delhi NCR</t>
        </is>
      </c>
      <c r="H1771" t="inlineStr">
        <is>
          <t>North Indian</t>
        </is>
      </c>
      <c r="I1771" t="n">
        <v>226</v>
      </c>
      <c r="J1771" t="n">
        <v>0.78</v>
      </c>
      <c r="K1771" t="n">
        <v>34.5</v>
      </c>
      <c r="L1771" t="n">
        <v>0.2</v>
      </c>
      <c r="M1771" t="n">
        <v>53.82</v>
      </c>
      <c r="N1771" t="n">
        <v>4.9</v>
      </c>
      <c r="O1771" t="n">
        <v>36.8</v>
      </c>
      <c r="P1771" t="inlineStr">
        <is>
          <t>Debit Card</t>
        </is>
      </c>
      <c r="Q1771" t="inlineStr">
        <is>
          <t>Delivered</t>
        </is>
      </c>
      <c r="R1771" t="n">
        <v>2</v>
      </c>
    </row>
    <row r="1772">
      <c r="A1772" t="inlineStr">
        <is>
          <t>ORD2771</t>
        </is>
      </c>
      <c r="B1772" t="inlineStr">
        <is>
          <t>2025-05-02</t>
        </is>
      </c>
      <c r="C1772" t="inlineStr">
        <is>
          <t>22:08:41</t>
        </is>
      </c>
      <c r="D1772" t="n">
        <v>1256</v>
      </c>
      <c r="E1772" t="n">
        <v>105</v>
      </c>
      <c r="F1772" t="n">
        <v>210</v>
      </c>
      <c r="G1772" t="inlineStr">
        <is>
          <t>Bangalore</t>
        </is>
      </c>
      <c r="H1772" t="inlineStr">
        <is>
          <t>Chinese</t>
        </is>
      </c>
      <c r="I1772" t="n">
        <v>338</v>
      </c>
      <c r="J1772" t="n">
        <v>23.48</v>
      </c>
      <c r="K1772" t="n">
        <v>53</v>
      </c>
      <c r="L1772" t="n">
        <v>0.2</v>
      </c>
      <c r="M1772" t="n">
        <v>80.84999999999999</v>
      </c>
      <c r="N1772" t="n">
        <v>8.6</v>
      </c>
      <c r="O1772" t="n">
        <v>40.4</v>
      </c>
      <c r="P1772" t="inlineStr">
        <is>
          <t>UPI</t>
        </is>
      </c>
      <c r="Q1772" t="inlineStr">
        <is>
          <t>Delivered</t>
        </is>
      </c>
      <c r="R1772" t="n">
        <v>1</v>
      </c>
    </row>
    <row r="1773">
      <c r="A1773" t="inlineStr">
        <is>
          <t>ORD2772</t>
        </is>
      </c>
      <c r="B1773" t="inlineStr">
        <is>
          <t>2025-01-18</t>
        </is>
      </c>
      <c r="C1773" t="inlineStr">
        <is>
          <t>21:33:13</t>
        </is>
      </c>
      <c r="D1773" t="n">
        <v>1235</v>
      </c>
      <c r="E1773" t="n">
        <v>109</v>
      </c>
      <c r="F1773" t="n">
        <v>215</v>
      </c>
      <c r="G1773" t="inlineStr">
        <is>
          <t>Hyderabad</t>
        </is>
      </c>
      <c r="H1773" t="inlineStr">
        <is>
          <t>Biryani</t>
        </is>
      </c>
      <c r="I1773" t="n">
        <v>868</v>
      </c>
      <c r="J1773" t="n">
        <v>38.58</v>
      </c>
      <c r="K1773" t="n">
        <v>25</v>
      </c>
      <c r="L1773" t="n">
        <v>0.2</v>
      </c>
      <c r="M1773" t="n">
        <v>179.85</v>
      </c>
      <c r="N1773" t="n">
        <v>1.4</v>
      </c>
      <c r="O1773" t="n">
        <v>19.1</v>
      </c>
      <c r="P1773" t="inlineStr">
        <is>
          <t>UPI</t>
        </is>
      </c>
      <c r="Q1773" t="inlineStr">
        <is>
          <t>Delivered</t>
        </is>
      </c>
      <c r="R1773" t="n">
        <v>4</v>
      </c>
    </row>
    <row r="1774">
      <c r="A1774" t="inlineStr">
        <is>
          <t>ORD2773</t>
        </is>
      </c>
      <c r="B1774" t="inlineStr">
        <is>
          <t>2025-09-24</t>
        </is>
      </c>
      <c r="C1774" t="inlineStr">
        <is>
          <t>13:33:39</t>
        </is>
      </c>
      <c r="D1774" t="n">
        <v>1239</v>
      </c>
      <c r="E1774" t="n">
        <v>115</v>
      </c>
      <c r="F1774" t="n">
        <v>205</v>
      </c>
      <c r="G1774" t="inlineStr">
        <is>
          <t>Bangalore</t>
        </is>
      </c>
      <c r="H1774" t="inlineStr">
        <is>
          <t>Italian</t>
        </is>
      </c>
      <c r="I1774" t="n">
        <v>612</v>
      </c>
      <c r="J1774" t="n">
        <v>47.13</v>
      </c>
      <c r="K1774" t="n">
        <v>29.5</v>
      </c>
      <c r="L1774" t="n">
        <v>0.2</v>
      </c>
      <c r="M1774" t="n">
        <v>129.78</v>
      </c>
      <c r="N1774" t="n">
        <v>3.9</v>
      </c>
      <c r="O1774" t="n">
        <v>33.2</v>
      </c>
      <c r="P1774" t="inlineStr">
        <is>
          <t>Cash on Delivery</t>
        </is>
      </c>
      <c r="Q1774" t="inlineStr">
        <is>
          <t>Delivered</t>
        </is>
      </c>
      <c r="R1774" t="n">
        <v>5</v>
      </c>
    </row>
    <row r="1775">
      <c r="A1775" t="inlineStr">
        <is>
          <t>ORD2774</t>
        </is>
      </c>
      <c r="B1775" t="inlineStr">
        <is>
          <t>2025-12-20</t>
        </is>
      </c>
      <c r="C1775" t="inlineStr">
        <is>
          <t>20:59:14</t>
        </is>
      </c>
      <c r="D1775" t="n">
        <v>1268</v>
      </c>
      <c r="E1775" t="n">
        <v>117</v>
      </c>
      <c r="F1775" t="n">
        <v>206</v>
      </c>
      <c r="G1775" t="inlineStr">
        <is>
          <t>Mumbai</t>
        </is>
      </c>
      <c r="H1775" t="inlineStr">
        <is>
          <t>Chinese</t>
        </is>
      </c>
      <c r="I1775" t="n">
        <v>653</v>
      </c>
      <c r="J1775" t="n">
        <v>53.17</v>
      </c>
      <c r="K1775" t="n">
        <v>30</v>
      </c>
      <c r="L1775" t="n">
        <v>0.2</v>
      </c>
      <c r="M1775" t="n">
        <v>138.1</v>
      </c>
      <c r="N1775" t="n">
        <v>4</v>
      </c>
      <c r="O1775" t="n">
        <v>33.6</v>
      </c>
      <c r="P1775" t="inlineStr">
        <is>
          <t>Cash on Delivery</t>
        </is>
      </c>
      <c r="Q1775" t="inlineStr">
        <is>
          <t>Delivered</t>
        </is>
      </c>
      <c r="R1775" t="n">
        <v>5</v>
      </c>
    </row>
    <row r="1776">
      <c r="A1776" t="inlineStr">
        <is>
          <t>ORD2775</t>
        </is>
      </c>
      <c r="B1776" t="inlineStr">
        <is>
          <t>2025-01-04</t>
        </is>
      </c>
      <c r="C1776" t="inlineStr">
        <is>
          <t>22:08:23</t>
        </is>
      </c>
      <c r="D1776" t="n">
        <v>1012</v>
      </c>
      <c r="E1776" t="n">
        <v>106</v>
      </c>
      <c r="F1776" t="n">
        <v>214</v>
      </c>
      <c r="G1776" t="inlineStr">
        <is>
          <t>Pune</t>
        </is>
      </c>
      <c r="H1776" t="inlineStr">
        <is>
          <t>South Indian</t>
        </is>
      </c>
      <c r="I1776" t="n">
        <v>1036</v>
      </c>
      <c r="J1776" t="n">
        <v>176.5</v>
      </c>
      <c r="K1776" t="n">
        <v>0</v>
      </c>
      <c r="L1776" t="n">
        <v>0.15</v>
      </c>
      <c r="M1776" t="n">
        <v>155.4</v>
      </c>
      <c r="N1776" t="n">
        <v>2.6</v>
      </c>
      <c r="O1776" t="n">
        <v>50</v>
      </c>
      <c r="P1776" t="inlineStr">
        <is>
          <t>Debit Card</t>
        </is>
      </c>
      <c r="Q1776" t="inlineStr">
        <is>
          <t>Delivered</t>
        </is>
      </c>
      <c r="R1776" t="n">
        <v>3</v>
      </c>
    </row>
    <row r="1777">
      <c r="A1777" t="inlineStr">
        <is>
          <t>ORD2776</t>
        </is>
      </c>
      <c r="B1777" t="inlineStr">
        <is>
          <t>2025-09-27</t>
        </is>
      </c>
      <c r="C1777" t="inlineStr">
        <is>
          <t>13:13:51</t>
        </is>
      </c>
      <c r="D1777" t="n">
        <v>1206</v>
      </c>
      <c r="E1777" t="n">
        <v>103</v>
      </c>
      <c r="F1777" t="n">
        <v>202</v>
      </c>
      <c r="G1777" t="inlineStr">
        <is>
          <t>Mumbai</t>
        </is>
      </c>
      <c r="H1777" t="inlineStr">
        <is>
          <t>Italian</t>
        </is>
      </c>
      <c r="I1777" t="n">
        <v>397</v>
      </c>
      <c r="J1777" t="n">
        <v>25.65</v>
      </c>
      <c r="K1777" t="n">
        <v>25</v>
      </c>
      <c r="L1777" t="n">
        <v>0.18</v>
      </c>
      <c r="M1777" t="n">
        <v>77.70999999999999</v>
      </c>
      <c r="N1777" t="n">
        <v>2.7</v>
      </c>
      <c r="O1777" t="n">
        <v>24.6</v>
      </c>
      <c r="P1777" t="inlineStr">
        <is>
          <t>Credit Card</t>
        </is>
      </c>
      <c r="Q1777" t="inlineStr">
        <is>
          <t>Delivered</t>
        </is>
      </c>
      <c r="R1777" t="n">
        <v>4</v>
      </c>
    </row>
    <row r="1778">
      <c r="A1778" t="inlineStr">
        <is>
          <t>ORD2777</t>
        </is>
      </c>
      <c r="B1778" t="inlineStr">
        <is>
          <t>2025-03-06</t>
        </is>
      </c>
      <c r="C1778" t="inlineStr">
        <is>
          <t>13:12:38</t>
        </is>
      </c>
      <c r="D1778" t="n">
        <v>1280</v>
      </c>
      <c r="E1778" t="n">
        <v>120</v>
      </c>
      <c r="F1778" t="n">
        <v>217</v>
      </c>
      <c r="G1778" t="inlineStr">
        <is>
          <t>Pune</t>
        </is>
      </c>
      <c r="H1778" t="inlineStr">
        <is>
          <t>Fast Food</t>
        </is>
      </c>
      <c r="I1778" t="n">
        <v>366</v>
      </c>
      <c r="J1778" t="n">
        <v>40.81</v>
      </c>
      <c r="K1778" t="n">
        <v>34</v>
      </c>
      <c r="L1778" t="n">
        <v>0.18</v>
      </c>
      <c r="M1778" t="n">
        <v>74.38</v>
      </c>
      <c r="N1778" t="n">
        <v>4.8</v>
      </c>
      <c r="O1778" t="n">
        <v>43.6</v>
      </c>
      <c r="P1778" t="inlineStr">
        <is>
          <t>Debit Card</t>
        </is>
      </c>
      <c r="Q1778" t="inlineStr">
        <is>
          <t>Delivered</t>
        </is>
      </c>
      <c r="R1778" t="n">
        <v>4</v>
      </c>
    </row>
    <row r="1779">
      <c r="A1779" t="inlineStr">
        <is>
          <t>ORD2778</t>
        </is>
      </c>
      <c r="B1779" t="inlineStr">
        <is>
          <t>2025-01-05</t>
        </is>
      </c>
      <c r="C1779" t="inlineStr">
        <is>
          <t>09:56:05</t>
        </is>
      </c>
      <c r="D1779" t="n">
        <v>1188</v>
      </c>
      <c r="E1779" t="n">
        <v>102</v>
      </c>
      <c r="F1779" t="n">
        <v>225</v>
      </c>
      <c r="G1779" t="inlineStr">
        <is>
          <t>Hyderabad</t>
        </is>
      </c>
      <c r="H1779" t="inlineStr">
        <is>
          <t>Biryani</t>
        </is>
      </c>
      <c r="I1779" t="n">
        <v>752</v>
      </c>
      <c r="J1779" t="n">
        <v>0</v>
      </c>
      <c r="K1779" t="n">
        <v>31.5</v>
      </c>
      <c r="L1779" t="n">
        <v>0.22</v>
      </c>
      <c r="M1779" t="n">
        <v>173.32</v>
      </c>
      <c r="N1779" t="n">
        <v>4.3</v>
      </c>
      <c r="O1779" t="n">
        <v>27.9</v>
      </c>
      <c r="P1779" t="inlineStr">
        <is>
          <t>Credit Card</t>
        </is>
      </c>
      <c r="Q1779" t="inlineStr">
        <is>
          <t>Delivered</t>
        </is>
      </c>
      <c r="R1779" t="n">
        <v>4</v>
      </c>
    </row>
    <row r="1780">
      <c r="A1780" t="inlineStr">
        <is>
          <t>ORD2779</t>
        </is>
      </c>
      <c r="B1780" t="inlineStr">
        <is>
          <t>2025-06-26</t>
        </is>
      </c>
      <c r="C1780" t="inlineStr">
        <is>
          <t>18:01:34</t>
        </is>
      </c>
      <c r="D1780" t="n">
        <v>1209</v>
      </c>
      <c r="E1780" t="n">
        <v>110</v>
      </c>
      <c r="F1780" t="n">
        <v>226</v>
      </c>
      <c r="G1780" t="inlineStr">
        <is>
          <t>Pune</t>
        </is>
      </c>
      <c r="H1780" t="inlineStr">
        <is>
          <t>North Indian</t>
        </is>
      </c>
      <c r="I1780" t="n">
        <v>389</v>
      </c>
      <c r="J1780" t="n">
        <v>12.57</v>
      </c>
      <c r="K1780" t="n">
        <v>27</v>
      </c>
      <c r="L1780" t="n">
        <v>0.18</v>
      </c>
      <c r="M1780" t="n">
        <v>76.77</v>
      </c>
      <c r="N1780" t="n">
        <v>3.4</v>
      </c>
      <c r="O1780" t="n">
        <v>29.4</v>
      </c>
      <c r="P1780" t="inlineStr">
        <is>
          <t>Cash on Delivery</t>
        </is>
      </c>
      <c r="Q1780" t="inlineStr">
        <is>
          <t>Delivered</t>
        </is>
      </c>
      <c r="R1780" t="n">
        <v>4</v>
      </c>
    </row>
    <row r="1781">
      <c r="A1781" t="inlineStr">
        <is>
          <t>ORD2780</t>
        </is>
      </c>
      <c r="B1781" t="inlineStr">
        <is>
          <t>2025-06-29</t>
        </is>
      </c>
      <c r="C1781" t="inlineStr">
        <is>
          <t>19:30:29</t>
        </is>
      </c>
      <c r="D1781" t="n">
        <v>1216</v>
      </c>
      <c r="E1781" t="n">
        <v>106</v>
      </c>
      <c r="F1781" t="n">
        <v>208</v>
      </c>
      <c r="G1781" t="inlineStr">
        <is>
          <t>Pune</t>
        </is>
      </c>
      <c r="H1781" t="inlineStr">
        <is>
          <t>South Indian</t>
        </is>
      </c>
      <c r="I1781" t="n">
        <v>548</v>
      </c>
      <c r="J1781" t="n">
        <v>0</v>
      </c>
      <c r="K1781" t="n">
        <v>27.5</v>
      </c>
      <c r="L1781" t="n">
        <v>0.15</v>
      </c>
      <c r="M1781" t="n">
        <v>89.08</v>
      </c>
      <c r="N1781" t="n">
        <v>3.5</v>
      </c>
      <c r="O1781" t="n">
        <v>37</v>
      </c>
      <c r="P1781" t="inlineStr">
        <is>
          <t>Digital Wallet</t>
        </is>
      </c>
      <c r="Q1781" t="inlineStr">
        <is>
          <t>Delivered</t>
        </is>
      </c>
      <c r="R1781" t="n">
        <v>5</v>
      </c>
    </row>
    <row r="1782">
      <c r="A1782" t="inlineStr">
        <is>
          <t>ORD2781</t>
        </is>
      </c>
      <c r="B1782" t="inlineStr">
        <is>
          <t>2025-07-14</t>
        </is>
      </c>
      <c r="C1782" t="inlineStr">
        <is>
          <t>12:09:55</t>
        </is>
      </c>
      <c r="D1782" t="n">
        <v>1144</v>
      </c>
      <c r="E1782" t="n">
        <v>115</v>
      </c>
      <c r="F1782" t="n">
        <v>210</v>
      </c>
      <c r="G1782" t="inlineStr">
        <is>
          <t>Bangalore</t>
        </is>
      </c>
      <c r="H1782" t="inlineStr">
        <is>
          <t>Italian</t>
        </is>
      </c>
      <c r="I1782" t="n">
        <v>804</v>
      </c>
      <c r="J1782" t="n">
        <v>20.93</v>
      </c>
      <c r="K1782" t="n">
        <v>34.5</v>
      </c>
      <c r="L1782" t="n">
        <v>0.2</v>
      </c>
      <c r="M1782" t="n">
        <v>169.42</v>
      </c>
      <c r="N1782" t="n">
        <v>4.9</v>
      </c>
      <c r="O1782" t="n">
        <v>39.6</v>
      </c>
      <c r="P1782" t="inlineStr">
        <is>
          <t>Digital Wallet</t>
        </is>
      </c>
      <c r="Q1782" t="inlineStr">
        <is>
          <t>Delivered</t>
        </is>
      </c>
      <c r="R1782" t="n">
        <v>3</v>
      </c>
    </row>
    <row r="1783">
      <c r="A1783" t="inlineStr">
        <is>
          <t>ORD2782</t>
        </is>
      </c>
      <c r="B1783" t="inlineStr">
        <is>
          <t>2025-02-22</t>
        </is>
      </c>
      <c r="C1783" t="inlineStr">
        <is>
          <t>12:25:03</t>
        </is>
      </c>
      <c r="D1783" t="n">
        <v>1241</v>
      </c>
      <c r="E1783" t="n">
        <v>119</v>
      </c>
      <c r="F1783" t="n">
        <v>215</v>
      </c>
      <c r="G1783" t="inlineStr">
        <is>
          <t>Hyderabad</t>
        </is>
      </c>
      <c r="H1783" t="inlineStr">
        <is>
          <t>Biryani</t>
        </is>
      </c>
      <c r="I1783" t="n">
        <v>1104</v>
      </c>
      <c r="J1783" t="n">
        <v>130.45</v>
      </c>
      <c r="K1783" t="n">
        <v>0</v>
      </c>
      <c r="L1783" t="n">
        <v>0.2</v>
      </c>
      <c r="M1783" t="n">
        <v>220.8</v>
      </c>
      <c r="N1783" t="n">
        <v>3.6</v>
      </c>
      <c r="O1783" t="n">
        <v/>
      </c>
      <c r="P1783" t="inlineStr">
        <is>
          <t>UPI</t>
        </is>
      </c>
      <c r="Q1783" t="inlineStr">
        <is>
          <t>Cancelled</t>
        </is>
      </c>
      <c r="R1783" t="n">
        <v/>
      </c>
    </row>
    <row r="1784">
      <c r="A1784" t="inlineStr">
        <is>
          <t>ORD2783</t>
        </is>
      </c>
      <c r="B1784" t="inlineStr">
        <is>
          <t>2025-08-23</t>
        </is>
      </c>
      <c r="C1784" t="inlineStr">
        <is>
          <t>12:43:13</t>
        </is>
      </c>
      <c r="D1784" t="n">
        <v>1118</v>
      </c>
      <c r="E1784" t="n">
        <v>118</v>
      </c>
      <c r="F1784" t="n">
        <v>212</v>
      </c>
      <c r="G1784" t="inlineStr">
        <is>
          <t>Delhi NCR</t>
        </is>
      </c>
      <c r="H1784" t="inlineStr">
        <is>
          <t>North Indian</t>
        </is>
      </c>
      <c r="I1784" t="n">
        <v>423</v>
      </c>
      <c r="J1784" t="n">
        <v>0</v>
      </c>
      <c r="K1784" t="n">
        <v>25</v>
      </c>
      <c r="L1784" t="n">
        <v>0.2</v>
      </c>
      <c r="M1784" t="n">
        <v>90.84999999999999</v>
      </c>
      <c r="N1784" t="n">
        <v>2.2</v>
      </c>
      <c r="O1784" t="n">
        <v>39.3</v>
      </c>
      <c r="P1784" t="inlineStr">
        <is>
          <t>Credit Card</t>
        </is>
      </c>
      <c r="Q1784" t="inlineStr">
        <is>
          <t>Delivered</t>
        </is>
      </c>
      <c r="R1784" t="n">
        <v>5</v>
      </c>
    </row>
    <row r="1785">
      <c r="A1785" t="inlineStr">
        <is>
          <t>ORD2784</t>
        </is>
      </c>
      <c r="B1785" t="inlineStr">
        <is>
          <t>2025-04-04</t>
        </is>
      </c>
      <c r="C1785" t="inlineStr">
        <is>
          <t>13:11:09</t>
        </is>
      </c>
      <c r="D1785" t="n">
        <v>1191</v>
      </c>
      <c r="E1785" t="n">
        <v>118</v>
      </c>
      <c r="F1785" t="n">
        <v>228</v>
      </c>
      <c r="G1785" t="inlineStr">
        <is>
          <t>Delhi NCR</t>
        </is>
      </c>
      <c r="H1785" t="inlineStr">
        <is>
          <t>North Indian</t>
        </is>
      </c>
      <c r="I1785" t="n">
        <v>810</v>
      </c>
      <c r="J1785" t="n">
        <v>58.94</v>
      </c>
      <c r="K1785" t="n">
        <v>25</v>
      </c>
      <c r="L1785" t="n">
        <v>0.2</v>
      </c>
      <c r="M1785" t="n">
        <v>168.25</v>
      </c>
      <c r="N1785" t="n">
        <v>2</v>
      </c>
      <c r="O1785" t="n">
        <v>22.8</v>
      </c>
      <c r="P1785" t="inlineStr">
        <is>
          <t>Cash on Delivery</t>
        </is>
      </c>
      <c r="Q1785" t="inlineStr">
        <is>
          <t>Delivered</t>
        </is>
      </c>
      <c r="R1785" t="n">
        <v>4</v>
      </c>
    </row>
    <row r="1786">
      <c r="A1786" t="inlineStr">
        <is>
          <t>ORD2785</t>
        </is>
      </c>
      <c r="B1786" t="inlineStr">
        <is>
          <t>2025-08-07</t>
        </is>
      </c>
      <c r="C1786" t="inlineStr">
        <is>
          <t>10:51:20</t>
        </is>
      </c>
      <c r="D1786" t="n">
        <v>1175</v>
      </c>
      <c r="E1786" t="n">
        <v>111</v>
      </c>
      <c r="F1786" t="n">
        <v>218</v>
      </c>
      <c r="G1786" t="inlineStr">
        <is>
          <t>Bangalore</t>
        </is>
      </c>
      <c r="H1786" t="inlineStr">
        <is>
          <t>South Indian</t>
        </is>
      </c>
      <c r="I1786" t="n">
        <v>893</v>
      </c>
      <c r="J1786" t="n">
        <v>98.03</v>
      </c>
      <c r="K1786" t="n">
        <v>55.5</v>
      </c>
      <c r="L1786" t="n">
        <v>0.15</v>
      </c>
      <c r="M1786" t="n">
        <v>147.82</v>
      </c>
      <c r="N1786" t="n">
        <v>9.1</v>
      </c>
      <c r="O1786" t="n">
        <v>39.9</v>
      </c>
      <c r="P1786" t="inlineStr">
        <is>
          <t>Debit Card</t>
        </is>
      </c>
      <c r="Q1786" t="inlineStr">
        <is>
          <t>Delivered</t>
        </is>
      </c>
      <c r="R1786" t="n">
        <v>2</v>
      </c>
    </row>
    <row r="1787">
      <c r="A1787" t="inlineStr">
        <is>
          <t>ORD2786</t>
        </is>
      </c>
      <c r="B1787" t="inlineStr">
        <is>
          <t>2025-05-02</t>
        </is>
      </c>
      <c r="C1787" t="inlineStr">
        <is>
          <t>19:57:10</t>
        </is>
      </c>
      <c r="D1787" t="n">
        <v>1129</v>
      </c>
      <c r="E1787" t="n">
        <v>110</v>
      </c>
      <c r="F1787" t="n">
        <v>209</v>
      </c>
      <c r="G1787" t="inlineStr">
        <is>
          <t>Pune</t>
        </is>
      </c>
      <c r="H1787" t="inlineStr">
        <is>
          <t>North Indian</t>
        </is>
      </c>
      <c r="I1787" t="n">
        <v>552</v>
      </c>
      <c r="J1787" t="n">
        <v>31.02</v>
      </c>
      <c r="K1787" t="n">
        <v>27</v>
      </c>
      <c r="L1787" t="n">
        <v>0.18</v>
      </c>
      <c r="M1787" t="n">
        <v>106.11</v>
      </c>
      <c r="N1787" t="n">
        <v>3.4</v>
      </c>
      <c r="O1787" t="n">
        <v>29.3</v>
      </c>
      <c r="P1787" t="inlineStr">
        <is>
          <t>Digital Wallet</t>
        </is>
      </c>
      <c r="Q1787" t="inlineStr">
        <is>
          <t>Delivered</t>
        </is>
      </c>
      <c r="R1787" t="n">
        <v>4</v>
      </c>
    </row>
    <row r="1788">
      <c r="A1788" t="inlineStr">
        <is>
          <t>ORD2787</t>
        </is>
      </c>
      <c r="B1788" t="inlineStr">
        <is>
          <t>2025-05-17</t>
        </is>
      </c>
      <c r="C1788" t="inlineStr">
        <is>
          <t>23:26:07</t>
        </is>
      </c>
      <c r="D1788" t="n">
        <v>1132</v>
      </c>
      <c r="E1788" t="n">
        <v>105</v>
      </c>
      <c r="F1788" t="n">
        <v>210</v>
      </c>
      <c r="G1788" t="inlineStr">
        <is>
          <t>Bangalore</t>
        </is>
      </c>
      <c r="H1788" t="inlineStr">
        <is>
          <t>Chinese</t>
        </is>
      </c>
      <c r="I1788" t="n">
        <v>720</v>
      </c>
      <c r="J1788" t="n">
        <v>26.67</v>
      </c>
      <c r="K1788" t="n">
        <v>29.5</v>
      </c>
      <c r="L1788" t="n">
        <v>0.2</v>
      </c>
      <c r="M1788" t="n">
        <v>151.38</v>
      </c>
      <c r="N1788" t="n">
        <v>3.9</v>
      </c>
      <c r="O1788" t="n">
        <v>36.6</v>
      </c>
      <c r="P1788" t="inlineStr">
        <is>
          <t>Cash on Delivery</t>
        </is>
      </c>
      <c r="Q1788" t="inlineStr">
        <is>
          <t>Delivered</t>
        </is>
      </c>
      <c r="R1788" t="n">
        <v>5</v>
      </c>
    </row>
    <row r="1789">
      <c r="A1789" t="inlineStr">
        <is>
          <t>ORD2788</t>
        </is>
      </c>
      <c r="B1789" t="inlineStr">
        <is>
          <t>2025-07-21</t>
        </is>
      </c>
      <c r="C1789" t="inlineStr">
        <is>
          <t>20:18:15</t>
        </is>
      </c>
      <c r="D1789" t="n">
        <v>1005</v>
      </c>
      <c r="E1789" t="n">
        <v>102</v>
      </c>
      <c r="F1789" t="n">
        <v>216</v>
      </c>
      <c r="G1789" t="inlineStr">
        <is>
          <t>Hyderabad</t>
        </is>
      </c>
      <c r="H1789" t="inlineStr">
        <is>
          <t>Biryani</t>
        </is>
      </c>
      <c r="I1789" t="n">
        <v>240</v>
      </c>
      <c r="J1789" t="n">
        <v>5.01</v>
      </c>
      <c r="K1789" t="n">
        <v>26.5</v>
      </c>
      <c r="L1789" t="n">
        <v>0.22</v>
      </c>
      <c r="M1789" t="n">
        <v>59.42</v>
      </c>
      <c r="N1789" t="n">
        <v>3.3</v>
      </c>
      <c r="O1789" t="n">
        <v>28.9</v>
      </c>
      <c r="P1789" t="inlineStr">
        <is>
          <t>Cash on Delivery</t>
        </is>
      </c>
      <c r="Q1789" t="inlineStr">
        <is>
          <t>Delivered</t>
        </is>
      </c>
      <c r="R1789" t="n">
        <v>2</v>
      </c>
    </row>
    <row r="1790">
      <c r="A1790" t="inlineStr">
        <is>
          <t>ORD2789</t>
        </is>
      </c>
      <c r="B1790" t="inlineStr">
        <is>
          <t>2025-11-06</t>
        </is>
      </c>
      <c r="C1790" t="inlineStr">
        <is>
          <t>00:52:54</t>
        </is>
      </c>
      <c r="D1790" t="n">
        <v>1234</v>
      </c>
      <c r="E1790" t="n">
        <v>106</v>
      </c>
      <c r="F1790" t="n">
        <v>226</v>
      </c>
      <c r="G1790" t="inlineStr">
        <is>
          <t>Pune</t>
        </is>
      </c>
      <c r="H1790" t="inlineStr">
        <is>
          <t>South Indian</t>
        </is>
      </c>
      <c r="I1790" t="n">
        <v>816</v>
      </c>
      <c r="J1790" t="n">
        <v>0</v>
      </c>
      <c r="K1790" t="n">
        <v>28.5</v>
      </c>
      <c r="L1790" t="n">
        <v>0.15</v>
      </c>
      <c r="M1790" t="n">
        <v>129.52</v>
      </c>
      <c r="N1790" t="n">
        <v>3.7</v>
      </c>
      <c r="O1790" t="n">
        <v>71.09999999999999</v>
      </c>
      <c r="P1790" t="inlineStr">
        <is>
          <t>UPI</t>
        </is>
      </c>
      <c r="Q1790" t="inlineStr">
        <is>
          <t>Delivered</t>
        </is>
      </c>
      <c r="R1790" t="n">
        <v>4</v>
      </c>
    </row>
    <row r="1791">
      <c r="A1791" t="inlineStr">
        <is>
          <t>ORD2790</t>
        </is>
      </c>
      <c r="B1791" t="inlineStr">
        <is>
          <t>2025-06-19</t>
        </is>
      </c>
      <c r="C1791" t="inlineStr">
        <is>
          <t>09:15:42</t>
        </is>
      </c>
      <c r="D1791" t="n">
        <v>1038</v>
      </c>
      <c r="E1791" t="n">
        <v>101</v>
      </c>
      <c r="F1791" t="n">
        <v>201</v>
      </c>
      <c r="G1791" t="inlineStr">
        <is>
          <t>Bangalore</t>
        </is>
      </c>
      <c r="H1791" t="inlineStr">
        <is>
          <t>North Indian</t>
        </is>
      </c>
      <c r="I1791" t="n">
        <v>830</v>
      </c>
      <c r="J1791" t="n">
        <v>0</v>
      </c>
      <c r="K1791" t="n">
        <v>49</v>
      </c>
      <c r="L1791" t="n">
        <v>0.2</v>
      </c>
      <c r="M1791" t="n">
        <v>178.25</v>
      </c>
      <c r="N1791" t="n">
        <v>7.8</v>
      </c>
      <c r="O1791" t="n">
        <v>45.6</v>
      </c>
      <c r="P1791" t="inlineStr">
        <is>
          <t>Cash on Delivery</t>
        </is>
      </c>
      <c r="Q1791" t="inlineStr">
        <is>
          <t>Delivered</t>
        </is>
      </c>
      <c r="R1791" t="n">
        <v>2</v>
      </c>
    </row>
    <row r="1792">
      <c r="A1792" t="inlineStr">
        <is>
          <t>ORD2791</t>
        </is>
      </c>
      <c r="B1792" t="inlineStr">
        <is>
          <t>2025-12-29</t>
        </is>
      </c>
      <c r="C1792" t="inlineStr">
        <is>
          <t>15:57:52</t>
        </is>
      </c>
      <c r="D1792" t="n">
        <v>1255</v>
      </c>
      <c r="E1792" t="n">
        <v>106</v>
      </c>
      <c r="F1792" t="n">
        <v>207</v>
      </c>
      <c r="G1792" t="inlineStr">
        <is>
          <t>Pune</t>
        </is>
      </c>
      <c r="H1792" t="inlineStr">
        <is>
          <t>South Indian</t>
        </is>
      </c>
      <c r="I1792" t="n">
        <v>554</v>
      </c>
      <c r="J1792" t="n">
        <v>0</v>
      </c>
      <c r="K1792" t="n">
        <v>42.5</v>
      </c>
      <c r="L1792" t="n">
        <v>0.15</v>
      </c>
      <c r="M1792" t="n">
        <v>93.72</v>
      </c>
      <c r="N1792" t="n">
        <v>6.5</v>
      </c>
      <c r="O1792" t="n">
        <v/>
      </c>
      <c r="P1792" t="inlineStr">
        <is>
          <t>Digital Wallet</t>
        </is>
      </c>
      <c r="Q1792" t="inlineStr">
        <is>
          <t>Cancelled</t>
        </is>
      </c>
      <c r="R1792" t="n">
        <v/>
      </c>
    </row>
    <row r="1793">
      <c r="A1793" t="inlineStr">
        <is>
          <t>ORD2792</t>
        </is>
      </c>
      <c r="B1793" t="inlineStr">
        <is>
          <t>2025-03-18</t>
        </is>
      </c>
      <c r="C1793" t="inlineStr">
        <is>
          <t>12:01:51</t>
        </is>
      </c>
      <c r="D1793" t="n">
        <v>1154</v>
      </c>
      <c r="E1793" t="n">
        <v>113</v>
      </c>
      <c r="F1793" t="n">
        <v>202</v>
      </c>
      <c r="G1793" t="inlineStr">
        <is>
          <t>Mumbai</t>
        </is>
      </c>
      <c r="H1793" t="inlineStr">
        <is>
          <t>Fast Food</t>
        </is>
      </c>
      <c r="I1793" t="n">
        <v>911</v>
      </c>
      <c r="J1793" t="n">
        <v>7.18</v>
      </c>
      <c r="K1793" t="n">
        <v>25</v>
      </c>
      <c r="L1793" t="n">
        <v>0.18</v>
      </c>
      <c r="M1793" t="n">
        <v>170.23</v>
      </c>
      <c r="N1793" t="n">
        <v>2.4</v>
      </c>
      <c r="O1793" t="n">
        <v>35.5</v>
      </c>
      <c r="P1793" t="inlineStr">
        <is>
          <t>Cash on Delivery</t>
        </is>
      </c>
      <c r="Q1793" t="inlineStr">
        <is>
          <t>Delivered</t>
        </is>
      </c>
      <c r="R1793" t="n">
        <v>5</v>
      </c>
    </row>
    <row r="1794">
      <c r="A1794" t="inlineStr">
        <is>
          <t>ORD2793</t>
        </is>
      </c>
      <c r="B1794" t="inlineStr">
        <is>
          <t>2025-01-20</t>
        </is>
      </c>
      <c r="C1794" t="inlineStr">
        <is>
          <t>22:56:02</t>
        </is>
      </c>
      <c r="D1794" t="n">
        <v>1036</v>
      </c>
      <c r="E1794" t="n">
        <v>107</v>
      </c>
      <c r="F1794" t="n">
        <v>206</v>
      </c>
      <c r="G1794" t="inlineStr">
        <is>
          <t>Mumbai</t>
        </is>
      </c>
      <c r="H1794" t="inlineStr">
        <is>
          <t>Desserts</t>
        </is>
      </c>
      <c r="I1794" t="n">
        <v>491</v>
      </c>
      <c r="J1794" t="n">
        <v>50.71</v>
      </c>
      <c r="K1794" t="n">
        <v>36</v>
      </c>
      <c r="L1794" t="n">
        <v>0.25</v>
      </c>
      <c r="M1794" t="n">
        <v>131.75</v>
      </c>
      <c r="N1794" t="n">
        <v>5.2</v>
      </c>
      <c r="O1794" t="n">
        <v>33.9</v>
      </c>
      <c r="P1794" t="inlineStr">
        <is>
          <t>Cash on Delivery</t>
        </is>
      </c>
      <c r="Q1794" t="inlineStr">
        <is>
          <t>Delivered</t>
        </is>
      </c>
      <c r="R1794" t="n">
        <v>5</v>
      </c>
    </row>
    <row r="1795">
      <c r="A1795" t="inlineStr">
        <is>
          <t>ORD2794</t>
        </is>
      </c>
      <c r="B1795" t="inlineStr">
        <is>
          <t>2025-12-21</t>
        </is>
      </c>
      <c r="C1795" t="inlineStr">
        <is>
          <t>17:47:46</t>
        </is>
      </c>
      <c r="D1795" t="n">
        <v>1191</v>
      </c>
      <c r="E1795" t="n">
        <v>112</v>
      </c>
      <c r="F1795" t="n">
        <v>230</v>
      </c>
      <c r="G1795" t="inlineStr">
        <is>
          <t>Delhi NCR</t>
        </is>
      </c>
      <c r="H1795" t="inlineStr">
        <is>
          <t>North Indian</t>
        </is>
      </c>
      <c r="I1795" t="n">
        <v>941</v>
      </c>
      <c r="J1795" t="n">
        <v>50.24</v>
      </c>
      <c r="K1795" t="n">
        <v>31</v>
      </c>
      <c r="L1795" t="n">
        <v>0.22</v>
      </c>
      <c r="M1795" t="n">
        <v>214.77</v>
      </c>
      <c r="N1795" t="n">
        <v>4.2</v>
      </c>
      <c r="O1795" t="n">
        <v>33.4</v>
      </c>
      <c r="P1795" t="inlineStr">
        <is>
          <t>Credit Card</t>
        </is>
      </c>
      <c r="Q1795" t="inlineStr">
        <is>
          <t>Delivered</t>
        </is>
      </c>
      <c r="R1795" t="n">
        <v>5</v>
      </c>
    </row>
    <row r="1796">
      <c r="A1796" t="inlineStr">
        <is>
          <t>ORD2795</t>
        </is>
      </c>
      <c r="B1796" t="inlineStr">
        <is>
          <t>2025-04-14</t>
        </is>
      </c>
      <c r="C1796" t="inlineStr">
        <is>
          <t>20:01:17</t>
        </is>
      </c>
      <c r="D1796" t="n">
        <v>1147</v>
      </c>
      <c r="E1796" t="n">
        <v>113</v>
      </c>
      <c r="F1796" t="n">
        <v>222</v>
      </c>
      <c r="G1796" t="inlineStr">
        <is>
          <t>Mumbai</t>
        </is>
      </c>
      <c r="H1796" t="inlineStr">
        <is>
          <t>Fast Food</t>
        </is>
      </c>
      <c r="I1796" t="n">
        <v>529</v>
      </c>
      <c r="J1796" t="n">
        <v>35.2</v>
      </c>
      <c r="K1796" t="n">
        <v>25</v>
      </c>
      <c r="L1796" t="n">
        <v>0.18</v>
      </c>
      <c r="M1796" t="n">
        <v>101.47</v>
      </c>
      <c r="N1796" t="n">
        <v>1.8</v>
      </c>
      <c r="O1796" t="n">
        <v>26.5</v>
      </c>
      <c r="P1796" t="inlineStr">
        <is>
          <t>UPI</t>
        </is>
      </c>
      <c r="Q1796" t="inlineStr">
        <is>
          <t>Delivered</t>
        </is>
      </c>
      <c r="R1796" t="n">
        <v>4</v>
      </c>
    </row>
    <row r="1797">
      <c r="A1797" t="inlineStr">
        <is>
          <t>ORD2796</t>
        </is>
      </c>
      <c r="B1797" t="inlineStr">
        <is>
          <t>2025-02-04</t>
        </is>
      </c>
      <c r="C1797" t="inlineStr">
        <is>
          <t>20:22:53</t>
        </is>
      </c>
      <c r="D1797" t="n">
        <v>1122</v>
      </c>
      <c r="E1797" t="n">
        <v>106</v>
      </c>
      <c r="F1797" t="n">
        <v>217</v>
      </c>
      <c r="G1797" t="inlineStr">
        <is>
          <t>Pune</t>
        </is>
      </c>
      <c r="H1797" t="inlineStr">
        <is>
          <t>South Indian</t>
        </is>
      </c>
      <c r="I1797" t="n">
        <v>730</v>
      </c>
      <c r="J1797" t="n">
        <v>88.33</v>
      </c>
      <c r="K1797" t="n">
        <v>0</v>
      </c>
      <c r="L1797" t="n">
        <v>0.15</v>
      </c>
      <c r="M1797" t="n">
        <v>109.5</v>
      </c>
      <c r="N1797" t="n">
        <v>3.5</v>
      </c>
      <c r="O1797" t="n">
        <v>33.3</v>
      </c>
      <c r="P1797" t="inlineStr">
        <is>
          <t>UPI</t>
        </is>
      </c>
      <c r="Q1797" t="inlineStr">
        <is>
          <t>Returned</t>
        </is>
      </c>
      <c r="R1797" t="n">
        <v>3</v>
      </c>
    </row>
    <row r="1798">
      <c r="A1798" t="inlineStr">
        <is>
          <t>ORD2797</t>
        </is>
      </c>
      <c r="B1798" t="inlineStr">
        <is>
          <t>2025-11-26</t>
        </is>
      </c>
      <c r="C1798" t="inlineStr">
        <is>
          <t>20:36:10</t>
        </is>
      </c>
      <c r="D1798" t="n">
        <v>1107</v>
      </c>
      <c r="E1798" t="n">
        <v>117</v>
      </c>
      <c r="F1798" t="n">
        <v>229</v>
      </c>
      <c r="G1798" t="inlineStr">
        <is>
          <t>Mumbai</t>
        </is>
      </c>
      <c r="H1798" t="inlineStr">
        <is>
          <t>Chinese</t>
        </is>
      </c>
      <c r="I1798" t="n">
        <v>820</v>
      </c>
      <c r="J1798" t="n">
        <v>43.56</v>
      </c>
      <c r="K1798" t="n">
        <v>25</v>
      </c>
      <c r="L1798" t="n">
        <v>0.2</v>
      </c>
      <c r="M1798" t="n">
        <v>170.25</v>
      </c>
      <c r="N1798" t="n">
        <v>1.6</v>
      </c>
      <c r="O1798" t="n">
        <v>21</v>
      </c>
      <c r="P1798" t="inlineStr">
        <is>
          <t>Credit Card</t>
        </is>
      </c>
      <c r="Q1798" t="inlineStr">
        <is>
          <t>Delivered</t>
        </is>
      </c>
      <c r="R1798" t="n">
        <v>5</v>
      </c>
    </row>
    <row r="1799">
      <c r="A1799" t="inlineStr">
        <is>
          <t>ORD2798</t>
        </is>
      </c>
      <c r="B1799" t="inlineStr">
        <is>
          <t>2025-01-30</t>
        </is>
      </c>
      <c r="C1799" t="inlineStr">
        <is>
          <t>20:39:52</t>
        </is>
      </c>
      <c r="D1799" t="n">
        <v>1082</v>
      </c>
      <c r="E1799" t="n">
        <v>116</v>
      </c>
      <c r="F1799" t="n">
        <v>226</v>
      </c>
      <c r="G1799" t="inlineStr">
        <is>
          <t>Pune</t>
        </is>
      </c>
      <c r="H1799" t="inlineStr">
        <is>
          <t>Desserts</t>
        </is>
      </c>
      <c r="I1799" t="n">
        <v>421</v>
      </c>
      <c r="J1799" t="n">
        <v>47.92</v>
      </c>
      <c r="K1799" t="n">
        <v>25.5</v>
      </c>
      <c r="L1799" t="n">
        <v>0.25</v>
      </c>
      <c r="M1799" t="n">
        <v>111.62</v>
      </c>
      <c r="N1799" t="n">
        <v>3.1</v>
      </c>
      <c r="O1799" t="n">
        <v>29.6</v>
      </c>
      <c r="P1799" t="inlineStr">
        <is>
          <t>Cash on Delivery</t>
        </is>
      </c>
      <c r="Q1799" t="inlineStr">
        <is>
          <t>Delivered</t>
        </is>
      </c>
      <c r="R1799" t="n">
        <v>2</v>
      </c>
    </row>
    <row r="1800">
      <c r="A1800" t="inlineStr">
        <is>
          <t>ORD2799</t>
        </is>
      </c>
      <c r="B1800" t="inlineStr">
        <is>
          <t>2025-12-18</t>
        </is>
      </c>
      <c r="C1800" t="inlineStr">
        <is>
          <t>20:37:31</t>
        </is>
      </c>
      <c r="D1800" t="n">
        <v>1037</v>
      </c>
      <c r="E1800" t="n">
        <v>111</v>
      </c>
      <c r="F1800" t="n">
        <v>218</v>
      </c>
      <c r="G1800" t="inlineStr">
        <is>
          <t>Bangalore</t>
        </is>
      </c>
      <c r="H1800" t="inlineStr">
        <is>
          <t>South Indian</t>
        </is>
      </c>
      <c r="I1800" t="n">
        <v>315</v>
      </c>
      <c r="J1800" t="n">
        <v>2.9</v>
      </c>
      <c r="K1800" t="n">
        <v>29.5</v>
      </c>
      <c r="L1800" t="n">
        <v>0.15</v>
      </c>
      <c r="M1800" t="n">
        <v>54.62</v>
      </c>
      <c r="N1800" t="n">
        <v>3.9</v>
      </c>
      <c r="O1800" t="n">
        <v>36.1</v>
      </c>
      <c r="P1800" t="inlineStr">
        <is>
          <t>Credit Card</t>
        </is>
      </c>
      <c r="Q1800" t="inlineStr">
        <is>
          <t>Delivered</t>
        </is>
      </c>
      <c r="R1800" t="n">
        <v>5</v>
      </c>
    </row>
    <row r="1801">
      <c r="A1801" t="inlineStr">
        <is>
          <t>ORD2800</t>
        </is>
      </c>
      <c r="B1801" t="inlineStr">
        <is>
          <t>2025-03-22</t>
        </is>
      </c>
      <c r="C1801" t="inlineStr">
        <is>
          <t>13:07:55</t>
        </is>
      </c>
      <c r="D1801" t="n">
        <v>1041</v>
      </c>
      <c r="E1801" t="n">
        <v>114</v>
      </c>
      <c r="F1801" t="n">
        <v>225</v>
      </c>
      <c r="G1801" t="inlineStr">
        <is>
          <t>Hyderabad</t>
        </is>
      </c>
      <c r="H1801" t="inlineStr">
        <is>
          <t>Biryani</t>
        </is>
      </c>
      <c r="I1801" t="n">
        <v>923</v>
      </c>
      <c r="J1801" t="n">
        <v>70.89</v>
      </c>
      <c r="K1801" t="n">
        <v>25</v>
      </c>
      <c r="L1801" t="n">
        <v>0.22</v>
      </c>
      <c r="M1801" t="n">
        <v>209.31</v>
      </c>
      <c r="N1801" t="n">
        <v>2.4</v>
      </c>
      <c r="O1801" t="n">
        <v>27.4</v>
      </c>
      <c r="P1801" t="inlineStr">
        <is>
          <t>Credit Card</t>
        </is>
      </c>
      <c r="Q1801" t="inlineStr">
        <is>
          <t>Delivered</t>
        </is>
      </c>
      <c r="R1801" t="n">
        <v>5</v>
      </c>
    </row>
    <row r="1802">
      <c r="A1802" t="inlineStr">
        <is>
          <t>ORD2801</t>
        </is>
      </c>
      <c r="B1802" t="inlineStr">
        <is>
          <t>2025-11-07</t>
        </is>
      </c>
      <c r="C1802" t="inlineStr">
        <is>
          <t>21:49:47</t>
        </is>
      </c>
      <c r="D1802" t="n">
        <v>1250</v>
      </c>
      <c r="E1802" t="n">
        <v>116</v>
      </c>
      <c r="F1802" t="n">
        <v>224</v>
      </c>
      <c r="G1802" t="inlineStr">
        <is>
          <t>Pune</t>
        </is>
      </c>
      <c r="H1802" t="inlineStr">
        <is>
          <t>Desserts</t>
        </is>
      </c>
      <c r="I1802" t="n">
        <v>1031</v>
      </c>
      <c r="J1802" t="n">
        <v>115.05</v>
      </c>
      <c r="K1802" t="n">
        <v>0</v>
      </c>
      <c r="L1802" t="n">
        <v>0.25</v>
      </c>
      <c r="M1802" t="n">
        <v>257.75</v>
      </c>
      <c r="N1802" t="n">
        <v>3.6</v>
      </c>
      <c r="O1802" t="n">
        <v>33.8</v>
      </c>
      <c r="P1802" t="inlineStr">
        <is>
          <t>UPI</t>
        </is>
      </c>
      <c r="Q1802" t="inlineStr">
        <is>
          <t>Delivered</t>
        </is>
      </c>
      <c r="R1802" t="n">
        <v>2</v>
      </c>
    </row>
    <row r="1803">
      <c r="A1803" t="inlineStr">
        <is>
          <t>ORD2802</t>
        </is>
      </c>
      <c r="B1803" t="inlineStr">
        <is>
          <t>2025-01-22</t>
        </is>
      </c>
      <c r="C1803" t="inlineStr">
        <is>
          <t>21:07:39</t>
        </is>
      </c>
      <c r="D1803" t="n">
        <v>1270</v>
      </c>
      <c r="E1803" t="n">
        <v>114</v>
      </c>
      <c r="F1803" t="n">
        <v>225</v>
      </c>
      <c r="G1803" t="inlineStr">
        <is>
          <t>Hyderabad</t>
        </is>
      </c>
      <c r="H1803" t="inlineStr">
        <is>
          <t>Biryani</t>
        </is>
      </c>
      <c r="I1803" t="n">
        <v>252</v>
      </c>
      <c r="J1803" t="n">
        <v>0</v>
      </c>
      <c r="K1803" t="n">
        <v>25</v>
      </c>
      <c r="L1803" t="n">
        <v>0.22</v>
      </c>
      <c r="M1803" t="n">
        <v>61.69</v>
      </c>
      <c r="N1803" t="n">
        <v>1.8</v>
      </c>
      <c r="O1803" t="n">
        <v/>
      </c>
      <c r="P1803" t="inlineStr">
        <is>
          <t>Digital Wallet</t>
        </is>
      </c>
      <c r="Q1803" t="inlineStr">
        <is>
          <t>Cancelled</t>
        </is>
      </c>
      <c r="R1803" t="n">
        <v/>
      </c>
    </row>
    <row r="1804">
      <c r="A1804" t="inlineStr">
        <is>
          <t>ORD2803</t>
        </is>
      </c>
      <c r="B1804" t="inlineStr">
        <is>
          <t>2025-11-15</t>
        </is>
      </c>
      <c r="C1804" t="inlineStr">
        <is>
          <t>18:47:46</t>
        </is>
      </c>
      <c r="D1804" t="n">
        <v>1207</v>
      </c>
      <c r="E1804" t="n">
        <v>112</v>
      </c>
      <c r="F1804" t="n">
        <v>221</v>
      </c>
      <c r="G1804" t="inlineStr">
        <is>
          <t>Delhi NCR</t>
        </is>
      </c>
      <c r="H1804" t="inlineStr">
        <is>
          <t>North Indian</t>
        </is>
      </c>
      <c r="I1804" t="n">
        <v>439</v>
      </c>
      <c r="J1804" t="n">
        <v>0</v>
      </c>
      <c r="K1804" t="n">
        <v>30</v>
      </c>
      <c r="L1804" t="n">
        <v>0.22</v>
      </c>
      <c r="M1804" t="n">
        <v>104.08</v>
      </c>
      <c r="N1804" t="n">
        <v>4</v>
      </c>
      <c r="O1804" t="n">
        <v>29.9</v>
      </c>
      <c r="P1804" t="inlineStr">
        <is>
          <t>Cash on Delivery</t>
        </is>
      </c>
      <c r="Q1804" t="inlineStr">
        <is>
          <t>Delivered</t>
        </is>
      </c>
      <c r="R1804" t="n">
        <v>4</v>
      </c>
    </row>
    <row r="1805">
      <c r="A1805" t="inlineStr">
        <is>
          <t>ORD2804</t>
        </is>
      </c>
      <c r="B1805" t="inlineStr">
        <is>
          <t>2025-10-02</t>
        </is>
      </c>
      <c r="C1805" t="inlineStr">
        <is>
          <t>20:00:42</t>
        </is>
      </c>
      <c r="D1805" t="n">
        <v>1008</v>
      </c>
      <c r="E1805" t="n">
        <v>113</v>
      </c>
      <c r="F1805" t="n">
        <v>229</v>
      </c>
      <c r="G1805" t="inlineStr">
        <is>
          <t>Mumbai</t>
        </is>
      </c>
      <c r="H1805" t="inlineStr">
        <is>
          <t>Fast Food</t>
        </is>
      </c>
      <c r="I1805" t="n">
        <v>619</v>
      </c>
      <c r="J1805" t="n">
        <v>102.17</v>
      </c>
      <c r="K1805" t="n">
        <v>0</v>
      </c>
      <c r="L1805" t="n">
        <v>0.18</v>
      </c>
      <c r="M1805" t="n">
        <v>111.42</v>
      </c>
      <c r="N1805" t="n">
        <v>6.2</v>
      </c>
      <c r="O1805" t="n">
        <v>44.6</v>
      </c>
      <c r="P1805" t="inlineStr">
        <is>
          <t>Debit Card</t>
        </is>
      </c>
      <c r="Q1805" t="inlineStr">
        <is>
          <t>Delivered</t>
        </is>
      </c>
      <c r="R1805" t="n">
        <v>3</v>
      </c>
    </row>
    <row r="1806">
      <c r="A1806" t="inlineStr">
        <is>
          <t>ORD2805</t>
        </is>
      </c>
      <c r="B1806" t="inlineStr">
        <is>
          <t>2025-04-01</t>
        </is>
      </c>
      <c r="C1806" t="inlineStr">
        <is>
          <t>23:06:05</t>
        </is>
      </c>
      <c r="D1806" t="n">
        <v>1195</v>
      </c>
      <c r="E1806" t="n">
        <v>113</v>
      </c>
      <c r="F1806" t="n">
        <v>222</v>
      </c>
      <c r="G1806" t="inlineStr">
        <is>
          <t>Mumbai</t>
        </is>
      </c>
      <c r="H1806" t="inlineStr">
        <is>
          <t>Fast Food</t>
        </is>
      </c>
      <c r="I1806" t="n">
        <v>511</v>
      </c>
      <c r="J1806" t="n">
        <v>0</v>
      </c>
      <c r="K1806" t="n">
        <v>38.5</v>
      </c>
      <c r="L1806" t="n">
        <v>0.18</v>
      </c>
      <c r="M1806" t="n">
        <v>101.6</v>
      </c>
      <c r="N1806" t="n">
        <v>5.7</v>
      </c>
      <c r="O1806" t="n">
        <v>36.2</v>
      </c>
      <c r="P1806" t="inlineStr">
        <is>
          <t>Cash on Delivery</t>
        </is>
      </c>
      <c r="Q1806" t="inlineStr">
        <is>
          <t>Delivered</t>
        </is>
      </c>
      <c r="R1806" t="n">
        <v>4</v>
      </c>
    </row>
    <row r="1807">
      <c r="A1807" t="inlineStr">
        <is>
          <t>ORD2806</t>
        </is>
      </c>
      <c r="B1807" t="inlineStr">
        <is>
          <t>2025-10-23</t>
        </is>
      </c>
      <c r="C1807" t="inlineStr">
        <is>
          <t>08:42:20</t>
        </is>
      </c>
      <c r="D1807" t="n">
        <v>1203</v>
      </c>
      <c r="E1807" t="n">
        <v>108</v>
      </c>
      <c r="F1807" t="n">
        <v>228</v>
      </c>
      <c r="G1807" t="inlineStr">
        <is>
          <t>Delhi NCR</t>
        </is>
      </c>
      <c r="H1807" t="inlineStr">
        <is>
          <t>Fast Food</t>
        </is>
      </c>
      <c r="I1807" t="n">
        <v>357</v>
      </c>
      <c r="J1807" t="n">
        <v>0</v>
      </c>
      <c r="K1807" t="n">
        <v>26</v>
      </c>
      <c r="L1807" t="n">
        <v>0.18</v>
      </c>
      <c r="M1807" t="n">
        <v>70.76000000000001</v>
      </c>
      <c r="N1807" t="n">
        <v>3.2</v>
      </c>
      <c r="O1807" t="n">
        <v>33.1</v>
      </c>
      <c r="P1807" t="inlineStr">
        <is>
          <t>Credit Card</t>
        </is>
      </c>
      <c r="Q1807" t="inlineStr">
        <is>
          <t>Delivered</t>
        </is>
      </c>
      <c r="R1807" t="n">
        <v>5</v>
      </c>
    </row>
    <row r="1808">
      <c r="A1808" t="inlineStr">
        <is>
          <t>ORD2807</t>
        </is>
      </c>
      <c r="B1808" t="inlineStr">
        <is>
          <t>2025-12-25</t>
        </is>
      </c>
      <c r="C1808" t="inlineStr">
        <is>
          <t>18:54:23</t>
        </is>
      </c>
      <c r="D1808" t="n">
        <v>1060</v>
      </c>
      <c r="E1808" t="n">
        <v>104</v>
      </c>
      <c r="F1808" t="n">
        <v>212</v>
      </c>
      <c r="G1808" t="inlineStr">
        <is>
          <t>Delhi NCR</t>
        </is>
      </c>
      <c r="H1808" t="inlineStr">
        <is>
          <t>Fast Food</t>
        </is>
      </c>
      <c r="I1808" t="n">
        <v>578</v>
      </c>
      <c r="J1808" t="n">
        <v>38.83</v>
      </c>
      <c r="K1808" t="n">
        <v>25</v>
      </c>
      <c r="L1808" t="n">
        <v>0.18</v>
      </c>
      <c r="M1808" t="n">
        <v>110.29</v>
      </c>
      <c r="N1808" t="n">
        <v>2.7</v>
      </c>
      <c r="O1808" t="n">
        <v>22.3</v>
      </c>
      <c r="P1808" t="inlineStr">
        <is>
          <t>UPI</t>
        </is>
      </c>
      <c r="Q1808" t="inlineStr">
        <is>
          <t>Delivered</t>
        </is>
      </c>
      <c r="R1808" t="n">
        <v>4</v>
      </c>
    </row>
    <row r="1809">
      <c r="A1809" t="inlineStr">
        <is>
          <t>ORD2808</t>
        </is>
      </c>
      <c r="B1809" t="inlineStr">
        <is>
          <t>2025-03-07</t>
        </is>
      </c>
      <c r="C1809" t="inlineStr">
        <is>
          <t>22:49:44</t>
        </is>
      </c>
      <c r="D1809" t="n">
        <v>1129</v>
      </c>
      <c r="E1809" t="n">
        <v>110</v>
      </c>
      <c r="F1809" t="n">
        <v>209</v>
      </c>
      <c r="G1809" t="inlineStr">
        <is>
          <t>Pune</t>
        </is>
      </c>
      <c r="H1809" t="inlineStr">
        <is>
          <t>North Indian</t>
        </is>
      </c>
      <c r="I1809" t="n">
        <v>817</v>
      </c>
      <c r="J1809" t="n">
        <v>0</v>
      </c>
      <c r="K1809" t="n">
        <v>38.5</v>
      </c>
      <c r="L1809" t="n">
        <v>0.18</v>
      </c>
      <c r="M1809" t="n">
        <v>156.68</v>
      </c>
      <c r="N1809" t="n">
        <v>5.7</v>
      </c>
      <c r="O1809" t="n">
        <v>28.4</v>
      </c>
      <c r="P1809" t="inlineStr">
        <is>
          <t>UPI</t>
        </is>
      </c>
      <c r="Q1809" t="inlineStr">
        <is>
          <t>Delivered</t>
        </is>
      </c>
      <c r="R1809" t="n">
        <v>4</v>
      </c>
    </row>
    <row r="1810">
      <c r="A1810" t="inlineStr">
        <is>
          <t>ORD2809</t>
        </is>
      </c>
      <c r="B1810" t="inlineStr">
        <is>
          <t>2025-03-02</t>
        </is>
      </c>
      <c r="C1810" t="inlineStr">
        <is>
          <t>11:09:17</t>
        </is>
      </c>
      <c r="D1810" t="n">
        <v>1057</v>
      </c>
      <c r="E1810" t="n">
        <v>113</v>
      </c>
      <c r="F1810" t="n">
        <v>222</v>
      </c>
      <c r="G1810" t="inlineStr">
        <is>
          <t>Mumbai</t>
        </is>
      </c>
      <c r="H1810" t="inlineStr">
        <is>
          <t>Fast Food</t>
        </is>
      </c>
      <c r="I1810" t="n">
        <v>415</v>
      </c>
      <c r="J1810" t="n">
        <v>0</v>
      </c>
      <c r="K1810" t="n">
        <v>25</v>
      </c>
      <c r="L1810" t="n">
        <v>0.18</v>
      </c>
      <c r="M1810" t="n">
        <v>80.95</v>
      </c>
      <c r="N1810" t="n">
        <v>2.3</v>
      </c>
      <c r="O1810" t="n">
        <v>22.9</v>
      </c>
      <c r="P1810" t="inlineStr">
        <is>
          <t>Debit Card</t>
        </is>
      </c>
      <c r="Q1810" t="inlineStr">
        <is>
          <t>Delivered</t>
        </is>
      </c>
      <c r="R1810" t="n">
        <v>5</v>
      </c>
    </row>
    <row r="1811">
      <c r="A1811" t="inlineStr">
        <is>
          <t>ORD2810</t>
        </is>
      </c>
      <c r="B1811" t="inlineStr">
        <is>
          <t>2025-03-08</t>
        </is>
      </c>
      <c r="C1811" t="inlineStr">
        <is>
          <t>12:13:54</t>
        </is>
      </c>
      <c r="D1811" t="n">
        <v>1124</v>
      </c>
      <c r="E1811" t="n">
        <v>108</v>
      </c>
      <c r="F1811" t="n">
        <v>219</v>
      </c>
      <c r="G1811" t="inlineStr">
        <is>
          <t>Delhi NCR</t>
        </is>
      </c>
      <c r="H1811" t="inlineStr">
        <is>
          <t>Fast Food</t>
        </is>
      </c>
      <c r="I1811" t="n">
        <v>247</v>
      </c>
      <c r="J1811" t="n">
        <v>0</v>
      </c>
      <c r="K1811" t="n">
        <v>25</v>
      </c>
      <c r="L1811" t="n">
        <v>0.18</v>
      </c>
      <c r="M1811" t="n">
        <v>50.71</v>
      </c>
      <c r="N1811" t="n">
        <v>3</v>
      </c>
      <c r="O1811" t="n">
        <v>24.9</v>
      </c>
      <c r="P1811" t="inlineStr">
        <is>
          <t>Credit Card</t>
        </is>
      </c>
      <c r="Q1811" t="inlineStr">
        <is>
          <t>Delivered</t>
        </is>
      </c>
      <c r="R1811" t="n">
        <v>4</v>
      </c>
    </row>
    <row r="1812">
      <c r="A1812" t="inlineStr">
        <is>
          <t>ORD2811</t>
        </is>
      </c>
      <c r="B1812" t="inlineStr">
        <is>
          <t>2025-09-04</t>
        </is>
      </c>
      <c r="C1812" t="inlineStr">
        <is>
          <t>10:59:03</t>
        </is>
      </c>
      <c r="D1812" t="n">
        <v>1205</v>
      </c>
      <c r="E1812" t="n">
        <v>107</v>
      </c>
      <c r="F1812" t="n">
        <v>229</v>
      </c>
      <c r="G1812" t="inlineStr">
        <is>
          <t>Mumbai</t>
        </is>
      </c>
      <c r="H1812" t="inlineStr">
        <is>
          <t>Desserts</t>
        </is>
      </c>
      <c r="I1812" t="n">
        <v>652</v>
      </c>
      <c r="J1812" t="n">
        <v>38.22</v>
      </c>
      <c r="K1812" t="n">
        <v>27</v>
      </c>
      <c r="L1812" t="n">
        <v>0.25</v>
      </c>
      <c r="M1812" t="n">
        <v>169.75</v>
      </c>
      <c r="N1812" t="n">
        <v>3.4</v>
      </c>
      <c r="O1812" t="n">
        <v>36.3</v>
      </c>
      <c r="P1812" t="inlineStr">
        <is>
          <t>Cash on Delivery</t>
        </is>
      </c>
      <c r="Q1812" t="inlineStr">
        <is>
          <t>Delivered</t>
        </is>
      </c>
      <c r="R1812" t="n">
        <v>1</v>
      </c>
    </row>
    <row r="1813">
      <c r="A1813" t="inlineStr">
        <is>
          <t>ORD2812</t>
        </is>
      </c>
      <c r="B1813" t="inlineStr">
        <is>
          <t>2025-05-23</t>
        </is>
      </c>
      <c r="C1813" t="inlineStr">
        <is>
          <t>11:03:10</t>
        </is>
      </c>
      <c r="D1813" t="n">
        <v>1023</v>
      </c>
      <c r="E1813" t="n">
        <v>101</v>
      </c>
      <c r="F1813" t="n">
        <v>203</v>
      </c>
      <c r="G1813" t="inlineStr">
        <is>
          <t>Bangalore</t>
        </is>
      </c>
      <c r="H1813" t="inlineStr">
        <is>
          <t>North Indian</t>
        </is>
      </c>
      <c r="I1813" t="n">
        <v>833</v>
      </c>
      <c r="J1813" t="n">
        <v>29.53</v>
      </c>
      <c r="K1813" t="n">
        <v>28</v>
      </c>
      <c r="L1813" t="n">
        <v>0.2</v>
      </c>
      <c r="M1813" t="n">
        <v>173.6</v>
      </c>
      <c r="N1813" t="n">
        <v>3.6</v>
      </c>
      <c r="O1813" t="n">
        <v>29.8</v>
      </c>
      <c r="P1813" t="inlineStr">
        <is>
          <t>UPI</t>
        </is>
      </c>
      <c r="Q1813" t="inlineStr">
        <is>
          <t>Delivered</t>
        </is>
      </c>
      <c r="R1813" t="n">
        <v>4</v>
      </c>
    </row>
    <row r="1814">
      <c r="A1814" t="inlineStr">
        <is>
          <t>ORD2813</t>
        </is>
      </c>
      <c r="B1814" t="inlineStr">
        <is>
          <t>2025-07-31</t>
        </is>
      </c>
      <c r="C1814" t="inlineStr">
        <is>
          <t>19:14:08</t>
        </is>
      </c>
      <c r="D1814" t="n">
        <v>1226</v>
      </c>
      <c r="E1814" t="n">
        <v>115</v>
      </c>
      <c r="F1814" t="n">
        <v>218</v>
      </c>
      <c r="G1814" t="inlineStr">
        <is>
          <t>Bangalore</t>
        </is>
      </c>
      <c r="H1814" t="inlineStr">
        <is>
          <t>Italian</t>
        </is>
      </c>
      <c r="I1814" t="n">
        <v>349</v>
      </c>
      <c r="J1814" t="n">
        <v>14.83</v>
      </c>
      <c r="K1814" t="n">
        <v>35</v>
      </c>
      <c r="L1814" t="n">
        <v>0.2</v>
      </c>
      <c r="M1814" t="n">
        <v>78.55</v>
      </c>
      <c r="N1814" t="n">
        <v>5</v>
      </c>
      <c r="O1814" t="n">
        <v>41.4</v>
      </c>
      <c r="P1814" t="inlineStr">
        <is>
          <t>UPI</t>
        </is>
      </c>
      <c r="Q1814" t="inlineStr">
        <is>
          <t>Delivered</t>
        </is>
      </c>
      <c r="R1814" t="n">
        <v>3</v>
      </c>
    </row>
    <row r="1815">
      <c r="A1815" t="inlineStr">
        <is>
          <t>ORD2814</t>
        </is>
      </c>
      <c r="B1815" t="inlineStr">
        <is>
          <t>2025-03-23</t>
        </is>
      </c>
      <c r="C1815" t="inlineStr">
        <is>
          <t>12:52:56</t>
        </is>
      </c>
      <c r="D1815" t="n">
        <v>1186</v>
      </c>
      <c r="E1815" t="n">
        <v>109</v>
      </c>
      <c r="F1815" t="n">
        <v>225</v>
      </c>
      <c r="G1815" t="inlineStr">
        <is>
          <t>Hyderabad</t>
        </is>
      </c>
      <c r="H1815" t="inlineStr">
        <is>
          <t>Biryani</t>
        </is>
      </c>
      <c r="I1815" t="n">
        <v>920</v>
      </c>
      <c r="J1815" t="n">
        <v>86.68000000000001</v>
      </c>
      <c r="K1815" t="n">
        <v>51.5</v>
      </c>
      <c r="L1815" t="n">
        <v>0.2</v>
      </c>
      <c r="M1815" t="n">
        <v>196.88</v>
      </c>
      <c r="N1815" t="n">
        <v>8.300000000000001</v>
      </c>
      <c r="O1815" t="n">
        <v>52.3</v>
      </c>
      <c r="P1815" t="inlineStr">
        <is>
          <t>Debit Card</t>
        </is>
      </c>
      <c r="Q1815" t="inlineStr">
        <is>
          <t>Delivered</t>
        </is>
      </c>
      <c r="R1815" t="n">
        <v>4</v>
      </c>
    </row>
    <row r="1816">
      <c r="A1816" t="inlineStr">
        <is>
          <t>ORD2815</t>
        </is>
      </c>
      <c r="B1816" t="inlineStr">
        <is>
          <t>2025-01-31</t>
        </is>
      </c>
      <c r="C1816" t="inlineStr">
        <is>
          <t>12:07:01</t>
        </is>
      </c>
      <c r="D1816" t="n">
        <v>1063</v>
      </c>
      <c r="E1816" t="n">
        <v>101</v>
      </c>
      <c r="F1816" t="n">
        <v>220</v>
      </c>
      <c r="G1816" t="inlineStr">
        <is>
          <t>Bangalore</t>
        </is>
      </c>
      <c r="H1816" t="inlineStr">
        <is>
          <t>North Indian</t>
        </is>
      </c>
      <c r="I1816" t="n">
        <v>850</v>
      </c>
      <c r="J1816" t="n">
        <v>64.11</v>
      </c>
      <c r="K1816" t="n">
        <v>52.5</v>
      </c>
      <c r="L1816" t="n">
        <v>0.2</v>
      </c>
      <c r="M1816" t="n">
        <v>183.12</v>
      </c>
      <c r="N1816" t="n">
        <v>8.5</v>
      </c>
      <c r="O1816" t="n">
        <v>54.8</v>
      </c>
      <c r="P1816" t="inlineStr">
        <is>
          <t>Cash on Delivery</t>
        </is>
      </c>
      <c r="Q1816" t="inlineStr">
        <is>
          <t>Delivered</t>
        </is>
      </c>
      <c r="R1816" t="n">
        <v>4</v>
      </c>
    </row>
    <row r="1817">
      <c r="A1817" t="inlineStr">
        <is>
          <t>ORD2816</t>
        </is>
      </c>
      <c r="B1817" t="inlineStr">
        <is>
          <t>2025-06-07</t>
        </is>
      </c>
      <c r="C1817" t="inlineStr">
        <is>
          <t>12:39:04</t>
        </is>
      </c>
      <c r="D1817" t="n">
        <v>1197</v>
      </c>
      <c r="E1817" t="n">
        <v>107</v>
      </c>
      <c r="F1817" t="n">
        <v>202</v>
      </c>
      <c r="G1817" t="inlineStr">
        <is>
          <t>Mumbai</t>
        </is>
      </c>
      <c r="H1817" t="inlineStr">
        <is>
          <t>Desserts</t>
        </is>
      </c>
      <c r="I1817" t="n">
        <v>599</v>
      </c>
      <c r="J1817" t="n">
        <v>48.52</v>
      </c>
      <c r="K1817" t="n">
        <v>42.5</v>
      </c>
      <c r="L1817" t="n">
        <v>0.25</v>
      </c>
      <c r="M1817" t="n">
        <v>160.38</v>
      </c>
      <c r="N1817" t="n">
        <v>6.5</v>
      </c>
      <c r="O1817" t="n">
        <v>43.8</v>
      </c>
      <c r="P1817" t="inlineStr">
        <is>
          <t>Debit Card</t>
        </is>
      </c>
      <c r="Q1817" t="inlineStr">
        <is>
          <t>Delivered</t>
        </is>
      </c>
      <c r="R1817" t="n">
        <v>4</v>
      </c>
    </row>
    <row r="1818">
      <c r="A1818" t="inlineStr">
        <is>
          <t>ORD2817</t>
        </is>
      </c>
      <c r="B1818" t="inlineStr">
        <is>
          <t>2025-03-30</t>
        </is>
      </c>
      <c r="C1818" t="inlineStr">
        <is>
          <t>17:15:16</t>
        </is>
      </c>
      <c r="D1818" t="n">
        <v>1014</v>
      </c>
      <c r="E1818" t="n">
        <v>108</v>
      </c>
      <c r="F1818" t="n">
        <v>230</v>
      </c>
      <c r="G1818" t="inlineStr">
        <is>
          <t>Delhi NCR</t>
        </is>
      </c>
      <c r="H1818" t="inlineStr">
        <is>
          <t>Fast Food</t>
        </is>
      </c>
      <c r="I1818" t="n">
        <v>711</v>
      </c>
      <c r="J1818" t="n">
        <v>7.78</v>
      </c>
      <c r="K1818" t="n">
        <v>30</v>
      </c>
      <c r="L1818" t="n">
        <v>0.18</v>
      </c>
      <c r="M1818" t="n">
        <v>135.48</v>
      </c>
      <c r="N1818" t="n">
        <v>4</v>
      </c>
      <c r="O1818" t="n">
        <v>31.8</v>
      </c>
      <c r="P1818" t="inlineStr">
        <is>
          <t>Cash on Delivery</t>
        </is>
      </c>
      <c r="Q1818" t="inlineStr">
        <is>
          <t>Delivered</t>
        </is>
      </c>
      <c r="R1818" t="n">
        <v>4</v>
      </c>
    </row>
    <row r="1819">
      <c r="A1819" t="inlineStr">
        <is>
          <t>ORD2818</t>
        </is>
      </c>
      <c r="B1819" t="inlineStr">
        <is>
          <t>2025-01-23</t>
        </is>
      </c>
      <c r="C1819" t="inlineStr">
        <is>
          <t>13:35:03</t>
        </is>
      </c>
      <c r="D1819" t="n">
        <v>1010</v>
      </c>
      <c r="E1819" t="n">
        <v>102</v>
      </c>
      <c r="F1819" t="n">
        <v>215</v>
      </c>
      <c r="G1819" t="inlineStr">
        <is>
          <t>Hyderabad</t>
        </is>
      </c>
      <c r="H1819" t="inlineStr">
        <is>
          <t>Biryani</t>
        </is>
      </c>
      <c r="I1819" t="n">
        <v>341</v>
      </c>
      <c r="J1819" t="n">
        <v>36.08</v>
      </c>
      <c r="K1819" t="n">
        <v>25</v>
      </c>
      <c r="L1819" t="n">
        <v>0.22</v>
      </c>
      <c r="M1819" t="n">
        <v>81.27</v>
      </c>
      <c r="N1819" t="n">
        <v>2.1</v>
      </c>
      <c r="O1819" t="n">
        <v>25.2</v>
      </c>
      <c r="P1819" t="inlineStr">
        <is>
          <t>UPI</t>
        </is>
      </c>
      <c r="Q1819" t="inlineStr">
        <is>
          <t>Delivered</t>
        </is>
      </c>
      <c r="R1819" t="n">
        <v>5</v>
      </c>
    </row>
    <row r="1820">
      <c r="A1820" t="inlineStr">
        <is>
          <t>ORD2819</t>
        </is>
      </c>
      <c r="B1820" t="inlineStr">
        <is>
          <t>2025-07-31</t>
        </is>
      </c>
      <c r="C1820" t="inlineStr">
        <is>
          <t>16:35:14</t>
        </is>
      </c>
      <c r="D1820" t="n">
        <v>1199</v>
      </c>
      <c r="E1820" t="n">
        <v>109</v>
      </c>
      <c r="F1820" t="n">
        <v>225</v>
      </c>
      <c r="G1820" t="inlineStr">
        <is>
          <t>Hyderabad</t>
        </is>
      </c>
      <c r="H1820" t="inlineStr">
        <is>
          <t>Biryani</t>
        </is>
      </c>
      <c r="I1820" t="n">
        <v>537</v>
      </c>
      <c r="J1820" t="n">
        <v>75.11</v>
      </c>
      <c r="K1820" t="n">
        <v>0</v>
      </c>
      <c r="L1820" t="n">
        <v>0.2</v>
      </c>
      <c r="M1820" t="n">
        <v>107.4</v>
      </c>
      <c r="N1820" t="n">
        <v>1.3</v>
      </c>
      <c r="O1820" t="n">
        <v>24.3</v>
      </c>
      <c r="P1820" t="inlineStr">
        <is>
          <t>UPI</t>
        </is>
      </c>
      <c r="Q1820" t="inlineStr">
        <is>
          <t>Delivered</t>
        </is>
      </c>
      <c r="R1820" t="n">
        <v>5</v>
      </c>
    </row>
    <row r="1821">
      <c r="A1821" t="inlineStr">
        <is>
          <t>ORD2820</t>
        </is>
      </c>
      <c r="B1821" t="inlineStr">
        <is>
          <t>2025-09-22</t>
        </is>
      </c>
      <c r="C1821" t="inlineStr">
        <is>
          <t>19:02:34</t>
        </is>
      </c>
      <c r="D1821" t="n">
        <v>1265</v>
      </c>
      <c r="E1821" t="n">
        <v>101</v>
      </c>
      <c r="F1821" t="n">
        <v>227</v>
      </c>
      <c r="G1821" t="inlineStr">
        <is>
          <t>Bangalore</t>
        </is>
      </c>
      <c r="H1821" t="inlineStr">
        <is>
          <t>North Indian</t>
        </is>
      </c>
      <c r="I1821" t="n">
        <v>465</v>
      </c>
      <c r="J1821" t="n">
        <v>51.03</v>
      </c>
      <c r="K1821" t="n">
        <v>30.5</v>
      </c>
      <c r="L1821" t="n">
        <v>0.2</v>
      </c>
      <c r="M1821" t="n">
        <v>100.62</v>
      </c>
      <c r="N1821" t="n">
        <v>4.1</v>
      </c>
      <c r="O1821" t="n">
        <v>36.7</v>
      </c>
      <c r="P1821" t="inlineStr">
        <is>
          <t>Debit Card</t>
        </is>
      </c>
      <c r="Q1821" t="inlineStr">
        <is>
          <t>Delivered</t>
        </is>
      </c>
      <c r="R1821" t="n">
        <v>1</v>
      </c>
    </row>
    <row r="1822">
      <c r="A1822" t="inlineStr">
        <is>
          <t>ORD2821</t>
        </is>
      </c>
      <c r="B1822" t="inlineStr">
        <is>
          <t>2025-10-31</t>
        </is>
      </c>
      <c r="C1822" t="inlineStr">
        <is>
          <t>11:01:55</t>
        </is>
      </c>
      <c r="D1822" t="n">
        <v>1139</v>
      </c>
      <c r="E1822" t="n">
        <v>104</v>
      </c>
      <c r="F1822" t="n">
        <v>212</v>
      </c>
      <c r="G1822" t="inlineStr">
        <is>
          <t>Delhi NCR</t>
        </is>
      </c>
      <c r="H1822" t="inlineStr">
        <is>
          <t>Fast Food</t>
        </is>
      </c>
      <c r="I1822" t="n">
        <v>330</v>
      </c>
      <c r="J1822" t="n">
        <v>18.59</v>
      </c>
      <c r="K1822" t="n">
        <v>39</v>
      </c>
      <c r="L1822" t="n">
        <v>0.18</v>
      </c>
      <c r="M1822" t="n">
        <v>69.15000000000001</v>
      </c>
      <c r="N1822" t="n">
        <v>5.8</v>
      </c>
      <c r="O1822" t="n">
        <v>33.2</v>
      </c>
      <c r="P1822" t="inlineStr">
        <is>
          <t>Credit Card</t>
        </is>
      </c>
      <c r="Q1822" t="inlineStr">
        <is>
          <t>Delivered</t>
        </is>
      </c>
      <c r="R1822" t="n">
        <v>3</v>
      </c>
    </row>
    <row r="1823">
      <c r="A1823" t="inlineStr">
        <is>
          <t>ORD2822</t>
        </is>
      </c>
      <c r="B1823" t="inlineStr">
        <is>
          <t>2025-02-22</t>
        </is>
      </c>
      <c r="C1823" t="inlineStr">
        <is>
          <t>11:15:03</t>
        </is>
      </c>
      <c r="D1823" t="n">
        <v>1253</v>
      </c>
      <c r="E1823" t="n">
        <v>109</v>
      </c>
      <c r="F1823" t="n">
        <v>225</v>
      </c>
      <c r="G1823" t="inlineStr">
        <is>
          <t>Hyderabad</t>
        </is>
      </c>
      <c r="H1823" t="inlineStr">
        <is>
          <t>Biryani</t>
        </is>
      </c>
      <c r="I1823" t="n">
        <v>975</v>
      </c>
      <c r="J1823" t="n">
        <v>119.85</v>
      </c>
      <c r="K1823" t="n">
        <v>0</v>
      </c>
      <c r="L1823" t="n">
        <v>0.2</v>
      </c>
      <c r="M1823" t="n">
        <v>195</v>
      </c>
      <c r="N1823" t="n">
        <v>4.7</v>
      </c>
      <c r="O1823" t="n">
        <v>35.3</v>
      </c>
      <c r="P1823" t="inlineStr">
        <is>
          <t>UPI</t>
        </is>
      </c>
      <c r="Q1823" t="inlineStr">
        <is>
          <t>Delivered</t>
        </is>
      </c>
      <c r="R1823" t="n">
        <v>3</v>
      </c>
    </row>
    <row r="1824">
      <c r="A1824" t="inlineStr">
        <is>
          <t>ORD2823</t>
        </is>
      </c>
      <c r="B1824" t="inlineStr">
        <is>
          <t>2025-09-09</t>
        </is>
      </c>
      <c r="C1824" t="inlineStr">
        <is>
          <t>18:19:12</t>
        </is>
      </c>
      <c r="D1824" t="n">
        <v>1021</v>
      </c>
      <c r="E1824" t="n">
        <v>106</v>
      </c>
      <c r="F1824" t="n">
        <v>204</v>
      </c>
      <c r="G1824" t="inlineStr">
        <is>
          <t>Pune</t>
        </is>
      </c>
      <c r="H1824" t="inlineStr">
        <is>
          <t>South Indian</t>
        </is>
      </c>
      <c r="I1824" t="n">
        <v>630</v>
      </c>
      <c r="J1824" t="n">
        <v>39.22</v>
      </c>
      <c r="K1824" t="n">
        <v>25</v>
      </c>
      <c r="L1824" t="n">
        <v>0.15</v>
      </c>
      <c r="M1824" t="n">
        <v>100.75</v>
      </c>
      <c r="N1824" t="n">
        <v>2.9</v>
      </c>
      <c r="O1824" t="n">
        <v>27.4</v>
      </c>
      <c r="P1824" t="inlineStr">
        <is>
          <t>UPI</t>
        </is>
      </c>
      <c r="Q1824" t="inlineStr">
        <is>
          <t>Delivered</t>
        </is>
      </c>
      <c r="R1824" t="n">
        <v>5</v>
      </c>
    </row>
    <row r="1825">
      <c r="A1825" t="inlineStr">
        <is>
          <t>ORD2824</t>
        </is>
      </c>
      <c r="B1825" t="inlineStr">
        <is>
          <t>2025-04-04</t>
        </is>
      </c>
      <c r="C1825" t="inlineStr">
        <is>
          <t>18:22:34</t>
        </is>
      </c>
      <c r="D1825" t="n">
        <v>1119</v>
      </c>
      <c r="E1825" t="n">
        <v>118</v>
      </c>
      <c r="F1825" t="n">
        <v>221</v>
      </c>
      <c r="G1825" t="inlineStr">
        <is>
          <t>Delhi NCR</t>
        </is>
      </c>
      <c r="H1825" t="inlineStr">
        <is>
          <t>North Indian</t>
        </is>
      </c>
      <c r="I1825" t="n">
        <v>1033</v>
      </c>
      <c r="J1825" t="n">
        <v>140.01</v>
      </c>
      <c r="K1825" t="n">
        <v>0</v>
      </c>
      <c r="L1825" t="n">
        <v>0.2</v>
      </c>
      <c r="M1825" t="n">
        <v>206.6</v>
      </c>
      <c r="N1825" t="n">
        <v>6.6</v>
      </c>
      <c r="O1825" t="n">
        <v>35.2</v>
      </c>
      <c r="P1825" t="inlineStr">
        <is>
          <t>Cash on Delivery</t>
        </is>
      </c>
      <c r="Q1825" t="inlineStr">
        <is>
          <t>Delivered</t>
        </is>
      </c>
      <c r="R1825" t="n">
        <v>2</v>
      </c>
    </row>
    <row r="1826">
      <c r="A1826" t="inlineStr">
        <is>
          <t>ORD2825</t>
        </is>
      </c>
      <c r="B1826" t="inlineStr">
        <is>
          <t>2025-04-15</t>
        </is>
      </c>
      <c r="C1826" t="inlineStr">
        <is>
          <t>10:07:35</t>
        </is>
      </c>
      <c r="D1826" t="n">
        <v>1235</v>
      </c>
      <c r="E1826" t="n">
        <v>114</v>
      </c>
      <c r="F1826" t="n">
        <v>216</v>
      </c>
      <c r="G1826" t="inlineStr">
        <is>
          <t>Hyderabad</t>
        </is>
      </c>
      <c r="H1826" t="inlineStr">
        <is>
          <t>Biryani</t>
        </is>
      </c>
      <c r="I1826" t="n">
        <v>225</v>
      </c>
      <c r="J1826" t="n">
        <v>0</v>
      </c>
      <c r="K1826" t="n">
        <v>25</v>
      </c>
      <c r="L1826" t="n">
        <v>0.22</v>
      </c>
      <c r="M1826" t="n">
        <v>55.75</v>
      </c>
      <c r="N1826" t="n">
        <v>1.8</v>
      </c>
      <c r="O1826" t="n">
        <v>28.9</v>
      </c>
      <c r="P1826" t="inlineStr">
        <is>
          <t>Credit Card</t>
        </is>
      </c>
      <c r="Q1826" t="inlineStr">
        <is>
          <t>Delivered</t>
        </is>
      </c>
      <c r="R1826" t="n">
        <v>3</v>
      </c>
    </row>
    <row r="1827">
      <c r="A1827" t="inlineStr">
        <is>
          <t>ORD2826</t>
        </is>
      </c>
      <c r="B1827" t="inlineStr">
        <is>
          <t>2025-05-11</t>
        </is>
      </c>
      <c r="C1827" t="inlineStr">
        <is>
          <t>08:53:27</t>
        </is>
      </c>
      <c r="D1827" t="n">
        <v>1287</v>
      </c>
      <c r="E1827" t="n">
        <v>111</v>
      </c>
      <c r="F1827" t="n">
        <v>227</v>
      </c>
      <c r="G1827" t="inlineStr">
        <is>
          <t>Bangalore</t>
        </is>
      </c>
      <c r="H1827" t="inlineStr">
        <is>
          <t>South Indian</t>
        </is>
      </c>
      <c r="I1827" t="n">
        <v>623</v>
      </c>
      <c r="J1827" t="n">
        <v>0</v>
      </c>
      <c r="K1827" t="n">
        <v>35.5</v>
      </c>
      <c r="L1827" t="n">
        <v>0.15</v>
      </c>
      <c r="M1827" t="n">
        <v>102.32</v>
      </c>
      <c r="N1827" t="n">
        <v>5.1</v>
      </c>
      <c r="O1827" t="n">
        <v>31.2</v>
      </c>
      <c r="P1827" t="inlineStr">
        <is>
          <t>Debit Card</t>
        </is>
      </c>
      <c r="Q1827" t="inlineStr">
        <is>
          <t>Delivered</t>
        </is>
      </c>
      <c r="R1827" t="n">
        <v>3</v>
      </c>
    </row>
    <row r="1828">
      <c r="A1828" t="inlineStr">
        <is>
          <t>ORD2827</t>
        </is>
      </c>
      <c r="B1828" t="inlineStr">
        <is>
          <t>2025-12-25</t>
        </is>
      </c>
      <c r="C1828" t="inlineStr">
        <is>
          <t>21:54:30</t>
        </is>
      </c>
      <c r="D1828" t="n">
        <v>1137</v>
      </c>
      <c r="E1828" t="n">
        <v>116</v>
      </c>
      <c r="F1828" t="n">
        <v>224</v>
      </c>
      <c r="G1828" t="inlineStr">
        <is>
          <t>Pune</t>
        </is>
      </c>
      <c r="H1828" t="inlineStr">
        <is>
          <t>Desserts</t>
        </is>
      </c>
      <c r="I1828" t="n">
        <v>239</v>
      </c>
      <c r="J1828" t="n">
        <v>0</v>
      </c>
      <c r="K1828" t="n">
        <v>29</v>
      </c>
      <c r="L1828" t="n">
        <v>0.25</v>
      </c>
      <c r="M1828" t="n">
        <v>67</v>
      </c>
      <c r="N1828" t="n">
        <v>3.8</v>
      </c>
      <c r="O1828" t="n">
        <v>36.9</v>
      </c>
      <c r="P1828" t="inlineStr">
        <is>
          <t>Cash on Delivery</t>
        </is>
      </c>
      <c r="Q1828" t="inlineStr">
        <is>
          <t>Delivered</t>
        </is>
      </c>
      <c r="R1828" t="n">
        <v>5</v>
      </c>
    </row>
    <row r="1829">
      <c r="A1829" t="inlineStr">
        <is>
          <t>ORD2828</t>
        </is>
      </c>
      <c r="B1829" t="inlineStr">
        <is>
          <t>2025-06-09</t>
        </is>
      </c>
      <c r="C1829" t="inlineStr">
        <is>
          <t>14:21:40</t>
        </is>
      </c>
      <c r="D1829" t="n">
        <v>1202</v>
      </c>
      <c r="E1829" t="n">
        <v>101</v>
      </c>
      <c r="F1829" t="n">
        <v>203</v>
      </c>
      <c r="G1829" t="inlineStr">
        <is>
          <t>Bangalore</t>
        </is>
      </c>
      <c r="H1829" t="inlineStr">
        <is>
          <t>North Indian</t>
        </is>
      </c>
      <c r="I1829" t="n">
        <v>823</v>
      </c>
      <c r="J1829" t="n">
        <v>0</v>
      </c>
      <c r="K1829" t="n">
        <v>57</v>
      </c>
      <c r="L1829" t="n">
        <v>0.2</v>
      </c>
      <c r="M1829" t="n">
        <v>178.85</v>
      </c>
      <c r="N1829" t="n">
        <v>9.4</v>
      </c>
      <c r="O1829" t="n">
        <v>50</v>
      </c>
      <c r="P1829" t="inlineStr">
        <is>
          <t>UPI</t>
        </is>
      </c>
      <c r="Q1829" t="inlineStr">
        <is>
          <t>Delivered</t>
        </is>
      </c>
      <c r="R1829" t="n">
        <v>2</v>
      </c>
    </row>
    <row r="1830">
      <c r="A1830" t="inlineStr">
        <is>
          <t>ORD2829</t>
        </is>
      </c>
      <c r="B1830" t="inlineStr">
        <is>
          <t>2025-10-29</t>
        </is>
      </c>
      <c r="C1830" t="inlineStr">
        <is>
          <t>13:31:42</t>
        </is>
      </c>
      <c r="D1830" t="n">
        <v>1036</v>
      </c>
      <c r="E1830" t="n">
        <v>103</v>
      </c>
      <c r="F1830" t="n">
        <v>202</v>
      </c>
      <c r="G1830" t="inlineStr">
        <is>
          <t>Mumbai</t>
        </is>
      </c>
      <c r="H1830" t="inlineStr">
        <is>
          <t>Italian</t>
        </is>
      </c>
      <c r="I1830" t="n">
        <v>698</v>
      </c>
      <c r="J1830" t="n">
        <v>40.97</v>
      </c>
      <c r="K1830" t="n">
        <v>27</v>
      </c>
      <c r="L1830" t="n">
        <v>0.18</v>
      </c>
      <c r="M1830" t="n">
        <v>132.39</v>
      </c>
      <c r="N1830" t="n">
        <v>3.4</v>
      </c>
      <c r="O1830" t="n">
        <v>28.1</v>
      </c>
      <c r="P1830" t="inlineStr">
        <is>
          <t>UPI</t>
        </is>
      </c>
      <c r="Q1830" t="inlineStr">
        <is>
          <t>Delivered</t>
        </is>
      </c>
      <c r="R1830" t="n">
        <v>4</v>
      </c>
    </row>
    <row r="1831">
      <c r="A1831" t="inlineStr">
        <is>
          <t>ORD2830</t>
        </is>
      </c>
      <c r="B1831" t="inlineStr">
        <is>
          <t>2025-10-16</t>
        </is>
      </c>
      <c r="C1831" t="inlineStr">
        <is>
          <t>20:48:44</t>
        </is>
      </c>
      <c r="D1831" t="n">
        <v>1232</v>
      </c>
      <c r="E1831" t="n">
        <v>114</v>
      </c>
      <c r="F1831" t="n">
        <v>225</v>
      </c>
      <c r="G1831" t="inlineStr">
        <is>
          <t>Hyderabad</t>
        </is>
      </c>
      <c r="H1831" t="inlineStr">
        <is>
          <t>Biryani</t>
        </is>
      </c>
      <c r="I1831" t="n">
        <v>944</v>
      </c>
      <c r="J1831" t="n">
        <v>20.36</v>
      </c>
      <c r="K1831" t="n">
        <v>25</v>
      </c>
      <c r="L1831" t="n">
        <v>0.22</v>
      </c>
      <c r="M1831" t="n">
        <v>213.93</v>
      </c>
      <c r="N1831" t="n">
        <v>2.7</v>
      </c>
      <c r="O1831" t="n">
        <v>24.7</v>
      </c>
      <c r="P1831" t="inlineStr">
        <is>
          <t>Credit Card</t>
        </is>
      </c>
      <c r="Q1831" t="inlineStr">
        <is>
          <t>Delivered</t>
        </is>
      </c>
      <c r="R1831" t="n">
        <v>4</v>
      </c>
    </row>
    <row r="1832">
      <c r="A1832" t="inlineStr">
        <is>
          <t>ORD2831</t>
        </is>
      </c>
      <c r="B1832" t="inlineStr">
        <is>
          <t>2025-01-22</t>
        </is>
      </c>
      <c r="C1832" t="inlineStr">
        <is>
          <t>11:16:39</t>
        </is>
      </c>
      <c r="D1832" t="n">
        <v>1076</v>
      </c>
      <c r="E1832" t="n">
        <v>112</v>
      </c>
      <c r="F1832" t="n">
        <v>211</v>
      </c>
      <c r="G1832" t="inlineStr">
        <is>
          <t>Delhi NCR</t>
        </is>
      </c>
      <c r="H1832" t="inlineStr">
        <is>
          <t>North Indian</t>
        </is>
      </c>
      <c r="I1832" t="n">
        <v>843</v>
      </c>
      <c r="J1832" t="n">
        <v>71.76000000000001</v>
      </c>
      <c r="K1832" t="n">
        <v>25</v>
      </c>
      <c r="L1832" t="n">
        <v>0.22</v>
      </c>
      <c r="M1832" t="n">
        <v>191.71</v>
      </c>
      <c r="N1832" t="n">
        <v>2.5</v>
      </c>
      <c r="O1832" t="n">
        <v>28.2</v>
      </c>
      <c r="P1832" t="inlineStr">
        <is>
          <t>Debit Card</t>
        </is>
      </c>
      <c r="Q1832" t="inlineStr">
        <is>
          <t>Delivered</t>
        </is>
      </c>
      <c r="R1832" t="n">
        <v>5</v>
      </c>
    </row>
    <row r="1833">
      <c r="A1833" t="inlineStr">
        <is>
          <t>ORD2832</t>
        </is>
      </c>
      <c r="B1833" t="inlineStr">
        <is>
          <t>2025-11-24</t>
        </is>
      </c>
      <c r="C1833" t="inlineStr">
        <is>
          <t>19:14:41</t>
        </is>
      </c>
      <c r="D1833" t="n">
        <v>1219</v>
      </c>
      <c r="E1833" t="n">
        <v>112</v>
      </c>
      <c r="F1833" t="n">
        <v>221</v>
      </c>
      <c r="G1833" t="inlineStr">
        <is>
          <t>Delhi NCR</t>
        </is>
      </c>
      <c r="H1833" t="inlineStr">
        <is>
          <t>North Indian</t>
        </is>
      </c>
      <c r="I1833" t="n">
        <v>286</v>
      </c>
      <c r="J1833" t="n">
        <v>18.28</v>
      </c>
      <c r="K1833" t="n">
        <v>25</v>
      </c>
      <c r="L1833" t="n">
        <v>0.22</v>
      </c>
      <c r="M1833" t="n">
        <v>69.17</v>
      </c>
      <c r="N1833" t="n">
        <v>1.7</v>
      </c>
      <c r="O1833" t="n">
        <v>24.4</v>
      </c>
      <c r="P1833" t="inlineStr">
        <is>
          <t>UPI</t>
        </is>
      </c>
      <c r="Q1833" t="inlineStr">
        <is>
          <t>Delivered</t>
        </is>
      </c>
      <c r="R1833" t="n">
        <v>5</v>
      </c>
    </row>
    <row r="1834">
      <c r="A1834" t="inlineStr">
        <is>
          <t>ORD2833</t>
        </is>
      </c>
      <c r="B1834" t="inlineStr">
        <is>
          <t>2025-02-22</t>
        </is>
      </c>
      <c r="C1834" t="inlineStr">
        <is>
          <t>12:26:58</t>
        </is>
      </c>
      <c r="D1834" t="n">
        <v>1157</v>
      </c>
      <c r="E1834" t="n">
        <v>119</v>
      </c>
      <c r="F1834" t="n">
        <v>216</v>
      </c>
      <c r="G1834" t="inlineStr">
        <is>
          <t>Hyderabad</t>
        </is>
      </c>
      <c r="H1834" t="inlineStr">
        <is>
          <t>Biryani</t>
        </is>
      </c>
      <c r="I1834" t="n">
        <v>611</v>
      </c>
      <c r="J1834" t="n">
        <v>71.41</v>
      </c>
      <c r="K1834" t="n">
        <v>27.5</v>
      </c>
      <c r="L1834" t="n">
        <v>0.2</v>
      </c>
      <c r="M1834" t="n">
        <v>129.07</v>
      </c>
      <c r="N1834" t="n">
        <v>3.5</v>
      </c>
      <c r="O1834" t="n">
        <v>33</v>
      </c>
      <c r="P1834" t="inlineStr">
        <is>
          <t>Cash on Delivery</t>
        </is>
      </c>
      <c r="Q1834" t="inlineStr">
        <is>
          <t>Delivered</t>
        </is>
      </c>
      <c r="R1834" t="n">
        <v>2</v>
      </c>
    </row>
    <row r="1835">
      <c r="A1835" t="inlineStr">
        <is>
          <t>ORD2834</t>
        </is>
      </c>
      <c r="B1835" t="inlineStr">
        <is>
          <t>2025-09-03</t>
        </is>
      </c>
      <c r="C1835" t="inlineStr">
        <is>
          <t>21:36:17</t>
        </is>
      </c>
      <c r="D1835" t="n">
        <v>1181</v>
      </c>
      <c r="E1835" t="n">
        <v>111</v>
      </c>
      <c r="F1835" t="n">
        <v>223</v>
      </c>
      <c r="G1835" t="inlineStr">
        <is>
          <t>Bangalore</t>
        </is>
      </c>
      <c r="H1835" t="inlineStr">
        <is>
          <t>South Indian</t>
        </is>
      </c>
      <c r="I1835" t="n">
        <v>474</v>
      </c>
      <c r="J1835" t="n">
        <v>0</v>
      </c>
      <c r="K1835" t="n">
        <v>36.5</v>
      </c>
      <c r="L1835" t="n">
        <v>0.15</v>
      </c>
      <c r="M1835" t="n">
        <v>80.22</v>
      </c>
      <c r="N1835" t="n">
        <v>5.3</v>
      </c>
      <c r="O1835" t="n">
        <v>36.4</v>
      </c>
      <c r="P1835" t="inlineStr">
        <is>
          <t>Debit Card</t>
        </is>
      </c>
      <c r="Q1835" t="inlineStr">
        <is>
          <t>Delivered</t>
        </is>
      </c>
      <c r="R1835" t="n">
        <v>4</v>
      </c>
    </row>
    <row r="1836">
      <c r="A1836" t="inlineStr">
        <is>
          <t>ORD2835</t>
        </is>
      </c>
      <c r="B1836" t="inlineStr">
        <is>
          <t>2025-12-19</t>
        </is>
      </c>
      <c r="C1836" t="inlineStr">
        <is>
          <t>19:32:42</t>
        </is>
      </c>
      <c r="D1836" t="n">
        <v>1056</v>
      </c>
      <c r="E1836" t="n">
        <v>114</v>
      </c>
      <c r="F1836" t="n">
        <v>225</v>
      </c>
      <c r="G1836" t="inlineStr">
        <is>
          <t>Hyderabad</t>
        </is>
      </c>
      <c r="H1836" t="inlineStr">
        <is>
          <t>Biryani</t>
        </is>
      </c>
      <c r="I1836" t="n">
        <v>1077</v>
      </c>
      <c r="J1836" t="n">
        <v>138.84</v>
      </c>
      <c r="K1836" t="n">
        <v>0</v>
      </c>
      <c r="L1836" t="n">
        <v>0.22</v>
      </c>
      <c r="M1836" t="n">
        <v>236.94</v>
      </c>
      <c r="N1836" t="n">
        <v>3.5</v>
      </c>
      <c r="O1836" t="n">
        <v>34.5</v>
      </c>
      <c r="P1836" t="inlineStr">
        <is>
          <t>UPI</t>
        </is>
      </c>
      <c r="Q1836" t="inlineStr">
        <is>
          <t>Delivered</t>
        </is>
      </c>
      <c r="R1836" t="n">
        <v>4</v>
      </c>
    </row>
    <row r="1837">
      <c r="A1837" t="inlineStr">
        <is>
          <t>ORD2836</t>
        </is>
      </c>
      <c r="B1837" t="inlineStr">
        <is>
          <t>2025-12-31</t>
        </is>
      </c>
      <c r="C1837" t="inlineStr">
        <is>
          <t>13:52:58</t>
        </is>
      </c>
      <c r="D1837" t="n">
        <v>1295</v>
      </c>
      <c r="E1837" t="n">
        <v>108</v>
      </c>
      <c r="F1837" t="n">
        <v>228</v>
      </c>
      <c r="G1837" t="inlineStr">
        <is>
          <t>Delhi NCR</t>
        </is>
      </c>
      <c r="H1837" t="inlineStr">
        <is>
          <t>Fast Food</t>
        </is>
      </c>
      <c r="I1837" t="n">
        <v>490</v>
      </c>
      <c r="J1837" t="n">
        <v>0</v>
      </c>
      <c r="K1837" t="n">
        <v>25</v>
      </c>
      <c r="L1837" t="n">
        <v>0.18</v>
      </c>
      <c r="M1837" t="n">
        <v>94.45</v>
      </c>
      <c r="N1837" t="n">
        <v>2.1</v>
      </c>
      <c r="O1837" t="n">
        <v>29.6</v>
      </c>
      <c r="P1837" t="inlineStr">
        <is>
          <t>Credit Card</t>
        </is>
      </c>
      <c r="Q1837" t="inlineStr">
        <is>
          <t>Delivered</t>
        </is>
      </c>
      <c r="R1837" t="n">
        <v>1</v>
      </c>
    </row>
    <row r="1838">
      <c r="A1838" t="inlineStr">
        <is>
          <t>ORD2837</t>
        </is>
      </c>
      <c r="B1838" t="inlineStr">
        <is>
          <t>2025-08-28</t>
        </is>
      </c>
      <c r="C1838" t="inlineStr">
        <is>
          <t>20:03:32</t>
        </is>
      </c>
      <c r="D1838" t="n">
        <v>1265</v>
      </c>
      <c r="E1838" t="n">
        <v>101</v>
      </c>
      <c r="F1838" t="n">
        <v>223</v>
      </c>
      <c r="G1838" t="inlineStr">
        <is>
          <t>Bangalore</t>
        </is>
      </c>
      <c r="H1838" t="inlineStr">
        <is>
          <t>North Indian</t>
        </is>
      </c>
      <c r="I1838" t="n">
        <v>1000</v>
      </c>
      <c r="J1838" t="n">
        <v>190.41</v>
      </c>
      <c r="K1838" t="n">
        <v>0</v>
      </c>
      <c r="L1838" t="n">
        <v>0.2</v>
      </c>
      <c r="M1838" t="n">
        <v>200</v>
      </c>
      <c r="N1838" t="n">
        <v>7.7</v>
      </c>
      <c r="O1838" t="n">
        <v>54.4</v>
      </c>
      <c r="P1838" t="inlineStr">
        <is>
          <t>UPI</t>
        </is>
      </c>
      <c r="Q1838" t="inlineStr">
        <is>
          <t>Delivered</t>
        </is>
      </c>
      <c r="R1838" t="n">
        <v>1</v>
      </c>
    </row>
    <row r="1839">
      <c r="A1839" t="inlineStr">
        <is>
          <t>ORD2838</t>
        </is>
      </c>
      <c r="B1839" t="inlineStr">
        <is>
          <t>2025-01-29</t>
        </is>
      </c>
      <c r="C1839" t="inlineStr">
        <is>
          <t>13:53:10</t>
        </is>
      </c>
      <c r="D1839" t="n">
        <v>1175</v>
      </c>
      <c r="E1839" t="n">
        <v>111</v>
      </c>
      <c r="F1839" t="n">
        <v>203</v>
      </c>
      <c r="G1839" t="inlineStr">
        <is>
          <t>Bangalore</t>
        </is>
      </c>
      <c r="H1839" t="inlineStr">
        <is>
          <t>South Indian</t>
        </is>
      </c>
      <c r="I1839" t="n">
        <v>896</v>
      </c>
      <c r="J1839" t="n">
        <v>86.53</v>
      </c>
      <c r="K1839" t="n">
        <v>38</v>
      </c>
      <c r="L1839" t="n">
        <v>0.15</v>
      </c>
      <c r="M1839" t="n">
        <v>143.9</v>
      </c>
      <c r="N1839" t="n">
        <v>5.6</v>
      </c>
      <c r="O1839" t="n">
        <v>35.2</v>
      </c>
      <c r="P1839" t="inlineStr">
        <is>
          <t>Debit Card</t>
        </is>
      </c>
      <c r="Q1839" t="inlineStr">
        <is>
          <t>Delivered</t>
        </is>
      </c>
      <c r="R1839" t="n">
        <v>2</v>
      </c>
    </row>
    <row r="1840">
      <c r="A1840" t="inlineStr">
        <is>
          <t>ORD2839</t>
        </is>
      </c>
      <c r="B1840" t="inlineStr">
        <is>
          <t>2025-05-01</t>
        </is>
      </c>
      <c r="C1840" t="inlineStr">
        <is>
          <t>21:23:43</t>
        </is>
      </c>
      <c r="D1840" t="n">
        <v>1113</v>
      </c>
      <c r="E1840" t="n">
        <v>111</v>
      </c>
      <c r="F1840" t="n">
        <v>210</v>
      </c>
      <c r="G1840" t="inlineStr">
        <is>
          <t>Bangalore</t>
        </is>
      </c>
      <c r="H1840" t="inlineStr">
        <is>
          <t>South Indian</t>
        </is>
      </c>
      <c r="I1840" t="n">
        <v>1230</v>
      </c>
      <c r="J1840" t="n">
        <v>198.67</v>
      </c>
      <c r="K1840" t="n">
        <v>0</v>
      </c>
      <c r="L1840" t="n">
        <v>0.15</v>
      </c>
      <c r="M1840" t="n">
        <v>184.5</v>
      </c>
      <c r="N1840" t="n">
        <v>4.4</v>
      </c>
      <c r="O1840" t="n">
        <v>39.9</v>
      </c>
      <c r="P1840" t="inlineStr">
        <is>
          <t>Digital Wallet</t>
        </is>
      </c>
      <c r="Q1840" t="inlineStr">
        <is>
          <t>Delivered</t>
        </is>
      </c>
      <c r="R1840" t="n">
        <v>4</v>
      </c>
    </row>
    <row r="1841">
      <c r="A1841" t="inlineStr">
        <is>
          <t>ORD2840</t>
        </is>
      </c>
      <c r="B1841" t="inlineStr">
        <is>
          <t>2025-02-12</t>
        </is>
      </c>
      <c r="C1841" t="inlineStr">
        <is>
          <t>01:28:01</t>
        </is>
      </c>
      <c r="D1841" t="n">
        <v>1239</v>
      </c>
      <c r="E1841" t="n">
        <v>115</v>
      </c>
      <c r="F1841" t="n">
        <v>205</v>
      </c>
      <c r="G1841" t="inlineStr">
        <is>
          <t>Bangalore</t>
        </is>
      </c>
      <c r="H1841" t="inlineStr">
        <is>
          <t>Italian</t>
        </is>
      </c>
      <c r="I1841" t="n">
        <v>770</v>
      </c>
      <c r="J1841" t="n">
        <v>65.65000000000001</v>
      </c>
      <c r="K1841" t="n">
        <v>33</v>
      </c>
      <c r="L1841" t="n">
        <v>0.2</v>
      </c>
      <c r="M1841" t="n">
        <v>162.25</v>
      </c>
      <c r="N1841" t="n">
        <v>4.6</v>
      </c>
      <c r="O1841" t="n">
        <v>33.3</v>
      </c>
      <c r="P1841" t="inlineStr">
        <is>
          <t>Debit Card</t>
        </is>
      </c>
      <c r="Q1841" t="inlineStr">
        <is>
          <t>Delivered</t>
        </is>
      </c>
      <c r="R1841" t="n">
        <v>4</v>
      </c>
    </row>
    <row r="1842">
      <c r="A1842" t="inlineStr">
        <is>
          <t>ORD2841</t>
        </is>
      </c>
      <c r="B1842" t="inlineStr">
        <is>
          <t>2025-05-14</t>
        </is>
      </c>
      <c r="C1842" t="inlineStr">
        <is>
          <t>17:19:34</t>
        </is>
      </c>
      <c r="D1842" t="n">
        <v>1225</v>
      </c>
      <c r="E1842" t="n">
        <v>116</v>
      </c>
      <c r="F1842" t="n">
        <v>208</v>
      </c>
      <c r="G1842" t="inlineStr">
        <is>
          <t>Pune</t>
        </is>
      </c>
      <c r="H1842" t="inlineStr">
        <is>
          <t>Desserts</t>
        </is>
      </c>
      <c r="I1842" t="n">
        <v>361</v>
      </c>
      <c r="J1842" t="n">
        <v>0</v>
      </c>
      <c r="K1842" t="n">
        <v>32.5</v>
      </c>
      <c r="L1842" t="n">
        <v>0.25</v>
      </c>
      <c r="M1842" t="n">
        <v>98.38</v>
      </c>
      <c r="N1842" t="n">
        <v>4.5</v>
      </c>
      <c r="O1842" t="n">
        <v/>
      </c>
      <c r="P1842" t="inlineStr">
        <is>
          <t>Debit Card</t>
        </is>
      </c>
      <c r="Q1842" t="inlineStr">
        <is>
          <t>Cancelled</t>
        </is>
      </c>
      <c r="R1842" t="n">
        <v/>
      </c>
    </row>
    <row r="1843">
      <c r="A1843" t="inlineStr">
        <is>
          <t>ORD2842</t>
        </is>
      </c>
      <c r="B1843" t="inlineStr">
        <is>
          <t>2025-08-13</t>
        </is>
      </c>
      <c r="C1843" t="inlineStr">
        <is>
          <t>17:59:00</t>
        </is>
      </c>
      <c r="D1843" t="n">
        <v>1202</v>
      </c>
      <c r="E1843" t="n">
        <v>111</v>
      </c>
      <c r="F1843" t="n">
        <v>205</v>
      </c>
      <c r="G1843" t="inlineStr">
        <is>
          <t>Bangalore</t>
        </is>
      </c>
      <c r="H1843" t="inlineStr">
        <is>
          <t>South Indian</t>
        </is>
      </c>
      <c r="I1843" t="n">
        <v>772</v>
      </c>
      <c r="J1843" t="n">
        <v>0</v>
      </c>
      <c r="K1843" t="n">
        <v>48</v>
      </c>
      <c r="L1843" t="n">
        <v>0.15</v>
      </c>
      <c r="M1843" t="n">
        <v>127.8</v>
      </c>
      <c r="N1843" t="n">
        <v>7.6</v>
      </c>
      <c r="O1843" t="n">
        <v>44.8</v>
      </c>
      <c r="P1843" t="inlineStr">
        <is>
          <t>Debit Card</t>
        </is>
      </c>
      <c r="Q1843" t="inlineStr">
        <is>
          <t>Delivered</t>
        </is>
      </c>
      <c r="R1843" t="n">
        <v>3</v>
      </c>
    </row>
    <row r="1844">
      <c r="A1844" t="inlineStr">
        <is>
          <t>ORD2843</t>
        </is>
      </c>
      <c r="B1844" t="inlineStr">
        <is>
          <t>2025-06-13</t>
        </is>
      </c>
      <c r="C1844" t="inlineStr">
        <is>
          <t>19:30:42</t>
        </is>
      </c>
      <c r="D1844" t="n">
        <v>1016</v>
      </c>
      <c r="E1844" t="n">
        <v>115</v>
      </c>
      <c r="F1844" t="n">
        <v>210</v>
      </c>
      <c r="G1844" t="inlineStr">
        <is>
          <t>Bangalore</t>
        </is>
      </c>
      <c r="H1844" t="inlineStr">
        <is>
          <t>Italian</t>
        </is>
      </c>
      <c r="I1844" t="n">
        <v>315</v>
      </c>
      <c r="J1844" t="n">
        <v>4.53</v>
      </c>
      <c r="K1844" t="n">
        <v>48.5</v>
      </c>
      <c r="L1844" t="n">
        <v>0.2</v>
      </c>
      <c r="M1844" t="n">
        <v>75.12</v>
      </c>
      <c r="N1844" t="n">
        <v>7.7</v>
      </c>
      <c r="O1844" t="n">
        <v>43</v>
      </c>
      <c r="P1844" t="inlineStr">
        <is>
          <t>Digital Wallet</t>
        </is>
      </c>
      <c r="Q1844" t="inlineStr">
        <is>
          <t>Delivered</t>
        </is>
      </c>
      <c r="R1844" t="n">
        <v>3</v>
      </c>
    </row>
    <row r="1845">
      <c r="A1845" t="inlineStr">
        <is>
          <t>ORD2844</t>
        </is>
      </c>
      <c r="B1845" t="inlineStr">
        <is>
          <t>2025-11-01</t>
        </is>
      </c>
      <c r="C1845" t="inlineStr">
        <is>
          <t>14:25:05</t>
        </is>
      </c>
      <c r="D1845" t="n">
        <v>1259</v>
      </c>
      <c r="E1845" t="n">
        <v>102</v>
      </c>
      <c r="F1845" t="n">
        <v>216</v>
      </c>
      <c r="G1845" t="inlineStr">
        <is>
          <t>Hyderabad</t>
        </is>
      </c>
      <c r="H1845" t="inlineStr">
        <is>
          <t>Biryani</t>
        </is>
      </c>
      <c r="I1845" t="n">
        <v>883</v>
      </c>
      <c r="J1845" t="n">
        <v>65.98999999999999</v>
      </c>
      <c r="K1845" t="n">
        <v>28</v>
      </c>
      <c r="L1845" t="n">
        <v>0.22</v>
      </c>
      <c r="M1845" t="n">
        <v>201.26</v>
      </c>
      <c r="N1845" t="n">
        <v>3.6</v>
      </c>
      <c r="O1845" t="n">
        <v>36.9</v>
      </c>
      <c r="P1845" t="inlineStr">
        <is>
          <t>Cash on Delivery</t>
        </is>
      </c>
      <c r="Q1845" t="inlineStr">
        <is>
          <t>Delivered</t>
        </is>
      </c>
      <c r="R1845" t="n">
        <v>3</v>
      </c>
    </row>
    <row r="1846">
      <c r="A1846" t="inlineStr">
        <is>
          <t>ORD2845</t>
        </is>
      </c>
      <c r="B1846" t="inlineStr">
        <is>
          <t>2025-10-14</t>
        </is>
      </c>
      <c r="C1846" t="inlineStr">
        <is>
          <t>17:57:32</t>
        </is>
      </c>
      <c r="D1846" t="n">
        <v>1039</v>
      </c>
      <c r="E1846" t="n">
        <v>101</v>
      </c>
      <c r="F1846" t="n">
        <v>210</v>
      </c>
      <c r="G1846" t="inlineStr">
        <is>
          <t>Bangalore</t>
        </is>
      </c>
      <c r="H1846" t="inlineStr">
        <is>
          <t>North Indian</t>
        </is>
      </c>
      <c r="I1846" t="n">
        <v>374</v>
      </c>
      <c r="J1846" t="n">
        <v>30.83</v>
      </c>
      <c r="K1846" t="n">
        <v>25</v>
      </c>
      <c r="L1846" t="n">
        <v>0.2</v>
      </c>
      <c r="M1846" t="n">
        <v>81.05</v>
      </c>
      <c r="N1846" t="n">
        <v>3</v>
      </c>
      <c r="O1846" t="n">
        <v>42.6</v>
      </c>
      <c r="P1846" t="inlineStr">
        <is>
          <t>Digital Wallet</t>
        </is>
      </c>
      <c r="Q1846" t="inlineStr">
        <is>
          <t>Delivered</t>
        </is>
      </c>
      <c r="R1846" t="n">
        <v>4</v>
      </c>
    </row>
    <row r="1847">
      <c r="A1847" t="inlineStr">
        <is>
          <t>ORD2846</t>
        </is>
      </c>
      <c r="B1847" t="inlineStr">
        <is>
          <t>2025-01-23</t>
        </is>
      </c>
      <c r="C1847" t="inlineStr">
        <is>
          <t>21:37:22</t>
        </is>
      </c>
      <c r="D1847" t="n">
        <v>1172</v>
      </c>
      <c r="E1847" t="n">
        <v>116</v>
      </c>
      <c r="F1847" t="n">
        <v>226</v>
      </c>
      <c r="G1847" t="inlineStr">
        <is>
          <t>Pune</t>
        </is>
      </c>
      <c r="H1847" t="inlineStr">
        <is>
          <t>Desserts</t>
        </is>
      </c>
      <c r="I1847" t="n">
        <v>454</v>
      </c>
      <c r="J1847" t="n">
        <v>9.390000000000001</v>
      </c>
      <c r="K1847" t="n">
        <v>39</v>
      </c>
      <c r="L1847" t="n">
        <v>0.25</v>
      </c>
      <c r="M1847" t="n">
        <v>123.25</v>
      </c>
      <c r="N1847" t="n">
        <v>5.8</v>
      </c>
      <c r="O1847" t="n">
        <v>45.5</v>
      </c>
      <c r="P1847" t="inlineStr">
        <is>
          <t>Digital Wallet</t>
        </is>
      </c>
      <c r="Q1847" t="inlineStr">
        <is>
          <t>Delivered</t>
        </is>
      </c>
      <c r="R1847" t="n">
        <v>3</v>
      </c>
    </row>
    <row r="1848">
      <c r="A1848" t="inlineStr">
        <is>
          <t>ORD2847</t>
        </is>
      </c>
      <c r="B1848" t="inlineStr">
        <is>
          <t>2025-08-07</t>
        </is>
      </c>
      <c r="C1848" t="inlineStr">
        <is>
          <t>09:02:31</t>
        </is>
      </c>
      <c r="D1848" t="n">
        <v>1045</v>
      </c>
      <c r="E1848" t="n">
        <v>115</v>
      </c>
      <c r="F1848" t="n">
        <v>218</v>
      </c>
      <c r="G1848" t="inlineStr">
        <is>
          <t>Bangalore</t>
        </is>
      </c>
      <c r="H1848" t="inlineStr">
        <is>
          <t>Italian</t>
        </is>
      </c>
      <c r="I1848" t="n">
        <v>785</v>
      </c>
      <c r="J1848" t="n">
        <v>11.12</v>
      </c>
      <c r="K1848" t="n">
        <v>25</v>
      </c>
      <c r="L1848" t="n">
        <v>0.2</v>
      </c>
      <c r="M1848" t="n">
        <v>163.25</v>
      </c>
      <c r="N1848" t="n">
        <v>2.7</v>
      </c>
      <c r="O1848" t="n">
        <v>23.7</v>
      </c>
      <c r="P1848" t="inlineStr">
        <is>
          <t>Digital Wallet</t>
        </is>
      </c>
      <c r="Q1848" t="inlineStr">
        <is>
          <t>Delivered</t>
        </is>
      </c>
      <c r="R1848" t="n">
        <v>2</v>
      </c>
    </row>
    <row r="1849">
      <c r="A1849" t="inlineStr">
        <is>
          <t>ORD2848</t>
        </is>
      </c>
      <c r="B1849" t="inlineStr">
        <is>
          <t>2025-07-01</t>
        </is>
      </c>
      <c r="C1849" t="inlineStr">
        <is>
          <t>11:06:49</t>
        </is>
      </c>
      <c r="D1849" t="n">
        <v>1038</v>
      </c>
      <c r="E1849" t="n">
        <v>111</v>
      </c>
      <c r="F1849" t="n">
        <v>210</v>
      </c>
      <c r="G1849" t="inlineStr">
        <is>
          <t>Bangalore</t>
        </is>
      </c>
      <c r="H1849" t="inlineStr">
        <is>
          <t>South Indian</t>
        </is>
      </c>
      <c r="I1849" t="n">
        <v>691</v>
      </c>
      <c r="J1849" t="n">
        <v>47.49</v>
      </c>
      <c r="K1849" t="n">
        <v>56</v>
      </c>
      <c r="L1849" t="n">
        <v>0.15</v>
      </c>
      <c r="M1849" t="n">
        <v>117.65</v>
      </c>
      <c r="N1849" t="n">
        <v>9.199999999999999</v>
      </c>
      <c r="O1849" t="n">
        <v>44.9</v>
      </c>
      <c r="P1849" t="inlineStr">
        <is>
          <t>Cash on Delivery</t>
        </is>
      </c>
      <c r="Q1849" t="inlineStr">
        <is>
          <t>Delivered</t>
        </is>
      </c>
      <c r="R1849" t="n">
        <v>3</v>
      </c>
    </row>
    <row r="1850">
      <c r="A1850" t="inlineStr">
        <is>
          <t>ORD2849</t>
        </is>
      </c>
      <c r="B1850" t="inlineStr">
        <is>
          <t>2025-11-24</t>
        </is>
      </c>
      <c r="C1850" t="inlineStr">
        <is>
          <t>10:02:56</t>
        </is>
      </c>
      <c r="D1850" t="n">
        <v>1269</v>
      </c>
      <c r="E1850" t="n">
        <v>103</v>
      </c>
      <c r="F1850" t="n">
        <v>202</v>
      </c>
      <c r="G1850" t="inlineStr">
        <is>
          <t>Mumbai</t>
        </is>
      </c>
      <c r="H1850" t="inlineStr">
        <is>
          <t>Italian</t>
        </is>
      </c>
      <c r="I1850" t="n">
        <v>839</v>
      </c>
      <c r="J1850" t="n">
        <v>47.12</v>
      </c>
      <c r="K1850" t="n">
        <v>25</v>
      </c>
      <c r="L1850" t="n">
        <v>0.18</v>
      </c>
      <c r="M1850" t="n">
        <v>157.27</v>
      </c>
      <c r="N1850" t="n">
        <v>2.1</v>
      </c>
      <c r="O1850" t="n">
        <v>21.6</v>
      </c>
      <c r="P1850" t="inlineStr">
        <is>
          <t>Digital Wallet</t>
        </is>
      </c>
      <c r="Q1850" t="inlineStr">
        <is>
          <t>Delivered</t>
        </is>
      </c>
      <c r="R1850" t="n">
        <v>2</v>
      </c>
    </row>
    <row r="1851">
      <c r="A1851" t="inlineStr">
        <is>
          <t>ORD2850</t>
        </is>
      </c>
      <c r="B1851" t="inlineStr">
        <is>
          <t>2025-05-16</t>
        </is>
      </c>
      <c r="C1851" t="inlineStr">
        <is>
          <t>11:59:39</t>
        </is>
      </c>
      <c r="D1851" t="n">
        <v>1253</v>
      </c>
      <c r="E1851" t="n">
        <v>114</v>
      </c>
      <c r="F1851" t="n">
        <v>215</v>
      </c>
      <c r="G1851" t="inlineStr">
        <is>
          <t>Hyderabad</t>
        </is>
      </c>
      <c r="H1851" t="inlineStr">
        <is>
          <t>Biryani</t>
        </is>
      </c>
      <c r="I1851" t="n">
        <v>765</v>
      </c>
      <c r="J1851" t="n">
        <v>96.81999999999999</v>
      </c>
      <c r="K1851" t="n">
        <v>0</v>
      </c>
      <c r="L1851" t="n">
        <v>0.22</v>
      </c>
      <c r="M1851" t="n">
        <v>168.3</v>
      </c>
      <c r="N1851" t="n">
        <v>2.2</v>
      </c>
      <c r="O1851" t="n">
        <v>23.9</v>
      </c>
      <c r="P1851" t="inlineStr">
        <is>
          <t>Credit Card</t>
        </is>
      </c>
      <c r="Q1851" t="inlineStr">
        <is>
          <t>Delivered</t>
        </is>
      </c>
      <c r="R1851" t="n">
        <v>4</v>
      </c>
    </row>
    <row r="1852">
      <c r="A1852" t="inlineStr">
        <is>
          <t>ORD2851</t>
        </is>
      </c>
      <c r="B1852" t="inlineStr">
        <is>
          <t>2025-01-06</t>
        </is>
      </c>
      <c r="C1852" t="inlineStr">
        <is>
          <t>15:09:35</t>
        </is>
      </c>
      <c r="D1852" t="n">
        <v>1172</v>
      </c>
      <c r="E1852" t="n">
        <v>106</v>
      </c>
      <c r="F1852" t="n">
        <v>214</v>
      </c>
      <c r="G1852" t="inlineStr">
        <is>
          <t>Pune</t>
        </is>
      </c>
      <c r="H1852" t="inlineStr">
        <is>
          <t>South Indian</t>
        </is>
      </c>
      <c r="I1852" t="n">
        <v>566</v>
      </c>
      <c r="J1852" t="n">
        <v>0</v>
      </c>
      <c r="K1852" t="n">
        <v>50.5</v>
      </c>
      <c r="L1852" t="n">
        <v>0.15</v>
      </c>
      <c r="M1852" t="n">
        <v>97.52</v>
      </c>
      <c r="N1852" t="n">
        <v>8.1</v>
      </c>
      <c r="O1852" t="n">
        <v>36.2</v>
      </c>
      <c r="P1852" t="inlineStr">
        <is>
          <t>Debit Card</t>
        </is>
      </c>
      <c r="Q1852" t="inlineStr">
        <is>
          <t>Delivered</t>
        </is>
      </c>
      <c r="R1852" t="n">
        <v>5</v>
      </c>
    </row>
    <row r="1853">
      <c r="A1853" t="inlineStr">
        <is>
          <t>ORD2852</t>
        </is>
      </c>
      <c r="B1853" t="inlineStr">
        <is>
          <t>2025-10-05</t>
        </is>
      </c>
      <c r="C1853" t="inlineStr">
        <is>
          <t>11:34:08</t>
        </is>
      </c>
      <c r="D1853" t="n">
        <v>1060</v>
      </c>
      <c r="E1853" t="n">
        <v>108</v>
      </c>
      <c r="F1853" t="n">
        <v>221</v>
      </c>
      <c r="G1853" t="inlineStr">
        <is>
          <t>Delhi NCR</t>
        </is>
      </c>
      <c r="H1853" t="inlineStr">
        <is>
          <t>Fast Food</t>
        </is>
      </c>
      <c r="I1853" t="n">
        <v>220</v>
      </c>
      <c r="J1853" t="n">
        <v>10.1</v>
      </c>
      <c r="K1853" t="n">
        <v>31</v>
      </c>
      <c r="L1853" t="n">
        <v>0.18</v>
      </c>
      <c r="M1853" t="n">
        <v>47.35</v>
      </c>
      <c r="N1853" t="n">
        <v>4.2</v>
      </c>
      <c r="O1853" t="n">
        <v>33.5</v>
      </c>
      <c r="P1853" t="inlineStr">
        <is>
          <t>Credit Card</t>
        </is>
      </c>
      <c r="Q1853" t="inlineStr">
        <is>
          <t>Delivered</t>
        </is>
      </c>
      <c r="R1853" t="n">
        <v>5</v>
      </c>
    </row>
    <row r="1854">
      <c r="A1854" t="inlineStr">
        <is>
          <t>ORD2853</t>
        </is>
      </c>
      <c r="B1854" t="inlineStr">
        <is>
          <t>2025-11-11</t>
        </is>
      </c>
      <c r="C1854" t="inlineStr">
        <is>
          <t>21:02:56</t>
        </is>
      </c>
      <c r="D1854" t="n">
        <v>1298</v>
      </c>
      <c r="E1854" t="n">
        <v>102</v>
      </c>
      <c r="F1854" t="n">
        <v>216</v>
      </c>
      <c r="G1854" t="inlineStr">
        <is>
          <t>Hyderabad</t>
        </is>
      </c>
      <c r="H1854" t="inlineStr">
        <is>
          <t>Biryani</t>
        </is>
      </c>
      <c r="I1854" t="n">
        <v>666</v>
      </c>
      <c r="J1854" t="n">
        <v>0</v>
      </c>
      <c r="K1854" t="n">
        <v>41.5</v>
      </c>
      <c r="L1854" t="n">
        <v>0.22</v>
      </c>
      <c r="M1854" t="n">
        <v>156.9</v>
      </c>
      <c r="N1854" t="n">
        <v>6.3</v>
      </c>
      <c r="O1854" t="n">
        <v>42.2</v>
      </c>
      <c r="P1854" t="inlineStr">
        <is>
          <t>Cash on Delivery</t>
        </is>
      </c>
      <c r="Q1854" t="inlineStr">
        <is>
          <t>Delivered</t>
        </is>
      </c>
      <c r="R1854" t="n">
        <v>3</v>
      </c>
    </row>
    <row r="1855">
      <c r="A1855" t="inlineStr">
        <is>
          <t>ORD2854</t>
        </is>
      </c>
      <c r="B1855" t="inlineStr">
        <is>
          <t>2025-11-05</t>
        </is>
      </c>
      <c r="C1855" t="inlineStr">
        <is>
          <t>16:36:04</t>
        </is>
      </c>
      <c r="D1855" t="n">
        <v>1217</v>
      </c>
      <c r="E1855" t="n">
        <v>114</v>
      </c>
      <c r="F1855" t="n">
        <v>215</v>
      </c>
      <c r="G1855" t="inlineStr">
        <is>
          <t>Hyderabad</t>
        </is>
      </c>
      <c r="H1855" t="inlineStr">
        <is>
          <t>Biryani</t>
        </is>
      </c>
      <c r="I1855" t="n">
        <v>655</v>
      </c>
      <c r="J1855" t="n">
        <v>0</v>
      </c>
      <c r="K1855" t="n">
        <v>40</v>
      </c>
      <c r="L1855" t="n">
        <v>0.22</v>
      </c>
      <c r="M1855" t="n">
        <v>154.1</v>
      </c>
      <c r="N1855" t="n">
        <v>6</v>
      </c>
      <c r="O1855" t="n">
        <v>46.6</v>
      </c>
      <c r="P1855" t="inlineStr">
        <is>
          <t>UPI</t>
        </is>
      </c>
      <c r="Q1855" t="inlineStr">
        <is>
          <t>Delivered</t>
        </is>
      </c>
      <c r="R1855" t="n">
        <v>4</v>
      </c>
    </row>
    <row r="1856">
      <c r="A1856" t="inlineStr">
        <is>
          <t>ORD2855</t>
        </is>
      </c>
      <c r="B1856" t="inlineStr">
        <is>
          <t>2025-02-27</t>
        </is>
      </c>
      <c r="C1856" t="inlineStr">
        <is>
          <t>19:37:57</t>
        </is>
      </c>
      <c r="D1856" t="n">
        <v>1001</v>
      </c>
      <c r="E1856" t="n">
        <v>109</v>
      </c>
      <c r="F1856" t="n">
        <v>216</v>
      </c>
      <c r="G1856" t="inlineStr">
        <is>
          <t>Hyderabad</t>
        </is>
      </c>
      <c r="H1856" t="inlineStr">
        <is>
          <t>Biryani</t>
        </is>
      </c>
      <c r="I1856" t="n">
        <v>474</v>
      </c>
      <c r="J1856" t="n">
        <v>0</v>
      </c>
      <c r="K1856" t="n">
        <v>25</v>
      </c>
      <c r="L1856" t="n">
        <v>0.2</v>
      </c>
      <c r="M1856" t="n">
        <v>101.05</v>
      </c>
      <c r="N1856" t="n">
        <v>2.6</v>
      </c>
      <c r="O1856" t="n">
        <v>29.7</v>
      </c>
      <c r="P1856" t="inlineStr">
        <is>
          <t>Digital Wallet</t>
        </is>
      </c>
      <c r="Q1856" t="inlineStr">
        <is>
          <t>Delivered</t>
        </is>
      </c>
      <c r="R1856" t="n">
        <v>5</v>
      </c>
    </row>
    <row r="1857">
      <c r="A1857" t="inlineStr">
        <is>
          <t>ORD2856</t>
        </is>
      </c>
      <c r="B1857" t="inlineStr">
        <is>
          <t>2025-02-25</t>
        </is>
      </c>
      <c r="C1857" t="inlineStr">
        <is>
          <t>17:14:13</t>
        </is>
      </c>
      <c r="D1857" t="n">
        <v>1002</v>
      </c>
      <c r="E1857" t="n">
        <v>108</v>
      </c>
      <c r="F1857" t="n">
        <v>211</v>
      </c>
      <c r="G1857" t="inlineStr">
        <is>
          <t>Delhi NCR</t>
        </is>
      </c>
      <c r="H1857" t="inlineStr">
        <is>
          <t>Fast Food</t>
        </is>
      </c>
      <c r="I1857" t="n">
        <v>990</v>
      </c>
      <c r="J1857" t="n">
        <v>139.36</v>
      </c>
      <c r="K1857" t="n">
        <v>0</v>
      </c>
      <c r="L1857" t="n">
        <v>0.18</v>
      </c>
      <c r="M1857" t="n">
        <v>178.2</v>
      </c>
      <c r="N1857" t="n">
        <v>3.5</v>
      </c>
      <c r="O1857" t="n">
        <v>28.9</v>
      </c>
      <c r="P1857" t="inlineStr">
        <is>
          <t>Credit Card</t>
        </is>
      </c>
      <c r="Q1857" t="inlineStr">
        <is>
          <t>Delivered</t>
        </is>
      </c>
      <c r="R1857" t="n">
        <v>5</v>
      </c>
    </row>
    <row r="1858">
      <c r="A1858" t="inlineStr">
        <is>
          <t>ORD2857</t>
        </is>
      </c>
      <c r="B1858" t="inlineStr">
        <is>
          <t>2025-05-11</t>
        </is>
      </c>
      <c r="C1858" t="inlineStr">
        <is>
          <t>22:20:35</t>
        </is>
      </c>
      <c r="D1858" t="n">
        <v>1122</v>
      </c>
      <c r="E1858" t="n">
        <v>110</v>
      </c>
      <c r="F1858" t="n">
        <v>226</v>
      </c>
      <c r="G1858" t="inlineStr">
        <is>
          <t>Pune</t>
        </is>
      </c>
      <c r="H1858" t="inlineStr">
        <is>
          <t>North Indian</t>
        </is>
      </c>
      <c r="I1858" t="n">
        <v>867</v>
      </c>
      <c r="J1858" t="n">
        <v>121.43</v>
      </c>
      <c r="K1858" t="n">
        <v>0</v>
      </c>
      <c r="L1858" t="n">
        <v>0.18</v>
      </c>
      <c r="M1858" t="n">
        <v>156.06</v>
      </c>
      <c r="N1858" t="n">
        <v>16</v>
      </c>
      <c r="O1858" t="n">
        <v>71.09999999999999</v>
      </c>
      <c r="P1858" t="inlineStr">
        <is>
          <t>UPI</t>
        </is>
      </c>
      <c r="Q1858" t="inlineStr">
        <is>
          <t>Delivered</t>
        </is>
      </c>
      <c r="R1858" t="n">
        <v>2</v>
      </c>
    </row>
    <row r="1859">
      <c r="A1859" t="inlineStr">
        <is>
          <t>ORD2858</t>
        </is>
      </c>
      <c r="B1859" t="inlineStr">
        <is>
          <t>2025-05-23</t>
        </is>
      </c>
      <c r="C1859" t="inlineStr">
        <is>
          <t>13:48:19</t>
        </is>
      </c>
      <c r="D1859" t="n">
        <v>1128</v>
      </c>
      <c r="E1859" t="n">
        <v>119</v>
      </c>
      <c r="F1859" t="n">
        <v>215</v>
      </c>
      <c r="G1859" t="inlineStr">
        <is>
          <t>Hyderabad</t>
        </is>
      </c>
      <c r="H1859" t="inlineStr">
        <is>
          <t>Biryani</t>
        </is>
      </c>
      <c r="I1859" t="n">
        <v>864</v>
      </c>
      <c r="J1859" t="n">
        <v>109.05</v>
      </c>
      <c r="K1859" t="n">
        <v>0</v>
      </c>
      <c r="L1859" t="n">
        <v>0.2</v>
      </c>
      <c r="M1859" t="n">
        <v>172.8</v>
      </c>
      <c r="N1859" t="n">
        <v>4.5</v>
      </c>
      <c r="O1859" t="n">
        <v>40.3</v>
      </c>
      <c r="P1859" t="inlineStr">
        <is>
          <t>Cash on Delivery</t>
        </is>
      </c>
      <c r="Q1859" t="inlineStr">
        <is>
          <t>Delivered</t>
        </is>
      </c>
      <c r="R1859" t="n">
        <v>3</v>
      </c>
    </row>
    <row r="1860">
      <c r="A1860" t="inlineStr">
        <is>
          <t>ORD2859</t>
        </is>
      </c>
      <c r="B1860" t="inlineStr">
        <is>
          <t>2025-12-23</t>
        </is>
      </c>
      <c r="C1860" t="inlineStr">
        <is>
          <t>21:18:17</t>
        </is>
      </c>
      <c r="D1860" t="n">
        <v>1143</v>
      </c>
      <c r="E1860" t="n">
        <v>109</v>
      </c>
      <c r="F1860" t="n">
        <v>215</v>
      </c>
      <c r="G1860" t="inlineStr">
        <is>
          <t>Hyderabad</t>
        </is>
      </c>
      <c r="H1860" t="inlineStr">
        <is>
          <t>Biryani</t>
        </is>
      </c>
      <c r="I1860" t="n">
        <v>248</v>
      </c>
      <c r="J1860" t="n">
        <v>8.26</v>
      </c>
      <c r="K1860" t="n">
        <v>26</v>
      </c>
      <c r="L1860" t="n">
        <v>0.2</v>
      </c>
      <c r="M1860" t="n">
        <v>56.1</v>
      </c>
      <c r="N1860" t="n">
        <v>3.2</v>
      </c>
      <c r="O1860" t="n">
        <v>37.7</v>
      </c>
      <c r="P1860" t="inlineStr">
        <is>
          <t>Cash on Delivery</t>
        </is>
      </c>
      <c r="Q1860" t="inlineStr">
        <is>
          <t>Delivered</t>
        </is>
      </c>
      <c r="R1860" t="n">
        <v>4</v>
      </c>
    </row>
    <row r="1861">
      <c r="A1861" t="inlineStr">
        <is>
          <t>ORD2860</t>
        </is>
      </c>
      <c r="B1861" t="inlineStr">
        <is>
          <t>2025-12-25</t>
        </is>
      </c>
      <c r="C1861" t="inlineStr">
        <is>
          <t>00:16:38</t>
        </is>
      </c>
      <c r="D1861" t="n">
        <v>1093</v>
      </c>
      <c r="E1861" t="n">
        <v>104</v>
      </c>
      <c r="F1861" t="n">
        <v>211</v>
      </c>
      <c r="G1861" t="inlineStr">
        <is>
          <t>Delhi NCR</t>
        </is>
      </c>
      <c r="H1861" t="inlineStr">
        <is>
          <t>Fast Food</t>
        </is>
      </c>
      <c r="I1861" t="n">
        <v>771</v>
      </c>
      <c r="J1861" t="n">
        <v>69.48999999999999</v>
      </c>
      <c r="K1861" t="n">
        <v>25</v>
      </c>
      <c r="L1861" t="n">
        <v>0.18</v>
      </c>
      <c r="M1861" t="n">
        <v>145.03</v>
      </c>
      <c r="N1861" t="n">
        <v>2</v>
      </c>
      <c r="O1861" t="n">
        <v>24.5</v>
      </c>
      <c r="P1861" t="inlineStr">
        <is>
          <t>UPI</t>
        </is>
      </c>
      <c r="Q1861" t="inlineStr">
        <is>
          <t>Delivered</t>
        </is>
      </c>
      <c r="R1861" t="n">
        <v>4</v>
      </c>
    </row>
    <row r="1862">
      <c r="A1862" t="inlineStr">
        <is>
          <t>ORD2861</t>
        </is>
      </c>
      <c r="B1862" t="inlineStr">
        <is>
          <t>2025-10-10</t>
        </is>
      </c>
      <c r="C1862" t="inlineStr">
        <is>
          <t>20:09:06</t>
        </is>
      </c>
      <c r="D1862" t="n">
        <v>1058</v>
      </c>
      <c r="E1862" t="n">
        <v>113</v>
      </c>
      <c r="F1862" t="n">
        <v>229</v>
      </c>
      <c r="G1862" t="inlineStr">
        <is>
          <t>Mumbai</t>
        </is>
      </c>
      <c r="H1862" t="inlineStr">
        <is>
          <t>Fast Food</t>
        </is>
      </c>
      <c r="I1862" t="n">
        <v>498</v>
      </c>
      <c r="J1862" t="n">
        <v>0</v>
      </c>
      <c r="K1862" t="n">
        <v>25</v>
      </c>
      <c r="L1862" t="n">
        <v>0.18</v>
      </c>
      <c r="M1862" t="n">
        <v>95.89</v>
      </c>
      <c r="N1862" t="n">
        <v>2.8</v>
      </c>
      <c r="O1862" t="n">
        <v>44.5</v>
      </c>
      <c r="P1862" t="inlineStr">
        <is>
          <t>Digital Wallet</t>
        </is>
      </c>
      <c r="Q1862" t="inlineStr">
        <is>
          <t>Delivered</t>
        </is>
      </c>
      <c r="R1862" t="n">
        <v>3</v>
      </c>
    </row>
    <row r="1863">
      <c r="A1863" t="inlineStr">
        <is>
          <t>ORD2862</t>
        </is>
      </c>
      <c r="B1863" t="inlineStr">
        <is>
          <t>2025-06-17</t>
        </is>
      </c>
      <c r="C1863" t="inlineStr">
        <is>
          <t>13:39:11</t>
        </is>
      </c>
      <c r="D1863" t="n">
        <v>1276</v>
      </c>
      <c r="E1863" t="n">
        <v>111</v>
      </c>
      <c r="F1863" t="n">
        <v>227</v>
      </c>
      <c r="G1863" t="inlineStr">
        <is>
          <t>Bangalore</t>
        </is>
      </c>
      <c r="H1863" t="inlineStr">
        <is>
          <t>South Indian</t>
        </is>
      </c>
      <c r="I1863" t="n">
        <v>623</v>
      </c>
      <c r="J1863" t="n">
        <v>47.21</v>
      </c>
      <c r="K1863" t="n">
        <v>44</v>
      </c>
      <c r="L1863" t="n">
        <v>0.15</v>
      </c>
      <c r="M1863" t="n">
        <v>104.45</v>
      </c>
      <c r="N1863" t="n">
        <v>6.8</v>
      </c>
      <c r="O1863" t="n">
        <v>50.7</v>
      </c>
      <c r="P1863" t="inlineStr">
        <is>
          <t>Digital Wallet</t>
        </is>
      </c>
      <c r="Q1863" t="inlineStr">
        <is>
          <t>Delivered</t>
        </is>
      </c>
      <c r="R1863" t="n">
        <v>1</v>
      </c>
    </row>
    <row r="1864">
      <c r="A1864" t="inlineStr">
        <is>
          <t>ORD2863</t>
        </is>
      </c>
      <c r="B1864" t="inlineStr">
        <is>
          <t>2025-06-09</t>
        </is>
      </c>
      <c r="C1864" t="inlineStr">
        <is>
          <t>16:59:32</t>
        </is>
      </c>
      <c r="D1864" t="n">
        <v>1031</v>
      </c>
      <c r="E1864" t="n">
        <v>103</v>
      </c>
      <c r="F1864" t="n">
        <v>206</v>
      </c>
      <c r="G1864" t="inlineStr">
        <is>
          <t>Mumbai</t>
        </is>
      </c>
      <c r="H1864" t="inlineStr">
        <is>
          <t>Italian</t>
        </is>
      </c>
      <c r="I1864" t="n">
        <v>610</v>
      </c>
      <c r="J1864" t="n">
        <v>54.72</v>
      </c>
      <c r="K1864" t="n">
        <v>26</v>
      </c>
      <c r="L1864" t="n">
        <v>0.18</v>
      </c>
      <c r="M1864" t="n">
        <v>116.3</v>
      </c>
      <c r="N1864" t="n">
        <v>3.2</v>
      </c>
      <c r="O1864" t="n">
        <v>29.9</v>
      </c>
      <c r="P1864" t="inlineStr">
        <is>
          <t>UPI</t>
        </is>
      </c>
      <c r="Q1864" t="inlineStr">
        <is>
          <t>Delivered</t>
        </is>
      </c>
      <c r="R1864" t="n">
        <v>5</v>
      </c>
    </row>
    <row r="1865">
      <c r="A1865" t="inlineStr">
        <is>
          <t>ORD2864</t>
        </is>
      </c>
      <c r="B1865" t="inlineStr">
        <is>
          <t>2025-06-10</t>
        </is>
      </c>
      <c r="C1865" t="inlineStr">
        <is>
          <t>18:51:42</t>
        </is>
      </c>
      <c r="D1865" t="n">
        <v>1078</v>
      </c>
      <c r="E1865" t="n">
        <v>104</v>
      </c>
      <c r="F1865" t="n">
        <v>212</v>
      </c>
      <c r="G1865" t="inlineStr">
        <is>
          <t>Delhi NCR</t>
        </is>
      </c>
      <c r="H1865" t="inlineStr">
        <is>
          <t>Fast Food</t>
        </is>
      </c>
      <c r="I1865" t="n">
        <v>270</v>
      </c>
      <c r="J1865" t="n">
        <v>0</v>
      </c>
      <c r="K1865" t="n">
        <v>25</v>
      </c>
      <c r="L1865" t="n">
        <v>0.18</v>
      </c>
      <c r="M1865" t="n">
        <v>54.85</v>
      </c>
      <c r="N1865" t="n">
        <v>1.2</v>
      </c>
      <c r="O1865" t="n">
        <v>24.4</v>
      </c>
      <c r="P1865" t="inlineStr">
        <is>
          <t>Digital Wallet</t>
        </is>
      </c>
      <c r="Q1865" t="inlineStr">
        <is>
          <t>Delivered</t>
        </is>
      </c>
      <c r="R1865" t="n">
        <v>4</v>
      </c>
    </row>
    <row r="1866">
      <c r="A1866" t="inlineStr">
        <is>
          <t>ORD2865</t>
        </is>
      </c>
      <c r="B1866" t="inlineStr">
        <is>
          <t>2025-07-04</t>
        </is>
      </c>
      <c r="C1866" t="inlineStr">
        <is>
          <t>20:15:44</t>
        </is>
      </c>
      <c r="D1866" t="n">
        <v>1070</v>
      </c>
      <c r="E1866" t="n">
        <v>103</v>
      </c>
      <c r="F1866" t="n">
        <v>222</v>
      </c>
      <c r="G1866" t="inlineStr">
        <is>
          <t>Mumbai</t>
        </is>
      </c>
      <c r="H1866" t="inlineStr">
        <is>
          <t>Italian</t>
        </is>
      </c>
      <c r="I1866" t="n">
        <v>937</v>
      </c>
      <c r="J1866" t="n">
        <v>158.8</v>
      </c>
      <c r="K1866" t="n">
        <v>0</v>
      </c>
      <c r="L1866" t="n">
        <v>0.18</v>
      </c>
      <c r="M1866" t="n">
        <v>168.66</v>
      </c>
      <c r="N1866" t="n">
        <v>8.300000000000001</v>
      </c>
      <c r="O1866" t="n">
        <v>47</v>
      </c>
      <c r="P1866" t="inlineStr">
        <is>
          <t>UPI</t>
        </is>
      </c>
      <c r="Q1866" t="inlineStr">
        <is>
          <t>Delivered</t>
        </is>
      </c>
      <c r="R1866" t="n">
        <v>3</v>
      </c>
    </row>
    <row r="1867">
      <c r="A1867" t="inlineStr">
        <is>
          <t>ORD2866</t>
        </is>
      </c>
      <c r="B1867" t="inlineStr">
        <is>
          <t>2025-12-16</t>
        </is>
      </c>
      <c r="C1867" t="inlineStr">
        <is>
          <t>20:46:03</t>
        </is>
      </c>
      <c r="D1867" t="n">
        <v>1023</v>
      </c>
      <c r="E1867" t="n">
        <v>101</v>
      </c>
      <c r="F1867" t="n">
        <v>205</v>
      </c>
      <c r="G1867" t="inlineStr">
        <is>
          <t>Bangalore</t>
        </is>
      </c>
      <c r="H1867" t="inlineStr">
        <is>
          <t>North Indian</t>
        </is>
      </c>
      <c r="I1867" t="n">
        <v>452</v>
      </c>
      <c r="J1867" t="n">
        <v>19.45</v>
      </c>
      <c r="K1867" t="n">
        <v>30.5</v>
      </c>
      <c r="L1867" t="n">
        <v>0.2</v>
      </c>
      <c r="M1867" t="n">
        <v>98.02</v>
      </c>
      <c r="N1867" t="n">
        <v>4.1</v>
      </c>
      <c r="O1867" t="n">
        <v>37.2</v>
      </c>
      <c r="P1867" t="inlineStr">
        <is>
          <t>Cash on Delivery</t>
        </is>
      </c>
      <c r="Q1867" t="inlineStr">
        <is>
          <t>Delivered</t>
        </is>
      </c>
      <c r="R1867" t="n">
        <v>4</v>
      </c>
    </row>
    <row r="1868">
      <c r="A1868" t="inlineStr">
        <is>
          <t>ORD2867</t>
        </is>
      </c>
      <c r="B1868" t="inlineStr">
        <is>
          <t>2025-06-10</t>
        </is>
      </c>
      <c r="C1868" t="inlineStr">
        <is>
          <t>13:15:26</t>
        </is>
      </c>
      <c r="D1868" t="n">
        <v>1170</v>
      </c>
      <c r="E1868" t="n">
        <v>113</v>
      </c>
      <c r="F1868" t="n">
        <v>206</v>
      </c>
      <c r="G1868" t="inlineStr">
        <is>
          <t>Mumbai</t>
        </is>
      </c>
      <c r="H1868" t="inlineStr">
        <is>
          <t>Fast Food</t>
        </is>
      </c>
      <c r="I1868" t="n">
        <v>946</v>
      </c>
      <c r="J1868" t="n">
        <v>7.57</v>
      </c>
      <c r="K1868" t="n">
        <v>25</v>
      </c>
      <c r="L1868" t="n">
        <v>0.18</v>
      </c>
      <c r="M1868" t="n">
        <v>176.53</v>
      </c>
      <c r="N1868" t="n">
        <v>2.1</v>
      </c>
      <c r="O1868" t="n">
        <v>29.9</v>
      </c>
      <c r="P1868" t="inlineStr">
        <is>
          <t>Debit Card</t>
        </is>
      </c>
      <c r="Q1868" t="inlineStr">
        <is>
          <t>Delivered</t>
        </is>
      </c>
      <c r="R1868" t="n">
        <v>5</v>
      </c>
    </row>
    <row r="1869">
      <c r="A1869" t="inlineStr">
        <is>
          <t>ORD2868</t>
        </is>
      </c>
      <c r="B1869" t="inlineStr">
        <is>
          <t>2025-09-06</t>
        </is>
      </c>
      <c r="C1869" t="inlineStr">
        <is>
          <t>13:00:03</t>
        </is>
      </c>
      <c r="D1869" t="n">
        <v>1109</v>
      </c>
      <c r="E1869" t="n">
        <v>113</v>
      </c>
      <c r="F1869" t="n">
        <v>222</v>
      </c>
      <c r="G1869" t="inlineStr">
        <is>
          <t>Mumbai</t>
        </is>
      </c>
      <c r="H1869" t="inlineStr">
        <is>
          <t>Fast Food</t>
        </is>
      </c>
      <c r="I1869" t="n">
        <v>245</v>
      </c>
      <c r="J1869" t="n">
        <v>12.77</v>
      </c>
      <c r="K1869" t="n">
        <v>34.5</v>
      </c>
      <c r="L1869" t="n">
        <v>0.18</v>
      </c>
      <c r="M1869" t="n">
        <v>52.72</v>
      </c>
      <c r="N1869" t="n">
        <v>4.9</v>
      </c>
      <c r="O1869" t="n">
        <v>38.2</v>
      </c>
      <c r="P1869" t="inlineStr">
        <is>
          <t>Credit Card</t>
        </is>
      </c>
      <c r="Q1869" t="inlineStr">
        <is>
          <t>Delivered</t>
        </is>
      </c>
      <c r="R1869" t="n">
        <v>5</v>
      </c>
    </row>
    <row r="1870">
      <c r="A1870" t="inlineStr">
        <is>
          <t>ORD2869</t>
        </is>
      </c>
      <c r="B1870" t="inlineStr">
        <is>
          <t>2025-01-25</t>
        </is>
      </c>
      <c r="C1870" t="inlineStr">
        <is>
          <t>21:18:58</t>
        </is>
      </c>
      <c r="D1870" t="n">
        <v>1182</v>
      </c>
      <c r="E1870" t="n">
        <v>109</v>
      </c>
      <c r="F1870" t="n">
        <v>215</v>
      </c>
      <c r="G1870" t="inlineStr">
        <is>
          <t>Hyderabad</t>
        </is>
      </c>
      <c r="H1870" t="inlineStr">
        <is>
          <t>Biryani</t>
        </is>
      </c>
      <c r="I1870" t="n">
        <v>605</v>
      </c>
      <c r="J1870" t="n">
        <v>33.03</v>
      </c>
      <c r="K1870" t="n">
        <v>49.5</v>
      </c>
      <c r="L1870" t="n">
        <v>0.2</v>
      </c>
      <c r="M1870" t="n">
        <v>133.38</v>
      </c>
      <c r="N1870" t="n">
        <v>7.9</v>
      </c>
      <c r="O1870" t="n">
        <v>49</v>
      </c>
      <c r="P1870" t="inlineStr">
        <is>
          <t>Digital Wallet</t>
        </is>
      </c>
      <c r="Q1870" t="inlineStr">
        <is>
          <t>Delivered</t>
        </is>
      </c>
      <c r="R1870" t="n">
        <v>5</v>
      </c>
    </row>
    <row r="1871">
      <c r="A1871" t="inlineStr">
        <is>
          <t>ORD2870</t>
        </is>
      </c>
      <c r="B1871" t="inlineStr">
        <is>
          <t>2025-07-30</t>
        </is>
      </c>
      <c r="C1871" t="inlineStr">
        <is>
          <t>19:03:20</t>
        </is>
      </c>
      <c r="D1871" t="n">
        <v>1016</v>
      </c>
      <c r="E1871" t="n">
        <v>101</v>
      </c>
      <c r="F1871" t="n">
        <v>220</v>
      </c>
      <c r="G1871" t="inlineStr">
        <is>
          <t>Bangalore</t>
        </is>
      </c>
      <c r="H1871" t="inlineStr">
        <is>
          <t>North Indian</t>
        </is>
      </c>
      <c r="I1871" t="n">
        <v>666</v>
      </c>
      <c r="J1871" t="n">
        <v>0</v>
      </c>
      <c r="K1871" t="n">
        <v>25</v>
      </c>
      <c r="L1871" t="n">
        <v>0.2</v>
      </c>
      <c r="M1871" t="n">
        <v>139.45</v>
      </c>
      <c r="N1871" t="n">
        <v>3</v>
      </c>
      <c r="O1871" t="n">
        <v>24.1</v>
      </c>
      <c r="P1871" t="inlineStr">
        <is>
          <t>Debit Card</t>
        </is>
      </c>
      <c r="Q1871" t="inlineStr">
        <is>
          <t>Delivered</t>
        </is>
      </c>
      <c r="R1871" t="n">
        <v>4</v>
      </c>
    </row>
    <row r="1872">
      <c r="A1872" t="inlineStr">
        <is>
          <t>ORD2871</t>
        </is>
      </c>
      <c r="B1872" t="inlineStr">
        <is>
          <t>2025-09-08</t>
        </is>
      </c>
      <c r="C1872" t="inlineStr">
        <is>
          <t>13:48:28</t>
        </is>
      </c>
      <c r="D1872" t="n">
        <v>1217</v>
      </c>
      <c r="E1872" t="n">
        <v>109</v>
      </c>
      <c r="F1872" t="n">
        <v>225</v>
      </c>
      <c r="G1872" t="inlineStr">
        <is>
          <t>Hyderabad</t>
        </is>
      </c>
      <c r="H1872" t="inlineStr">
        <is>
          <t>Biryani</t>
        </is>
      </c>
      <c r="I1872" t="n">
        <v>568</v>
      </c>
      <c r="J1872" t="n">
        <v>1.33</v>
      </c>
      <c r="K1872" t="n">
        <v>36.5</v>
      </c>
      <c r="L1872" t="n">
        <v>0.2</v>
      </c>
      <c r="M1872" t="n">
        <v>122.72</v>
      </c>
      <c r="N1872" t="n">
        <v>5.3</v>
      </c>
      <c r="O1872" t="n">
        <v/>
      </c>
      <c r="P1872" t="inlineStr">
        <is>
          <t>Debit Card</t>
        </is>
      </c>
      <c r="Q1872" t="inlineStr">
        <is>
          <t>Cancelled</t>
        </is>
      </c>
      <c r="R1872" t="n">
        <v/>
      </c>
    </row>
    <row r="1873">
      <c r="A1873" t="inlineStr">
        <is>
          <t>ORD2872</t>
        </is>
      </c>
      <c r="B1873" t="inlineStr">
        <is>
          <t>2025-09-17</t>
        </is>
      </c>
      <c r="C1873" t="inlineStr">
        <is>
          <t>21:51:38</t>
        </is>
      </c>
      <c r="D1873" t="n">
        <v>1102</v>
      </c>
      <c r="E1873" t="n">
        <v>103</v>
      </c>
      <c r="F1873" t="n">
        <v>206</v>
      </c>
      <c r="G1873" t="inlineStr">
        <is>
          <t>Mumbai</t>
        </is>
      </c>
      <c r="H1873" t="inlineStr">
        <is>
          <t>Italian</t>
        </is>
      </c>
      <c r="I1873" t="n">
        <v>249</v>
      </c>
      <c r="J1873" t="n">
        <v>19.86</v>
      </c>
      <c r="K1873" t="n">
        <v>34</v>
      </c>
      <c r="L1873" t="n">
        <v>0.18</v>
      </c>
      <c r="M1873" t="n">
        <v>53.32</v>
      </c>
      <c r="N1873" t="n">
        <v>4.8</v>
      </c>
      <c r="O1873" t="n">
        <v>32.9</v>
      </c>
      <c r="P1873" t="inlineStr">
        <is>
          <t>Debit Card</t>
        </is>
      </c>
      <c r="Q1873" t="inlineStr">
        <is>
          <t>Delivered</t>
        </is>
      </c>
      <c r="R1873" t="n">
        <v>4</v>
      </c>
    </row>
    <row r="1874">
      <c r="A1874" t="inlineStr">
        <is>
          <t>ORD2873</t>
        </is>
      </c>
      <c r="B1874" t="inlineStr">
        <is>
          <t>2025-03-08</t>
        </is>
      </c>
      <c r="C1874" t="inlineStr">
        <is>
          <t>10:54:40</t>
        </is>
      </c>
      <c r="D1874" t="n">
        <v>1241</v>
      </c>
      <c r="E1874" t="n">
        <v>114</v>
      </c>
      <c r="F1874" t="n">
        <v>225</v>
      </c>
      <c r="G1874" t="inlineStr">
        <is>
          <t>Hyderabad</t>
        </is>
      </c>
      <c r="H1874" t="inlineStr">
        <is>
          <t>Biryani</t>
        </is>
      </c>
      <c r="I1874" t="n">
        <v>705</v>
      </c>
      <c r="J1874" t="n">
        <v>100.02</v>
      </c>
      <c r="K1874" t="n">
        <v>0</v>
      </c>
      <c r="L1874" t="n">
        <v>0.22</v>
      </c>
      <c r="M1874" t="n">
        <v>155.1</v>
      </c>
      <c r="N1874" t="n">
        <v>5.3</v>
      </c>
      <c r="O1874" t="n">
        <v>36.7</v>
      </c>
      <c r="P1874" t="inlineStr">
        <is>
          <t>UPI</t>
        </is>
      </c>
      <c r="Q1874" t="inlineStr">
        <is>
          <t>Delivered</t>
        </is>
      </c>
      <c r="R1874" t="n">
        <v>5</v>
      </c>
    </row>
    <row r="1875">
      <c r="A1875" t="inlineStr">
        <is>
          <t>ORD2874</t>
        </is>
      </c>
      <c r="B1875" t="inlineStr">
        <is>
          <t>2025-11-20</t>
        </is>
      </c>
      <c r="C1875" t="inlineStr">
        <is>
          <t>21:21:38</t>
        </is>
      </c>
      <c r="D1875" t="n">
        <v>1039</v>
      </c>
      <c r="E1875" t="n">
        <v>115</v>
      </c>
      <c r="F1875" t="n">
        <v>213</v>
      </c>
      <c r="G1875" t="inlineStr">
        <is>
          <t>Bangalore</t>
        </is>
      </c>
      <c r="H1875" t="inlineStr">
        <is>
          <t>Italian</t>
        </is>
      </c>
      <c r="I1875" t="n">
        <v>842</v>
      </c>
      <c r="J1875" t="n">
        <v>62.55</v>
      </c>
      <c r="K1875" t="n">
        <v>42.5</v>
      </c>
      <c r="L1875" t="n">
        <v>0.2</v>
      </c>
      <c r="M1875" t="n">
        <v>179.02</v>
      </c>
      <c r="N1875" t="n">
        <v>6.5</v>
      </c>
      <c r="O1875" t="n">
        <v>47.1</v>
      </c>
      <c r="P1875" t="inlineStr">
        <is>
          <t>UPI</t>
        </is>
      </c>
      <c r="Q1875" t="inlineStr">
        <is>
          <t>Delivered</t>
        </is>
      </c>
      <c r="R1875" t="n">
        <v>1</v>
      </c>
    </row>
    <row r="1876">
      <c r="A1876" t="inlineStr">
        <is>
          <t>ORD2875</t>
        </is>
      </c>
      <c r="B1876" t="inlineStr">
        <is>
          <t>2025-03-02</t>
        </is>
      </c>
      <c r="C1876" t="inlineStr">
        <is>
          <t>20:11:09</t>
        </is>
      </c>
      <c r="D1876" t="n">
        <v>1224</v>
      </c>
      <c r="E1876" t="n">
        <v>104</v>
      </c>
      <c r="F1876" t="n">
        <v>212</v>
      </c>
      <c r="G1876" t="inlineStr">
        <is>
          <t>Delhi NCR</t>
        </is>
      </c>
      <c r="H1876" t="inlineStr">
        <is>
          <t>Fast Food</t>
        </is>
      </c>
      <c r="I1876" t="n">
        <v>521</v>
      </c>
      <c r="J1876" t="n">
        <v>0</v>
      </c>
      <c r="K1876" t="n">
        <v>31.5</v>
      </c>
      <c r="L1876" t="n">
        <v>0.18</v>
      </c>
      <c r="M1876" t="n">
        <v>101.66</v>
      </c>
      <c r="N1876" t="n">
        <v>4.3</v>
      </c>
      <c r="O1876" t="n">
        <v/>
      </c>
      <c r="P1876" t="inlineStr">
        <is>
          <t>Cash on Delivery</t>
        </is>
      </c>
      <c r="Q1876" t="inlineStr">
        <is>
          <t>Cancelled</t>
        </is>
      </c>
      <c r="R1876" t="n">
        <v/>
      </c>
    </row>
    <row r="1877">
      <c r="A1877" t="inlineStr">
        <is>
          <t>ORD2876</t>
        </is>
      </c>
      <c r="B1877" t="inlineStr">
        <is>
          <t>2025-06-09</t>
        </is>
      </c>
      <c r="C1877" t="inlineStr">
        <is>
          <t>20:25:08</t>
        </is>
      </c>
      <c r="D1877" t="n">
        <v>1251</v>
      </c>
      <c r="E1877" t="n">
        <v>102</v>
      </c>
      <c r="F1877" t="n">
        <v>216</v>
      </c>
      <c r="G1877" t="inlineStr">
        <is>
          <t>Hyderabad</t>
        </is>
      </c>
      <c r="H1877" t="inlineStr">
        <is>
          <t>Biryani</t>
        </is>
      </c>
      <c r="I1877" t="n">
        <v>543</v>
      </c>
      <c r="J1877" t="n">
        <v>16.95</v>
      </c>
      <c r="K1877" t="n">
        <v>27</v>
      </c>
      <c r="L1877" t="n">
        <v>0.22</v>
      </c>
      <c r="M1877" t="n">
        <v>126.21</v>
      </c>
      <c r="N1877" t="n">
        <v>3.4</v>
      </c>
      <c r="O1877" t="n">
        <v>26.9</v>
      </c>
      <c r="P1877" t="inlineStr">
        <is>
          <t>Credit Card</t>
        </is>
      </c>
      <c r="Q1877" t="inlineStr">
        <is>
          <t>Delivered</t>
        </is>
      </c>
      <c r="R1877" t="n">
        <v>4</v>
      </c>
    </row>
    <row r="1878">
      <c r="A1878" t="inlineStr">
        <is>
          <t>ORD2877</t>
        </is>
      </c>
      <c r="B1878" t="inlineStr">
        <is>
          <t>2025-07-10</t>
        </is>
      </c>
      <c r="C1878" t="inlineStr">
        <is>
          <t>12:58:54</t>
        </is>
      </c>
      <c r="D1878" t="n">
        <v>1159</v>
      </c>
      <c r="E1878" t="n">
        <v>112</v>
      </c>
      <c r="F1878" t="n">
        <v>212</v>
      </c>
      <c r="G1878" t="inlineStr">
        <is>
          <t>Delhi NCR</t>
        </is>
      </c>
      <c r="H1878" t="inlineStr">
        <is>
          <t>North Indian</t>
        </is>
      </c>
      <c r="I1878" t="n">
        <v>735</v>
      </c>
      <c r="J1878" t="n">
        <v>14.77</v>
      </c>
      <c r="K1878" t="n">
        <v>26</v>
      </c>
      <c r="L1878" t="n">
        <v>0.22</v>
      </c>
      <c r="M1878" t="n">
        <v>168.2</v>
      </c>
      <c r="N1878" t="n">
        <v>3.2</v>
      </c>
      <c r="O1878" t="n">
        <v>35.3</v>
      </c>
      <c r="P1878" t="inlineStr">
        <is>
          <t>Cash on Delivery</t>
        </is>
      </c>
      <c r="Q1878" t="inlineStr">
        <is>
          <t>Delivered</t>
        </is>
      </c>
      <c r="R1878" t="n">
        <v>5</v>
      </c>
    </row>
    <row r="1879">
      <c r="A1879" t="inlineStr">
        <is>
          <t>ORD2878</t>
        </is>
      </c>
      <c r="B1879" t="inlineStr">
        <is>
          <t>2025-10-02</t>
        </is>
      </c>
      <c r="C1879" t="inlineStr">
        <is>
          <t>18:00:06</t>
        </is>
      </c>
      <c r="D1879" t="n">
        <v>1012</v>
      </c>
      <c r="E1879" t="n">
        <v>120</v>
      </c>
      <c r="F1879" t="n">
        <v>214</v>
      </c>
      <c r="G1879" t="inlineStr">
        <is>
          <t>Pune</t>
        </is>
      </c>
      <c r="H1879" t="inlineStr">
        <is>
          <t>Fast Food</t>
        </is>
      </c>
      <c r="I1879" t="n">
        <v>955</v>
      </c>
      <c r="J1879" t="n">
        <v>144.8</v>
      </c>
      <c r="K1879" t="n">
        <v>0</v>
      </c>
      <c r="L1879" t="n">
        <v>0.18</v>
      </c>
      <c r="M1879" t="n">
        <v>171.9</v>
      </c>
      <c r="N1879" t="n">
        <v>9.199999999999999</v>
      </c>
      <c r="O1879" t="n">
        <v>44.2</v>
      </c>
      <c r="P1879" t="inlineStr">
        <is>
          <t>Cash on Delivery</t>
        </is>
      </c>
      <c r="Q1879" t="inlineStr">
        <is>
          <t>Delivered</t>
        </is>
      </c>
      <c r="R1879" t="n">
        <v>3</v>
      </c>
    </row>
    <row r="1880">
      <c r="A1880" t="inlineStr">
        <is>
          <t>ORD2879</t>
        </is>
      </c>
      <c r="B1880" t="inlineStr">
        <is>
          <t>2025-03-30</t>
        </is>
      </c>
      <c r="C1880" t="inlineStr">
        <is>
          <t>16:36:38</t>
        </is>
      </c>
      <c r="D1880" t="n">
        <v>1231</v>
      </c>
      <c r="E1880" t="n">
        <v>101</v>
      </c>
      <c r="F1880" t="n">
        <v>213</v>
      </c>
      <c r="G1880" t="inlineStr">
        <is>
          <t>Bangalore</t>
        </is>
      </c>
      <c r="H1880" t="inlineStr">
        <is>
          <t>North Indian</t>
        </is>
      </c>
      <c r="I1880" t="n">
        <v>586</v>
      </c>
      <c r="J1880" t="n">
        <v>47.52</v>
      </c>
      <c r="K1880" t="n">
        <v>26</v>
      </c>
      <c r="L1880" t="n">
        <v>0.2</v>
      </c>
      <c r="M1880" t="n">
        <v>123.7</v>
      </c>
      <c r="N1880" t="n">
        <v>3.2</v>
      </c>
      <c r="O1880" t="n">
        <v>37</v>
      </c>
      <c r="P1880" t="inlineStr">
        <is>
          <t>UPI</t>
        </is>
      </c>
      <c r="Q1880" t="inlineStr">
        <is>
          <t>Delivered</t>
        </is>
      </c>
      <c r="R1880" t="n">
        <v>2</v>
      </c>
    </row>
    <row r="1881">
      <c r="A1881" t="inlineStr">
        <is>
          <t>ORD2880</t>
        </is>
      </c>
      <c r="B1881" t="inlineStr">
        <is>
          <t>2025-07-29</t>
        </is>
      </c>
      <c r="C1881" t="inlineStr">
        <is>
          <t>17:50:16</t>
        </is>
      </c>
      <c r="D1881" t="n">
        <v>1220</v>
      </c>
      <c r="E1881" t="n">
        <v>114</v>
      </c>
      <c r="F1881" t="n">
        <v>216</v>
      </c>
      <c r="G1881" t="inlineStr">
        <is>
          <t>Hyderabad</t>
        </is>
      </c>
      <c r="H1881" t="inlineStr">
        <is>
          <t>Biryani</t>
        </is>
      </c>
      <c r="I1881" t="n">
        <v>388</v>
      </c>
      <c r="J1881" t="n">
        <v>36.74</v>
      </c>
      <c r="K1881" t="n">
        <v>27</v>
      </c>
      <c r="L1881" t="n">
        <v>0.22</v>
      </c>
      <c r="M1881" t="n">
        <v>92.11</v>
      </c>
      <c r="N1881" t="n">
        <v>3.4</v>
      </c>
      <c r="O1881" t="n">
        <v>27.3</v>
      </c>
      <c r="P1881" t="inlineStr">
        <is>
          <t>Credit Card</t>
        </is>
      </c>
      <c r="Q1881" t="inlineStr">
        <is>
          <t>Delivered</t>
        </is>
      </c>
      <c r="R1881" t="n">
        <v>5</v>
      </c>
    </row>
    <row r="1882">
      <c r="A1882" t="inlineStr">
        <is>
          <t>ORD2881</t>
        </is>
      </c>
      <c r="B1882" t="inlineStr">
        <is>
          <t>2025-04-15</t>
        </is>
      </c>
      <c r="C1882" t="inlineStr">
        <is>
          <t>12:33:16</t>
        </is>
      </c>
      <c r="D1882" t="n">
        <v>1260</v>
      </c>
      <c r="E1882" t="n">
        <v>110</v>
      </c>
      <c r="F1882" t="n">
        <v>209</v>
      </c>
      <c r="G1882" t="inlineStr">
        <is>
          <t>Pune</t>
        </is>
      </c>
      <c r="H1882" t="inlineStr">
        <is>
          <t>North Indian</t>
        </is>
      </c>
      <c r="I1882" t="n">
        <v>454</v>
      </c>
      <c r="J1882" t="n">
        <v>32.12</v>
      </c>
      <c r="K1882" t="n">
        <v>31.5</v>
      </c>
      <c r="L1882" t="n">
        <v>0.18</v>
      </c>
      <c r="M1882" t="n">
        <v>89.59999999999999</v>
      </c>
      <c r="N1882" t="n">
        <v>4.3</v>
      </c>
      <c r="O1882" t="n">
        <v>36.3</v>
      </c>
      <c r="P1882" t="inlineStr">
        <is>
          <t>Cash on Delivery</t>
        </is>
      </c>
      <c r="Q1882" t="inlineStr">
        <is>
          <t>Delivered</t>
        </is>
      </c>
      <c r="R1882" t="n">
        <v>3</v>
      </c>
    </row>
    <row r="1883">
      <c r="A1883" t="inlineStr">
        <is>
          <t>ORD2882</t>
        </is>
      </c>
      <c r="B1883" t="inlineStr">
        <is>
          <t>2025-08-25</t>
        </is>
      </c>
      <c r="C1883" t="inlineStr">
        <is>
          <t>20:35:22</t>
        </is>
      </c>
      <c r="D1883" t="n">
        <v>1239</v>
      </c>
      <c r="E1883" t="n">
        <v>115</v>
      </c>
      <c r="F1883" t="n">
        <v>210</v>
      </c>
      <c r="G1883" t="inlineStr">
        <is>
          <t>Bangalore</t>
        </is>
      </c>
      <c r="H1883" t="inlineStr">
        <is>
          <t>Italian</t>
        </is>
      </c>
      <c r="I1883" t="n">
        <v>870</v>
      </c>
      <c r="J1883" t="n">
        <v>53.78</v>
      </c>
      <c r="K1883" t="n">
        <v>41.5</v>
      </c>
      <c r="L1883" t="n">
        <v>0.2</v>
      </c>
      <c r="M1883" t="n">
        <v>184.38</v>
      </c>
      <c r="N1883" t="n">
        <v>6.3</v>
      </c>
      <c r="O1883" t="n">
        <v>46</v>
      </c>
      <c r="P1883" t="inlineStr">
        <is>
          <t>Digital Wallet</t>
        </is>
      </c>
      <c r="Q1883" t="inlineStr">
        <is>
          <t>Delivered</t>
        </is>
      </c>
      <c r="R1883" t="n">
        <v>2</v>
      </c>
    </row>
    <row r="1884">
      <c r="A1884" t="inlineStr">
        <is>
          <t>ORD2883</t>
        </is>
      </c>
      <c r="B1884" t="inlineStr">
        <is>
          <t>2025-03-07</t>
        </is>
      </c>
      <c r="C1884" t="inlineStr">
        <is>
          <t>13:07:42</t>
        </is>
      </c>
      <c r="D1884" t="n">
        <v>1030</v>
      </c>
      <c r="E1884" t="n">
        <v>102</v>
      </c>
      <c r="F1884" t="n">
        <v>216</v>
      </c>
      <c r="G1884" t="inlineStr">
        <is>
          <t>Hyderabad</t>
        </is>
      </c>
      <c r="H1884" t="inlineStr">
        <is>
          <t>Biryani</t>
        </is>
      </c>
      <c r="I1884" t="n">
        <v>790</v>
      </c>
      <c r="J1884" t="n">
        <v>14.7</v>
      </c>
      <c r="K1884" t="n">
        <v>63.5</v>
      </c>
      <c r="L1884" t="n">
        <v>0.22</v>
      </c>
      <c r="M1884" t="n">
        <v>189.68</v>
      </c>
      <c r="N1884" t="n">
        <v>10.7</v>
      </c>
      <c r="O1884" t="n">
        <v>55.9</v>
      </c>
      <c r="P1884" t="inlineStr">
        <is>
          <t>Debit Card</t>
        </is>
      </c>
      <c r="Q1884" t="inlineStr">
        <is>
          <t>Delivered</t>
        </is>
      </c>
      <c r="R1884" t="n">
        <v>2</v>
      </c>
    </row>
    <row r="1885">
      <c r="A1885" t="inlineStr">
        <is>
          <t>ORD2884</t>
        </is>
      </c>
      <c r="B1885" t="inlineStr">
        <is>
          <t>2025-01-17</t>
        </is>
      </c>
      <c r="C1885" t="inlineStr">
        <is>
          <t>20:43:27</t>
        </is>
      </c>
      <c r="D1885" t="n">
        <v>1256</v>
      </c>
      <c r="E1885" t="n">
        <v>105</v>
      </c>
      <c r="F1885" t="n">
        <v>218</v>
      </c>
      <c r="G1885" t="inlineStr">
        <is>
          <t>Bangalore</t>
        </is>
      </c>
      <c r="H1885" t="inlineStr">
        <is>
          <t>Chinese</t>
        </is>
      </c>
      <c r="I1885" t="n">
        <v>480</v>
      </c>
      <c r="J1885" t="n">
        <v>0</v>
      </c>
      <c r="K1885" t="n">
        <v>29</v>
      </c>
      <c r="L1885" t="n">
        <v>0.2</v>
      </c>
      <c r="M1885" t="n">
        <v>103.25</v>
      </c>
      <c r="N1885" t="n">
        <v>3.8</v>
      </c>
      <c r="O1885" t="n">
        <v>35.1</v>
      </c>
      <c r="P1885" t="inlineStr">
        <is>
          <t>Cash on Delivery</t>
        </is>
      </c>
      <c r="Q1885" t="inlineStr">
        <is>
          <t>Delivered</t>
        </is>
      </c>
      <c r="R1885" t="n">
        <v>4</v>
      </c>
    </row>
    <row r="1886">
      <c r="A1886" t="inlineStr">
        <is>
          <t>ORD2885</t>
        </is>
      </c>
      <c r="B1886" t="inlineStr">
        <is>
          <t>2025-02-09</t>
        </is>
      </c>
      <c r="C1886" t="inlineStr">
        <is>
          <t>14:07:08</t>
        </is>
      </c>
      <c r="D1886" t="n">
        <v>1144</v>
      </c>
      <c r="E1886" t="n">
        <v>101</v>
      </c>
      <c r="F1886" t="n">
        <v>218</v>
      </c>
      <c r="G1886" t="inlineStr">
        <is>
          <t>Bangalore</t>
        </is>
      </c>
      <c r="H1886" t="inlineStr">
        <is>
          <t>North Indian</t>
        </is>
      </c>
      <c r="I1886" t="n">
        <v>418</v>
      </c>
      <c r="J1886" t="n">
        <v>0</v>
      </c>
      <c r="K1886" t="n">
        <v>25</v>
      </c>
      <c r="L1886" t="n">
        <v>0.2</v>
      </c>
      <c r="M1886" t="n">
        <v>89.84999999999999</v>
      </c>
      <c r="N1886" t="n">
        <v>2.2</v>
      </c>
      <c r="O1886" t="n">
        <v>28.6</v>
      </c>
      <c r="P1886" t="inlineStr">
        <is>
          <t>Cash on Delivery</t>
        </is>
      </c>
      <c r="Q1886" t="inlineStr">
        <is>
          <t>Delivered</t>
        </is>
      </c>
      <c r="R1886" t="n">
        <v>4</v>
      </c>
    </row>
    <row r="1887">
      <c r="A1887" t="inlineStr">
        <is>
          <t>ORD2886</t>
        </is>
      </c>
      <c r="B1887" t="inlineStr">
        <is>
          <t>2025-08-19</t>
        </is>
      </c>
      <c r="C1887" t="inlineStr">
        <is>
          <t>13:28:57</t>
        </is>
      </c>
      <c r="D1887" t="n">
        <v>1008</v>
      </c>
      <c r="E1887" t="n">
        <v>113</v>
      </c>
      <c r="F1887" t="n">
        <v>229</v>
      </c>
      <c r="G1887" t="inlineStr">
        <is>
          <t>Mumbai</t>
        </is>
      </c>
      <c r="H1887" t="inlineStr">
        <is>
          <t>Fast Food</t>
        </is>
      </c>
      <c r="I1887" t="n">
        <v>922</v>
      </c>
      <c r="J1887" t="n">
        <v>111.22</v>
      </c>
      <c r="K1887" t="n">
        <v>0</v>
      </c>
      <c r="L1887" t="n">
        <v>0.18</v>
      </c>
      <c r="M1887" t="n">
        <v>165.96</v>
      </c>
      <c r="N1887" t="n">
        <v>1.9</v>
      </c>
      <c r="O1887" t="n">
        <v>28.3</v>
      </c>
      <c r="P1887" t="inlineStr">
        <is>
          <t>Credit Card</t>
        </is>
      </c>
      <c r="Q1887" t="inlineStr">
        <is>
          <t>Delivered</t>
        </is>
      </c>
      <c r="R1887" t="n">
        <v>5</v>
      </c>
    </row>
    <row r="1888">
      <c r="A1888" t="inlineStr">
        <is>
          <t>ORD2887</t>
        </is>
      </c>
      <c r="B1888" t="inlineStr">
        <is>
          <t>2025-04-09</t>
        </is>
      </c>
      <c r="C1888" t="inlineStr">
        <is>
          <t>21:55:53</t>
        </is>
      </c>
      <c r="D1888" t="n">
        <v>1028</v>
      </c>
      <c r="E1888" t="n">
        <v>102</v>
      </c>
      <c r="F1888" t="n">
        <v>216</v>
      </c>
      <c r="G1888" t="inlineStr">
        <is>
          <t>Hyderabad</t>
        </is>
      </c>
      <c r="H1888" t="inlineStr">
        <is>
          <t>Biryani</t>
        </is>
      </c>
      <c r="I1888" t="n">
        <v>788</v>
      </c>
      <c r="J1888" t="n">
        <v>43.19</v>
      </c>
      <c r="K1888" t="n">
        <v>25</v>
      </c>
      <c r="L1888" t="n">
        <v>0.22</v>
      </c>
      <c r="M1888" t="n">
        <v>179.61</v>
      </c>
      <c r="N1888" t="n">
        <v>2.7</v>
      </c>
      <c r="O1888" t="n">
        <v>31.8</v>
      </c>
      <c r="P1888" t="inlineStr">
        <is>
          <t>Cash on Delivery</t>
        </is>
      </c>
      <c r="Q1888" t="inlineStr">
        <is>
          <t>Delivered</t>
        </is>
      </c>
      <c r="R1888" t="n">
        <v>4</v>
      </c>
    </row>
    <row r="1889">
      <c r="A1889" t="inlineStr">
        <is>
          <t>ORD2888</t>
        </is>
      </c>
      <c r="B1889" t="inlineStr">
        <is>
          <t>2025-02-04</t>
        </is>
      </c>
      <c r="C1889" t="inlineStr">
        <is>
          <t>13:38:50</t>
        </is>
      </c>
      <c r="D1889" t="n">
        <v>1113</v>
      </c>
      <c r="E1889" t="n">
        <v>101</v>
      </c>
      <c r="F1889" t="n">
        <v>220</v>
      </c>
      <c r="G1889" t="inlineStr">
        <is>
          <t>Bangalore</t>
        </is>
      </c>
      <c r="H1889" t="inlineStr">
        <is>
          <t>North Indian</t>
        </is>
      </c>
      <c r="I1889" t="n">
        <v>962</v>
      </c>
      <c r="J1889" t="n">
        <v>119.96</v>
      </c>
      <c r="K1889" t="n">
        <v>0</v>
      </c>
      <c r="L1889" t="n">
        <v>0.2</v>
      </c>
      <c r="M1889" t="n">
        <v>192.4</v>
      </c>
      <c r="N1889" t="n">
        <v>4.5</v>
      </c>
      <c r="O1889" t="n">
        <v>30.6</v>
      </c>
      <c r="P1889" t="inlineStr">
        <is>
          <t>Debit Card</t>
        </is>
      </c>
      <c r="Q1889" t="inlineStr">
        <is>
          <t>Delivered</t>
        </is>
      </c>
      <c r="R1889" t="n">
        <v>4</v>
      </c>
    </row>
    <row r="1890">
      <c r="A1890" t="inlineStr">
        <is>
          <t>ORD2889</t>
        </is>
      </c>
      <c r="B1890" t="inlineStr">
        <is>
          <t>2025-11-08</t>
        </is>
      </c>
      <c r="C1890" t="inlineStr">
        <is>
          <t>19:50:14</t>
        </is>
      </c>
      <c r="D1890" t="n">
        <v>1050</v>
      </c>
      <c r="E1890" t="n">
        <v>106</v>
      </c>
      <c r="F1890" t="n">
        <v>214</v>
      </c>
      <c r="G1890" t="inlineStr">
        <is>
          <t>Pune</t>
        </is>
      </c>
      <c r="H1890" t="inlineStr">
        <is>
          <t>South Indian</t>
        </is>
      </c>
      <c r="I1890" t="n">
        <v>552</v>
      </c>
      <c r="J1890" t="n">
        <v>22.21</v>
      </c>
      <c r="K1890" t="n">
        <v>29</v>
      </c>
      <c r="L1890" t="n">
        <v>0.15</v>
      </c>
      <c r="M1890" t="n">
        <v>90.05</v>
      </c>
      <c r="N1890" t="n">
        <v>3.8</v>
      </c>
      <c r="O1890" t="n">
        <v>30.7</v>
      </c>
      <c r="P1890" t="inlineStr">
        <is>
          <t>Digital Wallet</t>
        </is>
      </c>
      <c r="Q1890" t="inlineStr">
        <is>
          <t>Delivered</t>
        </is>
      </c>
      <c r="R1890" t="n">
        <v>5</v>
      </c>
    </row>
    <row r="1891">
      <c r="A1891" t="inlineStr">
        <is>
          <t>ORD2890</t>
        </is>
      </c>
      <c r="B1891" t="inlineStr">
        <is>
          <t>2025-04-28</t>
        </is>
      </c>
      <c r="C1891" t="inlineStr">
        <is>
          <t>19:56:19</t>
        </is>
      </c>
      <c r="D1891" t="n">
        <v>1192</v>
      </c>
      <c r="E1891" t="n">
        <v>101</v>
      </c>
      <c r="F1891" t="n">
        <v>213</v>
      </c>
      <c r="G1891" t="inlineStr">
        <is>
          <t>Bangalore</t>
        </is>
      </c>
      <c r="H1891" t="inlineStr">
        <is>
          <t>North Indian</t>
        </is>
      </c>
      <c r="I1891" t="n">
        <v>341</v>
      </c>
      <c r="J1891" t="n">
        <v>63.35</v>
      </c>
      <c r="K1891" t="n">
        <v>26.5</v>
      </c>
      <c r="L1891" t="n">
        <v>0.2</v>
      </c>
      <c r="M1891" t="n">
        <v>74.81999999999999</v>
      </c>
      <c r="N1891" t="n">
        <v>3.3</v>
      </c>
      <c r="O1891" t="n">
        <v>33.8</v>
      </c>
      <c r="P1891" t="inlineStr">
        <is>
          <t>UPI</t>
        </is>
      </c>
      <c r="Q1891" t="inlineStr">
        <is>
          <t>Delivered</t>
        </is>
      </c>
      <c r="R1891" t="n">
        <v>5</v>
      </c>
    </row>
    <row r="1892">
      <c r="A1892" t="inlineStr">
        <is>
          <t>ORD2891</t>
        </is>
      </c>
      <c r="B1892" t="inlineStr">
        <is>
          <t>2025-08-31</t>
        </is>
      </c>
      <c r="C1892" t="inlineStr">
        <is>
          <t>12:32:18</t>
        </is>
      </c>
      <c r="D1892" t="n">
        <v>1057</v>
      </c>
      <c r="E1892" t="n">
        <v>103</v>
      </c>
      <c r="F1892" t="n">
        <v>222</v>
      </c>
      <c r="G1892" t="inlineStr">
        <is>
          <t>Mumbai</t>
        </is>
      </c>
      <c r="H1892" t="inlineStr">
        <is>
          <t>Italian</t>
        </is>
      </c>
      <c r="I1892" t="n">
        <v>746</v>
      </c>
      <c r="J1892" t="n">
        <v>50.28</v>
      </c>
      <c r="K1892" t="n">
        <v>40</v>
      </c>
      <c r="L1892" t="n">
        <v>0.18</v>
      </c>
      <c r="M1892" t="n">
        <v>144.28</v>
      </c>
      <c r="N1892" t="n">
        <v>6</v>
      </c>
      <c r="O1892" t="n">
        <v>42.9</v>
      </c>
      <c r="P1892" t="inlineStr">
        <is>
          <t>Credit Card</t>
        </is>
      </c>
      <c r="Q1892" t="inlineStr">
        <is>
          <t>Delivered</t>
        </is>
      </c>
      <c r="R1892" t="n">
        <v>2</v>
      </c>
    </row>
    <row r="1893">
      <c r="A1893" t="inlineStr">
        <is>
          <t>ORD2892</t>
        </is>
      </c>
      <c r="B1893" t="inlineStr">
        <is>
          <t>2025-12-10</t>
        </is>
      </c>
      <c r="C1893" t="inlineStr">
        <is>
          <t>20:23:16</t>
        </is>
      </c>
      <c r="D1893" t="n">
        <v>1193</v>
      </c>
      <c r="E1893" t="n">
        <v>112</v>
      </c>
      <c r="F1893" t="n">
        <v>219</v>
      </c>
      <c r="G1893" t="inlineStr">
        <is>
          <t>Delhi NCR</t>
        </is>
      </c>
      <c r="H1893" t="inlineStr">
        <is>
          <t>North Indian</t>
        </is>
      </c>
      <c r="I1893" t="n">
        <v>697</v>
      </c>
      <c r="J1893" t="n">
        <v>73.43000000000001</v>
      </c>
      <c r="K1893" t="n">
        <v>0</v>
      </c>
      <c r="L1893" t="n">
        <v>0.22</v>
      </c>
      <c r="M1893" t="n">
        <v>153.34</v>
      </c>
      <c r="N1893" t="n">
        <v>3.6</v>
      </c>
      <c r="O1893" t="n">
        <v>32.4</v>
      </c>
      <c r="P1893" t="inlineStr">
        <is>
          <t>Digital Wallet</t>
        </is>
      </c>
      <c r="Q1893" t="inlineStr">
        <is>
          <t>Delivered</t>
        </is>
      </c>
      <c r="R1893" t="n">
        <v>5</v>
      </c>
    </row>
    <row r="1894">
      <c r="A1894" t="inlineStr">
        <is>
          <t>ORD2893</t>
        </is>
      </c>
      <c r="B1894" t="inlineStr">
        <is>
          <t>2025-11-05</t>
        </is>
      </c>
      <c r="C1894" t="inlineStr">
        <is>
          <t>17:39:13</t>
        </is>
      </c>
      <c r="D1894" t="n">
        <v>1296</v>
      </c>
      <c r="E1894" t="n">
        <v>108</v>
      </c>
      <c r="F1894" t="n">
        <v>219</v>
      </c>
      <c r="G1894" t="inlineStr">
        <is>
          <t>Delhi NCR</t>
        </is>
      </c>
      <c r="H1894" t="inlineStr">
        <is>
          <t>Fast Food</t>
        </is>
      </c>
      <c r="I1894" t="n">
        <v>681</v>
      </c>
      <c r="J1894" t="n">
        <v>30.1</v>
      </c>
      <c r="K1894" t="n">
        <v>31.5</v>
      </c>
      <c r="L1894" t="n">
        <v>0.18</v>
      </c>
      <c r="M1894" t="n">
        <v>130.45</v>
      </c>
      <c r="N1894" t="n">
        <v>4.3</v>
      </c>
      <c r="O1894" t="n">
        <v>24.9</v>
      </c>
      <c r="P1894" t="inlineStr">
        <is>
          <t>Debit Card</t>
        </is>
      </c>
      <c r="Q1894" t="inlineStr">
        <is>
          <t>Delivered</t>
        </is>
      </c>
      <c r="R1894" t="n">
        <v>4</v>
      </c>
    </row>
    <row r="1895">
      <c r="A1895" t="inlineStr">
        <is>
          <t>ORD2894</t>
        </is>
      </c>
      <c r="B1895" t="inlineStr">
        <is>
          <t>2025-03-17</t>
        </is>
      </c>
      <c r="C1895" t="inlineStr">
        <is>
          <t>20:34:29</t>
        </is>
      </c>
      <c r="D1895" t="n">
        <v>1123</v>
      </c>
      <c r="E1895" t="n">
        <v>101</v>
      </c>
      <c r="F1895" t="n">
        <v>213</v>
      </c>
      <c r="G1895" t="inlineStr">
        <is>
          <t>Bangalore</t>
        </is>
      </c>
      <c r="H1895" t="inlineStr">
        <is>
          <t>North Indian</t>
        </is>
      </c>
      <c r="I1895" t="n">
        <v>734</v>
      </c>
      <c r="J1895" t="n">
        <v>15</v>
      </c>
      <c r="K1895" t="n">
        <v>41.5</v>
      </c>
      <c r="L1895" t="n">
        <v>0.2</v>
      </c>
      <c r="M1895" t="n">
        <v>157.18</v>
      </c>
      <c r="N1895" t="n">
        <v>6.3</v>
      </c>
      <c r="O1895" t="n">
        <v>43.1</v>
      </c>
      <c r="P1895" t="inlineStr">
        <is>
          <t>Cash on Delivery</t>
        </is>
      </c>
      <c r="Q1895" t="inlineStr">
        <is>
          <t>Delivered</t>
        </is>
      </c>
      <c r="R1895" t="n">
        <v>2</v>
      </c>
    </row>
    <row r="1896">
      <c r="A1896" t="inlineStr">
        <is>
          <t>ORD2895</t>
        </is>
      </c>
      <c r="B1896" t="inlineStr">
        <is>
          <t>2025-06-06</t>
        </is>
      </c>
      <c r="C1896" t="inlineStr">
        <is>
          <t>11:20:30</t>
        </is>
      </c>
      <c r="D1896" t="n">
        <v>1020</v>
      </c>
      <c r="E1896" t="n">
        <v>112</v>
      </c>
      <c r="F1896" t="n">
        <v>221</v>
      </c>
      <c r="G1896" t="inlineStr">
        <is>
          <t>Delhi NCR</t>
        </is>
      </c>
      <c r="H1896" t="inlineStr">
        <is>
          <t>North Indian</t>
        </is>
      </c>
      <c r="I1896" t="n">
        <v>812</v>
      </c>
      <c r="J1896" t="n">
        <v>54.4</v>
      </c>
      <c r="K1896" t="n">
        <v>25</v>
      </c>
      <c r="L1896" t="n">
        <v>0.22</v>
      </c>
      <c r="M1896" t="n">
        <v>184.89</v>
      </c>
      <c r="N1896" t="n">
        <v>1.9</v>
      </c>
      <c r="O1896" t="n">
        <v>20.3</v>
      </c>
      <c r="P1896" t="inlineStr">
        <is>
          <t>Cash on Delivery</t>
        </is>
      </c>
      <c r="Q1896" t="inlineStr">
        <is>
          <t>Delivered</t>
        </is>
      </c>
      <c r="R1896" t="n">
        <v>5</v>
      </c>
    </row>
    <row r="1897">
      <c r="A1897" t="inlineStr">
        <is>
          <t>ORD2896</t>
        </is>
      </c>
      <c r="B1897" t="inlineStr">
        <is>
          <t>2025-04-30</t>
        </is>
      </c>
      <c r="C1897" t="inlineStr">
        <is>
          <t>18:02:51</t>
        </is>
      </c>
      <c r="D1897" t="n">
        <v>1149</v>
      </c>
      <c r="E1897" t="n">
        <v>116</v>
      </c>
      <c r="F1897" t="n">
        <v>217</v>
      </c>
      <c r="G1897" t="inlineStr">
        <is>
          <t>Pune</t>
        </is>
      </c>
      <c r="H1897" t="inlineStr">
        <is>
          <t>Desserts</t>
        </is>
      </c>
      <c r="I1897" t="n">
        <v>311</v>
      </c>
      <c r="J1897" t="n">
        <v>24.54</v>
      </c>
      <c r="K1897" t="n">
        <v>31</v>
      </c>
      <c r="L1897" t="n">
        <v>0.25</v>
      </c>
      <c r="M1897" t="n">
        <v>85.5</v>
      </c>
      <c r="N1897" t="n">
        <v>4.2</v>
      </c>
      <c r="O1897" t="n">
        <v>29.2</v>
      </c>
      <c r="P1897" t="inlineStr">
        <is>
          <t>Cash on Delivery</t>
        </is>
      </c>
      <c r="Q1897" t="inlineStr">
        <is>
          <t>Delivered</t>
        </is>
      </c>
      <c r="R1897" t="n">
        <v>5</v>
      </c>
    </row>
    <row r="1898">
      <c r="A1898" t="inlineStr">
        <is>
          <t>ORD2897</t>
        </is>
      </c>
      <c r="B1898" t="inlineStr">
        <is>
          <t>2025-03-09</t>
        </is>
      </c>
      <c r="C1898" t="inlineStr">
        <is>
          <t>19:57:13</t>
        </is>
      </c>
      <c r="D1898" t="n">
        <v>1092</v>
      </c>
      <c r="E1898" t="n">
        <v>118</v>
      </c>
      <c r="F1898" t="n">
        <v>230</v>
      </c>
      <c r="G1898" t="inlineStr">
        <is>
          <t>Delhi NCR</t>
        </is>
      </c>
      <c r="H1898" t="inlineStr">
        <is>
          <t>North Indian</t>
        </is>
      </c>
      <c r="I1898" t="n">
        <v>790</v>
      </c>
      <c r="J1898" t="n">
        <v>75.37</v>
      </c>
      <c r="K1898" t="n">
        <v>27</v>
      </c>
      <c r="L1898" t="n">
        <v>0.2</v>
      </c>
      <c r="M1898" t="n">
        <v>164.75</v>
      </c>
      <c r="N1898" t="n">
        <v>3.4</v>
      </c>
      <c r="O1898" t="n">
        <v>32.8</v>
      </c>
      <c r="P1898" t="inlineStr">
        <is>
          <t>Credit Card</t>
        </is>
      </c>
      <c r="Q1898" t="inlineStr">
        <is>
          <t>Delivered</t>
        </is>
      </c>
      <c r="R1898" t="n">
        <v>4</v>
      </c>
    </row>
    <row r="1899">
      <c r="A1899" t="inlineStr">
        <is>
          <t>ORD2898</t>
        </is>
      </c>
      <c r="B1899" t="inlineStr">
        <is>
          <t>2025-03-19</t>
        </is>
      </c>
      <c r="C1899" t="inlineStr">
        <is>
          <t>18:07:41</t>
        </is>
      </c>
      <c r="D1899" t="n">
        <v>1272</v>
      </c>
      <c r="E1899" t="n">
        <v>108</v>
      </c>
      <c r="F1899" t="n">
        <v>219</v>
      </c>
      <c r="G1899" t="inlineStr">
        <is>
          <t>Delhi NCR</t>
        </is>
      </c>
      <c r="H1899" t="inlineStr">
        <is>
          <t>Fast Food</t>
        </is>
      </c>
      <c r="I1899" t="n">
        <v>895</v>
      </c>
      <c r="J1899" t="n">
        <v>79.19</v>
      </c>
      <c r="K1899" t="n">
        <v>34</v>
      </c>
      <c r="L1899" t="n">
        <v>0.18</v>
      </c>
      <c r="M1899" t="n">
        <v>169.6</v>
      </c>
      <c r="N1899" t="n">
        <v>4.8</v>
      </c>
      <c r="O1899" t="n">
        <v>25.8</v>
      </c>
      <c r="P1899" t="inlineStr">
        <is>
          <t>Credit Card</t>
        </is>
      </c>
      <c r="Q1899" t="inlineStr">
        <is>
          <t>Delivered</t>
        </is>
      </c>
      <c r="R1899" t="n">
        <v>4</v>
      </c>
    </row>
    <row r="1900">
      <c r="A1900" t="inlineStr">
        <is>
          <t>ORD2899</t>
        </is>
      </c>
      <c r="B1900" t="inlineStr">
        <is>
          <t>2025-12-31</t>
        </is>
      </c>
      <c r="C1900" t="inlineStr">
        <is>
          <t>12:36:35</t>
        </is>
      </c>
      <c r="D1900" t="n">
        <v>1269</v>
      </c>
      <c r="E1900" t="n">
        <v>107</v>
      </c>
      <c r="F1900" t="n">
        <v>222</v>
      </c>
      <c r="G1900" t="inlineStr">
        <is>
          <t>Mumbai</t>
        </is>
      </c>
      <c r="H1900" t="inlineStr">
        <is>
          <t>Desserts</t>
        </is>
      </c>
      <c r="I1900" t="n">
        <v>437</v>
      </c>
      <c r="J1900" t="n">
        <v>0</v>
      </c>
      <c r="K1900" t="n">
        <v>25</v>
      </c>
      <c r="L1900" t="n">
        <v>0.25</v>
      </c>
      <c r="M1900" t="n">
        <v>115.5</v>
      </c>
      <c r="N1900" t="n">
        <v>2.7</v>
      </c>
      <c r="O1900" t="n">
        <v>26.2</v>
      </c>
      <c r="P1900" t="inlineStr">
        <is>
          <t>UPI</t>
        </is>
      </c>
      <c r="Q1900" t="inlineStr">
        <is>
          <t>Delivered</t>
        </is>
      </c>
      <c r="R1900" t="n">
        <v>4</v>
      </c>
    </row>
    <row r="1901">
      <c r="A1901" t="inlineStr">
        <is>
          <t>ORD2900</t>
        </is>
      </c>
      <c r="B1901" t="inlineStr">
        <is>
          <t>2025-04-28</t>
        </is>
      </c>
      <c r="C1901" t="inlineStr">
        <is>
          <t>22:11:56</t>
        </is>
      </c>
      <c r="D1901" t="n">
        <v>1113</v>
      </c>
      <c r="E1901" t="n">
        <v>105</v>
      </c>
      <c r="F1901" t="n">
        <v>201</v>
      </c>
      <c r="G1901" t="inlineStr">
        <is>
          <t>Bangalore</t>
        </is>
      </c>
      <c r="H1901" t="inlineStr">
        <is>
          <t>Chinese</t>
        </is>
      </c>
      <c r="I1901" t="n">
        <v>326</v>
      </c>
      <c r="J1901" t="n">
        <v>34.65</v>
      </c>
      <c r="K1901" t="n">
        <v>25</v>
      </c>
      <c r="L1901" t="n">
        <v>0.2</v>
      </c>
      <c r="M1901" t="n">
        <v>71.45</v>
      </c>
      <c r="N1901" t="n">
        <v>2.6</v>
      </c>
      <c r="O1901" t="n">
        <v>29</v>
      </c>
      <c r="P1901" t="inlineStr">
        <is>
          <t>Cash on Delivery</t>
        </is>
      </c>
      <c r="Q1901" t="inlineStr">
        <is>
          <t>Delivered</t>
        </is>
      </c>
      <c r="R1901" t="n">
        <v>4</v>
      </c>
    </row>
    <row r="1902">
      <c r="A1902" t="inlineStr">
        <is>
          <t>ORD2901</t>
        </is>
      </c>
      <c r="B1902" t="inlineStr">
        <is>
          <t>2025-01-24</t>
        </is>
      </c>
      <c r="C1902" t="inlineStr">
        <is>
          <t>18:58:01</t>
        </is>
      </c>
      <c r="D1902" t="n">
        <v>1118</v>
      </c>
      <c r="E1902" t="n">
        <v>118</v>
      </c>
      <c r="F1902" t="n">
        <v>211</v>
      </c>
      <c r="G1902" t="inlineStr">
        <is>
          <t>Delhi NCR</t>
        </is>
      </c>
      <c r="H1902" t="inlineStr">
        <is>
          <t>North Indian</t>
        </is>
      </c>
      <c r="I1902" t="n">
        <v>740</v>
      </c>
      <c r="J1902" t="n">
        <v>35.33</v>
      </c>
      <c r="K1902" t="n">
        <v>34.5</v>
      </c>
      <c r="L1902" t="n">
        <v>0.2</v>
      </c>
      <c r="M1902" t="n">
        <v>156.62</v>
      </c>
      <c r="N1902" t="n">
        <v>4.9</v>
      </c>
      <c r="O1902" t="n">
        <v>37.9</v>
      </c>
      <c r="P1902" t="inlineStr">
        <is>
          <t>Cash on Delivery</t>
        </is>
      </c>
      <c r="Q1902" t="inlineStr">
        <is>
          <t>Delivered</t>
        </is>
      </c>
      <c r="R1902" t="n">
        <v>4</v>
      </c>
    </row>
    <row r="1903">
      <c r="A1903" t="inlineStr">
        <is>
          <t>ORD2902</t>
        </is>
      </c>
      <c r="B1903" t="inlineStr">
        <is>
          <t>2025-10-08</t>
        </is>
      </c>
      <c r="C1903" t="inlineStr">
        <is>
          <t>18:05:52</t>
        </is>
      </c>
      <c r="D1903" t="n">
        <v>1222</v>
      </c>
      <c r="E1903" t="n">
        <v>114</v>
      </c>
      <c r="F1903" t="n">
        <v>215</v>
      </c>
      <c r="G1903" t="inlineStr">
        <is>
          <t>Hyderabad</t>
        </is>
      </c>
      <c r="H1903" t="inlineStr">
        <is>
          <t>Biryani</t>
        </is>
      </c>
      <c r="I1903" t="n">
        <v>522</v>
      </c>
      <c r="J1903" t="n">
        <v>0</v>
      </c>
      <c r="K1903" t="n">
        <v>27</v>
      </c>
      <c r="L1903" t="n">
        <v>0.22</v>
      </c>
      <c r="M1903" t="n">
        <v>121.59</v>
      </c>
      <c r="N1903" t="n">
        <v>3.4</v>
      </c>
      <c r="O1903" t="n">
        <v>44.9</v>
      </c>
      <c r="P1903" t="inlineStr">
        <is>
          <t>UPI</t>
        </is>
      </c>
      <c r="Q1903" t="inlineStr">
        <is>
          <t>Delivered</t>
        </is>
      </c>
      <c r="R1903" t="n">
        <v>2</v>
      </c>
    </row>
    <row r="1904">
      <c r="A1904" t="inlineStr">
        <is>
          <t>ORD2903</t>
        </is>
      </c>
      <c r="B1904" t="inlineStr">
        <is>
          <t>2025-10-11</t>
        </is>
      </c>
      <c r="C1904" t="inlineStr">
        <is>
          <t>12:18:59</t>
        </is>
      </c>
      <c r="D1904" t="n">
        <v>1216</v>
      </c>
      <c r="E1904" t="n">
        <v>116</v>
      </c>
      <c r="F1904" t="n">
        <v>207</v>
      </c>
      <c r="G1904" t="inlineStr">
        <is>
          <t>Pune</t>
        </is>
      </c>
      <c r="H1904" t="inlineStr">
        <is>
          <t>Desserts</t>
        </is>
      </c>
      <c r="I1904" t="n">
        <v>546</v>
      </c>
      <c r="J1904" t="n">
        <v>28.01</v>
      </c>
      <c r="K1904" t="n">
        <v>41.5</v>
      </c>
      <c r="L1904" t="n">
        <v>0.25</v>
      </c>
      <c r="M1904" t="n">
        <v>146.88</v>
      </c>
      <c r="N1904" t="n">
        <v>6.3</v>
      </c>
      <c r="O1904" t="n">
        <v>40.4</v>
      </c>
      <c r="P1904" t="inlineStr">
        <is>
          <t>Digital Wallet</t>
        </is>
      </c>
      <c r="Q1904" t="inlineStr">
        <is>
          <t>Delivered</t>
        </is>
      </c>
      <c r="R1904" t="n">
        <v>2</v>
      </c>
    </row>
    <row r="1905">
      <c r="A1905" t="inlineStr">
        <is>
          <t>ORD2904</t>
        </is>
      </c>
      <c r="B1905" t="inlineStr">
        <is>
          <t>2025-05-22</t>
        </is>
      </c>
      <c r="C1905" t="inlineStr">
        <is>
          <t>18:26:50</t>
        </is>
      </c>
      <c r="D1905" t="n">
        <v>1013</v>
      </c>
      <c r="E1905" t="n">
        <v>111</v>
      </c>
      <c r="F1905" t="n">
        <v>218</v>
      </c>
      <c r="G1905" t="inlineStr">
        <is>
          <t>Bangalore</t>
        </is>
      </c>
      <c r="H1905" t="inlineStr">
        <is>
          <t>South Indian</t>
        </is>
      </c>
      <c r="I1905" t="n">
        <v>783</v>
      </c>
      <c r="J1905" t="n">
        <v>74.31</v>
      </c>
      <c r="K1905" t="n">
        <v>25.5</v>
      </c>
      <c r="L1905" t="n">
        <v>0.15</v>
      </c>
      <c r="M1905" t="n">
        <v>123.82</v>
      </c>
      <c r="N1905" t="n">
        <v>3.1</v>
      </c>
      <c r="O1905" t="n">
        <v>26.5</v>
      </c>
      <c r="P1905" t="inlineStr">
        <is>
          <t>Debit Card</t>
        </is>
      </c>
      <c r="Q1905" t="inlineStr">
        <is>
          <t>Delivered</t>
        </is>
      </c>
      <c r="R1905" t="n">
        <v>4</v>
      </c>
    </row>
    <row r="1906">
      <c r="A1906" t="inlineStr">
        <is>
          <t>ORD2905</t>
        </is>
      </c>
      <c r="B1906" t="inlineStr">
        <is>
          <t>2025-01-18</t>
        </is>
      </c>
      <c r="C1906" t="inlineStr">
        <is>
          <t>16:00:12</t>
        </is>
      </c>
      <c r="D1906" t="n">
        <v>1133</v>
      </c>
      <c r="E1906" t="n">
        <v>104</v>
      </c>
      <c r="F1906" t="n">
        <v>221</v>
      </c>
      <c r="G1906" t="inlineStr">
        <is>
          <t>Delhi NCR</t>
        </is>
      </c>
      <c r="H1906" t="inlineStr">
        <is>
          <t>Fast Food</t>
        </is>
      </c>
      <c r="I1906" t="n">
        <v>237</v>
      </c>
      <c r="J1906" t="n">
        <v>0</v>
      </c>
      <c r="K1906" t="n">
        <v>48</v>
      </c>
      <c r="L1906" t="n">
        <v>0.18</v>
      </c>
      <c r="M1906" t="n">
        <v>54.66</v>
      </c>
      <c r="N1906" t="n">
        <v>7.6</v>
      </c>
      <c r="O1906" t="n">
        <v>42</v>
      </c>
      <c r="P1906" t="inlineStr">
        <is>
          <t>Credit Card</t>
        </is>
      </c>
      <c r="Q1906" t="inlineStr">
        <is>
          <t>Delivered</t>
        </is>
      </c>
      <c r="R1906" t="n">
        <v>5</v>
      </c>
    </row>
    <row r="1907">
      <c r="A1907" t="inlineStr">
        <is>
          <t>ORD2906</t>
        </is>
      </c>
      <c r="B1907" t="inlineStr">
        <is>
          <t>2025-05-23</t>
        </is>
      </c>
      <c r="C1907" t="inlineStr">
        <is>
          <t>10:21:47</t>
        </is>
      </c>
      <c r="D1907" t="n">
        <v>1032</v>
      </c>
      <c r="E1907" t="n">
        <v>108</v>
      </c>
      <c r="F1907" t="n">
        <v>221</v>
      </c>
      <c r="G1907" t="inlineStr">
        <is>
          <t>Delhi NCR</t>
        </is>
      </c>
      <c r="H1907" t="inlineStr">
        <is>
          <t>Fast Food</t>
        </is>
      </c>
      <c r="I1907" t="n">
        <v>822</v>
      </c>
      <c r="J1907" t="n">
        <v>0</v>
      </c>
      <c r="K1907" t="n">
        <v>25</v>
      </c>
      <c r="L1907" t="n">
        <v>0.18</v>
      </c>
      <c r="M1907" t="n">
        <v>154.21</v>
      </c>
      <c r="N1907" t="n">
        <v>2.8</v>
      </c>
      <c r="O1907" t="n">
        <v>30.3</v>
      </c>
      <c r="P1907" t="inlineStr">
        <is>
          <t>Debit Card</t>
        </is>
      </c>
      <c r="Q1907" t="inlineStr">
        <is>
          <t>Delivered</t>
        </is>
      </c>
      <c r="R1907" t="n">
        <v>3</v>
      </c>
    </row>
    <row r="1908">
      <c r="A1908" t="inlineStr">
        <is>
          <t>ORD2907</t>
        </is>
      </c>
      <c r="B1908" t="inlineStr">
        <is>
          <t>2025-08-12</t>
        </is>
      </c>
      <c r="C1908" t="inlineStr">
        <is>
          <t>14:27:57</t>
        </is>
      </c>
      <c r="D1908" t="n">
        <v>1224</v>
      </c>
      <c r="E1908" t="n">
        <v>104</v>
      </c>
      <c r="F1908" t="n">
        <v>228</v>
      </c>
      <c r="G1908" t="inlineStr">
        <is>
          <t>Delhi NCR</t>
        </is>
      </c>
      <c r="H1908" t="inlineStr">
        <is>
          <t>Fast Food</t>
        </is>
      </c>
      <c r="I1908" t="n">
        <v>904</v>
      </c>
      <c r="J1908" t="n">
        <v>0</v>
      </c>
      <c r="K1908" t="n">
        <v>25</v>
      </c>
      <c r="L1908" t="n">
        <v>0.18</v>
      </c>
      <c r="M1908" t="n">
        <v>168.97</v>
      </c>
      <c r="N1908" t="n">
        <v>3</v>
      </c>
      <c r="O1908" t="n">
        <v>27.5</v>
      </c>
      <c r="P1908" t="inlineStr">
        <is>
          <t>UPI</t>
        </is>
      </c>
      <c r="Q1908" t="inlineStr">
        <is>
          <t>Delivered</t>
        </is>
      </c>
      <c r="R1908" t="n">
        <v>5</v>
      </c>
    </row>
    <row r="1909">
      <c r="A1909" t="inlineStr">
        <is>
          <t>ORD2908</t>
        </is>
      </c>
      <c r="B1909" t="inlineStr">
        <is>
          <t>2025-07-09</t>
        </is>
      </c>
      <c r="C1909" t="inlineStr">
        <is>
          <t>13:19:55</t>
        </is>
      </c>
      <c r="D1909" t="n">
        <v>1072</v>
      </c>
      <c r="E1909" t="n">
        <v>116</v>
      </c>
      <c r="F1909" t="n">
        <v>209</v>
      </c>
      <c r="G1909" t="inlineStr">
        <is>
          <t>Pune</t>
        </is>
      </c>
      <c r="H1909" t="inlineStr">
        <is>
          <t>Desserts</t>
        </is>
      </c>
      <c r="I1909" t="n">
        <v>308</v>
      </c>
      <c r="J1909" t="n">
        <v>17.35</v>
      </c>
      <c r="K1909" t="n">
        <v>25</v>
      </c>
      <c r="L1909" t="n">
        <v>0.25</v>
      </c>
      <c r="M1909" t="n">
        <v>83.25</v>
      </c>
      <c r="N1909" t="n">
        <v>1.5</v>
      </c>
      <c r="O1909" t="n">
        <v>27.6</v>
      </c>
      <c r="P1909" t="inlineStr">
        <is>
          <t>Credit Card</t>
        </is>
      </c>
      <c r="Q1909" t="inlineStr">
        <is>
          <t>Delivered</t>
        </is>
      </c>
      <c r="R1909" t="n">
        <v>5</v>
      </c>
    </row>
    <row r="1910">
      <c r="A1910" t="inlineStr">
        <is>
          <t>ORD2909</t>
        </is>
      </c>
      <c r="B1910" t="inlineStr">
        <is>
          <t>2025-10-05</t>
        </is>
      </c>
      <c r="C1910" t="inlineStr">
        <is>
          <t>18:20:06</t>
        </is>
      </c>
      <c r="D1910" t="n">
        <v>1006</v>
      </c>
      <c r="E1910" t="n">
        <v>117</v>
      </c>
      <c r="F1910" t="n">
        <v>229</v>
      </c>
      <c r="G1910" t="inlineStr">
        <is>
          <t>Mumbai</t>
        </is>
      </c>
      <c r="H1910" t="inlineStr">
        <is>
          <t>Chinese</t>
        </is>
      </c>
      <c r="I1910" t="n">
        <v>628</v>
      </c>
      <c r="J1910" t="n">
        <v>46.34</v>
      </c>
      <c r="K1910" t="n">
        <v>43.5</v>
      </c>
      <c r="L1910" t="n">
        <v>0.2</v>
      </c>
      <c r="M1910" t="n">
        <v>136.48</v>
      </c>
      <c r="N1910" t="n">
        <v>6.7</v>
      </c>
      <c r="O1910" t="n">
        <v>44.5</v>
      </c>
      <c r="P1910" t="inlineStr">
        <is>
          <t>Digital Wallet</t>
        </is>
      </c>
      <c r="Q1910" t="inlineStr">
        <is>
          <t>Delivered</t>
        </is>
      </c>
      <c r="R1910" t="n">
        <v>3</v>
      </c>
    </row>
    <row r="1911">
      <c r="A1911" t="inlineStr">
        <is>
          <t>ORD2910</t>
        </is>
      </c>
      <c r="B1911" t="inlineStr">
        <is>
          <t>2025-07-08</t>
        </is>
      </c>
      <c r="C1911" t="inlineStr">
        <is>
          <t>21:49:35</t>
        </is>
      </c>
      <c r="D1911" t="n">
        <v>1058</v>
      </c>
      <c r="E1911" t="n">
        <v>107</v>
      </c>
      <c r="F1911" t="n">
        <v>206</v>
      </c>
      <c r="G1911" t="inlineStr">
        <is>
          <t>Mumbai</t>
        </is>
      </c>
      <c r="H1911" t="inlineStr">
        <is>
          <t>Desserts</t>
        </is>
      </c>
      <c r="I1911" t="n">
        <v>419</v>
      </c>
      <c r="J1911" t="n">
        <v>0</v>
      </c>
      <c r="K1911" t="n">
        <v>25</v>
      </c>
      <c r="L1911" t="n">
        <v>0.25</v>
      </c>
      <c r="M1911" t="n">
        <v>111</v>
      </c>
      <c r="N1911" t="n">
        <v>2.1</v>
      </c>
      <c r="O1911" t="n">
        <v>33.7</v>
      </c>
      <c r="P1911" t="inlineStr">
        <is>
          <t>Debit Card</t>
        </is>
      </c>
      <c r="Q1911" t="inlineStr">
        <is>
          <t>Delivered</t>
        </is>
      </c>
      <c r="R1911" t="n">
        <v>5</v>
      </c>
    </row>
    <row r="1912">
      <c r="A1912" t="inlineStr">
        <is>
          <t>ORD2911</t>
        </is>
      </c>
      <c r="B1912" t="inlineStr">
        <is>
          <t>2025-03-23</t>
        </is>
      </c>
      <c r="C1912" t="inlineStr">
        <is>
          <t>14:24:38</t>
        </is>
      </c>
      <c r="D1912" t="n">
        <v>1271</v>
      </c>
      <c r="E1912" t="n">
        <v>104</v>
      </c>
      <c r="F1912" t="n">
        <v>228</v>
      </c>
      <c r="G1912" t="inlineStr">
        <is>
          <t>Delhi NCR</t>
        </is>
      </c>
      <c r="H1912" t="inlineStr">
        <is>
          <t>Fast Food</t>
        </is>
      </c>
      <c r="I1912" t="n">
        <v>690</v>
      </c>
      <c r="J1912" t="n">
        <v>72.41</v>
      </c>
      <c r="K1912" t="n">
        <v>28</v>
      </c>
      <c r="L1912" t="n">
        <v>0.18</v>
      </c>
      <c r="M1912" t="n">
        <v>131.2</v>
      </c>
      <c r="N1912" t="n">
        <v>3.6</v>
      </c>
      <c r="O1912" t="n">
        <v>33.1</v>
      </c>
      <c r="P1912" t="inlineStr">
        <is>
          <t>Digital Wallet</t>
        </is>
      </c>
      <c r="Q1912" t="inlineStr">
        <is>
          <t>Delivered</t>
        </is>
      </c>
      <c r="R1912" t="n">
        <v>4</v>
      </c>
    </row>
    <row r="1913">
      <c r="A1913" t="inlineStr">
        <is>
          <t>ORD2912</t>
        </is>
      </c>
      <c r="B1913" t="inlineStr">
        <is>
          <t>2025-09-28</t>
        </is>
      </c>
      <c r="C1913" t="inlineStr">
        <is>
          <t>00:43:42</t>
        </is>
      </c>
      <c r="D1913" t="n">
        <v>1117</v>
      </c>
      <c r="E1913" t="n">
        <v>107</v>
      </c>
      <c r="F1913" t="n">
        <v>229</v>
      </c>
      <c r="G1913" t="inlineStr">
        <is>
          <t>Mumbai</t>
        </is>
      </c>
      <c r="H1913" t="inlineStr">
        <is>
          <t>Desserts</t>
        </is>
      </c>
      <c r="I1913" t="n">
        <v>876</v>
      </c>
      <c r="J1913" t="n">
        <v>73.56</v>
      </c>
      <c r="K1913" t="n">
        <v>25</v>
      </c>
      <c r="L1913" t="n">
        <v>0.25</v>
      </c>
      <c r="M1913" t="n">
        <v>225.25</v>
      </c>
      <c r="N1913" t="n">
        <v>2.2</v>
      </c>
      <c r="O1913" t="n">
        <v>26</v>
      </c>
      <c r="P1913" t="inlineStr">
        <is>
          <t>Debit Card</t>
        </is>
      </c>
      <c r="Q1913" t="inlineStr">
        <is>
          <t>Delivered</t>
        </is>
      </c>
      <c r="R1913" t="n">
        <v>5</v>
      </c>
    </row>
    <row r="1914">
      <c r="A1914" t="inlineStr">
        <is>
          <t>ORD2913</t>
        </is>
      </c>
      <c r="B1914" t="inlineStr">
        <is>
          <t>2025-10-30</t>
        </is>
      </c>
      <c r="C1914" t="inlineStr">
        <is>
          <t>10:27:11</t>
        </is>
      </c>
      <c r="D1914" t="n">
        <v>1078</v>
      </c>
      <c r="E1914" t="n">
        <v>104</v>
      </c>
      <c r="F1914" t="n">
        <v>219</v>
      </c>
      <c r="G1914" t="inlineStr">
        <is>
          <t>Delhi NCR</t>
        </is>
      </c>
      <c r="H1914" t="inlineStr">
        <is>
          <t>Fast Food</t>
        </is>
      </c>
      <c r="I1914" t="n">
        <v>591</v>
      </c>
      <c r="J1914" t="n">
        <v>0</v>
      </c>
      <c r="K1914" t="n">
        <v>25</v>
      </c>
      <c r="L1914" t="n">
        <v>0.18</v>
      </c>
      <c r="M1914" t="n">
        <v>112.63</v>
      </c>
      <c r="N1914" t="n">
        <v>2.2</v>
      </c>
      <c r="O1914" t="n">
        <v>19.1</v>
      </c>
      <c r="P1914" t="inlineStr">
        <is>
          <t>Cash on Delivery</t>
        </is>
      </c>
      <c r="Q1914" t="inlineStr">
        <is>
          <t>Delivered</t>
        </is>
      </c>
      <c r="R1914" t="n">
        <v>4</v>
      </c>
    </row>
    <row r="1915">
      <c r="A1915" t="inlineStr">
        <is>
          <t>ORD2914</t>
        </is>
      </c>
      <c r="B1915" t="inlineStr">
        <is>
          <t>2025-03-06</t>
        </is>
      </c>
      <c r="C1915" t="inlineStr">
        <is>
          <t>20:01:05</t>
        </is>
      </c>
      <c r="D1915" t="n">
        <v>1197</v>
      </c>
      <c r="E1915" t="n">
        <v>113</v>
      </c>
      <c r="F1915" t="n">
        <v>206</v>
      </c>
      <c r="G1915" t="inlineStr">
        <is>
          <t>Mumbai</t>
        </is>
      </c>
      <c r="H1915" t="inlineStr">
        <is>
          <t>Fast Food</t>
        </is>
      </c>
      <c r="I1915" t="n">
        <v>355</v>
      </c>
      <c r="J1915" t="n">
        <v>28.48</v>
      </c>
      <c r="K1915" t="n">
        <v>33</v>
      </c>
      <c r="L1915" t="n">
        <v>0.18</v>
      </c>
      <c r="M1915" t="n">
        <v>72.15000000000001</v>
      </c>
      <c r="N1915" t="n">
        <v>4.6</v>
      </c>
      <c r="O1915" t="n">
        <v>43.3</v>
      </c>
      <c r="P1915" t="inlineStr">
        <is>
          <t>Debit Card</t>
        </is>
      </c>
      <c r="Q1915" t="inlineStr">
        <is>
          <t>Delivered</t>
        </is>
      </c>
      <c r="R1915" t="n">
        <v>1</v>
      </c>
    </row>
    <row r="1916">
      <c r="A1916" t="inlineStr">
        <is>
          <t>ORD2915</t>
        </is>
      </c>
      <c r="B1916" t="inlineStr">
        <is>
          <t>2025-01-08</t>
        </is>
      </c>
      <c r="C1916" t="inlineStr">
        <is>
          <t>18:19:05</t>
        </is>
      </c>
      <c r="D1916" t="n">
        <v>1151</v>
      </c>
      <c r="E1916" t="n">
        <v>103</v>
      </c>
      <c r="F1916" t="n">
        <v>206</v>
      </c>
      <c r="G1916" t="inlineStr">
        <is>
          <t>Mumbai</t>
        </is>
      </c>
      <c r="H1916" t="inlineStr">
        <is>
          <t>Italian</t>
        </is>
      </c>
      <c r="I1916" t="n">
        <v>1104</v>
      </c>
      <c r="J1916" t="n">
        <v>111.05</v>
      </c>
      <c r="K1916" t="n">
        <v>0</v>
      </c>
      <c r="L1916" t="n">
        <v>0.18</v>
      </c>
      <c r="M1916" t="n">
        <v>198.72</v>
      </c>
      <c r="N1916" t="n">
        <v>7.2</v>
      </c>
      <c r="O1916" t="n">
        <v>43</v>
      </c>
      <c r="P1916" t="inlineStr">
        <is>
          <t>Digital Wallet</t>
        </is>
      </c>
      <c r="Q1916" t="inlineStr">
        <is>
          <t>Delivered</t>
        </is>
      </c>
      <c r="R1916" t="n">
        <v>3</v>
      </c>
    </row>
    <row r="1917">
      <c r="A1917" t="inlineStr">
        <is>
          <t>ORD2916</t>
        </is>
      </c>
      <c r="B1917" t="inlineStr">
        <is>
          <t>2025-08-25</t>
        </is>
      </c>
      <c r="C1917" t="inlineStr">
        <is>
          <t>19:23:21</t>
        </is>
      </c>
      <c r="D1917" t="n">
        <v>1032</v>
      </c>
      <c r="E1917" t="n">
        <v>104</v>
      </c>
      <c r="F1917" t="n">
        <v>228</v>
      </c>
      <c r="G1917" t="inlineStr">
        <is>
          <t>Delhi NCR</t>
        </is>
      </c>
      <c r="H1917" t="inlineStr">
        <is>
          <t>Fast Food</t>
        </is>
      </c>
      <c r="I1917" t="n">
        <v>742</v>
      </c>
      <c r="J1917" t="n">
        <v>0</v>
      </c>
      <c r="K1917" t="n">
        <v>25</v>
      </c>
      <c r="L1917" t="n">
        <v>0.18</v>
      </c>
      <c r="M1917" t="n">
        <v>139.81</v>
      </c>
      <c r="N1917" t="n">
        <v>2.1</v>
      </c>
      <c r="O1917" t="n">
        <v>35.7</v>
      </c>
      <c r="P1917" t="inlineStr">
        <is>
          <t>Cash on Delivery</t>
        </is>
      </c>
      <c r="Q1917" t="inlineStr">
        <is>
          <t>Delivered</t>
        </is>
      </c>
      <c r="R1917" t="n">
        <v>3</v>
      </c>
    </row>
    <row r="1918">
      <c r="A1918" t="inlineStr">
        <is>
          <t>ORD2917</t>
        </is>
      </c>
      <c r="B1918" t="inlineStr">
        <is>
          <t>2025-12-28</t>
        </is>
      </c>
      <c r="C1918" t="inlineStr">
        <is>
          <t>08:05:42</t>
        </is>
      </c>
      <c r="D1918" t="n">
        <v>1139</v>
      </c>
      <c r="E1918" t="n">
        <v>104</v>
      </c>
      <c r="F1918" t="n">
        <v>212</v>
      </c>
      <c r="G1918" t="inlineStr">
        <is>
          <t>Delhi NCR</t>
        </is>
      </c>
      <c r="H1918" t="inlineStr">
        <is>
          <t>Fast Food</t>
        </is>
      </c>
      <c r="I1918" t="n">
        <v>361</v>
      </c>
      <c r="J1918" t="n">
        <v>0</v>
      </c>
      <c r="K1918" t="n">
        <v>32</v>
      </c>
      <c r="L1918" t="n">
        <v>0.18</v>
      </c>
      <c r="M1918" t="n">
        <v>72.98</v>
      </c>
      <c r="N1918" t="n">
        <v>4.4</v>
      </c>
      <c r="O1918" t="n">
        <v>28.5</v>
      </c>
      <c r="P1918" t="inlineStr">
        <is>
          <t>Credit Card</t>
        </is>
      </c>
      <c r="Q1918" t="inlineStr">
        <is>
          <t>Delivered</t>
        </is>
      </c>
      <c r="R1918" t="n">
        <v>4</v>
      </c>
    </row>
    <row r="1919">
      <c r="A1919" t="inlineStr">
        <is>
          <t>ORD2918</t>
        </is>
      </c>
      <c r="B1919" t="inlineStr">
        <is>
          <t>2025-10-05</t>
        </is>
      </c>
      <c r="C1919" t="inlineStr">
        <is>
          <t>08:43:51</t>
        </is>
      </c>
      <c r="D1919" t="n">
        <v>1178</v>
      </c>
      <c r="E1919" t="n">
        <v>116</v>
      </c>
      <c r="F1919" t="n">
        <v>208</v>
      </c>
      <c r="G1919" t="inlineStr">
        <is>
          <t>Pune</t>
        </is>
      </c>
      <c r="H1919" t="inlineStr">
        <is>
          <t>Desserts</t>
        </is>
      </c>
      <c r="I1919" t="n">
        <v>880</v>
      </c>
      <c r="J1919" t="n">
        <v>19.74</v>
      </c>
      <c r="K1919" t="n">
        <v>28.5</v>
      </c>
      <c r="L1919" t="n">
        <v>0.25</v>
      </c>
      <c r="M1919" t="n">
        <v>227.12</v>
      </c>
      <c r="N1919" t="n">
        <v>3.7</v>
      </c>
      <c r="O1919" t="n">
        <v>28.8</v>
      </c>
      <c r="P1919" t="inlineStr">
        <is>
          <t>Digital Wallet</t>
        </is>
      </c>
      <c r="Q1919" t="inlineStr">
        <is>
          <t>Delivered</t>
        </is>
      </c>
      <c r="R1919" t="n">
        <v>4</v>
      </c>
    </row>
    <row r="1920">
      <c r="A1920" t="inlineStr">
        <is>
          <t>ORD2919</t>
        </is>
      </c>
      <c r="B1920" t="inlineStr">
        <is>
          <t>2025-05-17</t>
        </is>
      </c>
      <c r="C1920" t="inlineStr">
        <is>
          <t>19:11:10</t>
        </is>
      </c>
      <c r="D1920" t="n">
        <v>1159</v>
      </c>
      <c r="E1920" t="n">
        <v>104</v>
      </c>
      <c r="F1920" t="n">
        <v>230</v>
      </c>
      <c r="G1920" t="inlineStr">
        <is>
          <t>Delhi NCR</t>
        </is>
      </c>
      <c r="H1920" t="inlineStr">
        <is>
          <t>Fast Food</t>
        </is>
      </c>
      <c r="I1920" t="n">
        <v>364</v>
      </c>
      <c r="J1920" t="n">
        <v>13.91</v>
      </c>
      <c r="K1920" t="n">
        <v>27</v>
      </c>
      <c r="L1920" t="n">
        <v>0.18</v>
      </c>
      <c r="M1920" t="n">
        <v>72.27</v>
      </c>
      <c r="N1920" t="n">
        <v>3.4</v>
      </c>
      <c r="O1920" t="n">
        <v>30.4</v>
      </c>
      <c r="P1920" t="inlineStr">
        <is>
          <t>UPI</t>
        </is>
      </c>
      <c r="Q1920" t="inlineStr">
        <is>
          <t>Delivered</t>
        </is>
      </c>
      <c r="R1920" t="n">
        <v>4</v>
      </c>
    </row>
    <row r="1921">
      <c r="A1921" t="inlineStr">
        <is>
          <t>ORD2920</t>
        </is>
      </c>
      <c r="B1921" t="inlineStr">
        <is>
          <t>2025-07-07</t>
        </is>
      </c>
      <c r="C1921" t="inlineStr">
        <is>
          <t>09:17:58</t>
        </is>
      </c>
      <c r="D1921" t="n">
        <v>1293</v>
      </c>
      <c r="E1921" t="n">
        <v>109</v>
      </c>
      <c r="F1921" t="n">
        <v>225</v>
      </c>
      <c r="G1921" t="inlineStr">
        <is>
          <t>Hyderabad</t>
        </is>
      </c>
      <c r="H1921" t="inlineStr">
        <is>
          <t>Biryani</t>
        </is>
      </c>
      <c r="I1921" t="n">
        <v>355</v>
      </c>
      <c r="J1921" t="n">
        <v>20.37</v>
      </c>
      <c r="K1921" t="n">
        <v>25</v>
      </c>
      <c r="L1921" t="n">
        <v>0.2</v>
      </c>
      <c r="M1921" t="n">
        <v>77.25</v>
      </c>
      <c r="N1921" t="n">
        <v>1.4</v>
      </c>
      <c r="O1921" t="n">
        <v>73.90000000000001</v>
      </c>
      <c r="P1921" t="inlineStr">
        <is>
          <t>Debit Card</t>
        </is>
      </c>
      <c r="Q1921" t="inlineStr">
        <is>
          <t>Delivered</t>
        </is>
      </c>
      <c r="R1921" t="n">
        <v>1</v>
      </c>
    </row>
    <row r="1922">
      <c r="A1922" t="inlineStr">
        <is>
          <t>ORD2921</t>
        </is>
      </c>
      <c r="B1922" t="inlineStr">
        <is>
          <t>2025-08-11</t>
        </is>
      </c>
      <c r="C1922" t="inlineStr">
        <is>
          <t>21:49:32</t>
        </is>
      </c>
      <c r="D1922" t="n">
        <v>1006</v>
      </c>
      <c r="E1922" t="n">
        <v>113</v>
      </c>
      <c r="F1922" t="n">
        <v>206</v>
      </c>
      <c r="G1922" t="inlineStr">
        <is>
          <t>Mumbai</t>
        </is>
      </c>
      <c r="H1922" t="inlineStr">
        <is>
          <t>Fast Food</t>
        </is>
      </c>
      <c r="I1922" t="n">
        <v>349</v>
      </c>
      <c r="J1922" t="n">
        <v>0</v>
      </c>
      <c r="K1922" t="n">
        <v>29</v>
      </c>
      <c r="L1922" t="n">
        <v>0.18</v>
      </c>
      <c r="M1922" t="n">
        <v>70.06999999999999</v>
      </c>
      <c r="N1922" t="n">
        <v>3.8</v>
      </c>
      <c r="O1922" t="n">
        <v/>
      </c>
      <c r="P1922" t="inlineStr">
        <is>
          <t>Credit Card</t>
        </is>
      </c>
      <c r="Q1922" t="inlineStr">
        <is>
          <t>Cancelled</t>
        </is>
      </c>
      <c r="R1922" t="n">
        <v/>
      </c>
    </row>
    <row r="1923">
      <c r="A1923" t="inlineStr">
        <is>
          <t>ORD2922</t>
        </is>
      </c>
      <c r="B1923" t="inlineStr">
        <is>
          <t>2025-12-30</t>
        </is>
      </c>
      <c r="C1923" t="inlineStr">
        <is>
          <t>13:36:01</t>
        </is>
      </c>
      <c r="D1923" t="n">
        <v>1054</v>
      </c>
      <c r="E1923" t="n">
        <v>105</v>
      </c>
      <c r="F1923" t="n">
        <v>213</v>
      </c>
      <c r="G1923" t="inlineStr">
        <is>
          <t>Bangalore</t>
        </is>
      </c>
      <c r="H1923" t="inlineStr">
        <is>
          <t>Chinese</t>
        </is>
      </c>
      <c r="I1923" t="n">
        <v>386</v>
      </c>
      <c r="J1923" t="n">
        <v>63</v>
      </c>
      <c r="K1923" t="n">
        <v>30</v>
      </c>
      <c r="L1923" t="n">
        <v>0.2</v>
      </c>
      <c r="M1923" t="n">
        <v>84.7</v>
      </c>
      <c r="N1923" t="n">
        <v>4</v>
      </c>
      <c r="O1923" t="n">
        <v>31.3</v>
      </c>
      <c r="P1923" t="inlineStr">
        <is>
          <t>Debit Card</t>
        </is>
      </c>
      <c r="Q1923" t="inlineStr">
        <is>
          <t>Delivered</t>
        </is>
      </c>
      <c r="R1923" t="n">
        <v>4</v>
      </c>
    </row>
    <row r="1924">
      <c r="A1924" t="inlineStr">
        <is>
          <t>ORD2923</t>
        </is>
      </c>
      <c r="B1924" t="inlineStr">
        <is>
          <t>2025-08-24</t>
        </is>
      </c>
      <c r="C1924" t="inlineStr">
        <is>
          <t>17:10:13</t>
        </is>
      </c>
      <c r="D1924" t="n">
        <v>1150</v>
      </c>
      <c r="E1924" t="n">
        <v>109</v>
      </c>
      <c r="F1924" t="n">
        <v>225</v>
      </c>
      <c r="G1924" t="inlineStr">
        <is>
          <t>Hyderabad</t>
        </is>
      </c>
      <c r="H1924" t="inlineStr">
        <is>
          <t>Biryani</t>
        </is>
      </c>
      <c r="I1924" t="n">
        <v>359</v>
      </c>
      <c r="J1924" t="n">
        <v>0</v>
      </c>
      <c r="K1924" t="n">
        <v>25</v>
      </c>
      <c r="L1924" t="n">
        <v>0.2</v>
      </c>
      <c r="M1924" t="n">
        <v>78.05</v>
      </c>
      <c r="N1924" t="n">
        <v>1.6</v>
      </c>
      <c r="O1924" t="n">
        <v>28.6</v>
      </c>
      <c r="P1924" t="inlineStr">
        <is>
          <t>Credit Card</t>
        </is>
      </c>
      <c r="Q1924" t="inlineStr">
        <is>
          <t>Delivered</t>
        </is>
      </c>
      <c r="R1924" t="n">
        <v>5</v>
      </c>
    </row>
    <row r="1925">
      <c r="A1925" t="inlineStr">
        <is>
          <t>ORD2924</t>
        </is>
      </c>
      <c r="B1925" t="inlineStr">
        <is>
          <t>2025-01-03</t>
        </is>
      </c>
      <c r="C1925" t="inlineStr">
        <is>
          <t>12:03:05</t>
        </is>
      </c>
      <c r="D1925" t="n">
        <v>1110</v>
      </c>
      <c r="E1925" t="n">
        <v>103</v>
      </c>
      <c r="F1925" t="n">
        <v>229</v>
      </c>
      <c r="G1925" t="inlineStr">
        <is>
          <t>Mumbai</t>
        </is>
      </c>
      <c r="H1925" t="inlineStr">
        <is>
          <t>Italian</t>
        </is>
      </c>
      <c r="I1925" t="n">
        <v>717</v>
      </c>
      <c r="J1925" t="n">
        <v>54.22</v>
      </c>
      <c r="K1925" t="n">
        <v>56</v>
      </c>
      <c r="L1925" t="n">
        <v>0.18</v>
      </c>
      <c r="M1925" t="n">
        <v>143.06</v>
      </c>
      <c r="N1925" t="n">
        <v>9.199999999999999</v>
      </c>
      <c r="O1925" t="n">
        <v>55</v>
      </c>
      <c r="P1925" t="inlineStr">
        <is>
          <t>Credit Card</t>
        </is>
      </c>
      <c r="Q1925" t="inlineStr">
        <is>
          <t>Delivered</t>
        </is>
      </c>
      <c r="R1925" t="n">
        <v>4</v>
      </c>
    </row>
    <row r="1926">
      <c r="A1926" t="inlineStr">
        <is>
          <t>ORD2925</t>
        </is>
      </c>
      <c r="B1926" t="inlineStr">
        <is>
          <t>2025-08-20</t>
        </is>
      </c>
      <c r="C1926" t="inlineStr">
        <is>
          <t>11:15:05</t>
        </is>
      </c>
      <c r="D1926" t="n">
        <v>1264</v>
      </c>
      <c r="E1926" t="n">
        <v>105</v>
      </c>
      <c r="F1926" t="n">
        <v>213</v>
      </c>
      <c r="G1926" t="inlineStr">
        <is>
          <t>Bangalore</t>
        </is>
      </c>
      <c r="H1926" t="inlineStr">
        <is>
          <t>Chinese</t>
        </is>
      </c>
      <c r="I1926" t="n">
        <v>359</v>
      </c>
      <c r="J1926" t="n">
        <v>2.08</v>
      </c>
      <c r="K1926" t="n">
        <v>25</v>
      </c>
      <c r="L1926" t="n">
        <v>0.2</v>
      </c>
      <c r="M1926" t="n">
        <v>78.05</v>
      </c>
      <c r="N1926" t="n">
        <v>2.6</v>
      </c>
      <c r="O1926" t="n">
        <v>28.9</v>
      </c>
      <c r="P1926" t="inlineStr">
        <is>
          <t>Digital Wallet</t>
        </is>
      </c>
      <c r="Q1926" t="inlineStr">
        <is>
          <t>Delivered</t>
        </is>
      </c>
      <c r="R1926" t="n">
        <v>5</v>
      </c>
    </row>
    <row r="1927">
      <c r="A1927" t="inlineStr">
        <is>
          <t>ORD2926</t>
        </is>
      </c>
      <c r="B1927" t="inlineStr">
        <is>
          <t>2025-02-03</t>
        </is>
      </c>
      <c r="C1927" t="inlineStr">
        <is>
          <t>12:03:50</t>
        </is>
      </c>
      <c r="D1927" t="n">
        <v>1148</v>
      </c>
      <c r="E1927" t="n">
        <v>105</v>
      </c>
      <c r="F1927" t="n">
        <v>205</v>
      </c>
      <c r="G1927" t="inlineStr">
        <is>
          <t>Bangalore</t>
        </is>
      </c>
      <c r="H1927" t="inlineStr">
        <is>
          <t>Chinese</t>
        </is>
      </c>
      <c r="I1927" t="n">
        <v>579</v>
      </c>
      <c r="J1927" t="n">
        <v>29.71</v>
      </c>
      <c r="K1927" t="n">
        <v>25</v>
      </c>
      <c r="L1927" t="n">
        <v>0.2</v>
      </c>
      <c r="M1927" t="n">
        <v>122.05</v>
      </c>
      <c r="N1927" t="n">
        <v>2.3</v>
      </c>
      <c r="O1927" t="n">
        <v>34.4</v>
      </c>
      <c r="P1927" t="inlineStr">
        <is>
          <t>UPI</t>
        </is>
      </c>
      <c r="Q1927" t="inlineStr">
        <is>
          <t>Delivered</t>
        </is>
      </c>
      <c r="R1927" t="n">
        <v>2</v>
      </c>
    </row>
    <row r="1928">
      <c r="A1928" t="inlineStr">
        <is>
          <t>ORD2927</t>
        </is>
      </c>
      <c r="B1928" t="inlineStr">
        <is>
          <t>2025-10-22</t>
        </is>
      </c>
      <c r="C1928" t="inlineStr">
        <is>
          <t>13:23:00</t>
        </is>
      </c>
      <c r="D1928" t="n">
        <v>1248</v>
      </c>
      <c r="E1928" t="n">
        <v>118</v>
      </c>
      <c r="F1928" t="n">
        <v>211</v>
      </c>
      <c r="G1928" t="inlineStr">
        <is>
          <t>Delhi NCR</t>
        </is>
      </c>
      <c r="H1928" t="inlineStr">
        <is>
          <t>North Indian</t>
        </is>
      </c>
      <c r="I1928" t="n">
        <v>990</v>
      </c>
      <c r="J1928" t="n">
        <v>182.54</v>
      </c>
      <c r="K1928" t="n">
        <v>0</v>
      </c>
      <c r="L1928" t="n">
        <v>0.2</v>
      </c>
      <c r="M1928" t="n">
        <v>198</v>
      </c>
      <c r="N1928" t="n">
        <v>2</v>
      </c>
      <c r="O1928" t="n">
        <v>33.7</v>
      </c>
      <c r="P1928" t="inlineStr">
        <is>
          <t>UPI</t>
        </is>
      </c>
      <c r="Q1928" t="inlineStr">
        <is>
          <t>Delivered</t>
        </is>
      </c>
      <c r="R1928" t="n">
        <v>5</v>
      </c>
    </row>
    <row r="1929">
      <c r="A1929" t="inlineStr">
        <is>
          <t>ORD2928</t>
        </is>
      </c>
      <c r="B1929" t="inlineStr">
        <is>
          <t>2025-08-07</t>
        </is>
      </c>
      <c r="C1929" t="inlineStr">
        <is>
          <t>18:05:47</t>
        </is>
      </c>
      <c r="D1929" t="n">
        <v>1007</v>
      </c>
      <c r="E1929" t="n">
        <v>105</v>
      </c>
      <c r="F1929" t="n">
        <v>220</v>
      </c>
      <c r="G1929" t="inlineStr">
        <is>
          <t>Bangalore</t>
        </is>
      </c>
      <c r="H1929" t="inlineStr">
        <is>
          <t>Chinese</t>
        </is>
      </c>
      <c r="I1929" t="n">
        <v>264</v>
      </c>
      <c r="J1929" t="n">
        <v>4.8</v>
      </c>
      <c r="K1929" t="n">
        <v>30.5</v>
      </c>
      <c r="L1929" t="n">
        <v>0.2</v>
      </c>
      <c r="M1929" t="n">
        <v>60.42</v>
      </c>
      <c r="N1929" t="n">
        <v>4.1</v>
      </c>
      <c r="O1929" t="n">
        <v>36.3</v>
      </c>
      <c r="P1929" t="inlineStr">
        <is>
          <t>Cash on Delivery</t>
        </is>
      </c>
      <c r="Q1929" t="inlineStr">
        <is>
          <t>Delivered</t>
        </is>
      </c>
      <c r="R1929" t="n">
        <v>3</v>
      </c>
    </row>
    <row r="1930">
      <c r="A1930" t="inlineStr">
        <is>
          <t>ORD2929</t>
        </is>
      </c>
      <c r="B1930" t="inlineStr">
        <is>
          <t>2025-04-13</t>
        </is>
      </c>
      <c r="C1930" t="inlineStr">
        <is>
          <t>22:02:02</t>
        </is>
      </c>
      <c r="D1930" t="n">
        <v>1280</v>
      </c>
      <c r="E1930" t="n">
        <v>120</v>
      </c>
      <c r="F1930" t="n">
        <v>224</v>
      </c>
      <c r="G1930" t="inlineStr">
        <is>
          <t>Pune</t>
        </is>
      </c>
      <c r="H1930" t="inlineStr">
        <is>
          <t>Fast Food</t>
        </is>
      </c>
      <c r="I1930" t="n">
        <v>693</v>
      </c>
      <c r="J1930" t="n">
        <v>38.09</v>
      </c>
      <c r="K1930" t="n">
        <v>34</v>
      </c>
      <c r="L1930" t="n">
        <v>0.18</v>
      </c>
      <c r="M1930" t="n">
        <v>133.24</v>
      </c>
      <c r="N1930" t="n">
        <v>4.8</v>
      </c>
      <c r="O1930" t="n">
        <v/>
      </c>
      <c r="P1930" t="inlineStr">
        <is>
          <t>Debit Card</t>
        </is>
      </c>
      <c r="Q1930" t="inlineStr">
        <is>
          <t>Cancelled</t>
        </is>
      </c>
      <c r="R1930" t="n">
        <v/>
      </c>
    </row>
    <row r="1931">
      <c r="A1931" t="inlineStr">
        <is>
          <t>ORD2930</t>
        </is>
      </c>
      <c r="B1931" t="inlineStr">
        <is>
          <t>2025-05-12</t>
        </is>
      </c>
      <c r="C1931" t="inlineStr">
        <is>
          <t>17:57:44</t>
        </is>
      </c>
      <c r="D1931" t="n">
        <v>1290</v>
      </c>
      <c r="E1931" t="n">
        <v>117</v>
      </c>
      <c r="F1931" t="n">
        <v>202</v>
      </c>
      <c r="G1931" t="inlineStr">
        <is>
          <t>Mumbai</t>
        </is>
      </c>
      <c r="H1931" t="inlineStr">
        <is>
          <t>Chinese</t>
        </is>
      </c>
      <c r="I1931" t="n">
        <v>889</v>
      </c>
      <c r="J1931" t="n">
        <v>0</v>
      </c>
      <c r="K1931" t="n">
        <v>28.5</v>
      </c>
      <c r="L1931" t="n">
        <v>0.2</v>
      </c>
      <c r="M1931" t="n">
        <v>184.92</v>
      </c>
      <c r="N1931" t="n">
        <v>3.7</v>
      </c>
      <c r="O1931" t="n">
        <v>31.5</v>
      </c>
      <c r="P1931" t="inlineStr">
        <is>
          <t>Debit Card</t>
        </is>
      </c>
      <c r="Q1931" t="inlineStr">
        <is>
          <t>Delivered</t>
        </is>
      </c>
      <c r="R1931" t="n">
        <v>5</v>
      </c>
    </row>
    <row r="1932">
      <c r="A1932" t="inlineStr">
        <is>
          <t>ORD2931</t>
        </is>
      </c>
      <c r="B1932" t="inlineStr">
        <is>
          <t>2025-11-27</t>
        </is>
      </c>
      <c r="C1932" t="inlineStr">
        <is>
          <t>21:09:51</t>
        </is>
      </c>
      <c r="D1932" t="n">
        <v>1090</v>
      </c>
      <c r="E1932" t="n">
        <v>101</v>
      </c>
      <c r="F1932" t="n">
        <v>203</v>
      </c>
      <c r="G1932" t="inlineStr">
        <is>
          <t>Bangalore</t>
        </is>
      </c>
      <c r="H1932" t="inlineStr">
        <is>
          <t>North Indian</t>
        </is>
      </c>
      <c r="I1932" t="n">
        <v>801</v>
      </c>
      <c r="J1932" t="n">
        <v>26.48</v>
      </c>
      <c r="K1932" t="n">
        <v>26.5</v>
      </c>
      <c r="L1932" t="n">
        <v>0.2</v>
      </c>
      <c r="M1932" t="n">
        <v>166.82</v>
      </c>
      <c r="N1932" t="n">
        <v>3.3</v>
      </c>
      <c r="O1932" t="n">
        <v>31.1</v>
      </c>
      <c r="P1932" t="inlineStr">
        <is>
          <t>Credit Card</t>
        </is>
      </c>
      <c r="Q1932" t="inlineStr">
        <is>
          <t>Delivered</t>
        </is>
      </c>
      <c r="R1932" t="n">
        <v>3</v>
      </c>
    </row>
    <row r="1933">
      <c r="A1933" t="inlineStr">
        <is>
          <t>ORD2932</t>
        </is>
      </c>
      <c r="B1933" t="inlineStr">
        <is>
          <t>2025-11-01</t>
        </is>
      </c>
      <c r="C1933" t="inlineStr">
        <is>
          <t>08:16:17</t>
        </is>
      </c>
      <c r="D1933" t="n">
        <v>1202</v>
      </c>
      <c r="E1933" t="n">
        <v>111</v>
      </c>
      <c r="F1933" t="n">
        <v>227</v>
      </c>
      <c r="G1933" t="inlineStr">
        <is>
          <t>Bangalore</t>
        </is>
      </c>
      <c r="H1933" t="inlineStr">
        <is>
          <t>South Indian</t>
        </is>
      </c>
      <c r="I1933" t="n">
        <v>703</v>
      </c>
      <c r="J1933" t="n">
        <v>23.25</v>
      </c>
      <c r="K1933" t="n">
        <v>29</v>
      </c>
      <c r="L1933" t="n">
        <v>0.15</v>
      </c>
      <c r="M1933" t="n">
        <v>112.7</v>
      </c>
      <c r="N1933" t="n">
        <v>3.8</v>
      </c>
      <c r="O1933" t="n">
        <v>30</v>
      </c>
      <c r="P1933" t="inlineStr">
        <is>
          <t>Digital Wallet</t>
        </is>
      </c>
      <c r="Q1933" t="inlineStr">
        <is>
          <t>Delivered</t>
        </is>
      </c>
      <c r="R1933" t="n">
        <v>4</v>
      </c>
    </row>
    <row r="1934">
      <c r="A1934" t="inlineStr">
        <is>
          <t>ORD2933</t>
        </is>
      </c>
      <c r="B1934" t="inlineStr">
        <is>
          <t>2025-06-09</t>
        </is>
      </c>
      <c r="C1934" t="inlineStr">
        <is>
          <t>19:51:34</t>
        </is>
      </c>
      <c r="D1934" t="n">
        <v>1173</v>
      </c>
      <c r="E1934" t="n">
        <v>101</v>
      </c>
      <c r="F1934" t="n">
        <v>210</v>
      </c>
      <c r="G1934" t="inlineStr">
        <is>
          <t>Bangalore</t>
        </is>
      </c>
      <c r="H1934" t="inlineStr">
        <is>
          <t>North Indian</t>
        </is>
      </c>
      <c r="I1934" t="n">
        <v>304</v>
      </c>
      <c r="J1934" t="n">
        <v>0</v>
      </c>
      <c r="K1934" t="n">
        <v>42</v>
      </c>
      <c r="L1934" t="n">
        <v>0.2</v>
      </c>
      <c r="M1934" t="n">
        <v>71.3</v>
      </c>
      <c r="N1934" t="n">
        <v>6.4</v>
      </c>
      <c r="O1934" t="n">
        <v>44.4</v>
      </c>
      <c r="P1934" t="inlineStr">
        <is>
          <t>UPI</t>
        </is>
      </c>
      <c r="Q1934" t="inlineStr">
        <is>
          <t>Delivered</t>
        </is>
      </c>
      <c r="R1934" t="n">
        <v>2</v>
      </c>
    </row>
    <row r="1935">
      <c r="A1935" t="inlineStr">
        <is>
          <t>ORD2934</t>
        </is>
      </c>
      <c r="B1935" t="inlineStr">
        <is>
          <t>2025-06-20</t>
        </is>
      </c>
      <c r="C1935" t="inlineStr">
        <is>
          <t>00:02:09</t>
        </is>
      </c>
      <c r="D1935" t="n">
        <v>1220</v>
      </c>
      <c r="E1935" t="n">
        <v>114</v>
      </c>
      <c r="F1935" t="n">
        <v>225</v>
      </c>
      <c r="G1935" t="inlineStr">
        <is>
          <t>Hyderabad</t>
        </is>
      </c>
      <c r="H1935" t="inlineStr">
        <is>
          <t>Biryani</t>
        </is>
      </c>
      <c r="I1935" t="n">
        <v>580</v>
      </c>
      <c r="J1935" t="n">
        <v>60.45</v>
      </c>
      <c r="K1935" t="n">
        <v>56</v>
      </c>
      <c r="L1935" t="n">
        <v>0.22</v>
      </c>
      <c r="M1935" t="n">
        <v>141.6</v>
      </c>
      <c r="N1935" t="n">
        <v>9.199999999999999</v>
      </c>
      <c r="O1935" t="n">
        <v>52.8</v>
      </c>
      <c r="P1935" t="inlineStr">
        <is>
          <t>Cash on Delivery</t>
        </is>
      </c>
      <c r="Q1935" t="inlineStr">
        <is>
          <t>Delivered</t>
        </is>
      </c>
      <c r="R1935" t="n">
        <v>1</v>
      </c>
    </row>
    <row r="1936">
      <c r="A1936" t="inlineStr">
        <is>
          <t>ORD2935</t>
        </is>
      </c>
      <c r="B1936" t="inlineStr">
        <is>
          <t>2025-02-05</t>
        </is>
      </c>
      <c r="C1936" t="inlineStr">
        <is>
          <t>11:29:57</t>
        </is>
      </c>
      <c r="D1936" t="n">
        <v>1231</v>
      </c>
      <c r="E1936" t="n">
        <v>105</v>
      </c>
      <c r="F1936" t="n">
        <v>227</v>
      </c>
      <c r="G1936" t="inlineStr">
        <is>
          <t>Bangalore</t>
        </is>
      </c>
      <c r="H1936" t="inlineStr">
        <is>
          <t>Chinese</t>
        </is>
      </c>
      <c r="I1936" t="n">
        <v>523</v>
      </c>
      <c r="J1936" t="n">
        <v>33.96</v>
      </c>
      <c r="K1936" t="n">
        <v>33.5</v>
      </c>
      <c r="L1936" t="n">
        <v>0.2</v>
      </c>
      <c r="M1936" t="n">
        <v>112.98</v>
      </c>
      <c r="N1936" t="n">
        <v>4.7</v>
      </c>
      <c r="O1936" t="n">
        <v>48.1</v>
      </c>
      <c r="P1936" t="inlineStr">
        <is>
          <t>Debit Card</t>
        </is>
      </c>
      <c r="Q1936" t="inlineStr">
        <is>
          <t>Delivered</t>
        </is>
      </c>
      <c r="R1936" t="n">
        <v>3</v>
      </c>
    </row>
    <row r="1937">
      <c r="A1937" t="inlineStr">
        <is>
          <t>ORD2936</t>
        </is>
      </c>
      <c r="B1937" t="inlineStr">
        <is>
          <t>2025-06-22</t>
        </is>
      </c>
      <c r="C1937" t="inlineStr">
        <is>
          <t>20:55:58</t>
        </is>
      </c>
      <c r="D1937" t="n">
        <v>1034</v>
      </c>
      <c r="E1937" t="n">
        <v>117</v>
      </c>
      <c r="F1937" t="n">
        <v>222</v>
      </c>
      <c r="G1937" t="inlineStr">
        <is>
          <t>Mumbai</t>
        </is>
      </c>
      <c r="H1937" t="inlineStr">
        <is>
          <t>Chinese</t>
        </is>
      </c>
      <c r="I1937" t="n">
        <v>582</v>
      </c>
      <c r="J1937" t="n">
        <v>89.04000000000001</v>
      </c>
      <c r="K1937" t="n">
        <v>0</v>
      </c>
      <c r="L1937" t="n">
        <v>0.2</v>
      </c>
      <c r="M1937" t="n">
        <v>116.4</v>
      </c>
      <c r="N1937" t="n">
        <v>2.5</v>
      </c>
      <c r="O1937" t="n">
        <v/>
      </c>
      <c r="P1937" t="inlineStr">
        <is>
          <t>Debit Card</t>
        </is>
      </c>
      <c r="Q1937" t="inlineStr">
        <is>
          <t>Cancelled</t>
        </is>
      </c>
      <c r="R1937" t="n">
        <v/>
      </c>
    </row>
    <row r="1938">
      <c r="A1938" t="inlineStr">
        <is>
          <t>ORD2937</t>
        </is>
      </c>
      <c r="B1938" t="inlineStr">
        <is>
          <t>2025-08-18</t>
        </is>
      </c>
      <c r="C1938" t="inlineStr">
        <is>
          <t>11:12:37</t>
        </is>
      </c>
      <c r="D1938" t="n">
        <v>1268</v>
      </c>
      <c r="E1938" t="n">
        <v>113</v>
      </c>
      <c r="F1938" t="n">
        <v>222</v>
      </c>
      <c r="G1938" t="inlineStr">
        <is>
          <t>Mumbai</t>
        </is>
      </c>
      <c r="H1938" t="inlineStr">
        <is>
          <t>Fast Food</t>
        </is>
      </c>
      <c r="I1938" t="n">
        <v>781</v>
      </c>
      <c r="J1938" t="n">
        <v>51.02</v>
      </c>
      <c r="K1938" t="n">
        <v>45.5</v>
      </c>
      <c r="L1938" t="n">
        <v>0.18</v>
      </c>
      <c r="M1938" t="n">
        <v>151.95</v>
      </c>
      <c r="N1938" t="n">
        <v>7.1</v>
      </c>
      <c r="O1938" t="n">
        <v>42.6</v>
      </c>
      <c r="P1938" t="inlineStr">
        <is>
          <t>Debit Card</t>
        </is>
      </c>
      <c r="Q1938" t="inlineStr">
        <is>
          <t>Delivered</t>
        </is>
      </c>
      <c r="R1938" t="n">
        <v>1</v>
      </c>
    </row>
    <row r="1939">
      <c r="A1939" t="inlineStr">
        <is>
          <t>ORD2938</t>
        </is>
      </c>
      <c r="B1939" t="inlineStr">
        <is>
          <t>2025-04-01</t>
        </is>
      </c>
      <c r="C1939" t="inlineStr">
        <is>
          <t>15:20:51</t>
        </is>
      </c>
      <c r="D1939" t="n">
        <v>1151</v>
      </c>
      <c r="E1939" t="n">
        <v>107</v>
      </c>
      <c r="F1939" t="n">
        <v>229</v>
      </c>
      <c r="G1939" t="inlineStr">
        <is>
          <t>Mumbai</t>
        </is>
      </c>
      <c r="H1939" t="inlineStr">
        <is>
          <t>Desserts</t>
        </is>
      </c>
      <c r="I1939" t="n">
        <v>650</v>
      </c>
      <c r="J1939" t="n">
        <v>124.87</v>
      </c>
      <c r="K1939" t="n">
        <v>0</v>
      </c>
      <c r="L1939" t="n">
        <v>0.25</v>
      </c>
      <c r="M1939" t="n">
        <v>162.5</v>
      </c>
      <c r="N1939" t="n">
        <v>5.8</v>
      </c>
      <c r="O1939" t="n">
        <v>39.1</v>
      </c>
      <c r="P1939" t="inlineStr">
        <is>
          <t>Debit Card</t>
        </is>
      </c>
      <c r="Q1939" t="inlineStr">
        <is>
          <t>Delivered</t>
        </is>
      </c>
      <c r="R1939" t="n">
        <v>5</v>
      </c>
    </row>
    <row r="1940">
      <c r="A1940" t="inlineStr">
        <is>
          <t>ORD2939</t>
        </is>
      </c>
      <c r="B1940" t="inlineStr">
        <is>
          <t>2025-06-19</t>
        </is>
      </c>
      <c r="C1940" t="inlineStr">
        <is>
          <t>21:21:03</t>
        </is>
      </c>
      <c r="D1940" t="n">
        <v>1097</v>
      </c>
      <c r="E1940" t="n">
        <v>101</v>
      </c>
      <c r="F1940" t="n">
        <v>213</v>
      </c>
      <c r="G1940" t="inlineStr">
        <is>
          <t>Bangalore</t>
        </is>
      </c>
      <c r="H1940" t="inlineStr">
        <is>
          <t>North Indian</t>
        </is>
      </c>
      <c r="I1940" t="n">
        <v>676</v>
      </c>
      <c r="J1940" t="n">
        <v>50.13</v>
      </c>
      <c r="K1940" t="n">
        <v>25</v>
      </c>
      <c r="L1940" t="n">
        <v>0.2</v>
      </c>
      <c r="M1940" t="n">
        <v>141.45</v>
      </c>
      <c r="N1940" t="n">
        <v>1.8</v>
      </c>
      <c r="O1940" t="n">
        <v>31</v>
      </c>
      <c r="P1940" t="inlineStr">
        <is>
          <t>Cash on Delivery</t>
        </is>
      </c>
      <c r="Q1940" t="inlineStr">
        <is>
          <t>Delivered</t>
        </is>
      </c>
      <c r="R1940" t="n">
        <v>4</v>
      </c>
    </row>
    <row r="1941">
      <c r="A1941" t="inlineStr">
        <is>
          <t>ORD2940</t>
        </is>
      </c>
      <c r="B1941" t="inlineStr">
        <is>
          <t>2025-06-30</t>
        </is>
      </c>
      <c r="C1941" t="inlineStr">
        <is>
          <t>19:05:23</t>
        </is>
      </c>
      <c r="D1941" t="n">
        <v>1035</v>
      </c>
      <c r="E1941" t="n">
        <v>115</v>
      </c>
      <c r="F1941" t="n">
        <v>213</v>
      </c>
      <c r="G1941" t="inlineStr">
        <is>
          <t>Bangalore</t>
        </is>
      </c>
      <c r="H1941" t="inlineStr">
        <is>
          <t>Italian</t>
        </is>
      </c>
      <c r="I1941" t="n">
        <v>766</v>
      </c>
      <c r="J1941" t="n">
        <v>92.38</v>
      </c>
      <c r="K1941" t="n">
        <v>0</v>
      </c>
      <c r="L1941" t="n">
        <v>0.2</v>
      </c>
      <c r="M1941" t="n">
        <v>153.2</v>
      </c>
      <c r="N1941" t="n">
        <v>4.2</v>
      </c>
      <c r="O1941" t="n">
        <v>33.6</v>
      </c>
      <c r="P1941" t="inlineStr">
        <is>
          <t>UPI</t>
        </is>
      </c>
      <c r="Q1941" t="inlineStr">
        <is>
          <t>Delivered</t>
        </is>
      </c>
      <c r="R1941" t="n">
        <v>4</v>
      </c>
    </row>
    <row r="1942">
      <c r="A1942" t="inlineStr">
        <is>
          <t>ORD2941</t>
        </is>
      </c>
      <c r="B1942" t="inlineStr">
        <is>
          <t>2025-02-24</t>
        </is>
      </c>
      <c r="C1942" t="inlineStr">
        <is>
          <t>23:02:31</t>
        </is>
      </c>
      <c r="D1942" t="n">
        <v>1071</v>
      </c>
      <c r="E1942" t="n">
        <v>106</v>
      </c>
      <c r="F1942" t="n">
        <v>217</v>
      </c>
      <c r="G1942" t="inlineStr">
        <is>
          <t>Pune</t>
        </is>
      </c>
      <c r="H1942" t="inlineStr">
        <is>
          <t>South Indian</t>
        </is>
      </c>
      <c r="I1942" t="n">
        <v>864</v>
      </c>
      <c r="J1942" t="n">
        <v>85.53</v>
      </c>
      <c r="K1942" t="n">
        <v>25</v>
      </c>
      <c r="L1942" t="n">
        <v>0.15</v>
      </c>
      <c r="M1942" t="n">
        <v>135.85</v>
      </c>
      <c r="N1942" t="n">
        <v>1.6</v>
      </c>
      <c r="O1942" t="n">
        <v>33.2</v>
      </c>
      <c r="P1942" t="inlineStr">
        <is>
          <t>Digital Wallet</t>
        </is>
      </c>
      <c r="Q1942" t="inlineStr">
        <is>
          <t>Delivered</t>
        </is>
      </c>
      <c r="R1942" t="n">
        <v>5</v>
      </c>
    </row>
    <row r="1943">
      <c r="A1943" t="inlineStr">
        <is>
          <t>ORD2942</t>
        </is>
      </c>
      <c r="B1943" t="inlineStr">
        <is>
          <t>2025-02-21</t>
        </is>
      </c>
      <c r="C1943" t="inlineStr">
        <is>
          <t>18:05:06</t>
        </is>
      </c>
      <c r="D1943" t="n">
        <v>1294</v>
      </c>
      <c r="E1943" t="n">
        <v>112</v>
      </c>
      <c r="F1943" t="n">
        <v>221</v>
      </c>
      <c r="G1943" t="inlineStr">
        <is>
          <t>Delhi NCR</t>
        </is>
      </c>
      <c r="H1943" t="inlineStr">
        <is>
          <t>North Indian</t>
        </is>
      </c>
      <c r="I1943" t="n">
        <v>693</v>
      </c>
      <c r="J1943" t="n">
        <v>52.19</v>
      </c>
      <c r="K1943" t="n">
        <v>25</v>
      </c>
      <c r="L1943" t="n">
        <v>0.22</v>
      </c>
      <c r="M1943" t="n">
        <v>158.71</v>
      </c>
      <c r="N1943" t="n">
        <v>2.6</v>
      </c>
      <c r="O1943" t="n">
        <v/>
      </c>
      <c r="P1943" t="inlineStr">
        <is>
          <t>UPI</t>
        </is>
      </c>
      <c r="Q1943" t="inlineStr">
        <is>
          <t>Cancelled</t>
        </is>
      </c>
      <c r="R1943" t="n">
        <v/>
      </c>
    </row>
    <row r="1944">
      <c r="A1944" t="inlineStr">
        <is>
          <t>ORD2943</t>
        </is>
      </c>
      <c r="B1944" t="inlineStr">
        <is>
          <t>2025-06-01</t>
        </is>
      </c>
      <c r="C1944" t="inlineStr">
        <is>
          <t>10:45:28</t>
        </is>
      </c>
      <c r="D1944" t="n">
        <v>1174</v>
      </c>
      <c r="E1944" t="n">
        <v>109</v>
      </c>
      <c r="F1944" t="n">
        <v>215</v>
      </c>
      <c r="G1944" t="inlineStr">
        <is>
          <t>Hyderabad</t>
        </is>
      </c>
      <c r="H1944" t="inlineStr">
        <is>
          <t>Biryani</t>
        </is>
      </c>
      <c r="I1944" t="n">
        <v>918</v>
      </c>
      <c r="J1944" t="n">
        <v>0</v>
      </c>
      <c r="K1944" t="n">
        <v>25</v>
      </c>
      <c r="L1944" t="n">
        <v>0.2</v>
      </c>
      <c r="M1944" t="n">
        <v>189.85</v>
      </c>
      <c r="N1944" t="n">
        <v>2.9</v>
      </c>
      <c r="O1944" t="n">
        <v>35.3</v>
      </c>
      <c r="P1944" t="inlineStr">
        <is>
          <t>Credit Card</t>
        </is>
      </c>
      <c r="Q1944" t="inlineStr">
        <is>
          <t>Delivered</t>
        </is>
      </c>
      <c r="R1944" t="n">
        <v>2</v>
      </c>
    </row>
    <row r="1945">
      <c r="A1945" t="inlineStr">
        <is>
          <t>ORD2944</t>
        </is>
      </c>
      <c r="B1945" t="inlineStr">
        <is>
          <t>2025-07-27</t>
        </is>
      </c>
      <c r="C1945" t="inlineStr">
        <is>
          <t>18:45:39</t>
        </is>
      </c>
      <c r="D1945" t="n">
        <v>1172</v>
      </c>
      <c r="E1945" t="n">
        <v>120</v>
      </c>
      <c r="F1945" t="n">
        <v>209</v>
      </c>
      <c r="G1945" t="inlineStr">
        <is>
          <t>Pune</t>
        </is>
      </c>
      <c r="H1945" t="inlineStr">
        <is>
          <t>Fast Food</t>
        </is>
      </c>
      <c r="I1945" t="n">
        <v>599</v>
      </c>
      <c r="J1945" t="n">
        <v>15.1</v>
      </c>
      <c r="K1945" t="n">
        <v>35</v>
      </c>
      <c r="L1945" t="n">
        <v>0.18</v>
      </c>
      <c r="M1945" t="n">
        <v>116.57</v>
      </c>
      <c r="N1945" t="n">
        <v>5</v>
      </c>
      <c r="O1945" t="n">
        <v>38.6</v>
      </c>
      <c r="P1945" t="inlineStr">
        <is>
          <t>Debit Card</t>
        </is>
      </c>
      <c r="Q1945" t="inlineStr">
        <is>
          <t>Delivered</t>
        </is>
      </c>
      <c r="R1945" t="n">
        <v>2</v>
      </c>
    </row>
    <row r="1946">
      <c r="A1946" t="inlineStr">
        <is>
          <t>ORD2945</t>
        </is>
      </c>
      <c r="B1946" t="inlineStr">
        <is>
          <t>2025-02-12</t>
        </is>
      </c>
      <c r="C1946" t="inlineStr">
        <is>
          <t>13:42:08</t>
        </is>
      </c>
      <c r="D1946" t="n">
        <v>1299</v>
      </c>
      <c r="E1946" t="n">
        <v>114</v>
      </c>
      <c r="F1946" t="n">
        <v>215</v>
      </c>
      <c r="G1946" t="inlineStr">
        <is>
          <t>Hyderabad</t>
        </is>
      </c>
      <c r="H1946" t="inlineStr">
        <is>
          <t>Biryani</t>
        </is>
      </c>
      <c r="I1946" t="n">
        <v>406</v>
      </c>
      <c r="J1946" t="n">
        <v>32.74</v>
      </c>
      <c r="K1946" t="n">
        <v>31.5</v>
      </c>
      <c r="L1946" t="n">
        <v>0.22</v>
      </c>
      <c r="M1946" t="n">
        <v>97.2</v>
      </c>
      <c r="N1946" t="n">
        <v>4.3</v>
      </c>
      <c r="O1946" t="n">
        <v>31.5</v>
      </c>
      <c r="P1946" t="inlineStr">
        <is>
          <t>Digital Wallet</t>
        </is>
      </c>
      <c r="Q1946" t="inlineStr">
        <is>
          <t>Delivered</t>
        </is>
      </c>
      <c r="R1946" t="n">
        <v>4</v>
      </c>
    </row>
    <row r="1947">
      <c r="A1947" t="inlineStr">
        <is>
          <t>ORD2946</t>
        </is>
      </c>
      <c r="B1947" t="inlineStr">
        <is>
          <t>2025-03-22</t>
        </is>
      </c>
      <c r="C1947" t="inlineStr">
        <is>
          <t>20:55:26</t>
        </is>
      </c>
      <c r="D1947" t="n">
        <v>1021</v>
      </c>
      <c r="E1947" t="n">
        <v>116</v>
      </c>
      <c r="F1947" t="n">
        <v>217</v>
      </c>
      <c r="G1947" t="inlineStr">
        <is>
          <t>Pune</t>
        </is>
      </c>
      <c r="H1947" t="inlineStr">
        <is>
          <t>Desserts</t>
        </is>
      </c>
      <c r="I1947" t="n">
        <v>936</v>
      </c>
      <c r="J1947" t="n">
        <v>107.01</v>
      </c>
      <c r="K1947" t="n">
        <v>25</v>
      </c>
      <c r="L1947" t="n">
        <v>0.25</v>
      </c>
      <c r="M1947" t="n">
        <v>240.25</v>
      </c>
      <c r="N1947" t="n">
        <v>2.3</v>
      </c>
      <c r="O1947" t="n">
        <v>27.5</v>
      </c>
      <c r="P1947" t="inlineStr">
        <is>
          <t>UPI</t>
        </is>
      </c>
      <c r="Q1947" t="inlineStr">
        <is>
          <t>Delivered</t>
        </is>
      </c>
      <c r="R1947" t="n">
        <v>4</v>
      </c>
    </row>
    <row r="1948">
      <c r="A1948" t="inlineStr">
        <is>
          <t>ORD2947</t>
        </is>
      </c>
      <c r="B1948" t="inlineStr">
        <is>
          <t>2025-06-27</t>
        </is>
      </c>
      <c r="C1948" t="inlineStr">
        <is>
          <t>22:51:41</t>
        </is>
      </c>
      <c r="D1948" t="n">
        <v>1037</v>
      </c>
      <c r="E1948" t="n">
        <v>105</v>
      </c>
      <c r="F1948" t="n">
        <v>210</v>
      </c>
      <c r="G1948" t="inlineStr">
        <is>
          <t>Bangalore</t>
        </is>
      </c>
      <c r="H1948" t="inlineStr">
        <is>
          <t>Chinese</t>
        </is>
      </c>
      <c r="I1948" t="n">
        <v>922</v>
      </c>
      <c r="J1948" t="n">
        <v>19.15</v>
      </c>
      <c r="K1948" t="n">
        <v>31</v>
      </c>
      <c r="L1948" t="n">
        <v>0.2</v>
      </c>
      <c r="M1948" t="n">
        <v>192.15</v>
      </c>
      <c r="N1948" t="n">
        <v>4.2</v>
      </c>
      <c r="O1948" t="n">
        <v>30.5</v>
      </c>
      <c r="P1948" t="inlineStr">
        <is>
          <t>Digital Wallet</t>
        </is>
      </c>
      <c r="Q1948" t="inlineStr">
        <is>
          <t>Delivered</t>
        </is>
      </c>
      <c r="R1948" t="n">
        <v>4</v>
      </c>
    </row>
    <row r="1949">
      <c r="A1949" t="inlineStr">
        <is>
          <t>ORD2948</t>
        </is>
      </c>
      <c r="B1949" t="inlineStr">
        <is>
          <t>2025-05-25</t>
        </is>
      </c>
      <c r="C1949" t="inlineStr">
        <is>
          <t>08:02:53</t>
        </is>
      </c>
      <c r="D1949" t="n">
        <v>1187</v>
      </c>
      <c r="E1949" t="n">
        <v>103</v>
      </c>
      <c r="F1949" t="n">
        <v>229</v>
      </c>
      <c r="G1949" t="inlineStr">
        <is>
          <t>Mumbai</t>
        </is>
      </c>
      <c r="H1949" t="inlineStr">
        <is>
          <t>Italian</t>
        </is>
      </c>
      <c r="I1949" t="n">
        <v>724</v>
      </c>
      <c r="J1949" t="n">
        <v>41.26</v>
      </c>
      <c r="K1949" t="n">
        <v>27.5</v>
      </c>
      <c r="L1949" t="n">
        <v>0.18</v>
      </c>
      <c r="M1949" t="n">
        <v>137.2</v>
      </c>
      <c r="N1949" t="n">
        <v>3.5</v>
      </c>
      <c r="O1949" t="n">
        <v>29</v>
      </c>
      <c r="P1949" t="inlineStr">
        <is>
          <t>Credit Card</t>
        </is>
      </c>
      <c r="Q1949" t="inlineStr">
        <is>
          <t>Delivered</t>
        </is>
      </c>
      <c r="R1949" t="n">
        <v>5</v>
      </c>
    </row>
    <row r="1950">
      <c r="A1950" t="inlineStr">
        <is>
          <t>ORD2949</t>
        </is>
      </c>
      <c r="B1950" t="inlineStr">
        <is>
          <t>2025-11-01</t>
        </is>
      </c>
      <c r="C1950" t="inlineStr">
        <is>
          <t>14:35:03</t>
        </is>
      </c>
      <c r="D1950" t="n">
        <v>1087</v>
      </c>
      <c r="E1950" t="n">
        <v>110</v>
      </c>
      <c r="F1950" t="n">
        <v>224</v>
      </c>
      <c r="G1950" t="inlineStr">
        <is>
          <t>Pune</t>
        </is>
      </c>
      <c r="H1950" t="inlineStr">
        <is>
          <t>North Indian</t>
        </is>
      </c>
      <c r="I1950" t="n">
        <v>582</v>
      </c>
      <c r="J1950" t="n">
        <v>57.96</v>
      </c>
      <c r="K1950" t="n">
        <v>28</v>
      </c>
      <c r="L1950" t="n">
        <v>0.18</v>
      </c>
      <c r="M1950" t="n">
        <v>111.76</v>
      </c>
      <c r="N1950" t="n">
        <v>3.6</v>
      </c>
      <c r="O1950" t="n">
        <v>37.6</v>
      </c>
      <c r="P1950" t="inlineStr">
        <is>
          <t>Debit Card</t>
        </is>
      </c>
      <c r="Q1950" t="inlineStr">
        <is>
          <t>Delivered</t>
        </is>
      </c>
      <c r="R1950" t="n">
        <v>5</v>
      </c>
    </row>
    <row r="1951">
      <c r="A1951" t="inlineStr">
        <is>
          <t>ORD2950</t>
        </is>
      </c>
      <c r="B1951" t="inlineStr">
        <is>
          <t>2025-01-25</t>
        </is>
      </c>
      <c r="C1951" t="inlineStr">
        <is>
          <t>20:00:25</t>
        </is>
      </c>
      <c r="D1951" t="n">
        <v>1038</v>
      </c>
      <c r="E1951" t="n">
        <v>115</v>
      </c>
      <c r="F1951" t="n">
        <v>210</v>
      </c>
      <c r="G1951" t="inlineStr">
        <is>
          <t>Bangalore</t>
        </is>
      </c>
      <c r="H1951" t="inlineStr">
        <is>
          <t>Italian</t>
        </is>
      </c>
      <c r="I1951" t="n">
        <v>514</v>
      </c>
      <c r="J1951" t="n">
        <v>25.58</v>
      </c>
      <c r="K1951" t="n">
        <v>42.5</v>
      </c>
      <c r="L1951" t="n">
        <v>0.2</v>
      </c>
      <c r="M1951" t="n">
        <v>113.43</v>
      </c>
      <c r="N1951" t="n">
        <v>6.5</v>
      </c>
      <c r="O1951" t="n">
        <v>49.5</v>
      </c>
      <c r="P1951" t="inlineStr">
        <is>
          <t>UPI</t>
        </is>
      </c>
      <c r="Q1951" t="inlineStr">
        <is>
          <t>Delivered</t>
        </is>
      </c>
      <c r="R1951" t="n">
        <v>1</v>
      </c>
    </row>
    <row r="1952">
      <c r="A1952" t="inlineStr">
        <is>
          <t>ORD2951</t>
        </is>
      </c>
      <c r="B1952" t="inlineStr">
        <is>
          <t>2025-01-02</t>
        </is>
      </c>
      <c r="C1952" t="inlineStr">
        <is>
          <t>20:17:22</t>
        </is>
      </c>
      <c r="D1952" t="n">
        <v>1251</v>
      </c>
      <c r="E1952" t="n">
        <v>102</v>
      </c>
      <c r="F1952" t="n">
        <v>216</v>
      </c>
      <c r="G1952" t="inlineStr">
        <is>
          <t>Hyderabad</t>
        </is>
      </c>
      <c r="H1952" t="inlineStr">
        <is>
          <t>Biryani</t>
        </is>
      </c>
      <c r="I1952" t="n">
        <v>349</v>
      </c>
      <c r="J1952" t="n">
        <v>24.52</v>
      </c>
      <c r="K1952" t="n">
        <v>25</v>
      </c>
      <c r="L1952" t="n">
        <v>0.22</v>
      </c>
      <c r="M1952" t="n">
        <v>83.03</v>
      </c>
      <c r="N1952" t="n">
        <v>2.8</v>
      </c>
      <c r="O1952" t="n">
        <v>29</v>
      </c>
      <c r="P1952" t="inlineStr">
        <is>
          <t>Digital Wallet</t>
        </is>
      </c>
      <c r="Q1952" t="inlineStr">
        <is>
          <t>Delivered</t>
        </is>
      </c>
      <c r="R1952" t="n">
        <v>2</v>
      </c>
    </row>
    <row r="1953">
      <c r="A1953" t="inlineStr">
        <is>
          <t>ORD2952</t>
        </is>
      </c>
      <c r="B1953" t="inlineStr">
        <is>
          <t>2025-10-05</t>
        </is>
      </c>
      <c r="C1953" t="inlineStr">
        <is>
          <t>13:19:40</t>
        </is>
      </c>
      <c r="D1953" t="n">
        <v>1157</v>
      </c>
      <c r="E1953" t="n">
        <v>109</v>
      </c>
      <c r="F1953" t="n">
        <v>225</v>
      </c>
      <c r="G1953" t="inlineStr">
        <is>
          <t>Hyderabad</t>
        </is>
      </c>
      <c r="H1953" t="inlineStr">
        <is>
          <t>Biryani</t>
        </is>
      </c>
      <c r="I1953" t="n">
        <v>848</v>
      </c>
      <c r="J1953" t="n">
        <v>96.41</v>
      </c>
      <c r="K1953" t="n">
        <v>36</v>
      </c>
      <c r="L1953" t="n">
        <v>0.2</v>
      </c>
      <c r="M1953" t="n">
        <v>178.6</v>
      </c>
      <c r="N1953" t="n">
        <v>5.2</v>
      </c>
      <c r="O1953" t="n">
        <v>50.5</v>
      </c>
      <c r="P1953" t="inlineStr">
        <is>
          <t>Debit Card</t>
        </is>
      </c>
      <c r="Q1953" t="inlineStr">
        <is>
          <t>Delivered</t>
        </is>
      </c>
      <c r="R1953" t="n">
        <v>5</v>
      </c>
    </row>
    <row r="1954">
      <c r="A1954" t="inlineStr">
        <is>
          <t>ORD2953</t>
        </is>
      </c>
      <c r="B1954" t="inlineStr">
        <is>
          <t>2025-05-05</t>
        </is>
      </c>
      <c r="C1954" t="inlineStr">
        <is>
          <t>13:58:23</t>
        </is>
      </c>
      <c r="D1954" t="n">
        <v>1187</v>
      </c>
      <c r="E1954" t="n">
        <v>107</v>
      </c>
      <c r="F1954" t="n">
        <v>206</v>
      </c>
      <c r="G1954" t="inlineStr">
        <is>
          <t>Mumbai</t>
        </is>
      </c>
      <c r="H1954" t="inlineStr">
        <is>
          <t>Desserts</t>
        </is>
      </c>
      <c r="I1954" t="n">
        <v>922</v>
      </c>
      <c r="J1954" t="n">
        <v>82.7</v>
      </c>
      <c r="K1954" t="n">
        <v>31</v>
      </c>
      <c r="L1954" t="n">
        <v>0.25</v>
      </c>
      <c r="M1954" t="n">
        <v>238.25</v>
      </c>
      <c r="N1954" t="n">
        <v>4.2</v>
      </c>
      <c r="O1954" t="n">
        <v>29.7</v>
      </c>
      <c r="P1954" t="inlineStr">
        <is>
          <t>Debit Card</t>
        </is>
      </c>
      <c r="Q1954" t="inlineStr">
        <is>
          <t>Delivered</t>
        </is>
      </c>
      <c r="R1954" t="n">
        <v>5</v>
      </c>
    </row>
    <row r="1955">
      <c r="A1955" t="inlineStr">
        <is>
          <t>ORD2954</t>
        </is>
      </c>
      <c r="B1955" t="inlineStr">
        <is>
          <t>2025-01-31</t>
        </is>
      </c>
      <c r="C1955" t="inlineStr">
        <is>
          <t>20:26:31</t>
        </is>
      </c>
      <c r="D1955" t="n">
        <v>1287</v>
      </c>
      <c r="E1955" t="n">
        <v>115</v>
      </c>
      <c r="F1955" t="n">
        <v>218</v>
      </c>
      <c r="G1955" t="inlineStr">
        <is>
          <t>Bangalore</t>
        </is>
      </c>
      <c r="H1955" t="inlineStr">
        <is>
          <t>Italian</t>
        </is>
      </c>
      <c r="I1955" t="n">
        <v>803</v>
      </c>
      <c r="J1955" t="n">
        <v>0.84</v>
      </c>
      <c r="K1955" t="n">
        <v>32</v>
      </c>
      <c r="L1955" t="n">
        <v>0.2</v>
      </c>
      <c r="M1955" t="n">
        <v>168.6</v>
      </c>
      <c r="N1955" t="n">
        <v>4.4</v>
      </c>
      <c r="O1955" t="n">
        <v>30.5</v>
      </c>
      <c r="P1955" t="inlineStr">
        <is>
          <t>Digital Wallet</t>
        </is>
      </c>
      <c r="Q1955" t="inlineStr">
        <is>
          <t>Delivered</t>
        </is>
      </c>
      <c r="R1955" t="n">
        <v>4</v>
      </c>
    </row>
    <row r="1956">
      <c r="A1956" t="inlineStr">
        <is>
          <t>ORD2955</t>
        </is>
      </c>
      <c r="B1956" t="inlineStr">
        <is>
          <t>2025-10-07</t>
        </is>
      </c>
      <c r="C1956" t="inlineStr">
        <is>
          <t>21:24:45</t>
        </is>
      </c>
      <c r="D1956" t="n">
        <v>1155</v>
      </c>
      <c r="E1956" t="n">
        <v>120</v>
      </c>
      <c r="F1956" t="n">
        <v>204</v>
      </c>
      <c r="G1956" t="inlineStr">
        <is>
          <t>Pune</t>
        </is>
      </c>
      <c r="H1956" t="inlineStr">
        <is>
          <t>Fast Food</t>
        </is>
      </c>
      <c r="I1956" t="n">
        <v>891</v>
      </c>
      <c r="J1956" t="n">
        <v>112.51</v>
      </c>
      <c r="K1956" t="n">
        <v>0</v>
      </c>
      <c r="L1956" t="n">
        <v>0.18</v>
      </c>
      <c r="M1956" t="n">
        <v>160.38</v>
      </c>
      <c r="N1956" t="n">
        <v>2.8</v>
      </c>
      <c r="O1956" t="n">
        <v>32.2</v>
      </c>
      <c r="P1956" t="inlineStr">
        <is>
          <t>Credit Card</t>
        </is>
      </c>
      <c r="Q1956" t="inlineStr">
        <is>
          <t>Delivered</t>
        </is>
      </c>
      <c r="R1956" t="n">
        <v>5</v>
      </c>
    </row>
    <row r="1957">
      <c r="A1957" t="inlineStr">
        <is>
          <t>ORD2956</t>
        </is>
      </c>
      <c r="B1957" t="inlineStr">
        <is>
          <t>2025-04-22</t>
        </is>
      </c>
      <c r="C1957" t="inlineStr">
        <is>
          <t>12:42:12</t>
        </is>
      </c>
      <c r="D1957" t="n">
        <v>1190</v>
      </c>
      <c r="E1957" t="n">
        <v>114</v>
      </c>
      <c r="F1957" t="n">
        <v>225</v>
      </c>
      <c r="G1957" t="inlineStr">
        <is>
          <t>Hyderabad</t>
        </is>
      </c>
      <c r="H1957" t="inlineStr">
        <is>
          <t>Biryani</t>
        </is>
      </c>
      <c r="I1957" t="n">
        <v>803</v>
      </c>
      <c r="J1957" t="n">
        <v>19.71</v>
      </c>
      <c r="K1957" t="n">
        <v>25</v>
      </c>
      <c r="L1957" t="n">
        <v>0.22</v>
      </c>
      <c r="M1957" t="n">
        <v>182.91</v>
      </c>
      <c r="N1957" t="n">
        <v>2.3</v>
      </c>
      <c r="O1957" t="n">
        <v>28.1</v>
      </c>
      <c r="P1957" t="inlineStr">
        <is>
          <t>Debit Card</t>
        </is>
      </c>
      <c r="Q1957" t="inlineStr">
        <is>
          <t>Delivered</t>
        </is>
      </c>
      <c r="R1957" t="n">
        <v>4</v>
      </c>
    </row>
    <row r="1958">
      <c r="A1958" t="inlineStr">
        <is>
          <t>ORD2957</t>
        </is>
      </c>
      <c r="B1958" t="inlineStr">
        <is>
          <t>2025-01-02</t>
        </is>
      </c>
      <c r="C1958" t="inlineStr">
        <is>
          <t>12:25:31</t>
        </is>
      </c>
      <c r="D1958" t="n">
        <v>1141</v>
      </c>
      <c r="E1958" t="n">
        <v>112</v>
      </c>
      <c r="F1958" t="n">
        <v>230</v>
      </c>
      <c r="G1958" t="inlineStr">
        <is>
          <t>Delhi NCR</t>
        </is>
      </c>
      <c r="H1958" t="inlineStr">
        <is>
          <t>North Indian</t>
        </is>
      </c>
      <c r="I1958" t="n">
        <v>885</v>
      </c>
      <c r="J1958" t="n">
        <v>155.65</v>
      </c>
      <c r="K1958" t="n">
        <v>0</v>
      </c>
      <c r="L1958" t="n">
        <v>0.22</v>
      </c>
      <c r="M1958" t="n">
        <v>194.7</v>
      </c>
      <c r="N1958" t="n">
        <v>6.9</v>
      </c>
      <c r="O1958" t="n">
        <v>49.6</v>
      </c>
      <c r="P1958" t="inlineStr">
        <is>
          <t>Debit Card</t>
        </is>
      </c>
      <c r="Q1958" t="inlineStr">
        <is>
          <t>Delivered</t>
        </is>
      </c>
      <c r="R1958" t="n">
        <v>1</v>
      </c>
    </row>
    <row r="1959">
      <c r="A1959" t="inlineStr">
        <is>
          <t>ORD2958</t>
        </is>
      </c>
      <c r="B1959" t="inlineStr">
        <is>
          <t>2025-03-24</t>
        </is>
      </c>
      <c r="C1959" t="inlineStr">
        <is>
          <t>21:40:22</t>
        </is>
      </c>
      <c r="D1959" t="n">
        <v>1135</v>
      </c>
      <c r="E1959" t="n">
        <v>103</v>
      </c>
      <c r="F1959" t="n">
        <v>229</v>
      </c>
      <c r="G1959" t="inlineStr">
        <is>
          <t>Mumbai</t>
        </is>
      </c>
      <c r="H1959" t="inlineStr">
        <is>
          <t>Italian</t>
        </is>
      </c>
      <c r="I1959" t="n">
        <v>349</v>
      </c>
      <c r="J1959" t="n">
        <v>52.11</v>
      </c>
      <c r="K1959" t="n">
        <v>30.5</v>
      </c>
      <c r="L1959" t="n">
        <v>0.18</v>
      </c>
      <c r="M1959" t="n">
        <v>70.44</v>
      </c>
      <c r="N1959" t="n">
        <v>4.1</v>
      </c>
      <c r="O1959" t="n">
        <v>39.2</v>
      </c>
      <c r="P1959" t="inlineStr">
        <is>
          <t>Debit Card</t>
        </is>
      </c>
      <c r="Q1959" t="inlineStr">
        <is>
          <t>Delivered</t>
        </is>
      </c>
      <c r="R1959" t="n">
        <v>4</v>
      </c>
    </row>
    <row r="1960">
      <c r="A1960" t="inlineStr">
        <is>
          <t>ORD2959</t>
        </is>
      </c>
      <c r="B1960" t="inlineStr">
        <is>
          <t>2025-04-05</t>
        </is>
      </c>
      <c r="C1960" t="inlineStr">
        <is>
          <t>22:18:06</t>
        </is>
      </c>
      <c r="D1960" t="n">
        <v>1083</v>
      </c>
      <c r="E1960" t="n">
        <v>118</v>
      </c>
      <c r="F1960" t="n">
        <v>219</v>
      </c>
      <c r="G1960" t="inlineStr">
        <is>
          <t>Delhi NCR</t>
        </is>
      </c>
      <c r="H1960" t="inlineStr">
        <is>
          <t>North Indian</t>
        </is>
      </c>
      <c r="I1960" t="n">
        <v>690</v>
      </c>
      <c r="J1960" t="n">
        <v>10.14</v>
      </c>
      <c r="K1960" t="n">
        <v>38</v>
      </c>
      <c r="L1960" t="n">
        <v>0.2</v>
      </c>
      <c r="M1960" t="n">
        <v>147.5</v>
      </c>
      <c r="N1960" t="n">
        <v>5.6</v>
      </c>
      <c r="O1960" t="n">
        <v>28.8</v>
      </c>
      <c r="P1960" t="inlineStr">
        <is>
          <t>Credit Card</t>
        </is>
      </c>
      <c r="Q1960" t="inlineStr">
        <is>
          <t>Delivered</t>
        </is>
      </c>
      <c r="R1960" t="n">
        <v>4</v>
      </c>
    </row>
    <row r="1961">
      <c r="A1961" t="inlineStr">
        <is>
          <t>ORD2960</t>
        </is>
      </c>
      <c r="B1961" t="inlineStr">
        <is>
          <t>2025-06-07</t>
        </is>
      </c>
      <c r="C1961" t="inlineStr">
        <is>
          <t>19:21:54</t>
        </is>
      </c>
      <c r="D1961" t="n">
        <v>1123</v>
      </c>
      <c r="E1961" t="n">
        <v>115</v>
      </c>
      <c r="F1961" t="n">
        <v>201</v>
      </c>
      <c r="G1961" t="inlineStr">
        <is>
          <t>Bangalore</t>
        </is>
      </c>
      <c r="H1961" t="inlineStr">
        <is>
          <t>Italian</t>
        </is>
      </c>
      <c r="I1961" t="n">
        <v>317</v>
      </c>
      <c r="J1961" t="n">
        <v>0</v>
      </c>
      <c r="K1961" t="n">
        <v>27</v>
      </c>
      <c r="L1961" t="n">
        <v>0.2</v>
      </c>
      <c r="M1961" t="n">
        <v>70.15000000000001</v>
      </c>
      <c r="N1961" t="n">
        <v>3.4</v>
      </c>
      <c r="O1961" t="n">
        <v>35.9</v>
      </c>
      <c r="P1961" t="inlineStr">
        <is>
          <t>UPI</t>
        </is>
      </c>
      <c r="Q1961" t="inlineStr">
        <is>
          <t>Delivered</t>
        </is>
      </c>
      <c r="R1961" t="n">
        <v>5</v>
      </c>
    </row>
    <row r="1962">
      <c r="A1962" t="inlineStr">
        <is>
          <t>ORD2961</t>
        </is>
      </c>
      <c r="B1962" t="inlineStr">
        <is>
          <t>2025-07-02</t>
        </is>
      </c>
      <c r="C1962" t="inlineStr">
        <is>
          <t>21:15:00</t>
        </is>
      </c>
      <c r="D1962" t="n">
        <v>1233</v>
      </c>
      <c r="E1962" t="n">
        <v>106</v>
      </c>
      <c r="F1962" t="n">
        <v>224</v>
      </c>
      <c r="G1962" t="inlineStr">
        <is>
          <t>Pune</t>
        </is>
      </c>
      <c r="H1962" t="inlineStr">
        <is>
          <t>South Indian</t>
        </is>
      </c>
      <c r="I1962" t="n">
        <v>872</v>
      </c>
      <c r="J1962" t="n">
        <v>37.74</v>
      </c>
      <c r="K1962" t="n">
        <v>46</v>
      </c>
      <c r="L1962" t="n">
        <v>0.15</v>
      </c>
      <c r="M1962" t="n">
        <v>142.3</v>
      </c>
      <c r="N1962" t="n">
        <v>7.2</v>
      </c>
      <c r="O1962" t="n">
        <v>49.3</v>
      </c>
      <c r="P1962" t="inlineStr">
        <is>
          <t>Digital Wallet</t>
        </is>
      </c>
      <c r="Q1962" t="inlineStr">
        <is>
          <t>Delivered</t>
        </is>
      </c>
      <c r="R1962" t="n">
        <v>2</v>
      </c>
    </row>
    <row r="1963">
      <c r="A1963" t="inlineStr">
        <is>
          <t>ORD2962</t>
        </is>
      </c>
      <c r="B1963" t="inlineStr">
        <is>
          <t>2025-03-19</t>
        </is>
      </c>
      <c r="C1963" t="inlineStr">
        <is>
          <t>19:56:57</t>
        </is>
      </c>
      <c r="D1963" t="n">
        <v>1259</v>
      </c>
      <c r="E1963" t="n">
        <v>114</v>
      </c>
      <c r="F1963" t="n">
        <v>225</v>
      </c>
      <c r="G1963" t="inlineStr">
        <is>
          <t>Hyderabad</t>
        </is>
      </c>
      <c r="H1963" t="inlineStr">
        <is>
          <t>Biryani</t>
        </is>
      </c>
      <c r="I1963" t="n">
        <v>339</v>
      </c>
      <c r="J1963" t="n">
        <v>0</v>
      </c>
      <c r="K1963" t="n">
        <v>33</v>
      </c>
      <c r="L1963" t="n">
        <v>0.22</v>
      </c>
      <c r="M1963" t="n">
        <v>82.83</v>
      </c>
      <c r="N1963" t="n">
        <v>4.6</v>
      </c>
      <c r="O1963" t="n">
        <v>37.3</v>
      </c>
      <c r="P1963" t="inlineStr">
        <is>
          <t>Credit Card</t>
        </is>
      </c>
      <c r="Q1963" t="inlineStr">
        <is>
          <t>Delivered</t>
        </is>
      </c>
      <c r="R1963" t="n">
        <v>4</v>
      </c>
    </row>
    <row r="1964">
      <c r="A1964" t="inlineStr">
        <is>
          <t>ORD2963</t>
        </is>
      </c>
      <c r="B1964" t="inlineStr">
        <is>
          <t>2025-05-25</t>
        </is>
      </c>
      <c r="C1964" t="inlineStr">
        <is>
          <t>01:57:43</t>
        </is>
      </c>
      <c r="D1964" t="n">
        <v>1185</v>
      </c>
      <c r="E1964" t="n">
        <v>116</v>
      </c>
      <c r="F1964" t="n">
        <v>224</v>
      </c>
      <c r="G1964" t="inlineStr">
        <is>
          <t>Pune</t>
        </is>
      </c>
      <c r="H1964" t="inlineStr">
        <is>
          <t>Desserts</t>
        </is>
      </c>
      <c r="I1964" t="n">
        <v>562</v>
      </c>
      <c r="J1964" t="n">
        <v>41.52</v>
      </c>
      <c r="K1964" t="n">
        <v>30</v>
      </c>
      <c r="L1964" t="n">
        <v>0.25</v>
      </c>
      <c r="M1964" t="n">
        <v>148</v>
      </c>
      <c r="N1964" t="n">
        <v>4</v>
      </c>
      <c r="O1964" t="n">
        <v>29.4</v>
      </c>
      <c r="P1964" t="inlineStr">
        <is>
          <t>Digital Wallet</t>
        </is>
      </c>
      <c r="Q1964" t="inlineStr">
        <is>
          <t>Delivered</t>
        </is>
      </c>
      <c r="R1964" t="n">
        <v>3</v>
      </c>
    </row>
    <row r="1965">
      <c r="A1965" t="inlineStr">
        <is>
          <t>ORD2964</t>
        </is>
      </c>
      <c r="B1965" t="inlineStr">
        <is>
          <t>2025-02-14</t>
        </is>
      </c>
      <c r="C1965" t="inlineStr">
        <is>
          <t>13:10:37</t>
        </is>
      </c>
      <c r="D1965" t="n">
        <v>1112</v>
      </c>
      <c r="E1965" t="n">
        <v>103</v>
      </c>
      <c r="F1965" t="n">
        <v>202</v>
      </c>
      <c r="G1965" t="inlineStr">
        <is>
          <t>Mumbai</t>
        </is>
      </c>
      <c r="H1965" t="inlineStr">
        <is>
          <t>Italian</t>
        </is>
      </c>
      <c r="I1965" t="n">
        <v>827</v>
      </c>
      <c r="J1965" t="n">
        <v>20.62</v>
      </c>
      <c r="K1965" t="n">
        <v>37</v>
      </c>
      <c r="L1965" t="n">
        <v>0.18</v>
      </c>
      <c r="M1965" t="n">
        <v>158.11</v>
      </c>
      <c r="N1965" t="n">
        <v>5.4</v>
      </c>
      <c r="O1965" t="n">
        <v>37.4</v>
      </c>
      <c r="P1965" t="inlineStr">
        <is>
          <t>Credit Card</t>
        </is>
      </c>
      <c r="Q1965" t="inlineStr">
        <is>
          <t>Delivered</t>
        </is>
      </c>
      <c r="R1965" t="n">
        <v>4</v>
      </c>
    </row>
    <row r="1966">
      <c r="A1966" t="inlineStr">
        <is>
          <t>ORD2965</t>
        </is>
      </c>
      <c r="B1966" t="inlineStr">
        <is>
          <t>2025-12-10</t>
        </is>
      </c>
      <c r="C1966" t="inlineStr">
        <is>
          <t>20:51:56</t>
        </is>
      </c>
      <c r="D1966" t="n">
        <v>1059</v>
      </c>
      <c r="E1966" t="n">
        <v>102</v>
      </c>
      <c r="F1966" t="n">
        <v>216</v>
      </c>
      <c r="G1966" t="inlineStr">
        <is>
          <t>Hyderabad</t>
        </is>
      </c>
      <c r="H1966" t="inlineStr">
        <is>
          <t>Biryani</t>
        </is>
      </c>
      <c r="I1966" t="n">
        <v>403</v>
      </c>
      <c r="J1966" t="n">
        <v>28.52</v>
      </c>
      <c r="K1966" t="n">
        <v>30</v>
      </c>
      <c r="L1966" t="n">
        <v>0.22</v>
      </c>
      <c r="M1966" t="n">
        <v>96.16</v>
      </c>
      <c r="N1966" t="n">
        <v>4</v>
      </c>
      <c r="O1966" t="n">
        <v>30.2</v>
      </c>
      <c r="P1966" t="inlineStr">
        <is>
          <t>Debit Card</t>
        </is>
      </c>
      <c r="Q1966" t="inlineStr">
        <is>
          <t>Delivered</t>
        </is>
      </c>
      <c r="R1966" t="n">
        <v>4</v>
      </c>
    </row>
    <row r="1967">
      <c r="A1967" t="inlineStr">
        <is>
          <t>ORD2966</t>
        </is>
      </c>
      <c r="B1967" t="inlineStr">
        <is>
          <t>2025-05-11</t>
        </is>
      </c>
      <c r="C1967" t="inlineStr">
        <is>
          <t>19:29:29</t>
        </is>
      </c>
      <c r="D1967" t="n">
        <v>1191</v>
      </c>
      <c r="E1967" t="n">
        <v>112</v>
      </c>
      <c r="F1967" t="n">
        <v>212</v>
      </c>
      <c r="G1967" t="inlineStr">
        <is>
          <t>Delhi NCR</t>
        </is>
      </c>
      <c r="H1967" t="inlineStr">
        <is>
          <t>North Indian</t>
        </is>
      </c>
      <c r="I1967" t="n">
        <v>245</v>
      </c>
      <c r="J1967" t="n">
        <v>2.47</v>
      </c>
      <c r="K1967" t="n">
        <v>25.5</v>
      </c>
      <c r="L1967" t="n">
        <v>0.22</v>
      </c>
      <c r="M1967" t="n">
        <v>60.28</v>
      </c>
      <c r="N1967" t="n">
        <v>3.1</v>
      </c>
      <c r="O1967" t="n">
        <v>37.1</v>
      </c>
      <c r="P1967" t="inlineStr">
        <is>
          <t>UPI</t>
        </is>
      </c>
      <c r="Q1967" t="inlineStr">
        <is>
          <t>Delivered</t>
        </is>
      </c>
      <c r="R1967" t="n">
        <v>3</v>
      </c>
    </row>
    <row r="1968">
      <c r="A1968" t="inlineStr">
        <is>
          <t>ORD2967</t>
        </is>
      </c>
      <c r="B1968" t="inlineStr">
        <is>
          <t>2025-03-24</t>
        </is>
      </c>
      <c r="C1968" t="inlineStr">
        <is>
          <t>20:14:45</t>
        </is>
      </c>
      <c r="D1968" t="n">
        <v>1264</v>
      </c>
      <c r="E1968" t="n">
        <v>115</v>
      </c>
      <c r="F1968" t="n">
        <v>203</v>
      </c>
      <c r="G1968" t="inlineStr">
        <is>
          <t>Bangalore</t>
        </is>
      </c>
      <c r="H1968" t="inlineStr">
        <is>
          <t>Italian</t>
        </is>
      </c>
      <c r="I1968" t="n">
        <v>783</v>
      </c>
      <c r="J1968" t="n">
        <v>0</v>
      </c>
      <c r="K1968" t="n">
        <v>27.5</v>
      </c>
      <c r="L1968" t="n">
        <v>0.2</v>
      </c>
      <c r="M1968" t="n">
        <v>163.48</v>
      </c>
      <c r="N1968" t="n">
        <v>3.5</v>
      </c>
      <c r="O1968" t="n">
        <v>34.3</v>
      </c>
      <c r="P1968" t="inlineStr">
        <is>
          <t>Credit Card</t>
        </is>
      </c>
      <c r="Q1968" t="inlineStr">
        <is>
          <t>Delivered</t>
        </is>
      </c>
      <c r="R1968" t="n">
        <v>4</v>
      </c>
    </row>
    <row r="1969">
      <c r="A1969" t="inlineStr">
        <is>
          <t>ORD2968</t>
        </is>
      </c>
      <c r="B1969" t="inlineStr">
        <is>
          <t>2025-02-04</t>
        </is>
      </c>
      <c r="C1969" t="inlineStr">
        <is>
          <t>12:22:58</t>
        </is>
      </c>
      <c r="D1969" t="n">
        <v>1135</v>
      </c>
      <c r="E1969" t="n">
        <v>117</v>
      </c>
      <c r="F1969" t="n">
        <v>222</v>
      </c>
      <c r="G1969" t="inlineStr">
        <is>
          <t>Mumbai</t>
        </is>
      </c>
      <c r="H1969" t="inlineStr">
        <is>
          <t>Chinese</t>
        </is>
      </c>
      <c r="I1969" t="n">
        <v>1058</v>
      </c>
      <c r="J1969" t="n">
        <v>118.97</v>
      </c>
      <c r="K1969" t="n">
        <v>0</v>
      </c>
      <c r="L1969" t="n">
        <v>0.2</v>
      </c>
      <c r="M1969" t="n">
        <v>211.6</v>
      </c>
      <c r="N1969" t="n">
        <v>3.5</v>
      </c>
      <c r="O1969" t="n">
        <v/>
      </c>
      <c r="P1969" t="inlineStr">
        <is>
          <t>Cash on Delivery</t>
        </is>
      </c>
      <c r="Q1969" t="inlineStr">
        <is>
          <t>Cancelled</t>
        </is>
      </c>
      <c r="R1969" t="n">
        <v/>
      </c>
    </row>
    <row r="1970">
      <c r="A1970" t="inlineStr">
        <is>
          <t>ORD2969</t>
        </is>
      </c>
      <c r="B1970" t="inlineStr">
        <is>
          <t>2025-08-11</t>
        </is>
      </c>
      <c r="C1970" t="inlineStr">
        <is>
          <t>20:06:49</t>
        </is>
      </c>
      <c r="D1970" t="n">
        <v>1286</v>
      </c>
      <c r="E1970" t="n">
        <v>104</v>
      </c>
      <c r="F1970" t="n">
        <v>230</v>
      </c>
      <c r="G1970" t="inlineStr">
        <is>
          <t>Delhi NCR</t>
        </is>
      </c>
      <c r="H1970" t="inlineStr">
        <is>
          <t>Fast Food</t>
        </is>
      </c>
      <c r="I1970" t="n">
        <v>334</v>
      </c>
      <c r="J1970" t="n">
        <v>5.65</v>
      </c>
      <c r="K1970" t="n">
        <v>27.5</v>
      </c>
      <c r="L1970" t="n">
        <v>0.18</v>
      </c>
      <c r="M1970" t="n">
        <v>67</v>
      </c>
      <c r="N1970" t="n">
        <v>3.5</v>
      </c>
      <c r="O1970" t="n">
        <v>33</v>
      </c>
      <c r="P1970" t="inlineStr">
        <is>
          <t>Digital Wallet</t>
        </is>
      </c>
      <c r="Q1970" t="inlineStr">
        <is>
          <t>Delivered</t>
        </is>
      </c>
      <c r="R1970" t="n">
        <v>3</v>
      </c>
    </row>
    <row r="1971">
      <c r="A1971" t="inlineStr">
        <is>
          <t>ORD2970</t>
        </is>
      </c>
      <c r="B1971" t="inlineStr">
        <is>
          <t>2025-12-20</t>
        </is>
      </c>
      <c r="C1971" t="inlineStr">
        <is>
          <t>21:30:10</t>
        </is>
      </c>
      <c r="D1971" t="n">
        <v>1276</v>
      </c>
      <c r="E1971" t="n">
        <v>111</v>
      </c>
      <c r="F1971" t="n">
        <v>201</v>
      </c>
      <c r="G1971" t="inlineStr">
        <is>
          <t>Bangalore</t>
        </is>
      </c>
      <c r="H1971" t="inlineStr">
        <is>
          <t>South Indian</t>
        </is>
      </c>
      <c r="I1971" t="n">
        <v>940</v>
      </c>
      <c r="J1971" t="n">
        <v>28.71</v>
      </c>
      <c r="K1971" t="n">
        <v>25</v>
      </c>
      <c r="L1971" t="n">
        <v>0.15</v>
      </c>
      <c r="M1971" t="n">
        <v>147.25</v>
      </c>
      <c r="N1971" t="n">
        <v>1.4</v>
      </c>
      <c r="O1971" t="n">
        <v>23</v>
      </c>
      <c r="P1971" t="inlineStr">
        <is>
          <t>UPI</t>
        </is>
      </c>
      <c r="Q1971" t="inlineStr">
        <is>
          <t>Delivered</t>
        </is>
      </c>
      <c r="R1971" t="n">
        <v>5</v>
      </c>
    </row>
    <row r="1972">
      <c r="A1972" t="inlineStr">
        <is>
          <t>ORD2971</t>
        </is>
      </c>
      <c r="B1972" t="inlineStr">
        <is>
          <t>2025-10-01</t>
        </is>
      </c>
      <c r="C1972" t="inlineStr">
        <is>
          <t>12:48:51</t>
        </is>
      </c>
      <c r="D1972" t="n">
        <v>1229</v>
      </c>
      <c r="E1972" t="n">
        <v>103</v>
      </c>
      <c r="F1972" t="n">
        <v>206</v>
      </c>
      <c r="G1972" t="inlineStr">
        <is>
          <t>Mumbai</t>
        </is>
      </c>
      <c r="H1972" t="inlineStr">
        <is>
          <t>Italian</t>
        </is>
      </c>
      <c r="I1972" t="n">
        <v>1190</v>
      </c>
      <c r="J1972" t="n">
        <v>221.11</v>
      </c>
      <c r="K1972" t="n">
        <v>0</v>
      </c>
      <c r="L1972" t="n">
        <v>0.18</v>
      </c>
      <c r="M1972" t="n">
        <v>214.2</v>
      </c>
      <c r="N1972" t="n">
        <v>3</v>
      </c>
      <c r="O1972" t="n">
        <v>28.1</v>
      </c>
      <c r="P1972" t="inlineStr">
        <is>
          <t>Cash on Delivery</t>
        </is>
      </c>
      <c r="Q1972" t="inlineStr">
        <is>
          <t>Delivered</t>
        </is>
      </c>
      <c r="R1972" t="n">
        <v>2</v>
      </c>
    </row>
    <row r="1973">
      <c r="A1973" t="inlineStr">
        <is>
          <t>ORD2972</t>
        </is>
      </c>
      <c r="B1973" t="inlineStr">
        <is>
          <t>2025-09-18</t>
        </is>
      </c>
      <c r="C1973" t="inlineStr">
        <is>
          <t>13:17:21</t>
        </is>
      </c>
      <c r="D1973" t="n">
        <v>1013</v>
      </c>
      <c r="E1973" t="n">
        <v>101</v>
      </c>
      <c r="F1973" t="n">
        <v>210</v>
      </c>
      <c r="G1973" t="inlineStr">
        <is>
          <t>Bangalore</t>
        </is>
      </c>
      <c r="H1973" t="inlineStr">
        <is>
          <t>North Indian</t>
        </is>
      </c>
      <c r="I1973" t="n">
        <v>538</v>
      </c>
      <c r="J1973" t="n">
        <v>59.52</v>
      </c>
      <c r="K1973" t="n">
        <v>29</v>
      </c>
      <c r="L1973" t="n">
        <v>0.2</v>
      </c>
      <c r="M1973" t="n">
        <v>114.85</v>
      </c>
      <c r="N1973" t="n">
        <v>3.8</v>
      </c>
      <c r="O1973" t="n">
        <v>42.7</v>
      </c>
      <c r="P1973" t="inlineStr">
        <is>
          <t>Digital Wallet</t>
        </is>
      </c>
      <c r="Q1973" t="inlineStr">
        <is>
          <t>Delivered</t>
        </is>
      </c>
      <c r="R1973" t="n">
        <v>4</v>
      </c>
    </row>
    <row r="1974">
      <c r="A1974" t="inlineStr">
        <is>
          <t>ORD2973</t>
        </is>
      </c>
      <c r="B1974" t="inlineStr">
        <is>
          <t>2025-09-02</t>
        </is>
      </c>
      <c r="C1974" t="inlineStr">
        <is>
          <t>20:10:00</t>
        </is>
      </c>
      <c r="D1974" t="n">
        <v>1239</v>
      </c>
      <c r="E1974" t="n">
        <v>101</v>
      </c>
      <c r="F1974" t="n">
        <v>213</v>
      </c>
      <c r="G1974" t="inlineStr">
        <is>
          <t>Bangalore</t>
        </is>
      </c>
      <c r="H1974" t="inlineStr">
        <is>
          <t>North Indian</t>
        </is>
      </c>
      <c r="I1974" t="n">
        <v>275</v>
      </c>
      <c r="J1974" t="n">
        <v>17.17</v>
      </c>
      <c r="K1974" t="n">
        <v>28</v>
      </c>
      <c r="L1974" t="n">
        <v>0.2</v>
      </c>
      <c r="M1974" t="n">
        <v>62</v>
      </c>
      <c r="N1974" t="n">
        <v>3.6</v>
      </c>
      <c r="O1974" t="n">
        <v>38</v>
      </c>
      <c r="P1974" t="inlineStr">
        <is>
          <t>Debit Card</t>
        </is>
      </c>
      <c r="Q1974" t="inlineStr">
        <is>
          <t>Delivered</t>
        </is>
      </c>
      <c r="R1974" t="n">
        <v>5</v>
      </c>
    </row>
    <row r="1975">
      <c r="A1975" t="inlineStr">
        <is>
          <t>ORD2974</t>
        </is>
      </c>
      <c r="B1975" t="inlineStr">
        <is>
          <t>2025-12-06</t>
        </is>
      </c>
      <c r="C1975" t="inlineStr">
        <is>
          <t>20:09:03</t>
        </is>
      </c>
      <c r="D1975" t="n">
        <v>1010</v>
      </c>
      <c r="E1975" t="n">
        <v>114</v>
      </c>
      <c r="F1975" t="n">
        <v>225</v>
      </c>
      <c r="G1975" t="inlineStr">
        <is>
          <t>Hyderabad</t>
        </is>
      </c>
      <c r="H1975" t="inlineStr">
        <is>
          <t>Biryani</t>
        </is>
      </c>
      <c r="I1975" t="n">
        <v>478</v>
      </c>
      <c r="J1975" t="n">
        <v>26.87</v>
      </c>
      <c r="K1975" t="n">
        <v>76</v>
      </c>
      <c r="L1975" t="n">
        <v>0.22</v>
      </c>
      <c r="M1975" t="n">
        <v>124.16</v>
      </c>
      <c r="N1975" t="n">
        <v>13.2</v>
      </c>
      <c r="O1975" t="n">
        <v>68.7</v>
      </c>
      <c r="P1975" t="inlineStr">
        <is>
          <t>Debit Card</t>
        </is>
      </c>
      <c r="Q1975" t="inlineStr">
        <is>
          <t>Delivered</t>
        </is>
      </c>
      <c r="R1975" t="n">
        <v>1</v>
      </c>
    </row>
    <row r="1976">
      <c r="A1976" t="inlineStr">
        <is>
          <t>ORD2975</t>
        </is>
      </c>
      <c r="B1976" t="inlineStr">
        <is>
          <t>2025-02-03</t>
        </is>
      </c>
      <c r="C1976" t="inlineStr">
        <is>
          <t>21:26:23</t>
        </is>
      </c>
      <c r="D1976" t="n">
        <v>1075</v>
      </c>
      <c r="E1976" t="n">
        <v>104</v>
      </c>
      <c r="F1976" t="n">
        <v>228</v>
      </c>
      <c r="G1976" t="inlineStr">
        <is>
          <t>Delhi NCR</t>
        </is>
      </c>
      <c r="H1976" t="inlineStr">
        <is>
          <t>Fast Food</t>
        </is>
      </c>
      <c r="I1976" t="n">
        <v>811</v>
      </c>
      <c r="J1976" t="n">
        <v>74.75</v>
      </c>
      <c r="K1976" t="n">
        <v>28.5</v>
      </c>
      <c r="L1976" t="n">
        <v>0.18</v>
      </c>
      <c r="M1976" t="n">
        <v>153.1</v>
      </c>
      <c r="N1976" t="n">
        <v>3.7</v>
      </c>
      <c r="O1976" t="n">
        <v>30.7</v>
      </c>
      <c r="P1976" t="inlineStr">
        <is>
          <t>UPI</t>
        </is>
      </c>
      <c r="Q1976" t="inlineStr">
        <is>
          <t>Delivered</t>
        </is>
      </c>
      <c r="R1976" t="n">
        <v>4</v>
      </c>
    </row>
    <row r="1977">
      <c r="A1977" t="inlineStr">
        <is>
          <t>ORD2976</t>
        </is>
      </c>
      <c r="B1977" t="inlineStr">
        <is>
          <t>2025-01-19</t>
        </is>
      </c>
      <c r="C1977" t="inlineStr">
        <is>
          <t>08:40:13</t>
        </is>
      </c>
      <c r="D1977" t="n">
        <v>1245</v>
      </c>
      <c r="E1977" t="n">
        <v>113</v>
      </c>
      <c r="F1977" t="n">
        <v>202</v>
      </c>
      <c r="G1977" t="inlineStr">
        <is>
          <t>Mumbai</t>
        </is>
      </c>
      <c r="H1977" t="inlineStr">
        <is>
          <t>Fast Food</t>
        </is>
      </c>
      <c r="I1977" t="n">
        <v>271</v>
      </c>
      <c r="J1977" t="n">
        <v>0</v>
      </c>
      <c r="K1977" t="n">
        <v>33</v>
      </c>
      <c r="L1977" t="n">
        <v>0.18</v>
      </c>
      <c r="M1977" t="n">
        <v>57.03</v>
      </c>
      <c r="N1977" t="n">
        <v>4.6</v>
      </c>
      <c r="O1977" t="n">
        <v>36.1</v>
      </c>
      <c r="P1977" t="inlineStr">
        <is>
          <t>Credit Card</t>
        </is>
      </c>
      <c r="Q1977" t="inlineStr">
        <is>
          <t>Delivered</t>
        </is>
      </c>
      <c r="R1977" t="n">
        <v>5</v>
      </c>
    </row>
    <row r="1978">
      <c r="A1978" t="inlineStr">
        <is>
          <t>ORD2977</t>
        </is>
      </c>
      <c r="B1978" t="inlineStr">
        <is>
          <t>2025-03-08</t>
        </is>
      </c>
      <c r="C1978" t="inlineStr">
        <is>
          <t>14:45:28</t>
        </is>
      </c>
      <c r="D1978" t="n">
        <v>1231</v>
      </c>
      <c r="E1978" t="n">
        <v>105</v>
      </c>
      <c r="F1978" t="n">
        <v>205</v>
      </c>
      <c r="G1978" t="inlineStr">
        <is>
          <t>Bangalore</t>
        </is>
      </c>
      <c r="H1978" t="inlineStr">
        <is>
          <t>Chinese</t>
        </is>
      </c>
      <c r="I1978" t="n">
        <v>729</v>
      </c>
      <c r="J1978" t="n">
        <v>54.78</v>
      </c>
      <c r="K1978" t="n">
        <v>27</v>
      </c>
      <c r="L1978" t="n">
        <v>0.2</v>
      </c>
      <c r="M1978" t="n">
        <v>152.55</v>
      </c>
      <c r="N1978" t="n">
        <v>3.4</v>
      </c>
      <c r="O1978" t="n">
        <v>35</v>
      </c>
      <c r="P1978" t="inlineStr">
        <is>
          <t>UPI</t>
        </is>
      </c>
      <c r="Q1978" t="inlineStr">
        <is>
          <t>Delivered</t>
        </is>
      </c>
      <c r="R1978" t="n">
        <v>3</v>
      </c>
    </row>
    <row r="1979">
      <c r="A1979" t="inlineStr">
        <is>
          <t>ORD2978</t>
        </is>
      </c>
      <c r="B1979" t="inlineStr">
        <is>
          <t>2025-04-10</t>
        </is>
      </c>
      <c r="C1979" t="inlineStr">
        <is>
          <t>06:02:57</t>
        </is>
      </c>
      <c r="D1979" t="n">
        <v>1248</v>
      </c>
      <c r="E1979" t="n">
        <v>108</v>
      </c>
      <c r="F1979" t="n">
        <v>219</v>
      </c>
      <c r="G1979" t="inlineStr">
        <is>
          <t>Delhi NCR</t>
        </is>
      </c>
      <c r="H1979" t="inlineStr">
        <is>
          <t>Fast Food</t>
        </is>
      </c>
      <c r="I1979" t="n">
        <v>581</v>
      </c>
      <c r="J1979" t="n">
        <v>63.53</v>
      </c>
      <c r="K1979" t="n">
        <v>0</v>
      </c>
      <c r="L1979" t="n">
        <v>0.18</v>
      </c>
      <c r="M1979" t="n">
        <v>104.58</v>
      </c>
      <c r="N1979" t="n">
        <v>1.7</v>
      </c>
      <c r="O1979" t="n">
        <v>23.5</v>
      </c>
      <c r="P1979" t="inlineStr">
        <is>
          <t>UPI</t>
        </is>
      </c>
      <c r="Q1979" t="inlineStr">
        <is>
          <t>Delivered</t>
        </is>
      </c>
      <c r="R1979" t="n">
        <v>5</v>
      </c>
    </row>
    <row r="1980">
      <c r="A1980" t="inlineStr">
        <is>
          <t>ORD2979</t>
        </is>
      </c>
      <c r="B1980" t="inlineStr">
        <is>
          <t>2025-04-11</t>
        </is>
      </c>
      <c r="C1980" t="inlineStr">
        <is>
          <t>13:00:43</t>
        </is>
      </c>
      <c r="D1980" t="n">
        <v>1159</v>
      </c>
      <c r="E1980" t="n">
        <v>104</v>
      </c>
      <c r="F1980" t="n">
        <v>228</v>
      </c>
      <c r="G1980" t="inlineStr">
        <is>
          <t>Delhi NCR</t>
        </is>
      </c>
      <c r="H1980" t="inlineStr">
        <is>
          <t>Fast Food</t>
        </is>
      </c>
      <c r="I1980" t="n">
        <v>278</v>
      </c>
      <c r="J1980" t="n">
        <v>0</v>
      </c>
      <c r="K1980" t="n">
        <v>25</v>
      </c>
      <c r="L1980" t="n">
        <v>0.18</v>
      </c>
      <c r="M1980" t="n">
        <v>56.29</v>
      </c>
      <c r="N1980" t="n">
        <v>2.7</v>
      </c>
      <c r="O1980" t="n">
        <v/>
      </c>
      <c r="P1980" t="inlineStr">
        <is>
          <t>Credit Card</t>
        </is>
      </c>
      <c r="Q1980" t="inlineStr">
        <is>
          <t>Cancelled</t>
        </is>
      </c>
      <c r="R1980" t="n">
        <v/>
      </c>
    </row>
    <row r="1981">
      <c r="A1981" t="inlineStr">
        <is>
          <t>ORD2980</t>
        </is>
      </c>
      <c r="B1981" t="inlineStr">
        <is>
          <t>2025-07-02</t>
        </is>
      </c>
      <c r="C1981" t="inlineStr">
        <is>
          <t>20:25:57</t>
        </is>
      </c>
      <c r="D1981" t="n">
        <v>1084</v>
      </c>
      <c r="E1981" t="n">
        <v>108</v>
      </c>
      <c r="F1981" t="n">
        <v>221</v>
      </c>
      <c r="G1981" t="inlineStr">
        <is>
          <t>Delhi NCR</t>
        </is>
      </c>
      <c r="H1981" t="inlineStr">
        <is>
          <t>Fast Food</t>
        </is>
      </c>
      <c r="I1981" t="n">
        <v>818</v>
      </c>
      <c r="J1981" t="n">
        <v>0</v>
      </c>
      <c r="K1981" t="n">
        <v>30.5</v>
      </c>
      <c r="L1981" t="n">
        <v>0.18</v>
      </c>
      <c r="M1981" t="n">
        <v>154.86</v>
      </c>
      <c r="N1981" t="n">
        <v>4.1</v>
      </c>
      <c r="O1981" t="n">
        <v>33.9</v>
      </c>
      <c r="P1981" t="inlineStr">
        <is>
          <t>Credit Card</t>
        </is>
      </c>
      <c r="Q1981" t="inlineStr">
        <is>
          <t>Delivered</t>
        </is>
      </c>
      <c r="R1981" t="n">
        <v>5</v>
      </c>
    </row>
    <row r="1982">
      <c r="A1982" t="inlineStr">
        <is>
          <t>ORD2981</t>
        </is>
      </c>
      <c r="B1982" t="inlineStr">
        <is>
          <t>2025-11-30</t>
        </is>
      </c>
      <c r="C1982" t="inlineStr">
        <is>
          <t>19:10:38</t>
        </is>
      </c>
      <c r="D1982" t="n">
        <v>1165</v>
      </c>
      <c r="E1982" t="n">
        <v>117</v>
      </c>
      <c r="F1982" t="n">
        <v>229</v>
      </c>
      <c r="G1982" t="inlineStr">
        <is>
          <t>Mumbai</t>
        </is>
      </c>
      <c r="H1982" t="inlineStr">
        <is>
          <t>Chinese</t>
        </is>
      </c>
      <c r="I1982" t="n">
        <v>311</v>
      </c>
      <c r="J1982" t="n">
        <v>0</v>
      </c>
      <c r="K1982" t="n">
        <v>59.5</v>
      </c>
      <c r="L1982" t="n">
        <v>0.2</v>
      </c>
      <c r="M1982" t="n">
        <v>77.08</v>
      </c>
      <c r="N1982" t="n">
        <v>9.9</v>
      </c>
      <c r="O1982" t="n">
        <v>64.09999999999999</v>
      </c>
      <c r="P1982" t="inlineStr">
        <is>
          <t>UPI</t>
        </is>
      </c>
      <c r="Q1982" t="inlineStr">
        <is>
          <t>Delivered</t>
        </is>
      </c>
      <c r="R1982" t="n">
        <v>1</v>
      </c>
    </row>
    <row r="1983">
      <c r="A1983" t="inlineStr">
        <is>
          <t>ORD2982</t>
        </is>
      </c>
      <c r="B1983" t="inlineStr">
        <is>
          <t>2025-11-08</t>
        </is>
      </c>
      <c r="C1983" t="inlineStr">
        <is>
          <t>09:02:55</t>
        </is>
      </c>
      <c r="D1983" t="n">
        <v>1061</v>
      </c>
      <c r="E1983" t="n">
        <v>106</v>
      </c>
      <c r="F1983" t="n">
        <v>226</v>
      </c>
      <c r="G1983" t="inlineStr">
        <is>
          <t>Pune</t>
        </is>
      </c>
      <c r="H1983" t="inlineStr">
        <is>
          <t>South Indian</t>
        </is>
      </c>
      <c r="I1983" t="n">
        <v>382</v>
      </c>
      <c r="J1983" t="n">
        <v>29.21</v>
      </c>
      <c r="K1983" t="n">
        <v>25</v>
      </c>
      <c r="L1983" t="n">
        <v>0.15</v>
      </c>
      <c r="M1983" t="n">
        <v>63.55</v>
      </c>
      <c r="N1983" t="n">
        <v>2.8</v>
      </c>
      <c r="O1983" t="n">
        <v>24.2</v>
      </c>
      <c r="P1983" t="inlineStr">
        <is>
          <t>UPI</t>
        </is>
      </c>
      <c r="Q1983" t="inlineStr">
        <is>
          <t>Delivered</t>
        </is>
      </c>
      <c r="R1983" t="n">
        <v>4</v>
      </c>
    </row>
    <row r="1984">
      <c r="A1984" t="inlineStr">
        <is>
          <t>ORD2983</t>
        </is>
      </c>
      <c r="B1984" t="inlineStr">
        <is>
          <t>2025-02-04</t>
        </is>
      </c>
      <c r="C1984" t="inlineStr">
        <is>
          <t>12:39:24</t>
        </is>
      </c>
      <c r="D1984" t="n">
        <v>1141</v>
      </c>
      <c r="E1984" t="n">
        <v>108</v>
      </c>
      <c r="F1984" t="n">
        <v>211</v>
      </c>
      <c r="G1984" t="inlineStr">
        <is>
          <t>Delhi NCR</t>
        </is>
      </c>
      <c r="H1984" t="inlineStr">
        <is>
          <t>Fast Food</t>
        </is>
      </c>
      <c r="I1984" t="n">
        <v>762</v>
      </c>
      <c r="J1984" t="n">
        <v>87.69</v>
      </c>
      <c r="K1984" t="n">
        <v>0</v>
      </c>
      <c r="L1984" t="n">
        <v>0.18</v>
      </c>
      <c r="M1984" t="n">
        <v>137.16</v>
      </c>
      <c r="N1984" t="n">
        <v>3</v>
      </c>
      <c r="O1984" t="n">
        <v>24.7</v>
      </c>
      <c r="P1984" t="inlineStr">
        <is>
          <t>Credit Card</t>
        </is>
      </c>
      <c r="Q1984" t="inlineStr">
        <is>
          <t>Delivered</t>
        </is>
      </c>
      <c r="R1984" t="n">
        <v>4</v>
      </c>
    </row>
    <row r="1985">
      <c r="A1985" t="inlineStr">
        <is>
          <t>ORD2984</t>
        </is>
      </c>
      <c r="B1985" t="inlineStr">
        <is>
          <t>2025-09-07</t>
        </is>
      </c>
      <c r="C1985" t="inlineStr">
        <is>
          <t>18:00:32</t>
        </is>
      </c>
      <c r="D1985" t="n">
        <v>1300</v>
      </c>
      <c r="E1985" t="n">
        <v>108</v>
      </c>
      <c r="F1985" t="n">
        <v>219</v>
      </c>
      <c r="G1985" t="inlineStr">
        <is>
          <t>Delhi NCR</t>
        </is>
      </c>
      <c r="H1985" t="inlineStr">
        <is>
          <t>Fast Food</t>
        </is>
      </c>
      <c r="I1985" t="n">
        <v>277</v>
      </c>
      <c r="J1985" t="n">
        <v>0</v>
      </c>
      <c r="K1985" t="n">
        <v>31</v>
      </c>
      <c r="L1985" t="n">
        <v>0.18</v>
      </c>
      <c r="M1985" t="n">
        <v>57.61</v>
      </c>
      <c r="N1985" t="n">
        <v>4.2</v>
      </c>
      <c r="O1985" t="n">
        <v>31.9</v>
      </c>
      <c r="P1985" t="inlineStr">
        <is>
          <t>Debit Card</t>
        </is>
      </c>
      <c r="Q1985" t="inlineStr">
        <is>
          <t>Delivered</t>
        </is>
      </c>
      <c r="R1985" t="n">
        <v>4</v>
      </c>
    </row>
    <row r="1986">
      <c r="A1986" t="inlineStr">
        <is>
          <t>ORD2985</t>
        </is>
      </c>
      <c r="B1986" t="inlineStr">
        <is>
          <t>2025-01-21</t>
        </is>
      </c>
      <c r="C1986" t="inlineStr">
        <is>
          <t>14:24:14</t>
        </is>
      </c>
      <c r="D1986" t="n">
        <v>1014</v>
      </c>
      <c r="E1986" t="n">
        <v>112</v>
      </c>
      <c r="F1986" t="n">
        <v>228</v>
      </c>
      <c r="G1986" t="inlineStr">
        <is>
          <t>Delhi NCR</t>
        </is>
      </c>
      <c r="H1986" t="inlineStr">
        <is>
          <t>North Indian</t>
        </is>
      </c>
      <c r="I1986" t="n">
        <v>937</v>
      </c>
      <c r="J1986" t="n">
        <v>0</v>
      </c>
      <c r="K1986" t="n">
        <v>25</v>
      </c>
      <c r="L1986" t="n">
        <v>0.22</v>
      </c>
      <c r="M1986" t="n">
        <v>212.39</v>
      </c>
      <c r="N1986" t="n">
        <v>2.1</v>
      </c>
      <c r="O1986" t="n">
        <v>22.4</v>
      </c>
      <c r="P1986" t="inlineStr">
        <is>
          <t>Digital Wallet</t>
        </is>
      </c>
      <c r="Q1986" t="inlineStr">
        <is>
          <t>Delivered</t>
        </is>
      </c>
      <c r="R1986" t="n">
        <v>2</v>
      </c>
    </row>
    <row r="1987">
      <c r="A1987" t="inlineStr">
        <is>
          <t>ORD2986</t>
        </is>
      </c>
      <c r="B1987" t="inlineStr">
        <is>
          <t>2025-01-31</t>
        </is>
      </c>
      <c r="C1987" t="inlineStr">
        <is>
          <t>13:19:37</t>
        </is>
      </c>
      <c r="D1987" t="n">
        <v>1227</v>
      </c>
      <c r="E1987" t="n">
        <v>101</v>
      </c>
      <c r="F1987" t="n">
        <v>201</v>
      </c>
      <c r="G1987" t="inlineStr">
        <is>
          <t>Bangalore</t>
        </is>
      </c>
      <c r="H1987" t="inlineStr">
        <is>
          <t>North Indian</t>
        </is>
      </c>
      <c r="I1987" t="n">
        <v>812</v>
      </c>
      <c r="J1987" t="n">
        <v>143.16</v>
      </c>
      <c r="K1987" t="n">
        <v>0</v>
      </c>
      <c r="L1987" t="n">
        <v>0.2</v>
      </c>
      <c r="M1987" t="n">
        <v>162.4</v>
      </c>
      <c r="N1987" t="n">
        <v>2.3</v>
      </c>
      <c r="O1987" t="n">
        <v>24.8</v>
      </c>
      <c r="P1987" t="inlineStr">
        <is>
          <t>UPI</t>
        </is>
      </c>
      <c r="Q1987" t="inlineStr">
        <is>
          <t>Delivered</t>
        </is>
      </c>
      <c r="R1987" t="n">
        <v>4</v>
      </c>
    </row>
    <row r="1988">
      <c r="A1988" t="inlineStr">
        <is>
          <t>ORD2987</t>
        </is>
      </c>
      <c r="B1988" t="inlineStr">
        <is>
          <t>2025-04-11</t>
        </is>
      </c>
      <c r="C1988" t="inlineStr">
        <is>
          <t>21:43:19</t>
        </is>
      </c>
      <c r="D1988" t="n">
        <v>1078</v>
      </c>
      <c r="E1988" t="n">
        <v>108</v>
      </c>
      <c r="F1988" t="n">
        <v>228</v>
      </c>
      <c r="G1988" t="inlineStr">
        <is>
          <t>Delhi NCR</t>
        </is>
      </c>
      <c r="H1988" t="inlineStr">
        <is>
          <t>Fast Food</t>
        </is>
      </c>
      <c r="I1988" t="n">
        <v>839</v>
      </c>
      <c r="J1988" t="n">
        <v>48.14</v>
      </c>
      <c r="K1988" t="n">
        <v>30</v>
      </c>
      <c r="L1988" t="n">
        <v>0.18</v>
      </c>
      <c r="M1988" t="n">
        <v>158.52</v>
      </c>
      <c r="N1988" t="n">
        <v>4</v>
      </c>
      <c r="O1988" t="n">
        <v>40.4</v>
      </c>
      <c r="P1988" t="inlineStr">
        <is>
          <t>Debit Card</t>
        </is>
      </c>
      <c r="Q1988" t="inlineStr">
        <is>
          <t>Delivered</t>
        </is>
      </c>
      <c r="R1988" t="n">
        <v>3</v>
      </c>
    </row>
    <row r="1989">
      <c r="A1989" t="inlineStr">
        <is>
          <t>ORD2988</t>
        </is>
      </c>
      <c r="B1989" t="inlineStr">
        <is>
          <t>2025-11-28</t>
        </is>
      </c>
      <c r="C1989" t="inlineStr">
        <is>
          <t>00:38:24</t>
        </is>
      </c>
      <c r="D1989" t="n">
        <v>1020</v>
      </c>
      <c r="E1989" t="n">
        <v>108</v>
      </c>
      <c r="F1989" t="n">
        <v>212</v>
      </c>
      <c r="G1989" t="inlineStr">
        <is>
          <t>Delhi NCR</t>
        </is>
      </c>
      <c r="H1989" t="inlineStr">
        <is>
          <t>Fast Food</t>
        </is>
      </c>
      <c r="I1989" t="n">
        <v>391</v>
      </c>
      <c r="J1989" t="n">
        <v>0</v>
      </c>
      <c r="K1989" t="n">
        <v>34.5</v>
      </c>
      <c r="L1989" t="n">
        <v>0.18</v>
      </c>
      <c r="M1989" t="n">
        <v>79</v>
      </c>
      <c r="N1989" t="n">
        <v>4.9</v>
      </c>
      <c r="O1989" t="n">
        <v>30.6</v>
      </c>
      <c r="P1989" t="inlineStr">
        <is>
          <t>Credit Card</t>
        </is>
      </c>
      <c r="Q1989" t="inlineStr">
        <is>
          <t>Delivered</t>
        </is>
      </c>
      <c r="R1989" t="n">
        <v>5</v>
      </c>
    </row>
    <row r="1990">
      <c r="A1990" t="inlineStr">
        <is>
          <t>ORD2989</t>
        </is>
      </c>
      <c r="B1990" t="inlineStr">
        <is>
          <t>2025-03-02</t>
        </is>
      </c>
      <c r="C1990" t="inlineStr">
        <is>
          <t>19:05:18</t>
        </is>
      </c>
      <c r="D1990" t="n">
        <v>1253</v>
      </c>
      <c r="E1990" t="n">
        <v>119</v>
      </c>
      <c r="F1990" t="n">
        <v>216</v>
      </c>
      <c r="G1990" t="inlineStr">
        <is>
          <t>Hyderabad</t>
        </is>
      </c>
      <c r="H1990" t="inlineStr">
        <is>
          <t>Biryani</t>
        </is>
      </c>
      <c r="I1990" t="n">
        <v>535</v>
      </c>
      <c r="J1990" t="n">
        <v>65.08</v>
      </c>
      <c r="K1990" t="n">
        <v>0</v>
      </c>
      <c r="L1990" t="n">
        <v>0.2</v>
      </c>
      <c r="M1990" t="n">
        <v>107</v>
      </c>
      <c r="N1990" t="n">
        <v>6.7</v>
      </c>
      <c r="O1990" t="n">
        <v>43.8</v>
      </c>
      <c r="P1990" t="inlineStr">
        <is>
          <t>Credit Card</t>
        </is>
      </c>
      <c r="Q1990" t="inlineStr">
        <is>
          <t>Delivered</t>
        </is>
      </c>
      <c r="R1990" t="n">
        <v>2</v>
      </c>
    </row>
    <row r="1991">
      <c r="A1991" t="inlineStr">
        <is>
          <t>ORD2990</t>
        </is>
      </c>
      <c r="B1991" t="inlineStr">
        <is>
          <t>2025-12-11</t>
        </is>
      </c>
      <c r="C1991" t="inlineStr">
        <is>
          <t>19:09:06</t>
        </is>
      </c>
      <c r="D1991" t="n">
        <v>1014</v>
      </c>
      <c r="E1991" t="n">
        <v>108</v>
      </c>
      <c r="F1991" t="n">
        <v>219</v>
      </c>
      <c r="G1991" t="inlineStr">
        <is>
          <t>Delhi NCR</t>
        </is>
      </c>
      <c r="H1991" t="inlineStr">
        <is>
          <t>Fast Food</t>
        </is>
      </c>
      <c r="I1991" t="n">
        <v>915</v>
      </c>
      <c r="J1991" t="n">
        <v>37.57</v>
      </c>
      <c r="K1991" t="n">
        <v>34.5</v>
      </c>
      <c r="L1991" t="n">
        <v>0.18</v>
      </c>
      <c r="M1991" t="n">
        <v>173.32</v>
      </c>
      <c r="N1991" t="n">
        <v>4.9</v>
      </c>
      <c r="O1991" t="n">
        <v>40</v>
      </c>
      <c r="P1991" t="inlineStr">
        <is>
          <t>UPI</t>
        </is>
      </c>
      <c r="Q1991" t="inlineStr">
        <is>
          <t>Delivered</t>
        </is>
      </c>
      <c r="R1991" t="n">
        <v>5</v>
      </c>
    </row>
    <row r="1992">
      <c r="A1992" t="inlineStr">
        <is>
          <t>ORD2991</t>
        </is>
      </c>
      <c r="B1992" t="inlineStr">
        <is>
          <t>2025-03-17</t>
        </is>
      </c>
      <c r="C1992" t="inlineStr">
        <is>
          <t>15:40:15</t>
        </is>
      </c>
      <c r="D1992" t="n">
        <v>1290</v>
      </c>
      <c r="E1992" t="n">
        <v>117</v>
      </c>
      <c r="F1992" t="n">
        <v>229</v>
      </c>
      <c r="G1992" t="inlineStr">
        <is>
          <t>Mumbai</t>
        </is>
      </c>
      <c r="H1992" t="inlineStr">
        <is>
          <t>Chinese</t>
        </is>
      </c>
      <c r="I1992" t="n">
        <v>538</v>
      </c>
      <c r="J1992" t="n">
        <v>30.61</v>
      </c>
      <c r="K1992" t="n">
        <v>33.5</v>
      </c>
      <c r="L1992" t="n">
        <v>0.2</v>
      </c>
      <c r="M1992" t="n">
        <v>115.98</v>
      </c>
      <c r="N1992" t="n">
        <v>4.7</v>
      </c>
      <c r="O1992" t="n">
        <v>31.8</v>
      </c>
      <c r="P1992" t="inlineStr">
        <is>
          <t>Digital Wallet</t>
        </is>
      </c>
      <c r="Q1992" t="inlineStr">
        <is>
          <t>Delivered</t>
        </is>
      </c>
      <c r="R1992" t="n">
        <v>4</v>
      </c>
    </row>
    <row r="1993">
      <c r="A1993" t="inlineStr">
        <is>
          <t>ORD2992</t>
        </is>
      </c>
      <c r="B1993" t="inlineStr">
        <is>
          <t>2025-04-13</t>
        </is>
      </c>
      <c r="C1993" t="inlineStr">
        <is>
          <t>13:35:21</t>
        </is>
      </c>
      <c r="D1993" t="n">
        <v>1231</v>
      </c>
      <c r="E1993" t="n">
        <v>115</v>
      </c>
      <c r="F1993" t="n">
        <v>201</v>
      </c>
      <c r="G1993" t="inlineStr">
        <is>
          <t>Bangalore</t>
        </is>
      </c>
      <c r="H1993" t="inlineStr">
        <is>
          <t>Italian</t>
        </is>
      </c>
      <c r="I1993" t="n">
        <v>465</v>
      </c>
      <c r="J1993" t="n">
        <v>52.13</v>
      </c>
      <c r="K1993" t="n">
        <v>34.5</v>
      </c>
      <c r="L1993" t="n">
        <v>0.2</v>
      </c>
      <c r="M1993" t="n">
        <v>101.62</v>
      </c>
      <c r="N1993" t="n">
        <v>4.9</v>
      </c>
      <c r="O1993" t="n">
        <v>37.9</v>
      </c>
      <c r="P1993" t="inlineStr">
        <is>
          <t>Debit Card</t>
        </is>
      </c>
      <c r="Q1993" t="inlineStr">
        <is>
          <t>Delivered</t>
        </is>
      </c>
      <c r="R1993" t="n">
        <v>4</v>
      </c>
    </row>
    <row r="1994">
      <c r="A1994" t="inlineStr">
        <is>
          <t>ORD2993</t>
        </is>
      </c>
      <c r="B1994" t="inlineStr">
        <is>
          <t>2025-12-08</t>
        </is>
      </c>
      <c r="C1994" t="inlineStr">
        <is>
          <t>19:03:23</t>
        </is>
      </c>
      <c r="D1994" t="n">
        <v>1249</v>
      </c>
      <c r="E1994" t="n">
        <v>114</v>
      </c>
      <c r="F1994" t="n">
        <v>215</v>
      </c>
      <c r="G1994" t="inlineStr">
        <is>
          <t>Hyderabad</t>
        </is>
      </c>
      <c r="H1994" t="inlineStr">
        <is>
          <t>Biryani</t>
        </is>
      </c>
      <c r="I1994" t="n">
        <v>924</v>
      </c>
      <c r="J1994" t="n">
        <v>113.18</v>
      </c>
      <c r="K1994" t="n">
        <v>0</v>
      </c>
      <c r="L1994" t="n">
        <v>0.22</v>
      </c>
      <c r="M1994" t="n">
        <v>203.28</v>
      </c>
      <c r="N1994" t="n">
        <v>2.9</v>
      </c>
      <c r="O1994" t="n">
        <v>28.3</v>
      </c>
      <c r="P1994" t="inlineStr">
        <is>
          <t>Credit Card</t>
        </is>
      </c>
      <c r="Q1994" t="inlineStr">
        <is>
          <t>Delivered</t>
        </is>
      </c>
      <c r="R1994" t="n">
        <v>3</v>
      </c>
    </row>
    <row r="1995">
      <c r="A1995" t="inlineStr">
        <is>
          <t>ORD2994</t>
        </is>
      </c>
      <c r="B1995" t="inlineStr">
        <is>
          <t>2025-02-09</t>
        </is>
      </c>
      <c r="C1995" t="inlineStr">
        <is>
          <t>21:05:45</t>
        </is>
      </c>
      <c r="D1995" t="n">
        <v>1075</v>
      </c>
      <c r="E1995" t="n">
        <v>104</v>
      </c>
      <c r="F1995" t="n">
        <v>230</v>
      </c>
      <c r="G1995" t="inlineStr">
        <is>
          <t>Delhi NCR</t>
        </is>
      </c>
      <c r="H1995" t="inlineStr">
        <is>
          <t>Fast Food</t>
        </is>
      </c>
      <c r="I1995" t="n">
        <v>594</v>
      </c>
      <c r="J1995" t="n">
        <v>64.97</v>
      </c>
      <c r="K1995" t="n">
        <v>26.5</v>
      </c>
      <c r="L1995" t="n">
        <v>0.18</v>
      </c>
      <c r="M1995" t="n">
        <v>113.54</v>
      </c>
      <c r="N1995" t="n">
        <v>3.3</v>
      </c>
      <c r="O1995" t="n">
        <v>38.4</v>
      </c>
      <c r="P1995" t="inlineStr">
        <is>
          <t>Cash on Delivery</t>
        </is>
      </c>
      <c r="Q1995" t="inlineStr">
        <is>
          <t>Delivered</t>
        </is>
      </c>
      <c r="R1995" t="n">
        <v>4</v>
      </c>
    </row>
    <row r="1996">
      <c r="A1996" t="inlineStr">
        <is>
          <t>ORD2995</t>
        </is>
      </c>
      <c r="B1996" t="inlineStr">
        <is>
          <t>2025-05-17</t>
        </is>
      </c>
      <c r="C1996" t="inlineStr">
        <is>
          <t>10:23:55</t>
        </is>
      </c>
      <c r="D1996" t="n">
        <v>1085</v>
      </c>
      <c r="E1996" t="n">
        <v>114</v>
      </c>
      <c r="F1996" t="n">
        <v>216</v>
      </c>
      <c r="G1996" t="inlineStr">
        <is>
          <t>Hyderabad</t>
        </is>
      </c>
      <c r="H1996" t="inlineStr">
        <is>
          <t>Biryani</t>
        </is>
      </c>
      <c r="I1996" t="n">
        <v>698</v>
      </c>
      <c r="J1996" t="n">
        <v>21.8</v>
      </c>
      <c r="K1996" t="n">
        <v>25.5</v>
      </c>
      <c r="L1996" t="n">
        <v>0.22</v>
      </c>
      <c r="M1996" t="n">
        <v>159.94</v>
      </c>
      <c r="N1996" t="n">
        <v>3.1</v>
      </c>
      <c r="O1996" t="n">
        <v>29.6</v>
      </c>
      <c r="P1996" t="inlineStr">
        <is>
          <t>Debit Card</t>
        </is>
      </c>
      <c r="Q1996" t="inlineStr">
        <is>
          <t>Delivered</t>
        </is>
      </c>
      <c r="R1996" t="n">
        <v>5</v>
      </c>
    </row>
    <row r="1997">
      <c r="A1997" t="inlineStr">
        <is>
          <t>ORD2996</t>
        </is>
      </c>
      <c r="B1997" t="inlineStr">
        <is>
          <t>2025-07-25</t>
        </is>
      </c>
      <c r="C1997" t="inlineStr">
        <is>
          <t>12:37:45</t>
        </is>
      </c>
      <c r="D1997" t="n">
        <v>1060</v>
      </c>
      <c r="E1997" t="n">
        <v>112</v>
      </c>
      <c r="F1997" t="n">
        <v>230</v>
      </c>
      <c r="G1997" t="inlineStr">
        <is>
          <t>Delhi NCR</t>
        </is>
      </c>
      <c r="H1997" t="inlineStr">
        <is>
          <t>North Indian</t>
        </is>
      </c>
      <c r="I1997" t="n">
        <v>494</v>
      </c>
      <c r="J1997" t="n">
        <v>37.26</v>
      </c>
      <c r="K1997" t="n">
        <v>25</v>
      </c>
      <c r="L1997" t="n">
        <v>0.22</v>
      </c>
      <c r="M1997" t="n">
        <v>114.93</v>
      </c>
      <c r="N1997" t="n">
        <v>2.1</v>
      </c>
      <c r="O1997" t="n">
        <v>35.9</v>
      </c>
      <c r="P1997" t="inlineStr">
        <is>
          <t>Debit Card</t>
        </is>
      </c>
      <c r="Q1997" t="inlineStr">
        <is>
          <t>Delivered</t>
        </is>
      </c>
      <c r="R1997" t="n">
        <v>4</v>
      </c>
    </row>
    <row r="1998">
      <c r="A1998" t="inlineStr">
        <is>
          <t>ORD2997</t>
        </is>
      </c>
      <c r="B1998" t="inlineStr">
        <is>
          <t>2025-05-03</t>
        </is>
      </c>
      <c r="C1998" t="inlineStr">
        <is>
          <t>20:27:23</t>
        </is>
      </c>
      <c r="D1998" t="n">
        <v>1297</v>
      </c>
      <c r="E1998" t="n">
        <v>102</v>
      </c>
      <c r="F1998" t="n">
        <v>225</v>
      </c>
      <c r="G1998" t="inlineStr">
        <is>
          <t>Hyderabad</t>
        </is>
      </c>
      <c r="H1998" t="inlineStr">
        <is>
          <t>Biryani</t>
        </is>
      </c>
      <c r="I1998" t="n">
        <v>797</v>
      </c>
      <c r="J1998" t="n">
        <v>66.19</v>
      </c>
      <c r="K1998" t="n">
        <v>26</v>
      </c>
      <c r="L1998" t="n">
        <v>0.22</v>
      </c>
      <c r="M1998" t="n">
        <v>181.84</v>
      </c>
      <c r="N1998" t="n">
        <v>3.2</v>
      </c>
      <c r="O1998" t="n">
        <v>36.2</v>
      </c>
      <c r="P1998" t="inlineStr">
        <is>
          <t>Cash on Delivery</t>
        </is>
      </c>
      <c r="Q1998" t="inlineStr">
        <is>
          <t>Delivered</t>
        </is>
      </c>
      <c r="R1998" t="n">
        <v>3</v>
      </c>
    </row>
    <row r="1999">
      <c r="A1999" t="inlineStr">
        <is>
          <t>ORD2998</t>
        </is>
      </c>
      <c r="B1999" t="inlineStr">
        <is>
          <t>2025-08-09</t>
        </is>
      </c>
      <c r="C1999" t="inlineStr">
        <is>
          <t>09:13:57</t>
        </is>
      </c>
      <c r="D1999" t="n">
        <v>1226</v>
      </c>
      <c r="E1999" t="n">
        <v>111</v>
      </c>
      <c r="F1999" t="n">
        <v>218</v>
      </c>
      <c r="G1999" t="inlineStr">
        <is>
          <t>Bangalore</t>
        </is>
      </c>
      <c r="H1999" t="inlineStr">
        <is>
          <t>South Indian</t>
        </is>
      </c>
      <c r="I1999" t="n">
        <v>507</v>
      </c>
      <c r="J1999" t="n">
        <v>0</v>
      </c>
      <c r="K1999" t="n">
        <v>27</v>
      </c>
      <c r="L1999" t="n">
        <v>0.15</v>
      </c>
      <c r="M1999" t="n">
        <v>82.8</v>
      </c>
      <c r="N1999" t="n">
        <v>3.4</v>
      </c>
      <c r="O1999" t="n">
        <v>41.4</v>
      </c>
      <c r="P1999" t="inlineStr">
        <is>
          <t>Debit Card</t>
        </is>
      </c>
      <c r="Q1999" t="inlineStr">
        <is>
          <t>Delivered</t>
        </is>
      </c>
      <c r="R1999" t="n">
        <v>1</v>
      </c>
    </row>
    <row r="2000">
      <c r="A2000" t="inlineStr">
        <is>
          <t>ORD2999</t>
        </is>
      </c>
      <c r="B2000" t="inlineStr">
        <is>
          <t>2025-10-21</t>
        </is>
      </c>
      <c r="C2000" t="inlineStr">
        <is>
          <t>19:21:59</t>
        </is>
      </c>
      <c r="D2000" t="n">
        <v>1218</v>
      </c>
      <c r="E2000" t="n">
        <v>112</v>
      </c>
      <c r="F2000" t="n">
        <v>228</v>
      </c>
      <c r="G2000" t="inlineStr">
        <is>
          <t>Delhi NCR</t>
        </is>
      </c>
      <c r="H2000" t="inlineStr">
        <is>
          <t>North Indian</t>
        </is>
      </c>
      <c r="I2000" t="n">
        <v>853</v>
      </c>
      <c r="J2000" t="n">
        <v>97.41</v>
      </c>
      <c r="K2000" t="n">
        <v>25</v>
      </c>
      <c r="L2000" t="n">
        <v>0.22</v>
      </c>
      <c r="M2000" t="n">
        <v>193.91</v>
      </c>
      <c r="N2000" t="n">
        <v>2.2</v>
      </c>
      <c r="O2000" t="n">
        <v>27.2</v>
      </c>
      <c r="P2000" t="inlineStr">
        <is>
          <t>UPI</t>
        </is>
      </c>
      <c r="Q2000" t="inlineStr">
        <is>
          <t>Delivered</t>
        </is>
      </c>
      <c r="R2000" t="n">
        <v>4</v>
      </c>
    </row>
    <row r="2001">
      <c r="A2001" t="inlineStr">
        <is>
          <t>ORD3000</t>
        </is>
      </c>
      <c r="B2001" t="inlineStr">
        <is>
          <t>2025-11-02</t>
        </is>
      </c>
      <c r="C2001" t="inlineStr">
        <is>
          <t>18:09:20</t>
        </is>
      </c>
      <c r="D2001" t="n">
        <v>1019</v>
      </c>
      <c r="E2001" t="n">
        <v>116</v>
      </c>
      <c r="F2001" t="n">
        <v>204</v>
      </c>
      <c r="G2001" t="inlineStr">
        <is>
          <t>Pune</t>
        </is>
      </c>
      <c r="H2001" t="inlineStr">
        <is>
          <t>Desserts</t>
        </is>
      </c>
      <c r="I2001" t="n">
        <v>600</v>
      </c>
      <c r="J2001" t="n">
        <v>19.06</v>
      </c>
      <c r="K2001" t="n">
        <v>26.5</v>
      </c>
      <c r="L2001" t="n">
        <v>0.25</v>
      </c>
      <c r="M2001" t="n">
        <v>156.62</v>
      </c>
      <c r="N2001" t="n">
        <v>3.3</v>
      </c>
      <c r="O2001" t="n">
        <v/>
      </c>
      <c r="P2001" t="inlineStr">
        <is>
          <t>Credit Card</t>
        </is>
      </c>
      <c r="Q2001" t="inlineStr">
        <is>
          <t>Cancelled</t>
        </is>
      </c>
      <c r="R2001" t="n">
        <v/>
      </c>
    </row>
    <row r="2002">
      <c r="A2002" t="inlineStr">
        <is>
          <t>ORD2861</t>
        </is>
      </c>
      <c r="B2002" t="inlineStr">
        <is>
          <t>2025-10-10</t>
        </is>
      </c>
      <c r="C2002" t="inlineStr">
        <is>
          <t>20:09:06</t>
        </is>
      </c>
      <c r="D2002" t="n">
        <v>1058</v>
      </c>
      <c r="E2002" t="n">
        <v>113</v>
      </c>
      <c r="F2002" t="n">
        <v>229</v>
      </c>
      <c r="G2002" t="inlineStr">
        <is>
          <t>Mumbai</t>
        </is>
      </c>
      <c r="H2002" t="inlineStr">
        <is>
          <t>Fast Food</t>
        </is>
      </c>
      <c r="I2002" t="n">
        <v>498</v>
      </c>
      <c r="J2002" t="n">
        <v>0</v>
      </c>
      <c r="K2002" t="n">
        <v>25</v>
      </c>
      <c r="L2002" t="n">
        <v>0.18</v>
      </c>
      <c r="M2002" t="n">
        <v>95.89</v>
      </c>
      <c r="N2002" t="n">
        <v>2.8</v>
      </c>
      <c r="O2002" t="n">
        <v>44.5</v>
      </c>
      <c r="P2002" t="inlineStr">
        <is>
          <t>Digital Wallet</t>
        </is>
      </c>
      <c r="Q2002" t="inlineStr">
        <is>
          <t>Delivered</t>
        </is>
      </c>
      <c r="R2002" t="n">
        <v>3</v>
      </c>
    </row>
    <row r="2003">
      <c r="A2003" t="inlineStr">
        <is>
          <t>ORD1354</t>
        </is>
      </c>
      <c r="B2003" t="inlineStr">
        <is>
          <t>2025-06-01</t>
        </is>
      </c>
      <c r="C2003" t="inlineStr">
        <is>
          <t>19:57:41</t>
        </is>
      </c>
      <c r="D2003" t="n">
        <v>1228</v>
      </c>
      <c r="E2003" t="n">
        <v>109</v>
      </c>
      <c r="F2003" t="n">
        <v>225</v>
      </c>
      <c r="G2003" t="inlineStr">
        <is>
          <t>Hyderabad</t>
        </is>
      </c>
      <c r="H2003" t="inlineStr">
        <is>
          <t>Biryani</t>
        </is>
      </c>
      <c r="I2003" t="n">
        <v>417</v>
      </c>
      <c r="J2003" t="n">
        <v>0</v>
      </c>
      <c r="K2003" t="n">
        <v>40</v>
      </c>
      <c r="L2003" t="n">
        <v>0.2</v>
      </c>
      <c r="M2003" t="n">
        <v>93.40000000000001</v>
      </c>
      <c r="N2003" t="n">
        <v>6</v>
      </c>
      <c r="O2003" t="n">
        <v>38.5</v>
      </c>
      <c r="P2003" t="inlineStr">
        <is>
          <t>UPI</t>
        </is>
      </c>
      <c r="Q2003" t="inlineStr">
        <is>
          <t>Delivered</t>
        </is>
      </c>
      <c r="R2003" t="n">
        <v>5</v>
      </c>
    </row>
    <row r="2004">
      <c r="A2004" t="inlineStr">
        <is>
          <t>ORD2334</t>
        </is>
      </c>
      <c r="B2004" t="inlineStr">
        <is>
          <t>2025-10-20</t>
        </is>
      </c>
      <c r="C2004" t="inlineStr">
        <is>
          <t>14:30:30</t>
        </is>
      </c>
      <c r="D2004" t="n">
        <v>1057</v>
      </c>
      <c r="E2004" t="n">
        <v>113</v>
      </c>
      <c r="F2004" t="n">
        <v>222</v>
      </c>
      <c r="G2004" t="inlineStr">
        <is>
          <t>Mumbai</t>
        </is>
      </c>
      <c r="H2004" t="inlineStr">
        <is>
          <t>Fast Food</t>
        </is>
      </c>
      <c r="I2004" t="n">
        <v>572</v>
      </c>
      <c r="J2004" t="n">
        <v>0</v>
      </c>
      <c r="K2004" t="n">
        <v>25</v>
      </c>
      <c r="L2004" t="n">
        <v>0.18</v>
      </c>
      <c r="M2004" t="n">
        <v>109.21</v>
      </c>
      <c r="N2004" t="n">
        <v>1.1</v>
      </c>
      <c r="O2004" t="n">
        <v>34.5</v>
      </c>
      <c r="P2004" t="inlineStr">
        <is>
          <t>Digital Wallet</t>
        </is>
      </c>
      <c r="Q2004" t="inlineStr">
        <is>
          <t>Delivered</t>
        </is>
      </c>
      <c r="R2004" t="n">
        <v>5</v>
      </c>
    </row>
    <row r="2005">
      <c r="A2005" t="inlineStr">
        <is>
          <t>ORD1906</t>
        </is>
      </c>
      <c r="B2005" t="inlineStr">
        <is>
          <t>2025-03-05</t>
        </is>
      </c>
      <c r="C2005" t="inlineStr">
        <is>
          <t>14:32:19</t>
        </is>
      </c>
      <c r="D2005" t="n">
        <v>1273</v>
      </c>
      <c r="E2005" t="n">
        <v>102</v>
      </c>
      <c r="F2005" t="n">
        <v>216</v>
      </c>
      <c r="G2005" t="inlineStr">
        <is>
          <t>Hyderabad</t>
        </is>
      </c>
      <c r="H2005" t="inlineStr">
        <is>
          <t>Biryani</t>
        </is>
      </c>
      <c r="I2005" t="n">
        <v>939</v>
      </c>
      <c r="J2005" t="n">
        <v>145.02</v>
      </c>
      <c r="K2005" t="n">
        <v>0</v>
      </c>
      <c r="L2005" t="n">
        <v>0.22</v>
      </c>
      <c r="M2005" t="n">
        <v>206.58</v>
      </c>
      <c r="N2005" t="n">
        <v>8.9</v>
      </c>
      <c r="O2005" t="n">
        <v>50.1</v>
      </c>
      <c r="P2005" t="inlineStr">
        <is>
          <t>UPI</t>
        </is>
      </c>
      <c r="Q2005" t="inlineStr">
        <is>
          <t>Delivered</t>
        </is>
      </c>
      <c r="R2005" t="n">
        <v>3</v>
      </c>
    </row>
    <row r="2006">
      <c r="A2006" t="inlineStr">
        <is>
          <t>ORD2290</t>
        </is>
      </c>
      <c r="B2006" t="inlineStr">
        <is>
          <t>2025-12-14</t>
        </is>
      </c>
      <c r="C2006" t="inlineStr">
        <is>
          <t>14:35:32</t>
        </is>
      </c>
      <c r="D2006" t="n">
        <v>1256</v>
      </c>
      <c r="E2006" t="n">
        <v>111</v>
      </c>
      <c r="F2006" t="n">
        <v>218</v>
      </c>
      <c r="G2006" t="inlineStr">
        <is>
          <t>Bangalore</t>
        </is>
      </c>
      <c r="H2006" t="inlineStr">
        <is>
          <t>South Indian</t>
        </is>
      </c>
      <c r="I2006" t="n">
        <v>536</v>
      </c>
      <c r="J2006" t="n">
        <v>4.78</v>
      </c>
      <c r="K2006" t="n">
        <v>34</v>
      </c>
      <c r="L2006" t="n">
        <v>0.15</v>
      </c>
      <c r="M2006" t="n">
        <v>88.90000000000001</v>
      </c>
      <c r="N2006" t="n">
        <v>4.8</v>
      </c>
      <c r="O2006" t="n">
        <v>43.8</v>
      </c>
      <c r="P2006" t="inlineStr">
        <is>
          <t>Credit Card</t>
        </is>
      </c>
      <c r="Q2006" t="inlineStr">
        <is>
          <t>Delivered</t>
        </is>
      </c>
      <c r="R2006" t="n">
        <v>4</v>
      </c>
    </row>
    <row r="2007">
      <c r="A2007" t="inlineStr">
        <is>
          <t>ORD2274</t>
        </is>
      </c>
      <c r="B2007" t="inlineStr">
        <is>
          <t>2025-05-14</t>
        </is>
      </c>
      <c r="C2007" t="inlineStr">
        <is>
          <t>11:21:18</t>
        </is>
      </c>
      <c r="D2007" t="n">
        <v>1235</v>
      </c>
      <c r="E2007" t="n">
        <v>119</v>
      </c>
      <c r="F2007" t="n">
        <v>225</v>
      </c>
      <c r="G2007" t="inlineStr">
        <is>
          <t>Hyderabad</t>
        </is>
      </c>
      <c r="H2007" t="inlineStr">
        <is>
          <t>Biryani</t>
        </is>
      </c>
      <c r="I2007" t="n">
        <v>925</v>
      </c>
      <c r="J2007" t="n">
        <v>0</v>
      </c>
      <c r="K2007" t="n">
        <v>29.5</v>
      </c>
      <c r="L2007" t="n">
        <v>0.2</v>
      </c>
      <c r="M2007" t="n">
        <v>192.38</v>
      </c>
      <c r="N2007" t="n">
        <v>3.9</v>
      </c>
      <c r="O2007" t="n">
        <v>33.2</v>
      </c>
      <c r="P2007" t="inlineStr">
        <is>
          <t>Debit Card</t>
        </is>
      </c>
      <c r="Q2007" t="inlineStr">
        <is>
          <t>Delivered</t>
        </is>
      </c>
      <c r="R2007" t="n">
        <v>4</v>
      </c>
    </row>
    <row r="2008">
      <c r="A2008" t="inlineStr">
        <is>
          <t>ORD1939</t>
        </is>
      </c>
      <c r="B2008" t="inlineStr">
        <is>
          <t>2025-02-16</t>
        </is>
      </c>
      <c r="C2008" t="inlineStr">
        <is>
          <t>14:55:03</t>
        </is>
      </c>
      <c r="D2008" t="n">
        <v>1233</v>
      </c>
      <c r="E2008" t="n">
        <v>106</v>
      </c>
      <c r="F2008" t="n">
        <v>224</v>
      </c>
      <c r="G2008" t="inlineStr">
        <is>
          <t>Pune</t>
        </is>
      </c>
      <c r="H2008" t="inlineStr">
        <is>
          <t>South Indian</t>
        </is>
      </c>
      <c r="I2008" t="n">
        <v>609</v>
      </c>
      <c r="J2008" t="n">
        <v>0</v>
      </c>
      <c r="K2008" t="n">
        <v>28.5</v>
      </c>
      <c r="L2008" t="n">
        <v>0.15</v>
      </c>
      <c r="M2008" t="n">
        <v>98.48</v>
      </c>
      <c r="N2008" t="n">
        <v>3.7</v>
      </c>
      <c r="O2008" t="n">
        <v>32.6</v>
      </c>
      <c r="P2008" t="inlineStr">
        <is>
          <t>Credit Card</t>
        </is>
      </c>
      <c r="Q2008" t="inlineStr">
        <is>
          <t>Delivered</t>
        </is>
      </c>
      <c r="R2008" t="n">
        <v>5</v>
      </c>
    </row>
    <row r="2009">
      <c r="A2009" t="inlineStr">
        <is>
          <t>ORD2732</t>
        </is>
      </c>
      <c r="B2009" t="inlineStr">
        <is>
          <t>2025-04-15</t>
        </is>
      </c>
      <c r="C2009" t="inlineStr">
        <is>
          <t>18:43:16</t>
        </is>
      </c>
      <c r="D2009" t="n">
        <v>1108</v>
      </c>
      <c r="E2009" t="n">
        <v>120</v>
      </c>
      <c r="F2009" t="n">
        <v>209</v>
      </c>
      <c r="G2009" t="inlineStr">
        <is>
          <t>Pune</t>
        </is>
      </c>
      <c r="H2009" t="inlineStr">
        <is>
          <t>Fast Food</t>
        </is>
      </c>
      <c r="I2009" t="n">
        <v>324</v>
      </c>
      <c r="J2009" t="n">
        <v>25.23</v>
      </c>
      <c r="K2009" t="n">
        <v>26.5</v>
      </c>
      <c r="L2009" t="n">
        <v>0.18</v>
      </c>
      <c r="M2009" t="n">
        <v>64.94</v>
      </c>
      <c r="N2009" t="n">
        <v>3.3</v>
      </c>
      <c r="O2009" t="n">
        <v>27.1</v>
      </c>
      <c r="P2009" t="inlineStr">
        <is>
          <t>Credit Card</t>
        </is>
      </c>
      <c r="Q2009" t="inlineStr">
        <is>
          <t>Delivered</t>
        </is>
      </c>
      <c r="R200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</cols>
  <sheetData>
    <row r="1" ht="35" customHeight="1">
      <c r="A1" s="30" t="inlineStr">
        <is>
          <t>FOOD DELIVERY BUSINESS ANALYTICS - STATISTICAL SUMMARY &amp; IQR OUTLIER DETECTION</t>
        </is>
      </c>
    </row>
    <row r="3">
      <c r="A3" s="10" t="inlineStr">
        <is>
          <t>Metric / Parameter</t>
        </is>
      </c>
      <c r="B3" s="10" t="inlineStr">
        <is>
          <t>Delivery Time (Minutes)</t>
        </is>
      </c>
      <c r="C3" s="10" t="inlineStr">
        <is>
          <t>Order Value (INR)</t>
        </is>
      </c>
      <c r="D3" s="10" t="inlineStr">
        <is>
          <t>Customer Rating</t>
        </is>
      </c>
      <c r="E3" s="10" t="inlineStr">
        <is>
          <t>Delivery Distance (km)</t>
        </is>
      </c>
      <c r="F3" s="10" t="inlineStr">
        <is>
          <t>Statistical Function Formula Used</t>
        </is>
      </c>
    </row>
    <row r="4">
      <c r="A4" s="31" t="inlineStr">
        <is>
          <t>Total Observations (Count)</t>
        </is>
      </c>
      <c r="B4" s="12">
        <f>COUNT(Cleaned_Orders!N2:N2001)</f>
        <v/>
      </c>
      <c r="C4" s="12">
        <f>COUNT(Cleaned_Orders!I2:I2001)</f>
        <v/>
      </c>
      <c r="D4" s="12">
        <f>COUNT(Cleaned_Orders!Q2:Q2001)</f>
        <v/>
      </c>
      <c r="E4" s="12">
        <f>COUNT(Cleaned_Orders!M2:M2001)</f>
        <v/>
      </c>
      <c r="F4" s="32" t="inlineStr">
        <is>
          <t>COUNT(range)</t>
        </is>
      </c>
    </row>
    <row r="5">
      <c r="A5" s="31" t="inlineStr">
        <is>
          <t>Mean (Average)</t>
        </is>
      </c>
      <c r="B5" s="16">
        <f>AVERAGE(Cleaned_Orders!N2:N2001)</f>
        <v/>
      </c>
      <c r="C5" s="33">
        <f>AVERAGE(Cleaned_Orders!I2:I2001)</f>
        <v/>
      </c>
      <c r="D5" s="16">
        <f>AVERAGE(Cleaned_Orders!Q2:Q2001)</f>
        <v/>
      </c>
      <c r="E5" s="16">
        <f>AVERAGE(Cleaned_Orders!M2:M2001)</f>
        <v/>
      </c>
      <c r="F5" s="32" t="inlineStr">
        <is>
          <t>AVERAGE(range)</t>
        </is>
      </c>
    </row>
    <row r="6">
      <c r="A6" s="31" t="inlineStr">
        <is>
          <t>Median (50th Percentile)</t>
        </is>
      </c>
      <c r="B6" s="16">
        <f>MEDIAN(Cleaned_Orders!N2:N2001)</f>
        <v/>
      </c>
      <c r="C6" s="33">
        <f>MEDIAN(Cleaned_Orders!I2:I2001)</f>
        <v/>
      </c>
      <c r="D6" s="16">
        <f>MEDIAN(Cleaned_Orders!Q2:Q2001)</f>
        <v/>
      </c>
      <c r="E6" s="16">
        <f>MEDIAN(Cleaned_Orders!M2:M2001)</f>
        <v/>
      </c>
      <c r="F6" s="32" t="inlineStr">
        <is>
          <t>MEDIAN(range)</t>
        </is>
      </c>
    </row>
    <row r="7">
      <c r="A7" s="31" t="inlineStr">
        <is>
          <t>Mode (Most Frequent)</t>
        </is>
      </c>
      <c r="B7" s="16">
        <f>MODE.SNGL(Cleaned_Orders!N2:N2001)</f>
        <v/>
      </c>
      <c r="C7" s="33">
        <f>MODE.SNGL(Cleaned_Orders!I2:I2001)</f>
        <v/>
      </c>
      <c r="D7" s="16">
        <f>MODE.SNGL(Cleaned_Orders!Q2:Q2001)</f>
        <v/>
      </c>
      <c r="E7" s="16">
        <f>MODE.SNGL(Cleaned_Orders!M2:M2001)</f>
        <v/>
      </c>
      <c r="F7" s="32" t="inlineStr">
        <is>
          <t>MODE.SNGL(range)</t>
        </is>
      </c>
    </row>
    <row r="8">
      <c r="A8" s="31" t="inlineStr">
        <is>
          <t>Standard Deviation</t>
        </is>
      </c>
      <c r="B8" s="16">
        <f>STDEV.S(Cleaned_Orders!N2:N2001)</f>
        <v/>
      </c>
      <c r="C8" s="33">
        <f>STDEV.S(Cleaned_Orders!I2:I2001)</f>
        <v/>
      </c>
      <c r="D8" s="16">
        <f>STDEV.S(Cleaned_Orders!Q2:Q2001)</f>
        <v/>
      </c>
      <c r="E8" s="16">
        <f>STDEV.S(Cleaned_Orders!M2:M2001)</f>
        <v/>
      </c>
      <c r="F8" s="32" t="inlineStr">
        <is>
          <t>STDEV.S(range)</t>
        </is>
      </c>
    </row>
    <row r="9">
      <c r="A9" s="31" t="inlineStr">
        <is>
          <t>Minimum</t>
        </is>
      </c>
      <c r="B9" s="16">
        <f>MIN(Cleaned_Orders!N2:N2001)</f>
        <v/>
      </c>
      <c r="C9" s="33">
        <f>MIN(Cleaned_Orders!I2:I2001)</f>
        <v/>
      </c>
      <c r="D9" s="16">
        <f>MIN(Cleaned_Orders!Q2:Q2001)</f>
        <v/>
      </c>
      <c r="E9" s="16">
        <f>MIN(Cleaned_Orders!M2:M2001)</f>
        <v/>
      </c>
      <c r="F9" s="32" t="inlineStr">
        <is>
          <t>MIN(range)</t>
        </is>
      </c>
    </row>
    <row r="10">
      <c r="A10" s="31" t="inlineStr">
        <is>
          <t>Maximum</t>
        </is>
      </c>
      <c r="B10" s="16">
        <f>MAX(Cleaned_Orders!N2:N2001)</f>
        <v/>
      </c>
      <c r="C10" s="33">
        <f>MAX(Cleaned_Orders!I2:I2001)</f>
        <v/>
      </c>
      <c r="D10" s="16">
        <f>MAX(Cleaned_Orders!Q2:Q2001)</f>
        <v/>
      </c>
      <c r="E10" s="16">
        <f>MAX(Cleaned_Orders!M2:M2001)</f>
        <v/>
      </c>
      <c r="F10" s="32" t="inlineStr">
        <is>
          <t>MAX(range)</t>
        </is>
      </c>
    </row>
    <row r="11">
      <c r="A11" s="31" t="inlineStr">
        <is>
          <t>Range (Max - Min)</t>
        </is>
      </c>
      <c r="B11" s="16">
        <f>B10-B9</f>
        <v/>
      </c>
      <c r="C11" s="33">
        <f>C10-C9</f>
        <v/>
      </c>
      <c r="D11" s="16">
        <f>D10-D9</f>
        <v/>
      </c>
      <c r="E11" s="16">
        <f>E10-E9</f>
        <v/>
      </c>
      <c r="F11" s="32" t="inlineStr">
        <is>
          <t>MAX - MIN</t>
        </is>
      </c>
    </row>
    <row r="12">
      <c r="A12" s="31" t="inlineStr">
        <is>
          <t>First Quartile (Q1 - 25%)</t>
        </is>
      </c>
      <c r="B12" s="16">
        <f>QUARTILE.INC(Cleaned_Orders!N2:N2001, 1)</f>
        <v/>
      </c>
      <c r="C12" s="33">
        <f>QUARTILE.INC(Cleaned_Orders!I2:I2001, 1)</f>
        <v/>
      </c>
      <c r="D12" s="16">
        <f>QUARTILE.INC(Cleaned_Orders!Q2:Q2001, 1)</f>
        <v/>
      </c>
      <c r="E12" s="16">
        <f>QUARTILE.INC(Cleaned_Orders!M2:M2001, 1)</f>
        <v/>
      </c>
      <c r="F12" s="32" t="inlineStr">
        <is>
          <t>QUARTILE.INC(range, 1)</t>
        </is>
      </c>
    </row>
    <row r="13">
      <c r="A13" s="31" t="inlineStr">
        <is>
          <t>Third Quartile (Q3 - 75%)</t>
        </is>
      </c>
      <c r="B13" s="16">
        <f>QUARTILE.INC(Cleaned_Orders!N2:N2001, 3)</f>
        <v/>
      </c>
      <c r="C13" s="33">
        <f>QUARTILE.INC(Cleaned_Orders!I2:I2001, 3)</f>
        <v/>
      </c>
      <c r="D13" s="16">
        <f>QUARTILE.INC(Cleaned_Orders!Q2:Q2001, 3)</f>
        <v/>
      </c>
      <c r="E13" s="16">
        <f>QUARTILE.INC(Cleaned_Orders!M2:M2001, 3)</f>
        <v/>
      </c>
      <c r="F13" s="32" t="inlineStr">
        <is>
          <t>QUARTILE.INC(range, 3)</t>
        </is>
      </c>
    </row>
    <row r="14">
      <c r="A14" s="31" t="inlineStr">
        <is>
          <t>Interquartile Range (IQR)</t>
        </is>
      </c>
      <c r="B14" s="16">
        <f>B13-B12</f>
        <v/>
      </c>
      <c r="C14" s="33">
        <f>C13-C12</f>
        <v/>
      </c>
      <c r="D14" s="16">
        <f>D13-D12</f>
        <v/>
      </c>
      <c r="E14" s="16">
        <f>E13-E12</f>
        <v/>
      </c>
      <c r="F14" s="32" t="inlineStr">
        <is>
          <t>Q3 - Q1</t>
        </is>
      </c>
    </row>
    <row r="15">
      <c r="A15" s="31" t="inlineStr">
        <is>
          <t>Lower Bound (Q1 - 1.5*IQR)</t>
        </is>
      </c>
      <c r="B15" s="16">
        <f>B12-(1.5*B14)</f>
        <v/>
      </c>
      <c r="C15" s="33">
        <f>C12-(1.5*C14)</f>
        <v/>
      </c>
      <c r="D15" s="16">
        <f>D12-(1.5*D14)</f>
        <v/>
      </c>
      <c r="E15" s="16">
        <f>E12-(1.5*E14)</f>
        <v/>
      </c>
      <c r="F15" s="32" t="inlineStr">
        <is>
          <t>Q1 - 1.5*IQR</t>
        </is>
      </c>
    </row>
    <row r="16">
      <c r="A16" s="31" t="inlineStr">
        <is>
          <t>Upper Bound (Q3 + 1.5*IQR)</t>
        </is>
      </c>
      <c r="B16" s="16">
        <f>B13+(1.5*B14)</f>
        <v/>
      </c>
      <c r="C16" s="33">
        <f>C13+(1.5*C14)</f>
        <v/>
      </c>
      <c r="D16" s="16">
        <f>D13+(1.5*D14)</f>
        <v/>
      </c>
      <c r="E16" s="16">
        <f>E13+(1.5*E14)</f>
        <v/>
      </c>
      <c r="F16" s="32" t="inlineStr">
        <is>
          <t>Q3 + 1.5*IQR</t>
        </is>
      </c>
    </row>
    <row r="17">
      <c r="A17" s="31" t="inlineStr">
        <is>
          <t>Outlier Count (Below Lower Bound)</t>
        </is>
      </c>
      <c r="B17" s="12">
        <f>COUNTIF(Cleaned_Orders!N2:N2001, "&lt;"&amp;B15)</f>
        <v/>
      </c>
      <c r="C17" s="12">
        <f>COUNTIF(Cleaned_Orders!I2:I2001, "&lt;"&amp;C15)</f>
        <v/>
      </c>
      <c r="D17" s="12" t="inlineStr">
        <is>
          <t>N/A</t>
        </is>
      </c>
      <c r="E17" s="12">
        <f>COUNTIF(Cleaned_Orders!M2:M2001, "&lt;"&amp;E15)</f>
        <v/>
      </c>
      <c r="F17" s="32" t="inlineStr">
        <is>
          <t>COUNTIF(range, "&lt;"&amp;LowerBound)</t>
        </is>
      </c>
    </row>
    <row r="18">
      <c r="A18" s="31" t="inlineStr">
        <is>
          <t>Outlier Count (Above Upper Bound)</t>
        </is>
      </c>
      <c r="B18" s="12">
        <f>COUNTIF(Cleaned_Orders!N2:N2001, "&gt;"&amp;B16)</f>
        <v/>
      </c>
      <c r="C18" s="12">
        <f>COUNTIF(Cleaned_Orders!I2:I2001, "&gt;"&amp;C16)</f>
        <v/>
      </c>
      <c r="D18" s="12" t="inlineStr">
        <is>
          <t>N/A</t>
        </is>
      </c>
      <c r="E18" s="12">
        <f>COUNTIF(Cleaned_Orders!M2:M2001, "&gt;"&amp;E16)</f>
        <v/>
      </c>
      <c r="F18" s="32" t="inlineStr">
        <is>
          <t>COUNTIF(range, "&gt;"&amp;UpperBound)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30" t="inlineStr">
        <is>
          <t>BUSINESS DIMENSION PERFORMANCE SUMMARIES (PIVOT ANALYTICS)</t>
        </is>
      </c>
    </row>
    <row r="3">
      <c r="A3" s="8" t="inlineStr">
        <is>
          <t>City Performance Summary</t>
        </is>
      </c>
    </row>
    <row r="4">
      <c r="A4" s="10" t="inlineStr">
        <is>
          <t>City</t>
        </is>
      </c>
      <c r="B4" s="10" t="inlineStr">
        <is>
          <t>Total Orders</t>
        </is>
      </c>
      <c r="C4" s="10" t="inlineStr">
        <is>
          <t>Delivered Orders</t>
        </is>
      </c>
      <c r="D4" s="10" t="inlineStr">
        <is>
          <t>Cancelled Orders</t>
        </is>
      </c>
      <c r="E4" s="10" t="inlineStr">
        <is>
          <t>Gross Sales (GMV)</t>
        </is>
      </c>
      <c r="F4" s="10" t="inlineStr">
        <is>
          <t>Platform Revenue</t>
        </is>
      </c>
      <c r="G4" s="10" t="inlineStr">
        <is>
          <t>Avg Delivery Time (m)</t>
        </is>
      </c>
      <c r="H4" s="10" t="inlineStr">
        <is>
          <t>Avg Rating</t>
        </is>
      </c>
    </row>
    <row r="5">
      <c r="A5" s="17" t="inlineStr">
        <is>
          <t>Bangalore</t>
        </is>
      </c>
      <c r="B5" s="17">
        <f>COUNTIF(Cleaned_Orders!G2:G2001, "Bangalore")</f>
        <v/>
      </c>
      <c r="C5" s="17">
        <f>COUNTIFS(Cleaned_Orders!G2:G2001, "Bangalore", Cleaned_Orders!P2:P2001, "Delivered")</f>
        <v/>
      </c>
      <c r="D5" s="17">
        <f>COUNTIFS(Cleaned_Orders!G2:G2001, "Bangalore", Cleaned_Orders!P2:P2001, "Cancelled")</f>
        <v/>
      </c>
      <c r="E5" s="22">
        <f>SUMIF(Cleaned_Orders!G2:G2001, "Bangalore", Cleaned_Orders!I2:I2001)</f>
        <v/>
      </c>
      <c r="F5" s="22">
        <f>SUMIF(Cleaned_Orders!G2:G2001, "Bangalore", Cleaned_Orders!M2:M2001)</f>
        <v/>
      </c>
      <c r="G5" s="24">
        <f>AVERAGEIFS(Cleaned_Orders!N2:N2001, Cleaned_Orders!G2:G2001, "Bangalore")</f>
        <v/>
      </c>
      <c r="H5" s="34">
        <f>AVERAGEIFS(Cleaned_Orders!Q2:Q2001, Cleaned_Orders!G2:G2001, "Bangalore")</f>
        <v/>
      </c>
    </row>
    <row r="6">
      <c r="A6" s="17" t="inlineStr">
        <is>
          <t>Mumbai</t>
        </is>
      </c>
      <c r="B6" s="17">
        <f>COUNTIF(Cleaned_Orders!G2:G2001, "Mumbai")</f>
        <v/>
      </c>
      <c r="C6" s="17">
        <f>COUNTIFS(Cleaned_Orders!G2:G2001, "Mumbai", Cleaned_Orders!P2:P2001, "Delivered")</f>
        <v/>
      </c>
      <c r="D6" s="17">
        <f>COUNTIFS(Cleaned_Orders!G2:G2001, "Mumbai", Cleaned_Orders!P2:P2001, "Cancelled")</f>
        <v/>
      </c>
      <c r="E6" s="22">
        <f>SUMIF(Cleaned_Orders!G2:G2001, "Mumbai", Cleaned_Orders!I2:I2001)</f>
        <v/>
      </c>
      <c r="F6" s="22">
        <f>SUMIF(Cleaned_Orders!G2:G2001, "Mumbai", Cleaned_Orders!M2:M2001)</f>
        <v/>
      </c>
      <c r="G6" s="24">
        <f>AVERAGEIFS(Cleaned_Orders!N2:N2001, Cleaned_Orders!G2:G2001, "Mumbai")</f>
        <v/>
      </c>
      <c r="H6" s="34">
        <f>AVERAGEIFS(Cleaned_Orders!Q2:Q2001, Cleaned_Orders!G2:G2001, "Mumbai")</f>
        <v/>
      </c>
    </row>
    <row r="7">
      <c r="A7" s="17" t="inlineStr">
        <is>
          <t>Delhi NCR</t>
        </is>
      </c>
      <c r="B7" s="17">
        <f>COUNTIF(Cleaned_Orders!G2:G2001, "Delhi NCR")</f>
        <v/>
      </c>
      <c r="C7" s="17">
        <f>COUNTIFS(Cleaned_Orders!G2:G2001, "Delhi NCR", Cleaned_Orders!P2:P2001, "Delivered")</f>
        <v/>
      </c>
      <c r="D7" s="17">
        <f>COUNTIFS(Cleaned_Orders!G2:G2001, "Delhi NCR", Cleaned_Orders!P2:P2001, "Cancelled")</f>
        <v/>
      </c>
      <c r="E7" s="22">
        <f>SUMIF(Cleaned_Orders!G2:G2001, "Delhi NCR", Cleaned_Orders!I2:I2001)</f>
        <v/>
      </c>
      <c r="F7" s="22">
        <f>SUMIF(Cleaned_Orders!G2:G2001, "Delhi NCR", Cleaned_Orders!M2:M2001)</f>
        <v/>
      </c>
      <c r="G7" s="24">
        <f>AVERAGEIFS(Cleaned_Orders!N2:N2001, Cleaned_Orders!G2:G2001, "Delhi NCR")</f>
        <v/>
      </c>
      <c r="H7" s="34">
        <f>AVERAGEIFS(Cleaned_Orders!Q2:Q2001, Cleaned_Orders!G2:G2001, "Delhi NCR")</f>
        <v/>
      </c>
    </row>
    <row r="8">
      <c r="A8" s="17" t="inlineStr">
        <is>
          <t>Hyderabad</t>
        </is>
      </c>
      <c r="B8" s="17">
        <f>COUNTIF(Cleaned_Orders!G2:G2001, "Hyderabad")</f>
        <v/>
      </c>
      <c r="C8" s="17">
        <f>COUNTIFS(Cleaned_Orders!G2:G2001, "Hyderabad", Cleaned_Orders!P2:P2001, "Delivered")</f>
        <v/>
      </c>
      <c r="D8" s="17">
        <f>COUNTIFS(Cleaned_Orders!G2:G2001, "Hyderabad", Cleaned_Orders!P2:P2001, "Cancelled")</f>
        <v/>
      </c>
      <c r="E8" s="22">
        <f>SUMIF(Cleaned_Orders!G2:G2001, "Hyderabad", Cleaned_Orders!I2:I2001)</f>
        <v/>
      </c>
      <c r="F8" s="22">
        <f>SUMIF(Cleaned_Orders!G2:G2001, "Hyderabad", Cleaned_Orders!M2:M2001)</f>
        <v/>
      </c>
      <c r="G8" s="24">
        <f>AVERAGEIFS(Cleaned_Orders!N2:N2001, Cleaned_Orders!G2:G2001, "Hyderabad")</f>
        <v/>
      </c>
      <c r="H8" s="34">
        <f>AVERAGEIFS(Cleaned_Orders!Q2:Q2001, Cleaned_Orders!G2:G2001, "Hyderabad")</f>
        <v/>
      </c>
    </row>
    <row r="9">
      <c r="A9" s="17" t="inlineStr">
        <is>
          <t>Pune</t>
        </is>
      </c>
      <c r="B9" s="17">
        <f>COUNTIF(Cleaned_Orders!G2:G2001, "Pune")</f>
        <v/>
      </c>
      <c r="C9" s="17">
        <f>COUNTIFS(Cleaned_Orders!G2:G2001, "Pune", Cleaned_Orders!P2:P2001, "Delivered")</f>
        <v/>
      </c>
      <c r="D9" s="17">
        <f>COUNTIFS(Cleaned_Orders!G2:G2001, "Pune", Cleaned_Orders!P2:P2001, "Cancelled")</f>
        <v/>
      </c>
      <c r="E9" s="22">
        <f>SUMIF(Cleaned_Orders!G2:G2001, "Pune", Cleaned_Orders!I2:I2001)</f>
        <v/>
      </c>
      <c r="F9" s="22">
        <f>SUMIF(Cleaned_Orders!G2:G2001, "Pune", Cleaned_Orders!M2:M2001)</f>
        <v/>
      </c>
      <c r="G9" s="24">
        <f>AVERAGEIFS(Cleaned_Orders!N2:N2001, Cleaned_Orders!G2:G2001, "Pune")</f>
        <v/>
      </c>
      <c r="H9" s="34">
        <f>AVERAGEIFS(Cleaned_Orders!Q2:Q2001, Cleaned_Orders!G2:G2001, "Pune")</f>
        <v/>
      </c>
    </row>
    <row r="10">
      <c r="A10" s="20" t="inlineStr">
        <is>
          <t>Total / Overall</t>
        </is>
      </c>
      <c r="B10" s="20">
        <f>SUM(B5:B9)</f>
        <v/>
      </c>
      <c r="C10" s="20">
        <f>SUM(C5:C9)</f>
        <v/>
      </c>
      <c r="D10" s="20">
        <f>SUM(D5:D9)</f>
        <v/>
      </c>
      <c r="E10" s="35">
        <f>SUM(E5:E9)</f>
        <v/>
      </c>
      <c r="F10" s="35">
        <f>SUM(F5:F9)</f>
        <v/>
      </c>
      <c r="G10" s="36">
        <f>AVERAGE(G5:G9)</f>
        <v/>
      </c>
      <c r="H10" s="37">
        <f>AVERAGE(H5:H9)</f>
        <v/>
      </c>
    </row>
    <row r="12">
      <c r="A12" s="8" t="inlineStr">
        <is>
          <t>Cuisine Category Breakdown</t>
        </is>
      </c>
    </row>
    <row r="13">
      <c r="A13" s="10" t="inlineStr">
        <is>
          <t>Cuisine Category</t>
        </is>
      </c>
      <c r="B13" s="10" t="inlineStr">
        <is>
          <t>Order Volume</t>
        </is>
      </c>
      <c r="C13" s="10" t="inlineStr">
        <is>
          <t>Gross Revenue (INR)</t>
        </is>
      </c>
      <c r="D13" s="10" t="inlineStr">
        <is>
          <t>Avg Order Value (AOV)</t>
        </is>
      </c>
      <c r="E13" s="10" t="inlineStr">
        <is>
          <t>Avg Customer Rating</t>
        </is>
      </c>
    </row>
    <row r="14">
      <c r="A14" s="17" t="inlineStr">
        <is>
          <t>North Indian</t>
        </is>
      </c>
      <c r="B14" s="17">
        <f>COUNTIF(Cleaned_Orders!H2:H2001, "North Indian")</f>
        <v/>
      </c>
      <c r="C14" s="22">
        <f>SUMIF(Cleaned_Orders!H2:H2001, "North Indian", Cleaned_Orders!I2:I2001)</f>
        <v/>
      </c>
      <c r="D14" s="22">
        <f>AVERAGEIF(Cleaned_Orders!H2:H2001, "North Indian", Cleaned_Orders!I2:I2001)</f>
        <v/>
      </c>
      <c r="E14" s="34">
        <f>AVERAGEIF(Cleaned_Orders!H2:H2001, "North Indian", Cleaned_Orders!Q2:Q2001)</f>
        <v/>
      </c>
    </row>
    <row r="15">
      <c r="A15" s="17" t="inlineStr">
        <is>
          <t>Biryani</t>
        </is>
      </c>
      <c r="B15" s="17">
        <f>COUNTIF(Cleaned_Orders!H2:H2001, "Biryani")</f>
        <v/>
      </c>
      <c r="C15" s="22">
        <f>SUMIF(Cleaned_Orders!H2:H2001, "Biryani", Cleaned_Orders!I2:I2001)</f>
        <v/>
      </c>
      <c r="D15" s="22">
        <f>AVERAGEIF(Cleaned_Orders!H2:H2001, "Biryani", Cleaned_Orders!I2:I2001)</f>
        <v/>
      </c>
      <c r="E15" s="34">
        <f>AVERAGEIF(Cleaned_Orders!H2:H2001, "Biryani", Cleaned_Orders!Q2:Q2001)</f>
        <v/>
      </c>
    </row>
    <row r="16">
      <c r="A16" s="17" t="inlineStr">
        <is>
          <t>Fast Food</t>
        </is>
      </c>
      <c r="B16" s="17">
        <f>COUNTIF(Cleaned_Orders!H2:H2001, "Fast Food")</f>
        <v/>
      </c>
      <c r="C16" s="22">
        <f>SUMIF(Cleaned_Orders!H2:H2001, "Fast Food", Cleaned_Orders!I2:I2001)</f>
        <v/>
      </c>
      <c r="D16" s="22">
        <f>AVERAGEIF(Cleaned_Orders!H2:H2001, "Fast Food", Cleaned_Orders!I2:I2001)</f>
        <v/>
      </c>
      <c r="E16" s="34">
        <f>AVERAGEIF(Cleaned_Orders!H2:H2001, "Fast Food", Cleaned_Orders!Q2:Q2001)</f>
        <v/>
      </c>
    </row>
    <row r="17">
      <c r="A17" s="17" t="inlineStr">
        <is>
          <t>South Indian</t>
        </is>
      </c>
      <c r="B17" s="17">
        <f>COUNTIF(Cleaned_Orders!H2:H2001, "South Indian")</f>
        <v/>
      </c>
      <c r="C17" s="22">
        <f>SUMIF(Cleaned_Orders!H2:H2001, "South Indian", Cleaned_Orders!I2:I2001)</f>
        <v/>
      </c>
      <c r="D17" s="22">
        <f>AVERAGEIF(Cleaned_Orders!H2:H2001, "South Indian", Cleaned_Orders!I2:I2001)</f>
        <v/>
      </c>
      <c r="E17" s="34">
        <f>AVERAGEIF(Cleaned_Orders!H2:H2001, "South Indian", Cleaned_Orders!Q2:Q2001)</f>
        <v/>
      </c>
    </row>
    <row r="18">
      <c r="A18" s="17" t="inlineStr">
        <is>
          <t>Desserts</t>
        </is>
      </c>
      <c r="B18" s="17">
        <f>COUNTIF(Cleaned_Orders!H2:H2001, "Desserts")</f>
        <v/>
      </c>
      <c r="C18" s="22">
        <f>SUMIF(Cleaned_Orders!H2:H2001, "Desserts", Cleaned_Orders!I2:I2001)</f>
        <v/>
      </c>
      <c r="D18" s="22">
        <f>AVERAGEIF(Cleaned_Orders!H2:H2001, "Desserts", Cleaned_Orders!I2:I2001)</f>
        <v/>
      </c>
      <c r="E18" s="34">
        <f>AVERAGEIF(Cleaned_Orders!H2:H2001, "Desserts", Cleaned_Orders!Q2:Q2001)</f>
        <v/>
      </c>
    </row>
    <row r="19">
      <c r="A19" s="17" t="inlineStr">
        <is>
          <t>Chinese</t>
        </is>
      </c>
      <c r="B19" s="17">
        <f>COUNTIF(Cleaned_Orders!H2:H2001, "Chinese")</f>
        <v/>
      </c>
      <c r="C19" s="22">
        <f>SUMIF(Cleaned_Orders!H2:H2001, "Chinese", Cleaned_Orders!I2:I2001)</f>
        <v/>
      </c>
      <c r="D19" s="22">
        <f>AVERAGEIF(Cleaned_Orders!H2:H2001, "Chinese", Cleaned_Orders!I2:I2001)</f>
        <v/>
      </c>
      <c r="E19" s="34">
        <f>AVERAGEIF(Cleaned_Orders!H2:H2001, "Chinese", Cleaned_Orders!Q2:Q2001)</f>
        <v/>
      </c>
    </row>
    <row r="20">
      <c r="A20" s="17" t="inlineStr">
        <is>
          <t>Italian</t>
        </is>
      </c>
      <c r="B20" s="17">
        <f>COUNTIF(Cleaned_Orders!H2:H2001, "Italian")</f>
        <v/>
      </c>
      <c r="C20" s="22">
        <f>SUMIF(Cleaned_Orders!H2:H2001, "Italian", Cleaned_Orders!I2:I2001)</f>
        <v/>
      </c>
      <c r="D20" s="22">
        <f>AVERAGEIF(Cleaned_Orders!H2:H2001, "Italian", Cleaned_Orders!I2:I2001)</f>
        <v/>
      </c>
      <c r="E20" s="34">
        <f>AVERAGEIF(Cleaned_Orders!H2:H2001, "Italian", Cleaned_Orders!Q2:Q2001)</f>
        <v/>
      </c>
    </row>
    <row r="23">
      <c r="A23" s="8" t="inlineStr">
        <is>
          <t>Customer Loyalty Tier Breakdown</t>
        </is>
      </c>
    </row>
    <row r="24">
      <c r="A24" s="10" t="inlineStr">
        <is>
          <t>Customer Tier</t>
        </is>
      </c>
      <c r="B24" s="10" t="inlineStr">
        <is>
          <t>Total Orders</t>
        </is>
      </c>
      <c r="C24" s="10" t="inlineStr">
        <is>
          <t>Total Spent (INR)</t>
        </is>
      </c>
      <c r="D24" s="10" t="inlineStr">
        <is>
          <t>Avg Order Value (INR)</t>
        </is>
      </c>
      <c r="E24" s="10" t="inlineStr">
        <is>
          <t>Avg Discount Received</t>
        </is>
      </c>
    </row>
    <row r="25">
      <c r="A25" s="17" t="inlineStr">
        <is>
          <t>Gold</t>
        </is>
      </c>
      <c r="B25" s="17">
        <f>COUNTIF(Cleaned_Orders!S2:S2001, "Gold")</f>
        <v/>
      </c>
      <c r="C25" s="22">
        <f>SUMIF(Cleaned_Orders!S2:S2001, "Gold", Cleaned_Orders!I2:I2001)</f>
        <v/>
      </c>
      <c r="D25" s="22">
        <f>AVERAGEIF(Cleaned_Orders!S2:S2001, "Gold", Cleaned_Orders!I2:I2001)</f>
        <v/>
      </c>
      <c r="E25" s="22">
        <f>AVERAGEIF(Cleaned_Orders!S2:S2001, "Gold", Cleaned_Orders!J2:J2001)</f>
        <v/>
      </c>
    </row>
    <row r="26">
      <c r="A26" s="17" t="inlineStr">
        <is>
          <t>Silver</t>
        </is>
      </c>
      <c r="B26" s="17">
        <f>COUNTIF(Cleaned_Orders!S2:S2001, "Silver")</f>
        <v/>
      </c>
      <c r="C26" s="22">
        <f>SUMIF(Cleaned_Orders!S2:S2001, "Silver", Cleaned_Orders!I2:I2001)</f>
        <v/>
      </c>
      <c r="D26" s="22">
        <f>AVERAGEIF(Cleaned_Orders!S2:S2001, "Silver", Cleaned_Orders!I2:I2001)</f>
        <v/>
      </c>
      <c r="E26" s="22">
        <f>AVERAGEIF(Cleaned_Orders!S2:S2001, "Silver", Cleaned_Orders!J2:J2001)</f>
        <v/>
      </c>
    </row>
    <row r="27">
      <c r="A27" s="17" t="inlineStr">
        <is>
          <t>Regular</t>
        </is>
      </c>
      <c r="B27" s="17">
        <f>COUNTIF(Cleaned_Orders!S2:S2001, "Regular")</f>
        <v/>
      </c>
      <c r="C27" s="22">
        <f>SUMIF(Cleaned_Orders!S2:S2001, "Regular", Cleaned_Orders!I2:I2001)</f>
        <v/>
      </c>
      <c r="D27" s="22">
        <f>AVERAGEIF(Cleaned_Orders!S2:S2001, "Regular", Cleaned_Orders!I2:I2001)</f>
        <v/>
      </c>
      <c r="E27" s="22">
        <f>AVERAGEIF(Cleaned_Orders!S2:S2001, "Regular", Cleaned_Orders!J2:J2001)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2026-10-26T14:57:19Z</dcterms:created>
  <dcterms:modified xmlns:dcterms="http://purl.org/dc/terms/" xmlns:xsi="http://www.w3.org/2001/XMLSchema-instance" xsi:type="dcterms:W3CDTF">2026-10-26T14:57:21Z</dcterms:modified>
</cp:coreProperties>
</file>